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730" windowHeight="11760" firstSheet="5" activeTab="5"/>
  </bookViews>
  <sheets>
    <sheet name="Sheet4" sheetId="9" state="hidden" r:id="rId1"/>
    <sheet name="DIST WIS SLAB" sheetId="10" state="hidden" r:id="rId2"/>
    <sheet name="Sheet6" sheetId="11" state="hidden" r:id="rId3"/>
    <sheet name="Sheet1" sheetId="12" state="hidden" r:id="rId4"/>
    <sheet name="Sheet2" sheetId="13" state="hidden" r:id="rId5"/>
    <sheet name="mtd sale" sheetId="4" r:id="rId6"/>
    <sheet name="Slab" sheetId="8" state="hidden" r:id="rId7"/>
  </sheets>
  <definedNames>
    <definedName name="_xlnm._FilterDatabase" localSheetId="1" hidden="1">'DIST WIS SLAB'!$A$2:$J$35</definedName>
    <definedName name="_xlnm._FilterDatabase" localSheetId="5" hidden="1">'mtd sale'!$A$1:$BB$409</definedName>
  </definedNames>
  <calcPr calcId="125725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AW4" i="4"/>
  <c r="AV291" l="1"/>
  <c r="AW291"/>
  <c r="AW103"/>
  <c r="AW102"/>
  <c r="AW200"/>
  <c r="AW408"/>
  <c r="AW407"/>
  <c r="AW199"/>
  <c r="AW101"/>
  <c r="AW100"/>
  <c r="AW99"/>
  <c r="AW98"/>
  <c r="AW97"/>
  <c r="AW96"/>
  <c r="AW95"/>
  <c r="AW290"/>
  <c r="AW289"/>
  <c r="AW288"/>
  <c r="AW157"/>
  <c r="AW287"/>
  <c r="AW286"/>
  <c r="AW171"/>
  <c r="AW406"/>
  <c r="AW94"/>
  <c r="AW285"/>
  <c r="AW284"/>
  <c r="AW283"/>
  <c r="AW405"/>
  <c r="AW170"/>
  <c r="AW156"/>
  <c r="AW93"/>
  <c r="AW169"/>
  <c r="AW404"/>
  <c r="AW282"/>
  <c r="AW281"/>
  <c r="AW92"/>
  <c r="AW403"/>
  <c r="AW280"/>
  <c r="AW402"/>
  <c r="AW401"/>
  <c r="AW400"/>
  <c r="AW399"/>
  <c r="AW398"/>
  <c r="AW397"/>
  <c r="AW155"/>
  <c r="AW396"/>
  <c r="AW395"/>
  <c r="AW394"/>
  <c r="AW91"/>
  <c r="AW279"/>
  <c r="AW393"/>
  <c r="AW154"/>
  <c r="AW392"/>
  <c r="AW391"/>
  <c r="AW390"/>
  <c r="AW389"/>
  <c r="AW278"/>
  <c r="AW90"/>
  <c r="AW388"/>
  <c r="AW387"/>
  <c r="AW386"/>
  <c r="AW277"/>
  <c r="AW276"/>
  <c r="AW275"/>
  <c r="AW274"/>
  <c r="AW273"/>
  <c r="AW272"/>
  <c r="AW385"/>
  <c r="AW153"/>
  <c r="AW271"/>
  <c r="AW270"/>
  <c r="AW152"/>
  <c r="AW89"/>
  <c r="AW151"/>
  <c r="AW384"/>
  <c r="AW150"/>
  <c r="AW88"/>
  <c r="AW149"/>
  <c r="AW383"/>
  <c r="AW269"/>
  <c r="AW268"/>
  <c r="AW267"/>
  <c r="AW87"/>
  <c r="AW266"/>
  <c r="AW265"/>
  <c r="AW382"/>
  <c r="AW86"/>
  <c r="AW85"/>
  <c r="AW381"/>
  <c r="AW168"/>
  <c r="AW264"/>
  <c r="AW198"/>
  <c r="AW84"/>
  <c r="AW83"/>
  <c r="AW263"/>
  <c r="AW262"/>
  <c r="AW148"/>
  <c r="AW380"/>
  <c r="AW261"/>
  <c r="AW260"/>
  <c r="AW379"/>
  <c r="AW259"/>
  <c r="AW378"/>
  <c r="AW377"/>
  <c r="AW82"/>
  <c r="AW81"/>
  <c r="AW80"/>
  <c r="AW376"/>
  <c r="AW375"/>
  <c r="AW374"/>
  <c r="AW258"/>
  <c r="AW147"/>
  <c r="AW257"/>
  <c r="AW373"/>
  <c r="AW79"/>
  <c r="AW197"/>
  <c r="AW196"/>
  <c r="AW195"/>
  <c r="AW194"/>
  <c r="AW146"/>
  <c r="AW256"/>
  <c r="AW78"/>
  <c r="AW255"/>
  <c r="AW254"/>
  <c r="AW372"/>
  <c r="AW371"/>
  <c r="AW77"/>
  <c r="AW253"/>
  <c r="AW76"/>
  <c r="AW75"/>
  <c r="AW74"/>
  <c r="AW73"/>
  <c r="AW167"/>
  <c r="AW166"/>
  <c r="AW252"/>
  <c r="AW251"/>
  <c r="AW72"/>
  <c r="AW370"/>
  <c r="AW71"/>
  <c r="AW70"/>
  <c r="AW69"/>
  <c r="AW145"/>
  <c r="AW144"/>
  <c r="AW143"/>
  <c r="AW250"/>
  <c r="AW142"/>
  <c r="AW369"/>
  <c r="AW368"/>
  <c r="AW68"/>
  <c r="AW249"/>
  <c r="AW67"/>
  <c r="AW66"/>
  <c r="AW248"/>
  <c r="AW367"/>
  <c r="AW366"/>
  <c r="AW365"/>
  <c r="AW141"/>
  <c r="AW65"/>
  <c r="AW140"/>
  <c r="AW193"/>
  <c r="AW364"/>
  <c r="AW247"/>
  <c r="AW246"/>
  <c r="AW64"/>
  <c r="AW63"/>
  <c r="AW245"/>
  <c r="AW62"/>
  <c r="AW61"/>
  <c r="AW60"/>
  <c r="AW192"/>
  <c r="AW191"/>
  <c r="AW190"/>
  <c r="AW244"/>
  <c r="AW139"/>
  <c r="AW363"/>
  <c r="AW243"/>
  <c r="AW59"/>
  <c r="AW362"/>
  <c r="AW58"/>
  <c r="AW138"/>
  <c r="AW137"/>
  <c r="AW136"/>
  <c r="AW135"/>
  <c r="AW189"/>
  <c r="AW188"/>
  <c r="AW361"/>
  <c r="AW360"/>
  <c r="AW134"/>
  <c r="AW57"/>
  <c r="AW56"/>
  <c r="AW55"/>
  <c r="AW54"/>
  <c r="AW53"/>
  <c r="AW359"/>
  <c r="AW52"/>
  <c r="AW133"/>
  <c r="AW187"/>
  <c r="AW186"/>
  <c r="AW358"/>
  <c r="AW165"/>
  <c r="AW164"/>
  <c r="AW242"/>
  <c r="AW241"/>
  <c r="AW51"/>
  <c r="AW132"/>
  <c r="AW163"/>
  <c r="AW240"/>
  <c r="AW239"/>
  <c r="AW357"/>
  <c r="AW50"/>
  <c r="AW131"/>
  <c r="AW130"/>
  <c r="AW238"/>
  <c r="AW185"/>
  <c r="AW184"/>
  <c r="AW237"/>
  <c r="AW236"/>
  <c r="AW183"/>
  <c r="AW129"/>
  <c r="AW356"/>
  <c r="AW235"/>
  <c r="AW182"/>
  <c r="AW49"/>
  <c r="AW48"/>
  <c r="AW355"/>
  <c r="AW354"/>
  <c r="AW181"/>
  <c r="AW162"/>
  <c r="AW180"/>
  <c r="AW47"/>
  <c r="AW179"/>
  <c r="AW178"/>
  <c r="AW46"/>
  <c r="AW161"/>
  <c r="AW45"/>
  <c r="AW128"/>
  <c r="AW44"/>
  <c r="AW234"/>
  <c r="AW353"/>
  <c r="AW352"/>
  <c r="AW233"/>
  <c r="AW351"/>
  <c r="AW232"/>
  <c r="AW177"/>
  <c r="AW176"/>
  <c r="AW231"/>
  <c r="AW175"/>
  <c r="AW350"/>
  <c r="AW230"/>
  <c r="AW43"/>
  <c r="AW160"/>
  <c r="AW349"/>
  <c r="AW159"/>
  <c r="AW348"/>
  <c r="AW42"/>
  <c r="AW347"/>
  <c r="AW41"/>
  <c r="AW346"/>
  <c r="AW127"/>
  <c r="AW345"/>
  <c r="AW40"/>
  <c r="AW344"/>
  <c r="AW343"/>
  <c r="AW229"/>
  <c r="AW228"/>
  <c r="AW342"/>
  <c r="AW341"/>
  <c r="AW39"/>
  <c r="AW174"/>
  <c r="AW38"/>
  <c r="AW37"/>
  <c r="AW36"/>
  <c r="AW340"/>
  <c r="AW339"/>
  <c r="AW227"/>
  <c r="AW338"/>
  <c r="AW35"/>
  <c r="AW337"/>
  <c r="AW34"/>
  <c r="AW33"/>
  <c r="AW32"/>
  <c r="AW31"/>
  <c r="AW30"/>
  <c r="AW336"/>
  <c r="AW335"/>
  <c r="AW29"/>
  <c r="AW28"/>
  <c r="AW334"/>
  <c r="AW333"/>
  <c r="AW27"/>
  <c r="AW332"/>
  <c r="AW331"/>
  <c r="AW26"/>
  <c r="AW330"/>
  <c r="AW25"/>
  <c r="AW226"/>
  <c r="AW24"/>
  <c r="AW23"/>
  <c r="AW329"/>
  <c r="AW173"/>
  <c r="AW328"/>
  <c r="AW126"/>
  <c r="AW125"/>
  <c r="AW225"/>
  <c r="AW327"/>
  <c r="AW124"/>
  <c r="AW22"/>
  <c r="AW224"/>
  <c r="AW21"/>
  <c r="AW20"/>
  <c r="AW19"/>
  <c r="AW326"/>
  <c r="AW325"/>
  <c r="AW324"/>
  <c r="AW123"/>
  <c r="AW223"/>
  <c r="AW323"/>
  <c r="AW322"/>
  <c r="AW321"/>
  <c r="AW222"/>
  <c r="AW221"/>
  <c r="AW320"/>
  <c r="AW18"/>
  <c r="AW319"/>
  <c r="AW318"/>
  <c r="AW17"/>
  <c r="AW158"/>
  <c r="AW122"/>
  <c r="AW317"/>
  <c r="AW220"/>
  <c r="AW219"/>
  <c r="AW218"/>
  <c r="AW316"/>
  <c r="AW217"/>
  <c r="AW121"/>
  <c r="AW120"/>
  <c r="AW216"/>
  <c r="AW215"/>
  <c r="AW119"/>
  <c r="AW16"/>
  <c r="AW118"/>
  <c r="AW315"/>
  <c r="AW314"/>
  <c r="AW15"/>
  <c r="AW14"/>
  <c r="AW313"/>
  <c r="AW13"/>
  <c r="AW214"/>
  <c r="AW12"/>
  <c r="AW213"/>
  <c r="AW212"/>
  <c r="AW312"/>
  <c r="AW11"/>
  <c r="AW10"/>
  <c r="AW9"/>
  <c r="AW117"/>
  <c r="AW116"/>
  <c r="AW115"/>
  <c r="AW311"/>
  <c r="AW8"/>
  <c r="AW7"/>
  <c r="AW6"/>
  <c r="AW211"/>
  <c r="AW210"/>
  <c r="AW310"/>
  <c r="AW209"/>
  <c r="AW114"/>
  <c r="AW208"/>
  <c r="AW113"/>
  <c r="AW309"/>
  <c r="AW308"/>
  <c r="AW307"/>
  <c r="AW306"/>
  <c r="AW207"/>
  <c r="AW305"/>
  <c r="AW206"/>
  <c r="AW304"/>
  <c r="AW112"/>
  <c r="AW111"/>
  <c r="AW303"/>
  <c r="AW205"/>
  <c r="AW5"/>
  <c r="AW204"/>
  <c r="AW302"/>
  <c r="AW301"/>
  <c r="AW203"/>
  <c r="AW3"/>
  <c r="AW2"/>
  <c r="AW172"/>
  <c r="AW300"/>
  <c r="AW110"/>
  <c r="AW202"/>
  <c r="AW201"/>
  <c r="AW299"/>
  <c r="AW109"/>
  <c r="AW108"/>
  <c r="AW298"/>
  <c r="AW297"/>
  <c r="AW296"/>
  <c r="AW295"/>
  <c r="AW294"/>
  <c r="AW293"/>
  <c r="AW292"/>
  <c r="AW107"/>
  <c r="AW106"/>
  <c r="AW105"/>
  <c r="AW104"/>
  <c r="AV103"/>
  <c r="AX103" s="1"/>
  <c r="AV102"/>
  <c r="AV200"/>
  <c r="AV408"/>
  <c r="AX408" s="1"/>
  <c r="AV407"/>
  <c r="AX407" s="1"/>
  <c r="AV199"/>
  <c r="AV101"/>
  <c r="AV100"/>
  <c r="AX100" s="1"/>
  <c r="AV99"/>
  <c r="AX99" s="1"/>
  <c r="AV98"/>
  <c r="AV97"/>
  <c r="AV96"/>
  <c r="AV95"/>
  <c r="AX95" s="1"/>
  <c r="AV290"/>
  <c r="AV289"/>
  <c r="AV288"/>
  <c r="AX288" s="1"/>
  <c r="AV157"/>
  <c r="AV287"/>
  <c r="AV286"/>
  <c r="AV171"/>
  <c r="AX171" s="1"/>
  <c r="AV406"/>
  <c r="AX406" s="1"/>
  <c r="AV94"/>
  <c r="AV285"/>
  <c r="AV284"/>
  <c r="AX284" s="1"/>
  <c r="AV283"/>
  <c r="AX283" s="1"/>
  <c r="AV405"/>
  <c r="AV170"/>
  <c r="AV156"/>
  <c r="AX156" s="1"/>
  <c r="AV93"/>
  <c r="AX93" s="1"/>
  <c r="AV169"/>
  <c r="AV404"/>
  <c r="AV282"/>
  <c r="AX282" s="1"/>
  <c r="AV281"/>
  <c r="AX281" s="1"/>
  <c r="AV92"/>
  <c r="AV403"/>
  <c r="AV280"/>
  <c r="AX280" s="1"/>
  <c r="AV402"/>
  <c r="AV401"/>
  <c r="AV400"/>
  <c r="AV399"/>
  <c r="AV398"/>
  <c r="AX398" s="1"/>
  <c r="AV397"/>
  <c r="AV155"/>
  <c r="AV396"/>
  <c r="AV395"/>
  <c r="AX395" s="1"/>
  <c r="AV394"/>
  <c r="AV91"/>
  <c r="AV279"/>
  <c r="AX279" s="1"/>
  <c r="AV393"/>
  <c r="AV154"/>
  <c r="AV392"/>
  <c r="AV391"/>
  <c r="AX391" s="1"/>
  <c r="AV390"/>
  <c r="AX390" s="1"/>
  <c r="AV389"/>
  <c r="AV278"/>
  <c r="AV90"/>
  <c r="AX90" s="1"/>
  <c r="AV388"/>
  <c r="AX388" s="1"/>
  <c r="AV387"/>
  <c r="AV386"/>
  <c r="AV277"/>
  <c r="AX277" s="1"/>
  <c r="AV276"/>
  <c r="AX276" s="1"/>
  <c r="AV275"/>
  <c r="AV274"/>
  <c r="AV273"/>
  <c r="AX273" s="1"/>
  <c r="AV272"/>
  <c r="AX272" s="1"/>
  <c r="AV385"/>
  <c r="AV153"/>
  <c r="AV271"/>
  <c r="AX271" s="1"/>
  <c r="AV270"/>
  <c r="AX270" s="1"/>
  <c r="AV152"/>
  <c r="AV89"/>
  <c r="AV151"/>
  <c r="AV384"/>
  <c r="AX384" s="1"/>
  <c r="AV150"/>
  <c r="AV88"/>
  <c r="AV149"/>
  <c r="AX149" s="1"/>
  <c r="AV383"/>
  <c r="AX383" s="1"/>
  <c r="AV269"/>
  <c r="AV268"/>
  <c r="AV267"/>
  <c r="AV87"/>
  <c r="AX87" s="1"/>
  <c r="AV266"/>
  <c r="AV265"/>
  <c r="AV382"/>
  <c r="AX382" s="1"/>
  <c r="AV86"/>
  <c r="AV85"/>
  <c r="AV381"/>
  <c r="AV168"/>
  <c r="AX168" s="1"/>
  <c r="AV264"/>
  <c r="AV198"/>
  <c r="AV84"/>
  <c r="AV83"/>
  <c r="AX83" s="1"/>
  <c r="AV263"/>
  <c r="AX263" s="1"/>
  <c r="AV262"/>
  <c r="AV148"/>
  <c r="AV380"/>
  <c r="AV261"/>
  <c r="AX261" s="1"/>
  <c r="AV260"/>
  <c r="AV379"/>
  <c r="AV259"/>
  <c r="AX259" s="1"/>
  <c r="AV378"/>
  <c r="AX378" s="1"/>
  <c r="AV377"/>
  <c r="AV82"/>
  <c r="AV81"/>
  <c r="AV80"/>
  <c r="AX80" s="1"/>
  <c r="AV376"/>
  <c r="AV375"/>
  <c r="AV374"/>
  <c r="AV258"/>
  <c r="AX258" s="1"/>
  <c r="AV147"/>
  <c r="AV257"/>
  <c r="AV373"/>
  <c r="AX373" s="1"/>
  <c r="AV79"/>
  <c r="AX79" s="1"/>
  <c r="AV197"/>
  <c r="AV196"/>
  <c r="AV195"/>
  <c r="AX195" s="1"/>
  <c r="AV194"/>
  <c r="AV146"/>
  <c r="AV256"/>
  <c r="AV78"/>
  <c r="AX78" s="1"/>
  <c r="AV255"/>
  <c r="AX255" s="1"/>
  <c r="AV254"/>
  <c r="AV372"/>
  <c r="AV371"/>
  <c r="AX371" s="1"/>
  <c r="AV77"/>
  <c r="AV253"/>
  <c r="AV76"/>
  <c r="AV75"/>
  <c r="AV74"/>
  <c r="AX74" s="1"/>
  <c r="AV73"/>
  <c r="AV167"/>
  <c r="AV166"/>
  <c r="AX166" s="1"/>
  <c r="AV252"/>
  <c r="AX252" s="1"/>
  <c r="AV251"/>
  <c r="AV72"/>
  <c r="AV370"/>
  <c r="AV71"/>
  <c r="AX71" s="1"/>
  <c r="AV70"/>
  <c r="AV69"/>
  <c r="AV145"/>
  <c r="AX145" s="1"/>
  <c r="AV144"/>
  <c r="AV143"/>
  <c r="AV250"/>
  <c r="AV142"/>
  <c r="AX142" s="1"/>
  <c r="AV369"/>
  <c r="AX369" s="1"/>
  <c r="AV368"/>
  <c r="AV68"/>
  <c r="AV249"/>
  <c r="AX249" s="1"/>
  <c r="AV67"/>
  <c r="AX67" s="1"/>
  <c r="AV66"/>
  <c r="AV248"/>
  <c r="AV367"/>
  <c r="AX367" s="1"/>
  <c r="AV366"/>
  <c r="AX366" s="1"/>
  <c r="AV365"/>
  <c r="AV141"/>
  <c r="AV65"/>
  <c r="AX65" s="1"/>
  <c r="AV140"/>
  <c r="AV193"/>
  <c r="AV364"/>
  <c r="AV247"/>
  <c r="AX247" s="1"/>
  <c r="AV246"/>
  <c r="AV64"/>
  <c r="AV63"/>
  <c r="AV245"/>
  <c r="AX245" s="1"/>
  <c r="AV62"/>
  <c r="AX62" s="1"/>
  <c r="AV61"/>
  <c r="AV60"/>
  <c r="AV192"/>
  <c r="AV191"/>
  <c r="AX191" s="1"/>
  <c r="AV190"/>
  <c r="AV244"/>
  <c r="AV139"/>
  <c r="AX139" s="1"/>
  <c r="AV363"/>
  <c r="AX363" s="1"/>
  <c r="AV243"/>
  <c r="AV59"/>
  <c r="AV362"/>
  <c r="AV58"/>
  <c r="AX58" s="1"/>
  <c r="AV138"/>
  <c r="AV137"/>
  <c r="AV136"/>
  <c r="AV135"/>
  <c r="AX135" s="1"/>
  <c r="AV189"/>
  <c r="AV188"/>
  <c r="AV361"/>
  <c r="AV360"/>
  <c r="AX360" s="1"/>
  <c r="AV134"/>
  <c r="AV57"/>
  <c r="AV56"/>
  <c r="AX56" s="1"/>
  <c r="AV55"/>
  <c r="AV54"/>
  <c r="AV53"/>
  <c r="AV359"/>
  <c r="AV52"/>
  <c r="AX52" s="1"/>
  <c r="AV133"/>
  <c r="AV187"/>
  <c r="AV186"/>
  <c r="AV358"/>
  <c r="AX358" s="1"/>
  <c r="AV165"/>
  <c r="AV164"/>
  <c r="AV242"/>
  <c r="AX242" s="1"/>
  <c r="AV241"/>
  <c r="AX241" s="1"/>
  <c r="AV51"/>
  <c r="AV132"/>
  <c r="AV163"/>
  <c r="AV240"/>
  <c r="AV239"/>
  <c r="AV357"/>
  <c r="AV50"/>
  <c r="AX50" s="1"/>
  <c r="AV131"/>
  <c r="AV130"/>
  <c r="AV238"/>
  <c r="AV185"/>
  <c r="AX185" s="1"/>
  <c r="AV184"/>
  <c r="AV237"/>
  <c r="AV236"/>
  <c r="AV183"/>
  <c r="AV129"/>
  <c r="AV356"/>
  <c r="AV235"/>
  <c r="AV182"/>
  <c r="AV49"/>
  <c r="AV48"/>
  <c r="AV355"/>
  <c r="AV354"/>
  <c r="AX354" s="1"/>
  <c r="AV181"/>
  <c r="AX181" s="1"/>
  <c r="AV162"/>
  <c r="AV180"/>
  <c r="AV47"/>
  <c r="AX47" s="1"/>
  <c r="AV179"/>
  <c r="AX179" s="1"/>
  <c r="AV178"/>
  <c r="AV46"/>
  <c r="AV161"/>
  <c r="AV45"/>
  <c r="AV128"/>
  <c r="AV44"/>
  <c r="AV234"/>
  <c r="AX234" s="1"/>
  <c r="AV353"/>
  <c r="AV352"/>
  <c r="AV233"/>
  <c r="AV351"/>
  <c r="AV232"/>
  <c r="AV177"/>
  <c r="AV176"/>
  <c r="AV231"/>
  <c r="AV175"/>
  <c r="AX175" s="1"/>
  <c r="AV350"/>
  <c r="AV230"/>
  <c r="AV43"/>
  <c r="AX43" s="1"/>
  <c r="AV160"/>
  <c r="AX160" s="1"/>
  <c r="AV349"/>
  <c r="AV159"/>
  <c r="AV348"/>
  <c r="AX348" s="1"/>
  <c r="AV42"/>
  <c r="AV347"/>
  <c r="AV41"/>
  <c r="AV346"/>
  <c r="AV127"/>
  <c r="AV345"/>
  <c r="AV40"/>
  <c r="AV344"/>
  <c r="AV343"/>
  <c r="AV229"/>
  <c r="AV228"/>
  <c r="AV342"/>
  <c r="AX342" s="1"/>
  <c r="AV341"/>
  <c r="AX341" s="1"/>
  <c r="AV39"/>
  <c r="AV174"/>
  <c r="AV38"/>
  <c r="AV37"/>
  <c r="AX37" s="1"/>
  <c r="AV36"/>
  <c r="AV340"/>
  <c r="AV339"/>
  <c r="AV227"/>
  <c r="AX227" s="1"/>
  <c r="AV338"/>
  <c r="AV35"/>
  <c r="AV337"/>
  <c r="AV34"/>
  <c r="AX34" s="1"/>
  <c r="AV33"/>
  <c r="AV32"/>
  <c r="AV31"/>
  <c r="AV30"/>
  <c r="AX30" s="1"/>
  <c r="AV336"/>
  <c r="AV335"/>
  <c r="AV29"/>
  <c r="AV28"/>
  <c r="AX28" s="1"/>
  <c r="AV334"/>
  <c r="AV333"/>
  <c r="AV27"/>
  <c r="AX27" s="1"/>
  <c r="AV332"/>
  <c r="AX332" s="1"/>
  <c r="AV331"/>
  <c r="AV26"/>
  <c r="AV330"/>
  <c r="AV25"/>
  <c r="AV226"/>
  <c r="AV24"/>
  <c r="AV23"/>
  <c r="AX23" s="1"/>
  <c r="AV329"/>
  <c r="AX329" s="1"/>
  <c r="AV173"/>
  <c r="AV328"/>
  <c r="AV126"/>
  <c r="AX126" s="1"/>
  <c r="AV125"/>
  <c r="AX125" s="1"/>
  <c r="AV225"/>
  <c r="AV327"/>
  <c r="AV124"/>
  <c r="AX124" s="1"/>
  <c r="AV22"/>
  <c r="AX22" s="1"/>
  <c r="AV224"/>
  <c r="AV21"/>
  <c r="AV20"/>
  <c r="AX20" s="1"/>
  <c r="AV19"/>
  <c r="AX19" s="1"/>
  <c r="AV326"/>
  <c r="AV325"/>
  <c r="AV324"/>
  <c r="AV123"/>
  <c r="AX123" s="1"/>
  <c r="AV223"/>
  <c r="AV323"/>
  <c r="AV322"/>
  <c r="AX322" s="1"/>
  <c r="AV321"/>
  <c r="AX321" s="1"/>
  <c r="AV222"/>
  <c r="AV221"/>
  <c r="AV320"/>
  <c r="AX320" s="1"/>
  <c r="AV18"/>
  <c r="AX18" s="1"/>
  <c r="AV319"/>
  <c r="AV318"/>
  <c r="AV17"/>
  <c r="AX17" s="1"/>
  <c r="AV158"/>
  <c r="AX158" s="1"/>
  <c r="AV122"/>
  <c r="AV317"/>
  <c r="AV220"/>
  <c r="AX220" s="1"/>
  <c r="AV219"/>
  <c r="AX219" s="1"/>
  <c r="AV218"/>
  <c r="AV316"/>
  <c r="AV217"/>
  <c r="AX217" s="1"/>
  <c r="AV121"/>
  <c r="AX121" s="1"/>
  <c r="AV120"/>
  <c r="AV216"/>
  <c r="AV215"/>
  <c r="AX215" s="1"/>
  <c r="AV119"/>
  <c r="AX119" s="1"/>
  <c r="AV16"/>
  <c r="AV118"/>
  <c r="AV315"/>
  <c r="AX315" s="1"/>
  <c r="AV314"/>
  <c r="AX314" s="1"/>
  <c r="AV15"/>
  <c r="AV14"/>
  <c r="AV313"/>
  <c r="AX313" s="1"/>
  <c r="AV13"/>
  <c r="AX13" s="1"/>
  <c r="AV214"/>
  <c r="AV12"/>
  <c r="AV213"/>
  <c r="AV212"/>
  <c r="AX212" s="1"/>
  <c r="AV312"/>
  <c r="AV11"/>
  <c r="AV10"/>
  <c r="AV9"/>
  <c r="AX9" s="1"/>
  <c r="AV117"/>
  <c r="AV116"/>
  <c r="AV115"/>
  <c r="AX115" s="1"/>
  <c r="AV311"/>
  <c r="AV8"/>
  <c r="AV7"/>
  <c r="AV6"/>
  <c r="AX6" s="1"/>
  <c r="AV211"/>
  <c r="AX211" s="1"/>
  <c r="AV210"/>
  <c r="AV310"/>
  <c r="AV209"/>
  <c r="AX209" s="1"/>
  <c r="AV114"/>
  <c r="AX114" s="1"/>
  <c r="AV208"/>
  <c r="AV113"/>
  <c r="AV309"/>
  <c r="AX309" s="1"/>
  <c r="AV308"/>
  <c r="AX308" s="1"/>
  <c r="AV307"/>
  <c r="AV306"/>
  <c r="AV207"/>
  <c r="AV305"/>
  <c r="AX305" s="1"/>
  <c r="AV206"/>
  <c r="AV304"/>
  <c r="AV112"/>
  <c r="AX112" s="1"/>
  <c r="AV111"/>
  <c r="AX111" s="1"/>
  <c r="AV303"/>
  <c r="AV205"/>
  <c r="AV5"/>
  <c r="AV4"/>
  <c r="AX4" s="1"/>
  <c r="AV204"/>
  <c r="AV302"/>
  <c r="AV301"/>
  <c r="AV203"/>
  <c r="AV3"/>
  <c r="AV2"/>
  <c r="AV172"/>
  <c r="AV300"/>
  <c r="AX300" s="1"/>
  <c r="AV110"/>
  <c r="AV202"/>
  <c r="AV201"/>
  <c r="AV299"/>
  <c r="AX299" s="1"/>
  <c r="AV109"/>
  <c r="AV108"/>
  <c r="AV298"/>
  <c r="AV297"/>
  <c r="AV296"/>
  <c r="AV295"/>
  <c r="AV294"/>
  <c r="AV293"/>
  <c r="AV292"/>
  <c r="AV107"/>
  <c r="AV106"/>
  <c r="AV105"/>
  <c r="AX105" s="1"/>
  <c r="AV104"/>
  <c r="N104"/>
  <c r="N105"/>
  <c r="N106"/>
  <c r="N107"/>
  <c r="N292"/>
  <c r="N293"/>
  <c r="N294"/>
  <c r="N295"/>
  <c r="N296"/>
  <c r="N297"/>
  <c r="N298"/>
  <c r="N108"/>
  <c r="N109"/>
  <c r="N299"/>
  <c r="N201"/>
  <c r="N202"/>
  <c r="N110"/>
  <c r="N300"/>
  <c r="N172"/>
  <c r="N2"/>
  <c r="N3"/>
  <c r="N203"/>
  <c r="N301"/>
  <c r="N302"/>
  <c r="N204"/>
  <c r="N4"/>
  <c r="N5"/>
  <c r="N205"/>
  <c r="N303"/>
  <c r="N111"/>
  <c r="N112"/>
  <c r="N304"/>
  <c r="N206"/>
  <c r="N305"/>
  <c r="N207"/>
  <c r="N306"/>
  <c r="N307"/>
  <c r="N308"/>
  <c r="N309"/>
  <c r="N113"/>
  <c r="N208"/>
  <c r="N114"/>
  <c r="N209"/>
  <c r="N310"/>
  <c r="N210"/>
  <c r="N211"/>
  <c r="N6"/>
  <c r="N7"/>
  <c r="N8"/>
  <c r="N311"/>
  <c r="N115"/>
  <c r="N116"/>
  <c r="N117"/>
  <c r="N9"/>
  <c r="N10"/>
  <c r="N11"/>
  <c r="N312"/>
  <c r="N212"/>
  <c r="N213"/>
  <c r="N12"/>
  <c r="N214"/>
  <c r="N13"/>
  <c r="N313"/>
  <c r="N14"/>
  <c r="N15"/>
  <c r="N314"/>
  <c r="N315"/>
  <c r="N118"/>
  <c r="N16"/>
  <c r="N119"/>
  <c r="N215"/>
  <c r="N216"/>
  <c r="N120"/>
  <c r="N121"/>
  <c r="N217"/>
  <c r="N316"/>
  <c r="N218"/>
  <c r="N219"/>
  <c r="N220"/>
  <c r="N317"/>
  <c r="N122"/>
  <c r="N158"/>
  <c r="N17"/>
  <c r="N318"/>
  <c r="N319"/>
  <c r="N18"/>
  <c r="N320"/>
  <c r="N221"/>
  <c r="N222"/>
  <c r="N321"/>
  <c r="N322"/>
  <c r="N323"/>
  <c r="N223"/>
  <c r="N123"/>
  <c r="N324"/>
  <c r="N325"/>
  <c r="N326"/>
  <c r="N19"/>
  <c r="N20"/>
  <c r="N21"/>
  <c r="N224"/>
  <c r="N22"/>
  <c r="N124"/>
  <c r="N327"/>
  <c r="N225"/>
  <c r="N125"/>
  <c r="N126"/>
  <c r="N328"/>
  <c r="N173"/>
  <c r="N329"/>
  <c r="N23"/>
  <c r="N24"/>
  <c r="N226"/>
  <c r="N25"/>
  <c r="N330"/>
  <c r="N26"/>
  <c r="N331"/>
  <c r="N332"/>
  <c r="N27"/>
  <c r="N333"/>
  <c r="N334"/>
  <c r="N28"/>
  <c r="N29"/>
  <c r="N335"/>
  <c r="N336"/>
  <c r="N30"/>
  <c r="N31"/>
  <c r="N32"/>
  <c r="N33"/>
  <c r="N34"/>
  <c r="N337"/>
  <c r="N35"/>
  <c r="N338"/>
  <c r="N227"/>
  <c r="N339"/>
  <c r="N340"/>
  <c r="N36"/>
  <c r="N37"/>
  <c r="N38"/>
  <c r="N174"/>
  <c r="N39"/>
  <c r="N341"/>
  <c r="N342"/>
  <c r="N228"/>
  <c r="N229"/>
  <c r="N343"/>
  <c r="N344"/>
  <c r="N40"/>
  <c r="N345"/>
  <c r="N127"/>
  <c r="N346"/>
  <c r="N41"/>
  <c r="N347"/>
  <c r="N42"/>
  <c r="N348"/>
  <c r="N159"/>
  <c r="N349"/>
  <c r="N160"/>
  <c r="N43"/>
  <c r="N230"/>
  <c r="N350"/>
  <c r="N175"/>
  <c r="N231"/>
  <c r="N176"/>
  <c r="N177"/>
  <c r="N232"/>
  <c r="N351"/>
  <c r="N233"/>
  <c r="N352"/>
  <c r="N353"/>
  <c r="N234"/>
  <c r="N44"/>
  <c r="N128"/>
  <c r="N45"/>
  <c r="N161"/>
  <c r="N46"/>
  <c r="N178"/>
  <c r="N179"/>
  <c r="N47"/>
  <c r="N180"/>
  <c r="N162"/>
  <c r="N181"/>
  <c r="N354"/>
  <c r="N355"/>
  <c r="N48"/>
  <c r="N49"/>
  <c r="N182"/>
  <c r="N235"/>
  <c r="N356"/>
  <c r="N129"/>
  <c r="N183"/>
  <c r="N236"/>
  <c r="N237"/>
  <c r="N184"/>
  <c r="N185"/>
  <c r="N238"/>
  <c r="N130"/>
  <c r="N131"/>
  <c r="N50"/>
  <c r="N357"/>
  <c r="N239"/>
  <c r="N240"/>
  <c r="N163"/>
  <c r="N132"/>
  <c r="N51"/>
  <c r="N241"/>
  <c r="N242"/>
  <c r="N164"/>
  <c r="N165"/>
  <c r="N358"/>
  <c r="N186"/>
  <c r="N187"/>
  <c r="N133"/>
  <c r="N52"/>
  <c r="N359"/>
  <c r="N53"/>
  <c r="N54"/>
  <c r="N55"/>
  <c r="N56"/>
  <c r="N57"/>
  <c r="N134"/>
  <c r="N360"/>
  <c r="N361"/>
  <c r="N188"/>
  <c r="N189"/>
  <c r="N135"/>
  <c r="N136"/>
  <c r="N137"/>
  <c r="N138"/>
  <c r="N58"/>
  <c r="N362"/>
  <c r="N59"/>
  <c r="N243"/>
  <c r="N363"/>
  <c r="N139"/>
  <c r="N244"/>
  <c r="N190"/>
  <c r="N191"/>
  <c r="N192"/>
  <c r="N60"/>
  <c r="N61"/>
  <c r="N62"/>
  <c r="N245"/>
  <c r="N63"/>
  <c r="N64"/>
  <c r="N246"/>
  <c r="N247"/>
  <c r="N364"/>
  <c r="N193"/>
  <c r="N140"/>
  <c r="N65"/>
  <c r="N141"/>
  <c r="N365"/>
  <c r="N366"/>
  <c r="N367"/>
  <c r="N248"/>
  <c r="N66"/>
  <c r="N67"/>
  <c r="N249"/>
  <c r="N68"/>
  <c r="N368"/>
  <c r="N369"/>
  <c r="N142"/>
  <c r="N250"/>
  <c r="N143"/>
  <c r="N144"/>
  <c r="N145"/>
  <c r="N69"/>
  <c r="N70"/>
  <c r="N71"/>
  <c r="N370"/>
  <c r="N72"/>
  <c r="N251"/>
  <c r="N252"/>
  <c r="N166"/>
  <c r="N167"/>
  <c r="N73"/>
  <c r="N74"/>
  <c r="N75"/>
  <c r="N76"/>
  <c r="N253"/>
  <c r="N77"/>
  <c r="N371"/>
  <c r="N372"/>
  <c r="N254"/>
  <c r="N255"/>
  <c r="N78"/>
  <c r="N256"/>
  <c r="N146"/>
  <c r="N194"/>
  <c r="N195"/>
  <c r="N196"/>
  <c r="N197"/>
  <c r="N79"/>
  <c r="N373"/>
  <c r="N257"/>
  <c r="N147"/>
  <c r="N258"/>
  <c r="N374"/>
  <c r="N375"/>
  <c r="N376"/>
  <c r="N80"/>
  <c r="N81"/>
  <c r="N82"/>
  <c r="N377"/>
  <c r="N378"/>
  <c r="N259"/>
  <c r="N379"/>
  <c r="N260"/>
  <c r="N261"/>
  <c r="N380"/>
  <c r="N148"/>
  <c r="N262"/>
  <c r="N263"/>
  <c r="N83"/>
  <c r="N84"/>
  <c r="N198"/>
  <c r="N264"/>
  <c r="N168"/>
  <c r="N381"/>
  <c r="N85"/>
  <c r="N86"/>
  <c r="N382"/>
  <c r="N265"/>
  <c r="N266"/>
  <c r="N87"/>
  <c r="N267"/>
  <c r="N268"/>
  <c r="N269"/>
  <c r="N383"/>
  <c r="N149"/>
  <c r="N88"/>
  <c r="N150"/>
  <c r="N384"/>
  <c r="N151"/>
  <c r="N89"/>
  <c r="N152"/>
  <c r="N270"/>
  <c r="N271"/>
  <c r="N153"/>
  <c r="N385"/>
  <c r="N272"/>
  <c r="N273"/>
  <c r="N274"/>
  <c r="N275"/>
  <c r="N276"/>
  <c r="N277"/>
  <c r="N386"/>
  <c r="N387"/>
  <c r="N388"/>
  <c r="N90"/>
  <c r="N278"/>
  <c r="N389"/>
  <c r="N390"/>
  <c r="N391"/>
  <c r="N392"/>
  <c r="N154"/>
  <c r="N393"/>
  <c r="N279"/>
  <c r="N91"/>
  <c r="N394"/>
  <c r="N395"/>
  <c r="N396"/>
  <c r="N155"/>
  <c r="N397"/>
  <c r="N398"/>
  <c r="N399"/>
  <c r="N400"/>
  <c r="N401"/>
  <c r="N402"/>
  <c r="N280"/>
  <c r="N403"/>
  <c r="N92"/>
  <c r="N281"/>
  <c r="N282"/>
  <c r="N404"/>
  <c r="N169"/>
  <c r="N93"/>
  <c r="N156"/>
  <c r="N170"/>
  <c r="N405"/>
  <c r="N283"/>
  <c r="N284"/>
  <c r="N285"/>
  <c r="N94"/>
  <c r="N406"/>
  <c r="N171"/>
  <c r="N286"/>
  <c r="N287"/>
  <c r="N157"/>
  <c r="N288"/>
  <c r="N289"/>
  <c r="N290"/>
  <c r="N95"/>
  <c r="N96"/>
  <c r="N97"/>
  <c r="N98"/>
  <c r="N99"/>
  <c r="N100"/>
  <c r="N101"/>
  <c r="N199"/>
  <c r="N407"/>
  <c r="N408"/>
  <c r="N200"/>
  <c r="N102"/>
  <c r="N103"/>
  <c r="N291"/>
  <c r="Q104"/>
  <c r="Q105"/>
  <c r="Q106"/>
  <c r="Q107"/>
  <c r="Q292"/>
  <c r="Q293"/>
  <c r="Q294"/>
  <c r="Q295"/>
  <c r="Q296"/>
  <c r="Q297"/>
  <c r="Q298"/>
  <c r="Q108"/>
  <c r="Q109"/>
  <c r="Q299"/>
  <c r="Q201"/>
  <c r="Q202"/>
  <c r="Q110"/>
  <c r="Q300"/>
  <c r="Q172"/>
  <c r="Q2"/>
  <c r="Q3"/>
  <c r="Q203"/>
  <c r="Q301"/>
  <c r="Q302"/>
  <c r="Q204"/>
  <c r="Q4"/>
  <c r="Q5"/>
  <c r="Q205"/>
  <c r="Q303"/>
  <c r="Q111"/>
  <c r="Q112"/>
  <c r="Q304"/>
  <c r="Q206"/>
  <c r="Q305"/>
  <c r="Q207"/>
  <c r="Q306"/>
  <c r="Q307"/>
  <c r="Q308"/>
  <c r="Q309"/>
  <c r="Q113"/>
  <c r="Q208"/>
  <c r="Q114"/>
  <c r="Q209"/>
  <c r="Q310"/>
  <c r="Q210"/>
  <c r="Q211"/>
  <c r="Q6"/>
  <c r="Q7"/>
  <c r="Q8"/>
  <c r="Q311"/>
  <c r="Q115"/>
  <c r="Q116"/>
  <c r="Q117"/>
  <c r="Q9"/>
  <c r="Q10"/>
  <c r="Q11"/>
  <c r="Q312"/>
  <c r="Q212"/>
  <c r="Q213"/>
  <c r="Q12"/>
  <c r="Q214"/>
  <c r="Q13"/>
  <c r="Q313"/>
  <c r="Q14"/>
  <c r="Q15"/>
  <c r="Q314"/>
  <c r="Q315"/>
  <c r="Q118"/>
  <c r="Q16"/>
  <c r="Q119"/>
  <c r="Q215"/>
  <c r="Q216"/>
  <c r="Q120"/>
  <c r="Q121"/>
  <c r="Q217"/>
  <c r="Q316"/>
  <c r="Q218"/>
  <c r="Q219"/>
  <c r="Q220"/>
  <c r="Q317"/>
  <c r="Q122"/>
  <c r="Q158"/>
  <c r="Q17"/>
  <c r="Q318"/>
  <c r="Q319"/>
  <c r="Q18"/>
  <c r="Q320"/>
  <c r="Q221"/>
  <c r="Q222"/>
  <c r="Q321"/>
  <c r="Q322"/>
  <c r="Q323"/>
  <c r="Q223"/>
  <c r="Q123"/>
  <c r="Q324"/>
  <c r="Q325"/>
  <c r="Q326"/>
  <c r="Q19"/>
  <c r="Q20"/>
  <c r="Q21"/>
  <c r="Q224"/>
  <c r="Q22"/>
  <c r="Q124"/>
  <c r="Q327"/>
  <c r="Q225"/>
  <c r="Q125"/>
  <c r="Q126"/>
  <c r="Q328"/>
  <c r="Q173"/>
  <c r="Q329"/>
  <c r="Q23"/>
  <c r="Q24"/>
  <c r="Q226"/>
  <c r="Q25"/>
  <c r="Q330"/>
  <c r="Q26"/>
  <c r="Q331"/>
  <c r="Q332"/>
  <c r="Q27"/>
  <c r="Q333"/>
  <c r="Q334"/>
  <c r="Q28"/>
  <c r="Q29"/>
  <c r="Q335"/>
  <c r="Q336"/>
  <c r="Q30"/>
  <c r="Q31"/>
  <c r="Q32"/>
  <c r="Q33"/>
  <c r="Q34"/>
  <c r="Q337"/>
  <c r="Q35"/>
  <c r="Q338"/>
  <c r="Q227"/>
  <c r="Q339"/>
  <c r="Q340"/>
  <c r="Q36"/>
  <c r="Q37"/>
  <c r="Q38"/>
  <c r="Q174"/>
  <c r="Q39"/>
  <c r="Q341"/>
  <c r="Q342"/>
  <c r="Q228"/>
  <c r="Q229"/>
  <c r="Q343"/>
  <c r="Q344"/>
  <c r="Q40"/>
  <c r="Q345"/>
  <c r="Q127"/>
  <c r="Q346"/>
  <c r="Q41"/>
  <c r="Q347"/>
  <c r="Q42"/>
  <c r="Q348"/>
  <c r="Q159"/>
  <c r="Q349"/>
  <c r="Q160"/>
  <c r="Q43"/>
  <c r="Q230"/>
  <c r="Q350"/>
  <c r="Q175"/>
  <c r="Q231"/>
  <c r="Q176"/>
  <c r="Q177"/>
  <c r="Q232"/>
  <c r="Q351"/>
  <c r="Q233"/>
  <c r="Q352"/>
  <c r="Q353"/>
  <c r="Q234"/>
  <c r="Q44"/>
  <c r="Q128"/>
  <c r="Q45"/>
  <c r="Q161"/>
  <c r="Q46"/>
  <c r="Q178"/>
  <c r="Q179"/>
  <c r="Q47"/>
  <c r="Q180"/>
  <c r="Q162"/>
  <c r="Q181"/>
  <c r="Q354"/>
  <c r="Q355"/>
  <c r="Q48"/>
  <c r="Q49"/>
  <c r="Q182"/>
  <c r="Q235"/>
  <c r="Q356"/>
  <c r="Q129"/>
  <c r="Q183"/>
  <c r="Q236"/>
  <c r="Q237"/>
  <c r="Q184"/>
  <c r="Q185"/>
  <c r="Q238"/>
  <c r="Q130"/>
  <c r="Q131"/>
  <c r="Q50"/>
  <c r="Q357"/>
  <c r="Q239"/>
  <c r="Q240"/>
  <c r="Q163"/>
  <c r="Q132"/>
  <c r="Q51"/>
  <c r="Q241"/>
  <c r="Q242"/>
  <c r="Q164"/>
  <c r="Q165"/>
  <c r="Q358"/>
  <c r="Q186"/>
  <c r="Q187"/>
  <c r="Q133"/>
  <c r="Q52"/>
  <c r="Q359"/>
  <c r="Q53"/>
  <c r="Q54"/>
  <c r="Q55"/>
  <c r="Q56"/>
  <c r="Q57"/>
  <c r="Q134"/>
  <c r="Q360"/>
  <c r="Q361"/>
  <c r="Q188"/>
  <c r="Q189"/>
  <c r="Q135"/>
  <c r="Q136"/>
  <c r="Q137"/>
  <c r="Q138"/>
  <c r="Q58"/>
  <c r="Q362"/>
  <c r="Q59"/>
  <c r="Q243"/>
  <c r="Q363"/>
  <c r="Q139"/>
  <c r="Q244"/>
  <c r="Q190"/>
  <c r="Q191"/>
  <c r="Q192"/>
  <c r="Q60"/>
  <c r="Q61"/>
  <c r="Q62"/>
  <c r="Q245"/>
  <c r="Q63"/>
  <c r="Q64"/>
  <c r="Q246"/>
  <c r="Q247"/>
  <c r="Q364"/>
  <c r="Q193"/>
  <c r="Q140"/>
  <c r="Q65"/>
  <c r="Q141"/>
  <c r="Q365"/>
  <c r="Q366"/>
  <c r="Q367"/>
  <c r="Q248"/>
  <c r="Q66"/>
  <c r="Q67"/>
  <c r="Q249"/>
  <c r="Q68"/>
  <c r="Q368"/>
  <c r="Q369"/>
  <c r="Q142"/>
  <c r="Q250"/>
  <c r="Q143"/>
  <c r="Q144"/>
  <c r="Q145"/>
  <c r="Q69"/>
  <c r="Q70"/>
  <c r="Q71"/>
  <c r="Q370"/>
  <c r="Q72"/>
  <c r="Q251"/>
  <c r="Q252"/>
  <c r="Q166"/>
  <c r="Q167"/>
  <c r="Q73"/>
  <c r="Q74"/>
  <c r="Q75"/>
  <c r="Q76"/>
  <c r="Q253"/>
  <c r="Q77"/>
  <c r="Q371"/>
  <c r="Q372"/>
  <c r="Q254"/>
  <c r="Q255"/>
  <c r="Q78"/>
  <c r="Q256"/>
  <c r="Q146"/>
  <c r="Q194"/>
  <c r="Q195"/>
  <c r="Q196"/>
  <c r="Q197"/>
  <c r="Q79"/>
  <c r="Q373"/>
  <c r="Q257"/>
  <c r="Q147"/>
  <c r="Q258"/>
  <c r="Q374"/>
  <c r="Q375"/>
  <c r="Q376"/>
  <c r="Q80"/>
  <c r="Q81"/>
  <c r="Q82"/>
  <c r="Q377"/>
  <c r="Q378"/>
  <c r="Q259"/>
  <c r="Q379"/>
  <c r="Q260"/>
  <c r="Q261"/>
  <c r="Q380"/>
  <c r="Q148"/>
  <c r="Q262"/>
  <c r="Q263"/>
  <c r="Q83"/>
  <c r="Q84"/>
  <c r="Q198"/>
  <c r="Q264"/>
  <c r="Q168"/>
  <c r="Q381"/>
  <c r="Q85"/>
  <c r="Q86"/>
  <c r="Q382"/>
  <c r="Q265"/>
  <c r="Q266"/>
  <c r="Q87"/>
  <c r="Q267"/>
  <c r="Q268"/>
  <c r="Q269"/>
  <c r="Q383"/>
  <c r="Q149"/>
  <c r="Q88"/>
  <c r="Q150"/>
  <c r="Q384"/>
  <c r="Q151"/>
  <c r="Q89"/>
  <c r="Q152"/>
  <c r="Q270"/>
  <c r="Q271"/>
  <c r="Q153"/>
  <c r="Q385"/>
  <c r="Q272"/>
  <c r="Q273"/>
  <c r="Q274"/>
  <c r="Q275"/>
  <c r="Q276"/>
  <c r="Q277"/>
  <c r="Q386"/>
  <c r="Q387"/>
  <c r="Q388"/>
  <c r="Q90"/>
  <c r="Q278"/>
  <c r="Q389"/>
  <c r="Q390"/>
  <c r="Q391"/>
  <c r="Q392"/>
  <c r="Q154"/>
  <c r="Q393"/>
  <c r="Q279"/>
  <c r="Q91"/>
  <c r="Q394"/>
  <c r="Q395"/>
  <c r="Q396"/>
  <c r="Q155"/>
  <c r="Q397"/>
  <c r="Q398"/>
  <c r="Q399"/>
  <c r="Q400"/>
  <c r="Q401"/>
  <c r="Q402"/>
  <c r="Q280"/>
  <c r="Q403"/>
  <c r="Q92"/>
  <c r="Q281"/>
  <c r="Q282"/>
  <c r="Q404"/>
  <c r="Q169"/>
  <c r="Q93"/>
  <c r="Q156"/>
  <c r="Q170"/>
  <c r="Q405"/>
  <c r="Q283"/>
  <c r="Q284"/>
  <c r="Q285"/>
  <c r="Q94"/>
  <c r="Q406"/>
  <c r="Q171"/>
  <c r="Q286"/>
  <c r="Q287"/>
  <c r="Q157"/>
  <c r="Q288"/>
  <c r="Q289"/>
  <c r="Q290"/>
  <c r="Q95"/>
  <c r="Q96"/>
  <c r="Q97"/>
  <c r="Q98"/>
  <c r="Q99"/>
  <c r="Q100"/>
  <c r="Q101"/>
  <c r="Q199"/>
  <c r="Q407"/>
  <c r="Q408"/>
  <c r="Q200"/>
  <c r="Q102"/>
  <c r="Q103"/>
  <c r="Q291"/>
  <c r="T104"/>
  <c r="T105"/>
  <c r="T106"/>
  <c r="T107"/>
  <c r="T292"/>
  <c r="T293"/>
  <c r="T294"/>
  <c r="T295"/>
  <c r="T296"/>
  <c r="T297"/>
  <c r="T298"/>
  <c r="T108"/>
  <c r="T109"/>
  <c r="T299"/>
  <c r="T201"/>
  <c r="T202"/>
  <c r="T110"/>
  <c r="T300"/>
  <c r="T172"/>
  <c r="T2"/>
  <c r="T3"/>
  <c r="T203"/>
  <c r="T301"/>
  <c r="T302"/>
  <c r="T204"/>
  <c r="T4"/>
  <c r="T5"/>
  <c r="T205"/>
  <c r="T303"/>
  <c r="T111"/>
  <c r="T112"/>
  <c r="T304"/>
  <c r="T206"/>
  <c r="T305"/>
  <c r="T207"/>
  <c r="T306"/>
  <c r="T307"/>
  <c r="T308"/>
  <c r="T309"/>
  <c r="T113"/>
  <c r="T208"/>
  <c r="T114"/>
  <c r="T209"/>
  <c r="T310"/>
  <c r="T210"/>
  <c r="T211"/>
  <c r="T6"/>
  <c r="T7"/>
  <c r="T8"/>
  <c r="T311"/>
  <c r="T115"/>
  <c r="T116"/>
  <c r="T117"/>
  <c r="T9"/>
  <c r="T10"/>
  <c r="T11"/>
  <c r="T312"/>
  <c r="T212"/>
  <c r="T213"/>
  <c r="T12"/>
  <c r="T214"/>
  <c r="T13"/>
  <c r="T313"/>
  <c r="T14"/>
  <c r="T15"/>
  <c r="T314"/>
  <c r="T315"/>
  <c r="T118"/>
  <c r="T16"/>
  <c r="T119"/>
  <c r="T215"/>
  <c r="T216"/>
  <c r="T120"/>
  <c r="T121"/>
  <c r="T217"/>
  <c r="T316"/>
  <c r="T218"/>
  <c r="T219"/>
  <c r="T220"/>
  <c r="T317"/>
  <c r="T122"/>
  <c r="T158"/>
  <c r="T17"/>
  <c r="T318"/>
  <c r="T319"/>
  <c r="T18"/>
  <c r="T320"/>
  <c r="T221"/>
  <c r="T222"/>
  <c r="T321"/>
  <c r="T322"/>
  <c r="T323"/>
  <c r="T223"/>
  <c r="T123"/>
  <c r="T324"/>
  <c r="T325"/>
  <c r="T326"/>
  <c r="T19"/>
  <c r="T20"/>
  <c r="T21"/>
  <c r="T224"/>
  <c r="T22"/>
  <c r="T124"/>
  <c r="T327"/>
  <c r="T225"/>
  <c r="T125"/>
  <c r="T126"/>
  <c r="T328"/>
  <c r="T173"/>
  <c r="T329"/>
  <c r="T23"/>
  <c r="T24"/>
  <c r="T226"/>
  <c r="T25"/>
  <c r="T330"/>
  <c r="T26"/>
  <c r="T331"/>
  <c r="T332"/>
  <c r="T27"/>
  <c r="T333"/>
  <c r="T334"/>
  <c r="T28"/>
  <c r="T29"/>
  <c r="T335"/>
  <c r="T336"/>
  <c r="T30"/>
  <c r="T31"/>
  <c r="T32"/>
  <c r="T33"/>
  <c r="T34"/>
  <c r="T337"/>
  <c r="T35"/>
  <c r="T338"/>
  <c r="T227"/>
  <c r="T339"/>
  <c r="T340"/>
  <c r="T36"/>
  <c r="T37"/>
  <c r="T38"/>
  <c r="T174"/>
  <c r="T39"/>
  <c r="T341"/>
  <c r="T342"/>
  <c r="T228"/>
  <c r="T229"/>
  <c r="T343"/>
  <c r="T344"/>
  <c r="T40"/>
  <c r="T345"/>
  <c r="T127"/>
  <c r="T346"/>
  <c r="T41"/>
  <c r="T347"/>
  <c r="T42"/>
  <c r="T348"/>
  <c r="T159"/>
  <c r="T349"/>
  <c r="T160"/>
  <c r="T43"/>
  <c r="T230"/>
  <c r="T350"/>
  <c r="T175"/>
  <c r="T231"/>
  <c r="T176"/>
  <c r="T177"/>
  <c r="T232"/>
  <c r="T351"/>
  <c r="T233"/>
  <c r="T352"/>
  <c r="T353"/>
  <c r="T234"/>
  <c r="T44"/>
  <c r="T128"/>
  <c r="T45"/>
  <c r="T161"/>
  <c r="T46"/>
  <c r="T178"/>
  <c r="T179"/>
  <c r="T47"/>
  <c r="T180"/>
  <c r="T162"/>
  <c r="T181"/>
  <c r="T354"/>
  <c r="T355"/>
  <c r="T48"/>
  <c r="T49"/>
  <c r="T182"/>
  <c r="T235"/>
  <c r="T356"/>
  <c r="T129"/>
  <c r="T183"/>
  <c r="T236"/>
  <c r="T237"/>
  <c r="T184"/>
  <c r="T185"/>
  <c r="T238"/>
  <c r="T130"/>
  <c r="T131"/>
  <c r="T50"/>
  <c r="T357"/>
  <c r="T239"/>
  <c r="T240"/>
  <c r="T163"/>
  <c r="T132"/>
  <c r="T51"/>
  <c r="T241"/>
  <c r="T242"/>
  <c r="T164"/>
  <c r="T165"/>
  <c r="T358"/>
  <c r="T186"/>
  <c r="T187"/>
  <c r="T133"/>
  <c r="T52"/>
  <c r="T359"/>
  <c r="T53"/>
  <c r="T54"/>
  <c r="T55"/>
  <c r="T56"/>
  <c r="T57"/>
  <c r="T134"/>
  <c r="T360"/>
  <c r="T361"/>
  <c r="T188"/>
  <c r="T189"/>
  <c r="T135"/>
  <c r="T136"/>
  <c r="T137"/>
  <c r="T138"/>
  <c r="T58"/>
  <c r="T362"/>
  <c r="T59"/>
  <c r="T243"/>
  <c r="T363"/>
  <c r="T139"/>
  <c r="T244"/>
  <c r="T190"/>
  <c r="T191"/>
  <c r="T192"/>
  <c r="T60"/>
  <c r="T61"/>
  <c r="T62"/>
  <c r="T245"/>
  <c r="T63"/>
  <c r="T64"/>
  <c r="T246"/>
  <c r="T247"/>
  <c r="T364"/>
  <c r="T193"/>
  <c r="T140"/>
  <c r="T65"/>
  <c r="T141"/>
  <c r="T365"/>
  <c r="T366"/>
  <c r="T367"/>
  <c r="T248"/>
  <c r="T66"/>
  <c r="T67"/>
  <c r="T249"/>
  <c r="T68"/>
  <c r="T368"/>
  <c r="T369"/>
  <c r="T142"/>
  <c r="T250"/>
  <c r="T143"/>
  <c r="T144"/>
  <c r="T145"/>
  <c r="T69"/>
  <c r="T70"/>
  <c r="T71"/>
  <c r="T370"/>
  <c r="T72"/>
  <c r="T251"/>
  <c r="T252"/>
  <c r="T166"/>
  <c r="T167"/>
  <c r="T73"/>
  <c r="T74"/>
  <c r="T75"/>
  <c r="T76"/>
  <c r="T253"/>
  <c r="T77"/>
  <c r="T371"/>
  <c r="T372"/>
  <c r="T254"/>
  <c r="T255"/>
  <c r="T78"/>
  <c r="T256"/>
  <c r="T146"/>
  <c r="T194"/>
  <c r="T195"/>
  <c r="T196"/>
  <c r="T197"/>
  <c r="T79"/>
  <c r="T373"/>
  <c r="T257"/>
  <c r="T147"/>
  <c r="T258"/>
  <c r="T374"/>
  <c r="T375"/>
  <c r="T376"/>
  <c r="T80"/>
  <c r="T81"/>
  <c r="T82"/>
  <c r="T377"/>
  <c r="T378"/>
  <c r="T259"/>
  <c r="T379"/>
  <c r="T260"/>
  <c r="T261"/>
  <c r="T380"/>
  <c r="T148"/>
  <c r="T262"/>
  <c r="T263"/>
  <c r="T83"/>
  <c r="T84"/>
  <c r="T198"/>
  <c r="T264"/>
  <c r="T168"/>
  <c r="T381"/>
  <c r="T85"/>
  <c r="T86"/>
  <c r="T382"/>
  <c r="T265"/>
  <c r="T266"/>
  <c r="T87"/>
  <c r="T267"/>
  <c r="T268"/>
  <c r="T269"/>
  <c r="T383"/>
  <c r="T149"/>
  <c r="T88"/>
  <c r="T150"/>
  <c r="T384"/>
  <c r="T151"/>
  <c r="T89"/>
  <c r="T152"/>
  <c r="T270"/>
  <c r="T271"/>
  <c r="T153"/>
  <c r="T385"/>
  <c r="T272"/>
  <c r="T273"/>
  <c r="T274"/>
  <c r="T275"/>
  <c r="T276"/>
  <c r="T277"/>
  <c r="T386"/>
  <c r="T387"/>
  <c r="T388"/>
  <c r="T90"/>
  <c r="T278"/>
  <c r="T389"/>
  <c r="T390"/>
  <c r="T391"/>
  <c r="T392"/>
  <c r="T154"/>
  <c r="T393"/>
  <c r="T279"/>
  <c r="T91"/>
  <c r="T394"/>
  <c r="T395"/>
  <c r="T396"/>
  <c r="T155"/>
  <c r="T397"/>
  <c r="T398"/>
  <c r="T399"/>
  <c r="T400"/>
  <c r="T401"/>
  <c r="T402"/>
  <c r="T280"/>
  <c r="T403"/>
  <c r="T92"/>
  <c r="T281"/>
  <c r="T282"/>
  <c r="T404"/>
  <c r="T169"/>
  <c r="T93"/>
  <c r="T156"/>
  <c r="T170"/>
  <c r="T405"/>
  <c r="T283"/>
  <c r="T284"/>
  <c r="T285"/>
  <c r="T94"/>
  <c r="T406"/>
  <c r="T171"/>
  <c r="T286"/>
  <c r="T287"/>
  <c r="T157"/>
  <c r="T288"/>
  <c r="T289"/>
  <c r="T290"/>
  <c r="T95"/>
  <c r="T96"/>
  <c r="T97"/>
  <c r="T98"/>
  <c r="T99"/>
  <c r="T100"/>
  <c r="T101"/>
  <c r="T199"/>
  <c r="T407"/>
  <c r="T408"/>
  <c r="T200"/>
  <c r="T102"/>
  <c r="T103"/>
  <c r="T291"/>
  <c r="W104"/>
  <c r="W105"/>
  <c r="W106"/>
  <c r="W107"/>
  <c r="W292"/>
  <c r="W293"/>
  <c r="W294"/>
  <c r="W295"/>
  <c r="W296"/>
  <c r="W297"/>
  <c r="W298"/>
  <c r="W108"/>
  <c r="W109"/>
  <c r="W299"/>
  <c r="W201"/>
  <c r="W202"/>
  <c r="W110"/>
  <c r="W300"/>
  <c r="W172"/>
  <c r="W2"/>
  <c r="W3"/>
  <c r="W203"/>
  <c r="W301"/>
  <c r="W302"/>
  <c r="W204"/>
  <c r="W4"/>
  <c r="W5"/>
  <c r="W205"/>
  <c r="W303"/>
  <c r="W111"/>
  <c r="W112"/>
  <c r="W304"/>
  <c r="W206"/>
  <c r="W305"/>
  <c r="W207"/>
  <c r="W306"/>
  <c r="W307"/>
  <c r="W308"/>
  <c r="W309"/>
  <c r="W113"/>
  <c r="W208"/>
  <c r="W114"/>
  <c r="W209"/>
  <c r="W310"/>
  <c r="W210"/>
  <c r="W211"/>
  <c r="W6"/>
  <c r="W7"/>
  <c r="W8"/>
  <c r="W311"/>
  <c r="W115"/>
  <c r="W116"/>
  <c r="W117"/>
  <c r="W9"/>
  <c r="W10"/>
  <c r="W11"/>
  <c r="W312"/>
  <c r="W212"/>
  <c r="W213"/>
  <c r="W12"/>
  <c r="W214"/>
  <c r="W13"/>
  <c r="W313"/>
  <c r="W14"/>
  <c r="W15"/>
  <c r="W314"/>
  <c r="W315"/>
  <c r="W118"/>
  <c r="W16"/>
  <c r="W119"/>
  <c r="W215"/>
  <c r="W216"/>
  <c r="W120"/>
  <c r="W121"/>
  <c r="W217"/>
  <c r="W316"/>
  <c r="W218"/>
  <c r="W219"/>
  <c r="W220"/>
  <c r="W317"/>
  <c r="W122"/>
  <c r="W158"/>
  <c r="W17"/>
  <c r="W318"/>
  <c r="W319"/>
  <c r="W18"/>
  <c r="W320"/>
  <c r="W221"/>
  <c r="W222"/>
  <c r="W321"/>
  <c r="W322"/>
  <c r="W323"/>
  <c r="W223"/>
  <c r="W123"/>
  <c r="W324"/>
  <c r="W325"/>
  <c r="W326"/>
  <c r="W19"/>
  <c r="W20"/>
  <c r="W21"/>
  <c r="W224"/>
  <c r="W22"/>
  <c r="W124"/>
  <c r="W327"/>
  <c r="W225"/>
  <c r="W125"/>
  <c r="W126"/>
  <c r="W328"/>
  <c r="W173"/>
  <c r="W329"/>
  <c r="W23"/>
  <c r="W24"/>
  <c r="W226"/>
  <c r="W25"/>
  <c r="W330"/>
  <c r="W26"/>
  <c r="W331"/>
  <c r="W332"/>
  <c r="W27"/>
  <c r="W333"/>
  <c r="W334"/>
  <c r="W28"/>
  <c r="W29"/>
  <c r="W335"/>
  <c r="W336"/>
  <c r="W30"/>
  <c r="W31"/>
  <c r="W32"/>
  <c r="W33"/>
  <c r="W34"/>
  <c r="W337"/>
  <c r="W35"/>
  <c r="W338"/>
  <c r="W227"/>
  <c r="W339"/>
  <c r="W340"/>
  <c r="W36"/>
  <c r="W37"/>
  <c r="W38"/>
  <c r="W174"/>
  <c r="W39"/>
  <c r="W341"/>
  <c r="W342"/>
  <c r="W228"/>
  <c r="W229"/>
  <c r="W343"/>
  <c r="W344"/>
  <c r="W40"/>
  <c r="W345"/>
  <c r="W127"/>
  <c r="W346"/>
  <c r="W41"/>
  <c r="W347"/>
  <c r="W42"/>
  <c r="W348"/>
  <c r="W159"/>
  <c r="W349"/>
  <c r="W160"/>
  <c r="W43"/>
  <c r="W230"/>
  <c r="W350"/>
  <c r="W175"/>
  <c r="W231"/>
  <c r="W176"/>
  <c r="W177"/>
  <c r="W232"/>
  <c r="W351"/>
  <c r="W233"/>
  <c r="W352"/>
  <c r="W353"/>
  <c r="W234"/>
  <c r="W44"/>
  <c r="W128"/>
  <c r="W45"/>
  <c r="W161"/>
  <c r="W46"/>
  <c r="W178"/>
  <c r="W179"/>
  <c r="W47"/>
  <c r="W180"/>
  <c r="W162"/>
  <c r="W181"/>
  <c r="W354"/>
  <c r="W355"/>
  <c r="W48"/>
  <c r="W49"/>
  <c r="W182"/>
  <c r="W235"/>
  <c r="W356"/>
  <c r="W129"/>
  <c r="W183"/>
  <c r="W236"/>
  <c r="W237"/>
  <c r="W184"/>
  <c r="W185"/>
  <c r="W238"/>
  <c r="W130"/>
  <c r="W131"/>
  <c r="W50"/>
  <c r="W357"/>
  <c r="W239"/>
  <c r="W240"/>
  <c r="W163"/>
  <c r="W132"/>
  <c r="W51"/>
  <c r="W241"/>
  <c r="W242"/>
  <c r="W164"/>
  <c r="W165"/>
  <c r="W358"/>
  <c r="W186"/>
  <c r="W187"/>
  <c r="W133"/>
  <c r="W52"/>
  <c r="W359"/>
  <c r="W53"/>
  <c r="W54"/>
  <c r="W55"/>
  <c r="W56"/>
  <c r="W57"/>
  <c r="W134"/>
  <c r="W360"/>
  <c r="W361"/>
  <c r="W188"/>
  <c r="W189"/>
  <c r="W135"/>
  <c r="W136"/>
  <c r="W137"/>
  <c r="W138"/>
  <c r="W58"/>
  <c r="W362"/>
  <c r="W59"/>
  <c r="W243"/>
  <c r="W363"/>
  <c r="W139"/>
  <c r="W244"/>
  <c r="W190"/>
  <c r="W191"/>
  <c r="W192"/>
  <c r="W60"/>
  <c r="W61"/>
  <c r="W62"/>
  <c r="W245"/>
  <c r="W63"/>
  <c r="W64"/>
  <c r="W246"/>
  <c r="W247"/>
  <c r="W364"/>
  <c r="W193"/>
  <c r="W140"/>
  <c r="W65"/>
  <c r="W141"/>
  <c r="W365"/>
  <c r="W366"/>
  <c r="W367"/>
  <c r="W248"/>
  <c r="W66"/>
  <c r="W67"/>
  <c r="W249"/>
  <c r="W68"/>
  <c r="W368"/>
  <c r="W369"/>
  <c r="W142"/>
  <c r="W250"/>
  <c r="W143"/>
  <c r="W144"/>
  <c r="W145"/>
  <c r="W69"/>
  <c r="W70"/>
  <c r="W71"/>
  <c r="W370"/>
  <c r="W72"/>
  <c r="W251"/>
  <c r="W252"/>
  <c r="W166"/>
  <c r="W167"/>
  <c r="W73"/>
  <c r="W74"/>
  <c r="W75"/>
  <c r="W76"/>
  <c r="W253"/>
  <c r="W77"/>
  <c r="W371"/>
  <c r="W372"/>
  <c r="W254"/>
  <c r="W255"/>
  <c r="W78"/>
  <c r="W256"/>
  <c r="W146"/>
  <c r="W194"/>
  <c r="W195"/>
  <c r="W196"/>
  <c r="W197"/>
  <c r="W79"/>
  <c r="W373"/>
  <c r="W257"/>
  <c r="W147"/>
  <c r="W258"/>
  <c r="W374"/>
  <c r="W375"/>
  <c r="W376"/>
  <c r="W80"/>
  <c r="W81"/>
  <c r="W82"/>
  <c r="W377"/>
  <c r="W378"/>
  <c r="W259"/>
  <c r="W379"/>
  <c r="W260"/>
  <c r="W261"/>
  <c r="W380"/>
  <c r="W148"/>
  <c r="W262"/>
  <c r="W263"/>
  <c r="W83"/>
  <c r="W84"/>
  <c r="W198"/>
  <c r="W264"/>
  <c r="W168"/>
  <c r="W381"/>
  <c r="W85"/>
  <c r="W86"/>
  <c r="W382"/>
  <c r="W265"/>
  <c r="W266"/>
  <c r="W87"/>
  <c r="W267"/>
  <c r="W268"/>
  <c r="W269"/>
  <c r="W383"/>
  <c r="W149"/>
  <c r="W88"/>
  <c r="W150"/>
  <c r="W384"/>
  <c r="W151"/>
  <c r="W89"/>
  <c r="W152"/>
  <c r="W270"/>
  <c r="W271"/>
  <c r="W153"/>
  <c r="W385"/>
  <c r="W272"/>
  <c r="W273"/>
  <c r="W274"/>
  <c r="W275"/>
  <c r="W276"/>
  <c r="W277"/>
  <c r="W386"/>
  <c r="W387"/>
  <c r="W388"/>
  <c r="W90"/>
  <c r="W278"/>
  <c r="W389"/>
  <c r="W390"/>
  <c r="W391"/>
  <c r="W392"/>
  <c r="W154"/>
  <c r="W393"/>
  <c r="W279"/>
  <c r="W91"/>
  <c r="W394"/>
  <c r="W395"/>
  <c r="W396"/>
  <c r="W155"/>
  <c r="W397"/>
  <c r="W398"/>
  <c r="W399"/>
  <c r="W400"/>
  <c r="W401"/>
  <c r="W402"/>
  <c r="W280"/>
  <c r="W403"/>
  <c r="W92"/>
  <c r="W281"/>
  <c r="W282"/>
  <c r="W404"/>
  <c r="W169"/>
  <c r="W93"/>
  <c r="W156"/>
  <c r="W170"/>
  <c r="W405"/>
  <c r="W283"/>
  <c r="W284"/>
  <c r="W285"/>
  <c r="W94"/>
  <c r="W406"/>
  <c r="W171"/>
  <c r="W286"/>
  <c r="W287"/>
  <c r="W157"/>
  <c r="W288"/>
  <c r="W289"/>
  <c r="W290"/>
  <c r="W95"/>
  <c r="W96"/>
  <c r="W97"/>
  <c r="W98"/>
  <c r="W99"/>
  <c r="W100"/>
  <c r="W101"/>
  <c r="W199"/>
  <c r="W407"/>
  <c r="W408"/>
  <c r="W200"/>
  <c r="W102"/>
  <c r="W103"/>
  <c r="W291"/>
  <c r="Z104"/>
  <c r="Z105"/>
  <c r="Z106"/>
  <c r="Z107"/>
  <c r="Z292"/>
  <c r="Z293"/>
  <c r="Z294"/>
  <c r="Z295"/>
  <c r="Z296"/>
  <c r="Z297"/>
  <c r="Z298"/>
  <c r="Z108"/>
  <c r="Z109"/>
  <c r="Z299"/>
  <c r="Z201"/>
  <c r="Z202"/>
  <c r="Z110"/>
  <c r="Z300"/>
  <c r="Z172"/>
  <c r="Z2"/>
  <c r="Z3"/>
  <c r="Z203"/>
  <c r="Z301"/>
  <c r="Z302"/>
  <c r="Z204"/>
  <c r="Z4"/>
  <c r="Z5"/>
  <c r="Z205"/>
  <c r="Z303"/>
  <c r="Z111"/>
  <c r="Z112"/>
  <c r="Z304"/>
  <c r="Z206"/>
  <c r="Z305"/>
  <c r="Z207"/>
  <c r="Z306"/>
  <c r="Z307"/>
  <c r="Z308"/>
  <c r="Z309"/>
  <c r="Z113"/>
  <c r="Z208"/>
  <c r="Z114"/>
  <c r="Z209"/>
  <c r="Z310"/>
  <c r="Z210"/>
  <c r="Z211"/>
  <c r="Z6"/>
  <c r="Z7"/>
  <c r="Z8"/>
  <c r="Z311"/>
  <c r="Z115"/>
  <c r="Z116"/>
  <c r="Z117"/>
  <c r="Z9"/>
  <c r="Z10"/>
  <c r="Z11"/>
  <c r="Z312"/>
  <c r="Z212"/>
  <c r="Z213"/>
  <c r="Z12"/>
  <c r="Z214"/>
  <c r="Z13"/>
  <c r="Z313"/>
  <c r="Z14"/>
  <c r="Z15"/>
  <c r="Z314"/>
  <c r="Z315"/>
  <c r="Z118"/>
  <c r="Z16"/>
  <c r="Z119"/>
  <c r="Z215"/>
  <c r="Z216"/>
  <c r="Z120"/>
  <c r="Z121"/>
  <c r="Z217"/>
  <c r="Z316"/>
  <c r="Z218"/>
  <c r="Z219"/>
  <c r="Z220"/>
  <c r="Z317"/>
  <c r="Z122"/>
  <c r="Z158"/>
  <c r="Z17"/>
  <c r="Z318"/>
  <c r="Z319"/>
  <c r="Z18"/>
  <c r="Z320"/>
  <c r="Z221"/>
  <c r="Z222"/>
  <c r="Z321"/>
  <c r="Z322"/>
  <c r="Z323"/>
  <c r="Z223"/>
  <c r="Z123"/>
  <c r="Z324"/>
  <c r="Z325"/>
  <c r="Z326"/>
  <c r="Z19"/>
  <c r="Z20"/>
  <c r="Z21"/>
  <c r="Z224"/>
  <c r="Z22"/>
  <c r="Z124"/>
  <c r="Z327"/>
  <c r="Z225"/>
  <c r="Z125"/>
  <c r="Z126"/>
  <c r="Z328"/>
  <c r="Z173"/>
  <c r="Z329"/>
  <c r="Z23"/>
  <c r="Z24"/>
  <c r="Z226"/>
  <c r="Z25"/>
  <c r="Z330"/>
  <c r="Z26"/>
  <c r="Z331"/>
  <c r="Z332"/>
  <c r="Z27"/>
  <c r="Z333"/>
  <c r="Z334"/>
  <c r="Z28"/>
  <c r="Z29"/>
  <c r="Z335"/>
  <c r="Z336"/>
  <c r="Z30"/>
  <c r="Z31"/>
  <c r="Z32"/>
  <c r="Z33"/>
  <c r="Z34"/>
  <c r="Z337"/>
  <c r="Z35"/>
  <c r="Z338"/>
  <c r="Z227"/>
  <c r="Z339"/>
  <c r="Z340"/>
  <c r="Z36"/>
  <c r="Z37"/>
  <c r="Z38"/>
  <c r="Z174"/>
  <c r="Z39"/>
  <c r="Z341"/>
  <c r="Z342"/>
  <c r="Z228"/>
  <c r="Z229"/>
  <c r="Z343"/>
  <c r="Z344"/>
  <c r="Z40"/>
  <c r="Z345"/>
  <c r="Z127"/>
  <c r="Z346"/>
  <c r="Z41"/>
  <c r="Z347"/>
  <c r="Z42"/>
  <c r="Z348"/>
  <c r="Z159"/>
  <c r="Z349"/>
  <c r="Z160"/>
  <c r="Z43"/>
  <c r="Z230"/>
  <c r="Z350"/>
  <c r="Z175"/>
  <c r="Z231"/>
  <c r="Z176"/>
  <c r="Z177"/>
  <c r="Z232"/>
  <c r="Z351"/>
  <c r="Z233"/>
  <c r="Z352"/>
  <c r="Z353"/>
  <c r="Z234"/>
  <c r="Z44"/>
  <c r="Z128"/>
  <c r="Z45"/>
  <c r="Z161"/>
  <c r="Z46"/>
  <c r="Z178"/>
  <c r="Z179"/>
  <c r="Z47"/>
  <c r="Z180"/>
  <c r="Z162"/>
  <c r="Z181"/>
  <c r="Z354"/>
  <c r="Z355"/>
  <c r="Z48"/>
  <c r="Z49"/>
  <c r="Z182"/>
  <c r="Z235"/>
  <c r="Z356"/>
  <c r="Z129"/>
  <c r="Z183"/>
  <c r="Z236"/>
  <c r="Z237"/>
  <c r="Z184"/>
  <c r="Z185"/>
  <c r="Z238"/>
  <c r="Z130"/>
  <c r="Z131"/>
  <c r="Z50"/>
  <c r="Z357"/>
  <c r="Z239"/>
  <c r="Z240"/>
  <c r="Z163"/>
  <c r="Z132"/>
  <c r="Z51"/>
  <c r="Z241"/>
  <c r="Z242"/>
  <c r="Z164"/>
  <c r="Z165"/>
  <c r="Z358"/>
  <c r="Z186"/>
  <c r="Z187"/>
  <c r="Z133"/>
  <c r="Z52"/>
  <c r="Z359"/>
  <c r="Z53"/>
  <c r="Z54"/>
  <c r="Z55"/>
  <c r="Z56"/>
  <c r="Z57"/>
  <c r="Z134"/>
  <c r="Z360"/>
  <c r="Z361"/>
  <c r="Z188"/>
  <c r="Z189"/>
  <c r="Z135"/>
  <c r="Z136"/>
  <c r="Z137"/>
  <c r="Z138"/>
  <c r="Z58"/>
  <c r="Z362"/>
  <c r="Z59"/>
  <c r="Z243"/>
  <c r="Z363"/>
  <c r="Z139"/>
  <c r="Z244"/>
  <c r="Z190"/>
  <c r="Z191"/>
  <c r="Z192"/>
  <c r="Z60"/>
  <c r="Z61"/>
  <c r="Z62"/>
  <c r="Z245"/>
  <c r="Z63"/>
  <c r="Z64"/>
  <c r="Z246"/>
  <c r="Z247"/>
  <c r="Z364"/>
  <c r="Z193"/>
  <c r="Z140"/>
  <c r="Z65"/>
  <c r="Z141"/>
  <c r="Z365"/>
  <c r="Z366"/>
  <c r="Z367"/>
  <c r="Z248"/>
  <c r="Z66"/>
  <c r="Z67"/>
  <c r="Z249"/>
  <c r="Z68"/>
  <c r="Z368"/>
  <c r="Z369"/>
  <c r="Z142"/>
  <c r="Z250"/>
  <c r="Z143"/>
  <c r="Z144"/>
  <c r="Z145"/>
  <c r="Z69"/>
  <c r="Z70"/>
  <c r="Z71"/>
  <c r="Z370"/>
  <c r="Z72"/>
  <c r="Z251"/>
  <c r="Z252"/>
  <c r="Z166"/>
  <c r="Z167"/>
  <c r="Z73"/>
  <c r="Z74"/>
  <c r="Z75"/>
  <c r="Z76"/>
  <c r="Z253"/>
  <c r="Z77"/>
  <c r="Z371"/>
  <c r="Z372"/>
  <c r="Z254"/>
  <c r="Z255"/>
  <c r="Z78"/>
  <c r="Z256"/>
  <c r="Z146"/>
  <c r="Z194"/>
  <c r="Z195"/>
  <c r="Z196"/>
  <c r="Z197"/>
  <c r="Z79"/>
  <c r="Z373"/>
  <c r="Z257"/>
  <c r="Z147"/>
  <c r="Z258"/>
  <c r="Z374"/>
  <c r="Z375"/>
  <c r="Z376"/>
  <c r="Z80"/>
  <c r="Z81"/>
  <c r="Z82"/>
  <c r="Z377"/>
  <c r="Z378"/>
  <c r="Z259"/>
  <c r="Z379"/>
  <c r="Z260"/>
  <c r="Z261"/>
  <c r="Z380"/>
  <c r="Z148"/>
  <c r="Z262"/>
  <c r="Z263"/>
  <c r="Z83"/>
  <c r="Z84"/>
  <c r="Z198"/>
  <c r="Z264"/>
  <c r="Z168"/>
  <c r="Z381"/>
  <c r="Z85"/>
  <c r="Z86"/>
  <c r="Z382"/>
  <c r="Z265"/>
  <c r="Z266"/>
  <c r="Z87"/>
  <c r="Z267"/>
  <c r="Z268"/>
  <c r="Z269"/>
  <c r="Z383"/>
  <c r="Z149"/>
  <c r="Z88"/>
  <c r="Z150"/>
  <c r="Z384"/>
  <c r="Z151"/>
  <c r="Z89"/>
  <c r="Z152"/>
  <c r="Z270"/>
  <c r="Z271"/>
  <c r="Z153"/>
  <c r="Z385"/>
  <c r="Z272"/>
  <c r="Z273"/>
  <c r="Z274"/>
  <c r="Z275"/>
  <c r="Z276"/>
  <c r="Z277"/>
  <c r="Z386"/>
  <c r="Z387"/>
  <c r="Z388"/>
  <c r="Z90"/>
  <c r="Z278"/>
  <c r="Z389"/>
  <c r="Z390"/>
  <c r="Z391"/>
  <c r="Z392"/>
  <c r="Z154"/>
  <c r="Z393"/>
  <c r="Z279"/>
  <c r="Z91"/>
  <c r="Z394"/>
  <c r="Z395"/>
  <c r="Z396"/>
  <c r="Z155"/>
  <c r="Z397"/>
  <c r="Z398"/>
  <c r="Z399"/>
  <c r="Z400"/>
  <c r="Z401"/>
  <c r="Z402"/>
  <c r="Z280"/>
  <c r="Z403"/>
  <c r="Z92"/>
  <c r="Z281"/>
  <c r="Z282"/>
  <c r="Z404"/>
  <c r="Z169"/>
  <c r="Z93"/>
  <c r="Z156"/>
  <c r="Z170"/>
  <c r="Z405"/>
  <c r="Z283"/>
  <c r="Z284"/>
  <c r="Z285"/>
  <c r="Z94"/>
  <c r="Z406"/>
  <c r="Z171"/>
  <c r="Z286"/>
  <c r="Z287"/>
  <c r="Z157"/>
  <c r="Z288"/>
  <c r="Z289"/>
  <c r="Z290"/>
  <c r="Z95"/>
  <c r="Z96"/>
  <c r="Z97"/>
  <c r="Z98"/>
  <c r="Z99"/>
  <c r="Z100"/>
  <c r="Z101"/>
  <c r="Z199"/>
  <c r="Z407"/>
  <c r="Z408"/>
  <c r="Z200"/>
  <c r="Z102"/>
  <c r="Z103"/>
  <c r="Z291"/>
  <c r="AC104"/>
  <c r="AC105"/>
  <c r="AC106"/>
  <c r="AC107"/>
  <c r="AC292"/>
  <c r="AC293"/>
  <c r="AC294"/>
  <c r="AC295"/>
  <c r="AC296"/>
  <c r="AC297"/>
  <c r="AC298"/>
  <c r="AC108"/>
  <c r="AC109"/>
  <c r="AC299"/>
  <c r="AC201"/>
  <c r="AC202"/>
  <c r="AC110"/>
  <c r="AC300"/>
  <c r="AC172"/>
  <c r="AC2"/>
  <c r="AC3"/>
  <c r="AC203"/>
  <c r="AC301"/>
  <c r="AC302"/>
  <c r="AC204"/>
  <c r="AC4"/>
  <c r="AC5"/>
  <c r="AC205"/>
  <c r="AC303"/>
  <c r="AC111"/>
  <c r="AC112"/>
  <c r="AC304"/>
  <c r="AC206"/>
  <c r="AC305"/>
  <c r="AC207"/>
  <c r="AC306"/>
  <c r="AC307"/>
  <c r="AC308"/>
  <c r="AC309"/>
  <c r="AC113"/>
  <c r="AC208"/>
  <c r="AC114"/>
  <c r="AC209"/>
  <c r="AC310"/>
  <c r="AC210"/>
  <c r="AC211"/>
  <c r="AC6"/>
  <c r="AC7"/>
  <c r="AC8"/>
  <c r="AC311"/>
  <c r="AC115"/>
  <c r="AC116"/>
  <c r="AC117"/>
  <c r="AC9"/>
  <c r="AC10"/>
  <c r="AC11"/>
  <c r="AC312"/>
  <c r="AC212"/>
  <c r="AC213"/>
  <c r="AC12"/>
  <c r="AC214"/>
  <c r="AC13"/>
  <c r="AC313"/>
  <c r="AC14"/>
  <c r="AC15"/>
  <c r="AC314"/>
  <c r="AC315"/>
  <c r="AC118"/>
  <c r="AC16"/>
  <c r="AC119"/>
  <c r="AC215"/>
  <c r="AC216"/>
  <c r="AC120"/>
  <c r="AC121"/>
  <c r="AC217"/>
  <c r="AC316"/>
  <c r="AC218"/>
  <c r="AC219"/>
  <c r="AC220"/>
  <c r="AC317"/>
  <c r="AC122"/>
  <c r="AC158"/>
  <c r="AC17"/>
  <c r="AC318"/>
  <c r="AC319"/>
  <c r="AC18"/>
  <c r="AC320"/>
  <c r="AC221"/>
  <c r="AC222"/>
  <c r="AC321"/>
  <c r="AC322"/>
  <c r="AC323"/>
  <c r="AC223"/>
  <c r="AC123"/>
  <c r="AC324"/>
  <c r="AC325"/>
  <c r="AC326"/>
  <c r="AC19"/>
  <c r="AC20"/>
  <c r="AC21"/>
  <c r="AC224"/>
  <c r="AC22"/>
  <c r="AC124"/>
  <c r="AC327"/>
  <c r="AC225"/>
  <c r="AC125"/>
  <c r="AC126"/>
  <c r="AC328"/>
  <c r="AC173"/>
  <c r="AC329"/>
  <c r="AC23"/>
  <c r="AC24"/>
  <c r="AC226"/>
  <c r="AC25"/>
  <c r="AC330"/>
  <c r="AC26"/>
  <c r="AC331"/>
  <c r="AC332"/>
  <c r="AC27"/>
  <c r="AC333"/>
  <c r="AC334"/>
  <c r="AC28"/>
  <c r="AC29"/>
  <c r="AC335"/>
  <c r="AC336"/>
  <c r="AC30"/>
  <c r="AC31"/>
  <c r="AC32"/>
  <c r="AC33"/>
  <c r="AC34"/>
  <c r="AC337"/>
  <c r="AC35"/>
  <c r="AC338"/>
  <c r="AC227"/>
  <c r="AC339"/>
  <c r="AC340"/>
  <c r="AC36"/>
  <c r="AC37"/>
  <c r="AC38"/>
  <c r="AC174"/>
  <c r="AC39"/>
  <c r="AC341"/>
  <c r="AC342"/>
  <c r="AC228"/>
  <c r="AC229"/>
  <c r="AC343"/>
  <c r="AC344"/>
  <c r="AC40"/>
  <c r="AC345"/>
  <c r="AC127"/>
  <c r="AC346"/>
  <c r="AC41"/>
  <c r="AC347"/>
  <c r="AC42"/>
  <c r="AC348"/>
  <c r="AC159"/>
  <c r="AC349"/>
  <c r="AC160"/>
  <c r="AC43"/>
  <c r="AC230"/>
  <c r="AC350"/>
  <c r="AC175"/>
  <c r="AC231"/>
  <c r="AC176"/>
  <c r="AC177"/>
  <c r="AC232"/>
  <c r="AC351"/>
  <c r="AC233"/>
  <c r="AC352"/>
  <c r="AC353"/>
  <c r="AC234"/>
  <c r="AC44"/>
  <c r="AC128"/>
  <c r="AC45"/>
  <c r="AC161"/>
  <c r="AC46"/>
  <c r="AC178"/>
  <c r="AC179"/>
  <c r="AC47"/>
  <c r="AC180"/>
  <c r="AC162"/>
  <c r="AC181"/>
  <c r="AC354"/>
  <c r="AC355"/>
  <c r="AC48"/>
  <c r="AC49"/>
  <c r="AC182"/>
  <c r="AC235"/>
  <c r="AC356"/>
  <c r="AC129"/>
  <c r="AC183"/>
  <c r="AC236"/>
  <c r="AC237"/>
  <c r="AC184"/>
  <c r="AC185"/>
  <c r="AC238"/>
  <c r="AC130"/>
  <c r="AC131"/>
  <c r="AC50"/>
  <c r="AC357"/>
  <c r="AC239"/>
  <c r="AC240"/>
  <c r="AC163"/>
  <c r="AC132"/>
  <c r="AC51"/>
  <c r="AC241"/>
  <c r="AC242"/>
  <c r="AC164"/>
  <c r="AC165"/>
  <c r="AC358"/>
  <c r="AC186"/>
  <c r="AC187"/>
  <c r="AC133"/>
  <c r="AC52"/>
  <c r="AC359"/>
  <c r="AC53"/>
  <c r="AC54"/>
  <c r="AC55"/>
  <c r="AC56"/>
  <c r="AC57"/>
  <c r="AC134"/>
  <c r="AC360"/>
  <c r="AC361"/>
  <c r="AC188"/>
  <c r="AC189"/>
  <c r="AC135"/>
  <c r="AC136"/>
  <c r="AC137"/>
  <c r="AC138"/>
  <c r="AC58"/>
  <c r="AC362"/>
  <c r="AC59"/>
  <c r="AC243"/>
  <c r="AC363"/>
  <c r="AC139"/>
  <c r="AC244"/>
  <c r="AC190"/>
  <c r="AC191"/>
  <c r="AC192"/>
  <c r="AC60"/>
  <c r="AC61"/>
  <c r="AC62"/>
  <c r="AC245"/>
  <c r="AC63"/>
  <c r="AC64"/>
  <c r="AC246"/>
  <c r="AC247"/>
  <c r="AC364"/>
  <c r="AC193"/>
  <c r="AC140"/>
  <c r="AC65"/>
  <c r="AC141"/>
  <c r="AC365"/>
  <c r="AC366"/>
  <c r="AC367"/>
  <c r="AC248"/>
  <c r="AC66"/>
  <c r="AC67"/>
  <c r="AC249"/>
  <c r="AC68"/>
  <c r="AC368"/>
  <c r="AC369"/>
  <c r="AC142"/>
  <c r="AC250"/>
  <c r="AC143"/>
  <c r="AC144"/>
  <c r="AC145"/>
  <c r="AC69"/>
  <c r="AC70"/>
  <c r="AC71"/>
  <c r="AC370"/>
  <c r="AC72"/>
  <c r="AC251"/>
  <c r="AC252"/>
  <c r="AC166"/>
  <c r="AC167"/>
  <c r="AC73"/>
  <c r="AC74"/>
  <c r="AC75"/>
  <c r="AC76"/>
  <c r="AC253"/>
  <c r="AC77"/>
  <c r="AC371"/>
  <c r="AC372"/>
  <c r="AC254"/>
  <c r="AC255"/>
  <c r="AC78"/>
  <c r="AC256"/>
  <c r="AC146"/>
  <c r="AC194"/>
  <c r="AC195"/>
  <c r="AC196"/>
  <c r="AC197"/>
  <c r="AC79"/>
  <c r="AC373"/>
  <c r="AC257"/>
  <c r="AC147"/>
  <c r="AC258"/>
  <c r="AC374"/>
  <c r="AC375"/>
  <c r="AC376"/>
  <c r="AC80"/>
  <c r="AC81"/>
  <c r="AC82"/>
  <c r="AC377"/>
  <c r="AC378"/>
  <c r="AC259"/>
  <c r="AC379"/>
  <c r="AC260"/>
  <c r="AC261"/>
  <c r="AC380"/>
  <c r="AC148"/>
  <c r="AC262"/>
  <c r="AC263"/>
  <c r="AC83"/>
  <c r="AC84"/>
  <c r="AC198"/>
  <c r="AC264"/>
  <c r="AC168"/>
  <c r="AC381"/>
  <c r="AC85"/>
  <c r="AC86"/>
  <c r="AC382"/>
  <c r="AC265"/>
  <c r="AC266"/>
  <c r="AC87"/>
  <c r="AC267"/>
  <c r="AC268"/>
  <c r="AC269"/>
  <c r="AC383"/>
  <c r="AC149"/>
  <c r="AC88"/>
  <c r="AC150"/>
  <c r="AC384"/>
  <c r="AC151"/>
  <c r="AC89"/>
  <c r="AC152"/>
  <c r="AC270"/>
  <c r="AC271"/>
  <c r="AC153"/>
  <c r="AC385"/>
  <c r="AC272"/>
  <c r="AC273"/>
  <c r="AC274"/>
  <c r="AC275"/>
  <c r="AC276"/>
  <c r="AC277"/>
  <c r="AC386"/>
  <c r="AC387"/>
  <c r="AC388"/>
  <c r="AC90"/>
  <c r="AC278"/>
  <c r="AC389"/>
  <c r="AC390"/>
  <c r="AC391"/>
  <c r="AC392"/>
  <c r="AC154"/>
  <c r="AC393"/>
  <c r="AC279"/>
  <c r="AC91"/>
  <c r="AC394"/>
  <c r="AC395"/>
  <c r="AC396"/>
  <c r="AC155"/>
  <c r="AC397"/>
  <c r="AC398"/>
  <c r="AC399"/>
  <c r="AC400"/>
  <c r="AC401"/>
  <c r="AC402"/>
  <c r="AC280"/>
  <c r="AC403"/>
  <c r="AC92"/>
  <c r="AC281"/>
  <c r="AC282"/>
  <c r="AC404"/>
  <c r="AC169"/>
  <c r="AC93"/>
  <c r="AC156"/>
  <c r="AC170"/>
  <c r="AC405"/>
  <c r="AC283"/>
  <c r="AC284"/>
  <c r="AC285"/>
  <c r="AC94"/>
  <c r="AC406"/>
  <c r="AC171"/>
  <c r="AC286"/>
  <c r="AC287"/>
  <c r="AC157"/>
  <c r="AC288"/>
  <c r="AC289"/>
  <c r="AC290"/>
  <c r="AC95"/>
  <c r="AC96"/>
  <c r="AC97"/>
  <c r="AC98"/>
  <c r="AC99"/>
  <c r="AC100"/>
  <c r="AC101"/>
  <c r="AC199"/>
  <c r="AC407"/>
  <c r="AC408"/>
  <c r="AC200"/>
  <c r="AC102"/>
  <c r="AC103"/>
  <c r="AC291"/>
  <c r="AF104"/>
  <c r="AF105"/>
  <c r="AF106"/>
  <c r="AF107"/>
  <c r="AF292"/>
  <c r="AF293"/>
  <c r="AF294"/>
  <c r="AF295"/>
  <c r="AF296"/>
  <c r="AF297"/>
  <c r="AF298"/>
  <c r="AF108"/>
  <c r="AF109"/>
  <c r="AF299"/>
  <c r="AF201"/>
  <c r="AF202"/>
  <c r="AF110"/>
  <c r="AF300"/>
  <c r="AF172"/>
  <c r="AF2"/>
  <c r="AF3"/>
  <c r="AF203"/>
  <c r="AF301"/>
  <c r="AF302"/>
  <c r="AF204"/>
  <c r="AF4"/>
  <c r="AF5"/>
  <c r="AF205"/>
  <c r="AF303"/>
  <c r="AF111"/>
  <c r="AF112"/>
  <c r="AF304"/>
  <c r="AF206"/>
  <c r="AF305"/>
  <c r="AF207"/>
  <c r="AF306"/>
  <c r="AF307"/>
  <c r="AF308"/>
  <c r="AF309"/>
  <c r="AF113"/>
  <c r="AF208"/>
  <c r="AF114"/>
  <c r="AF209"/>
  <c r="AF310"/>
  <c r="AF210"/>
  <c r="AF211"/>
  <c r="AF6"/>
  <c r="AF7"/>
  <c r="AF8"/>
  <c r="AF311"/>
  <c r="AF115"/>
  <c r="AF116"/>
  <c r="AF117"/>
  <c r="AF9"/>
  <c r="AF10"/>
  <c r="AF11"/>
  <c r="AF312"/>
  <c r="AF212"/>
  <c r="AF213"/>
  <c r="AF12"/>
  <c r="AF214"/>
  <c r="AF13"/>
  <c r="AF313"/>
  <c r="AF14"/>
  <c r="AF15"/>
  <c r="AF314"/>
  <c r="AF315"/>
  <c r="AF118"/>
  <c r="AF16"/>
  <c r="AF119"/>
  <c r="AF215"/>
  <c r="AF216"/>
  <c r="AF120"/>
  <c r="AF121"/>
  <c r="AF217"/>
  <c r="AF316"/>
  <c r="AF218"/>
  <c r="AF219"/>
  <c r="AF220"/>
  <c r="AF317"/>
  <c r="AF122"/>
  <c r="AF158"/>
  <c r="AF17"/>
  <c r="AF318"/>
  <c r="AF319"/>
  <c r="AF18"/>
  <c r="AF320"/>
  <c r="AF221"/>
  <c r="AF222"/>
  <c r="AF321"/>
  <c r="AF322"/>
  <c r="AF323"/>
  <c r="AF223"/>
  <c r="AF123"/>
  <c r="AF324"/>
  <c r="AF325"/>
  <c r="AF326"/>
  <c r="AF19"/>
  <c r="AF20"/>
  <c r="AF21"/>
  <c r="AF224"/>
  <c r="AF22"/>
  <c r="AF124"/>
  <c r="AF327"/>
  <c r="AF225"/>
  <c r="AF125"/>
  <c r="AF126"/>
  <c r="AF328"/>
  <c r="AF173"/>
  <c r="AF329"/>
  <c r="AF23"/>
  <c r="AF24"/>
  <c r="AF226"/>
  <c r="AF25"/>
  <c r="AF330"/>
  <c r="AF26"/>
  <c r="AF331"/>
  <c r="AF332"/>
  <c r="AF27"/>
  <c r="AF333"/>
  <c r="AF334"/>
  <c r="AF28"/>
  <c r="AF29"/>
  <c r="AF335"/>
  <c r="AF336"/>
  <c r="AF30"/>
  <c r="AF31"/>
  <c r="AF32"/>
  <c r="AF33"/>
  <c r="AF34"/>
  <c r="AF337"/>
  <c r="AF35"/>
  <c r="AF338"/>
  <c r="AF227"/>
  <c r="AF339"/>
  <c r="AF340"/>
  <c r="AF36"/>
  <c r="AF37"/>
  <c r="AF38"/>
  <c r="AF174"/>
  <c r="AF39"/>
  <c r="AF341"/>
  <c r="AF342"/>
  <c r="AF228"/>
  <c r="AF229"/>
  <c r="AF343"/>
  <c r="AF344"/>
  <c r="AF40"/>
  <c r="AF345"/>
  <c r="AF127"/>
  <c r="AF346"/>
  <c r="AF41"/>
  <c r="AF347"/>
  <c r="AF42"/>
  <c r="AF348"/>
  <c r="AF159"/>
  <c r="AF349"/>
  <c r="AF160"/>
  <c r="AF43"/>
  <c r="AF230"/>
  <c r="AF350"/>
  <c r="AF175"/>
  <c r="AF231"/>
  <c r="AF176"/>
  <c r="AF177"/>
  <c r="AF232"/>
  <c r="AF351"/>
  <c r="AF233"/>
  <c r="AF352"/>
  <c r="AF353"/>
  <c r="AF234"/>
  <c r="AF44"/>
  <c r="AF128"/>
  <c r="AF45"/>
  <c r="AF161"/>
  <c r="AF46"/>
  <c r="AF178"/>
  <c r="AF179"/>
  <c r="AF47"/>
  <c r="AF180"/>
  <c r="AF162"/>
  <c r="AF181"/>
  <c r="AF354"/>
  <c r="AF355"/>
  <c r="AF48"/>
  <c r="AF49"/>
  <c r="AF182"/>
  <c r="AF235"/>
  <c r="AF356"/>
  <c r="AF129"/>
  <c r="AF183"/>
  <c r="AF236"/>
  <c r="AF237"/>
  <c r="AF184"/>
  <c r="AF185"/>
  <c r="AF238"/>
  <c r="AF130"/>
  <c r="AF131"/>
  <c r="AF50"/>
  <c r="AF357"/>
  <c r="AF239"/>
  <c r="AF240"/>
  <c r="AF163"/>
  <c r="AF132"/>
  <c r="AF51"/>
  <c r="AF241"/>
  <c r="AF242"/>
  <c r="AF164"/>
  <c r="AF165"/>
  <c r="AF358"/>
  <c r="AF186"/>
  <c r="AF187"/>
  <c r="AF133"/>
  <c r="AF52"/>
  <c r="AF359"/>
  <c r="AF53"/>
  <c r="AF54"/>
  <c r="AF55"/>
  <c r="AF56"/>
  <c r="AF57"/>
  <c r="AF134"/>
  <c r="AF360"/>
  <c r="AF361"/>
  <c r="AF188"/>
  <c r="AF189"/>
  <c r="AF135"/>
  <c r="AF136"/>
  <c r="AF137"/>
  <c r="AF138"/>
  <c r="AF58"/>
  <c r="AF362"/>
  <c r="AF59"/>
  <c r="AF243"/>
  <c r="AF363"/>
  <c r="AF139"/>
  <c r="AF244"/>
  <c r="AF190"/>
  <c r="AF191"/>
  <c r="AF192"/>
  <c r="AF60"/>
  <c r="AF61"/>
  <c r="AF62"/>
  <c r="AF245"/>
  <c r="AF63"/>
  <c r="AF64"/>
  <c r="AF246"/>
  <c r="AF247"/>
  <c r="AF364"/>
  <c r="AF193"/>
  <c r="AF140"/>
  <c r="AF65"/>
  <c r="AF141"/>
  <c r="AF365"/>
  <c r="AF366"/>
  <c r="AF367"/>
  <c r="AF248"/>
  <c r="AF66"/>
  <c r="AF67"/>
  <c r="AF249"/>
  <c r="AF68"/>
  <c r="AF368"/>
  <c r="AF369"/>
  <c r="AF142"/>
  <c r="AF250"/>
  <c r="AF143"/>
  <c r="AF144"/>
  <c r="AF145"/>
  <c r="AF69"/>
  <c r="AF70"/>
  <c r="AF71"/>
  <c r="AF370"/>
  <c r="AF72"/>
  <c r="AF251"/>
  <c r="AF252"/>
  <c r="AF166"/>
  <c r="AF167"/>
  <c r="AF73"/>
  <c r="AF74"/>
  <c r="AF75"/>
  <c r="AF76"/>
  <c r="AF253"/>
  <c r="AF77"/>
  <c r="AF371"/>
  <c r="AF372"/>
  <c r="AF254"/>
  <c r="AF255"/>
  <c r="AF78"/>
  <c r="AF256"/>
  <c r="AF146"/>
  <c r="AF194"/>
  <c r="AF195"/>
  <c r="AF196"/>
  <c r="AF197"/>
  <c r="AF79"/>
  <c r="AF373"/>
  <c r="AF257"/>
  <c r="AF147"/>
  <c r="AF258"/>
  <c r="AF374"/>
  <c r="AF375"/>
  <c r="AF376"/>
  <c r="AF80"/>
  <c r="AF81"/>
  <c r="AF82"/>
  <c r="AF377"/>
  <c r="AF378"/>
  <c r="AF259"/>
  <c r="AF379"/>
  <c r="AF260"/>
  <c r="AF261"/>
  <c r="AF380"/>
  <c r="AF148"/>
  <c r="AF262"/>
  <c r="AF263"/>
  <c r="AF83"/>
  <c r="AF84"/>
  <c r="AF198"/>
  <c r="AF264"/>
  <c r="AF168"/>
  <c r="AF381"/>
  <c r="AF85"/>
  <c r="AF86"/>
  <c r="AF382"/>
  <c r="AF265"/>
  <c r="AF266"/>
  <c r="AF87"/>
  <c r="AF267"/>
  <c r="AF268"/>
  <c r="AF269"/>
  <c r="AF383"/>
  <c r="AF149"/>
  <c r="AF88"/>
  <c r="AF150"/>
  <c r="AF384"/>
  <c r="AF151"/>
  <c r="AF89"/>
  <c r="AF152"/>
  <c r="AF270"/>
  <c r="AF271"/>
  <c r="AF153"/>
  <c r="AF385"/>
  <c r="AF272"/>
  <c r="AF273"/>
  <c r="AF274"/>
  <c r="AF275"/>
  <c r="AF276"/>
  <c r="AF277"/>
  <c r="AF386"/>
  <c r="AF387"/>
  <c r="AF388"/>
  <c r="AF90"/>
  <c r="AF278"/>
  <c r="AF389"/>
  <c r="AF390"/>
  <c r="AF391"/>
  <c r="AF392"/>
  <c r="AF154"/>
  <c r="AF393"/>
  <c r="AF279"/>
  <c r="AF91"/>
  <c r="AF394"/>
  <c r="AF395"/>
  <c r="AF396"/>
  <c r="AF155"/>
  <c r="AF397"/>
  <c r="AF398"/>
  <c r="AF399"/>
  <c r="AF400"/>
  <c r="AF401"/>
  <c r="AF402"/>
  <c r="AF280"/>
  <c r="AF403"/>
  <c r="AF92"/>
  <c r="AF281"/>
  <c r="AF282"/>
  <c r="AF404"/>
  <c r="AF169"/>
  <c r="AF93"/>
  <c r="AF156"/>
  <c r="AF170"/>
  <c r="AF405"/>
  <c r="AF283"/>
  <c r="AF284"/>
  <c r="AF285"/>
  <c r="AF94"/>
  <c r="AF406"/>
  <c r="AF171"/>
  <c r="AF286"/>
  <c r="AF287"/>
  <c r="AF157"/>
  <c r="AF288"/>
  <c r="AF289"/>
  <c r="AF290"/>
  <c r="AF95"/>
  <c r="AF96"/>
  <c r="AF97"/>
  <c r="AF98"/>
  <c r="AF99"/>
  <c r="AF100"/>
  <c r="AF101"/>
  <c r="AF199"/>
  <c r="AF407"/>
  <c r="AF408"/>
  <c r="AF200"/>
  <c r="AF102"/>
  <c r="AF103"/>
  <c r="AF291"/>
  <c r="AI104"/>
  <c r="AI105"/>
  <c r="AI106"/>
  <c r="AI107"/>
  <c r="AI292"/>
  <c r="AI293"/>
  <c r="AI294"/>
  <c r="AI295"/>
  <c r="AI296"/>
  <c r="AI297"/>
  <c r="AI298"/>
  <c r="AI108"/>
  <c r="AI109"/>
  <c r="AI299"/>
  <c r="AI201"/>
  <c r="AI202"/>
  <c r="AI110"/>
  <c r="AI300"/>
  <c r="AI172"/>
  <c r="AI2"/>
  <c r="AI3"/>
  <c r="AI203"/>
  <c r="AI301"/>
  <c r="AI302"/>
  <c r="AI204"/>
  <c r="AI4"/>
  <c r="AI5"/>
  <c r="AI205"/>
  <c r="AI303"/>
  <c r="AI111"/>
  <c r="AI112"/>
  <c r="AI304"/>
  <c r="AI206"/>
  <c r="AI305"/>
  <c r="AI207"/>
  <c r="AI306"/>
  <c r="AI307"/>
  <c r="AI308"/>
  <c r="AI309"/>
  <c r="AI113"/>
  <c r="AI208"/>
  <c r="AI114"/>
  <c r="AI209"/>
  <c r="AI310"/>
  <c r="AI210"/>
  <c r="AI211"/>
  <c r="AI6"/>
  <c r="AI7"/>
  <c r="AI8"/>
  <c r="AI311"/>
  <c r="AI115"/>
  <c r="AI116"/>
  <c r="AI117"/>
  <c r="AI9"/>
  <c r="AI10"/>
  <c r="AI11"/>
  <c r="AI312"/>
  <c r="AI212"/>
  <c r="AI213"/>
  <c r="AI12"/>
  <c r="AI214"/>
  <c r="AI13"/>
  <c r="AI313"/>
  <c r="AI14"/>
  <c r="AI15"/>
  <c r="AI314"/>
  <c r="AI315"/>
  <c r="AI118"/>
  <c r="AI16"/>
  <c r="AI119"/>
  <c r="AI215"/>
  <c r="AI216"/>
  <c r="AI120"/>
  <c r="AI121"/>
  <c r="AI217"/>
  <c r="AI316"/>
  <c r="AI218"/>
  <c r="AI219"/>
  <c r="AI220"/>
  <c r="AI317"/>
  <c r="AI122"/>
  <c r="AI158"/>
  <c r="AI17"/>
  <c r="AI318"/>
  <c r="AI319"/>
  <c r="AI18"/>
  <c r="AI320"/>
  <c r="AI221"/>
  <c r="AI222"/>
  <c r="AI321"/>
  <c r="AI322"/>
  <c r="AI323"/>
  <c r="AI223"/>
  <c r="AI123"/>
  <c r="AI324"/>
  <c r="AI325"/>
  <c r="AI326"/>
  <c r="AI19"/>
  <c r="AI20"/>
  <c r="AI21"/>
  <c r="AI224"/>
  <c r="AI22"/>
  <c r="AI124"/>
  <c r="AI327"/>
  <c r="AI225"/>
  <c r="AI125"/>
  <c r="AI126"/>
  <c r="AI328"/>
  <c r="AI173"/>
  <c r="AI329"/>
  <c r="AI23"/>
  <c r="AI24"/>
  <c r="AI226"/>
  <c r="AI25"/>
  <c r="AI330"/>
  <c r="AI26"/>
  <c r="AI331"/>
  <c r="AI332"/>
  <c r="AI27"/>
  <c r="AI333"/>
  <c r="AI334"/>
  <c r="AI28"/>
  <c r="AI29"/>
  <c r="AI335"/>
  <c r="AI336"/>
  <c r="AI30"/>
  <c r="AI31"/>
  <c r="AI32"/>
  <c r="AI33"/>
  <c r="AI34"/>
  <c r="AI337"/>
  <c r="AI35"/>
  <c r="AI338"/>
  <c r="AI227"/>
  <c r="AI339"/>
  <c r="AI340"/>
  <c r="AI36"/>
  <c r="AI37"/>
  <c r="AI38"/>
  <c r="AI174"/>
  <c r="AI39"/>
  <c r="AI341"/>
  <c r="AI342"/>
  <c r="AI228"/>
  <c r="AI229"/>
  <c r="AI343"/>
  <c r="AI344"/>
  <c r="AI40"/>
  <c r="AI345"/>
  <c r="AI127"/>
  <c r="AI346"/>
  <c r="AI41"/>
  <c r="AI347"/>
  <c r="AI42"/>
  <c r="AI348"/>
  <c r="AI159"/>
  <c r="AI349"/>
  <c r="AI160"/>
  <c r="AI43"/>
  <c r="AI230"/>
  <c r="AI350"/>
  <c r="AI175"/>
  <c r="AI231"/>
  <c r="AI176"/>
  <c r="AI177"/>
  <c r="AI232"/>
  <c r="AI351"/>
  <c r="AI233"/>
  <c r="AI352"/>
  <c r="AI353"/>
  <c r="AI234"/>
  <c r="AI44"/>
  <c r="AI128"/>
  <c r="AI45"/>
  <c r="AI161"/>
  <c r="AI46"/>
  <c r="AI178"/>
  <c r="AI179"/>
  <c r="AI47"/>
  <c r="AI180"/>
  <c r="AI162"/>
  <c r="AI181"/>
  <c r="AI354"/>
  <c r="AI355"/>
  <c r="AI48"/>
  <c r="AI49"/>
  <c r="AI182"/>
  <c r="AI235"/>
  <c r="AI356"/>
  <c r="AI129"/>
  <c r="AI183"/>
  <c r="AI236"/>
  <c r="AI237"/>
  <c r="AI184"/>
  <c r="AI185"/>
  <c r="AI238"/>
  <c r="AI130"/>
  <c r="AI131"/>
  <c r="AI50"/>
  <c r="AI357"/>
  <c r="AI239"/>
  <c r="AI240"/>
  <c r="AI163"/>
  <c r="AI132"/>
  <c r="AI51"/>
  <c r="AI241"/>
  <c r="AI242"/>
  <c r="AI164"/>
  <c r="AI165"/>
  <c r="AI358"/>
  <c r="AI186"/>
  <c r="AI187"/>
  <c r="AI133"/>
  <c r="AI52"/>
  <c r="AI359"/>
  <c r="AI53"/>
  <c r="AI54"/>
  <c r="AI55"/>
  <c r="AI56"/>
  <c r="AI57"/>
  <c r="AI134"/>
  <c r="AI360"/>
  <c r="AI361"/>
  <c r="AI188"/>
  <c r="AI189"/>
  <c r="AI135"/>
  <c r="AI136"/>
  <c r="AI137"/>
  <c r="AI138"/>
  <c r="AI58"/>
  <c r="AI362"/>
  <c r="AI59"/>
  <c r="AI243"/>
  <c r="AI363"/>
  <c r="AI139"/>
  <c r="AI244"/>
  <c r="AI190"/>
  <c r="AI191"/>
  <c r="AI192"/>
  <c r="AI60"/>
  <c r="AI61"/>
  <c r="AI62"/>
  <c r="AI245"/>
  <c r="AI63"/>
  <c r="AI64"/>
  <c r="AI246"/>
  <c r="AI247"/>
  <c r="AI364"/>
  <c r="AI193"/>
  <c r="AI140"/>
  <c r="AI65"/>
  <c r="AI141"/>
  <c r="AI365"/>
  <c r="AI366"/>
  <c r="AI367"/>
  <c r="AI248"/>
  <c r="AI66"/>
  <c r="AI67"/>
  <c r="AI249"/>
  <c r="AI68"/>
  <c r="AI368"/>
  <c r="AI369"/>
  <c r="AI142"/>
  <c r="AI250"/>
  <c r="AI143"/>
  <c r="AI144"/>
  <c r="AI145"/>
  <c r="AI69"/>
  <c r="AI70"/>
  <c r="AI71"/>
  <c r="AI370"/>
  <c r="AI72"/>
  <c r="AI251"/>
  <c r="AI252"/>
  <c r="AI166"/>
  <c r="AI167"/>
  <c r="AI73"/>
  <c r="AI74"/>
  <c r="AI75"/>
  <c r="AI76"/>
  <c r="AI253"/>
  <c r="AI77"/>
  <c r="AI371"/>
  <c r="AI372"/>
  <c r="AI254"/>
  <c r="AI255"/>
  <c r="AI78"/>
  <c r="AI256"/>
  <c r="AI146"/>
  <c r="AI194"/>
  <c r="AI195"/>
  <c r="AI196"/>
  <c r="AI197"/>
  <c r="AI79"/>
  <c r="AI373"/>
  <c r="AI257"/>
  <c r="AI147"/>
  <c r="AI258"/>
  <c r="AI374"/>
  <c r="AI375"/>
  <c r="AI376"/>
  <c r="AI80"/>
  <c r="AI81"/>
  <c r="AI82"/>
  <c r="AI377"/>
  <c r="AI378"/>
  <c r="AI259"/>
  <c r="AI379"/>
  <c r="AI260"/>
  <c r="AI261"/>
  <c r="AI380"/>
  <c r="AI148"/>
  <c r="AI262"/>
  <c r="AI263"/>
  <c r="AI83"/>
  <c r="AI84"/>
  <c r="AI198"/>
  <c r="AI264"/>
  <c r="AI168"/>
  <c r="AI381"/>
  <c r="AI85"/>
  <c r="AI86"/>
  <c r="AI382"/>
  <c r="AI265"/>
  <c r="AI266"/>
  <c r="AI87"/>
  <c r="AI267"/>
  <c r="AI268"/>
  <c r="AI269"/>
  <c r="AI383"/>
  <c r="AI149"/>
  <c r="AI88"/>
  <c r="AI150"/>
  <c r="AI384"/>
  <c r="AI151"/>
  <c r="AI89"/>
  <c r="AI152"/>
  <c r="AI270"/>
  <c r="AI271"/>
  <c r="AI153"/>
  <c r="AI385"/>
  <c r="AI272"/>
  <c r="AI273"/>
  <c r="AI274"/>
  <c r="AI275"/>
  <c r="AI276"/>
  <c r="AI277"/>
  <c r="AI386"/>
  <c r="AI387"/>
  <c r="AI388"/>
  <c r="AI90"/>
  <c r="AI278"/>
  <c r="AI389"/>
  <c r="AI390"/>
  <c r="AI391"/>
  <c r="AI392"/>
  <c r="AI154"/>
  <c r="AI393"/>
  <c r="AI279"/>
  <c r="AI91"/>
  <c r="AI394"/>
  <c r="AI395"/>
  <c r="AI396"/>
  <c r="AI155"/>
  <c r="AI397"/>
  <c r="AI398"/>
  <c r="AI399"/>
  <c r="AI400"/>
  <c r="AI401"/>
  <c r="AI402"/>
  <c r="AI280"/>
  <c r="AI403"/>
  <c r="AI92"/>
  <c r="AI281"/>
  <c r="AI282"/>
  <c r="AI404"/>
  <c r="AI169"/>
  <c r="AI93"/>
  <c r="AI156"/>
  <c r="AI170"/>
  <c r="AI405"/>
  <c r="AI283"/>
  <c r="AI284"/>
  <c r="AI285"/>
  <c r="AI94"/>
  <c r="AI406"/>
  <c r="AI171"/>
  <c r="AI286"/>
  <c r="AI287"/>
  <c r="AI157"/>
  <c r="AI288"/>
  <c r="AI289"/>
  <c r="AI290"/>
  <c r="AI95"/>
  <c r="AI96"/>
  <c r="AI97"/>
  <c r="AI98"/>
  <c r="AI99"/>
  <c r="AI100"/>
  <c r="AI101"/>
  <c r="AI199"/>
  <c r="AI407"/>
  <c r="AI408"/>
  <c r="AI200"/>
  <c r="AI102"/>
  <c r="AI103"/>
  <c r="AI291"/>
  <c r="AL104"/>
  <c r="AL105"/>
  <c r="AL106"/>
  <c r="AL107"/>
  <c r="AL292"/>
  <c r="AL293"/>
  <c r="AL294"/>
  <c r="AL295"/>
  <c r="AL296"/>
  <c r="AL297"/>
  <c r="AL298"/>
  <c r="AL108"/>
  <c r="AL109"/>
  <c r="AL299"/>
  <c r="AL201"/>
  <c r="AL202"/>
  <c r="AL110"/>
  <c r="AL300"/>
  <c r="AL172"/>
  <c r="AL2"/>
  <c r="AL3"/>
  <c r="AL203"/>
  <c r="AL301"/>
  <c r="AL302"/>
  <c r="AL204"/>
  <c r="AL4"/>
  <c r="AL5"/>
  <c r="AL205"/>
  <c r="AL303"/>
  <c r="AL111"/>
  <c r="AL112"/>
  <c r="AL304"/>
  <c r="AL206"/>
  <c r="AL305"/>
  <c r="AL207"/>
  <c r="AL306"/>
  <c r="AL307"/>
  <c r="AL308"/>
  <c r="AL309"/>
  <c r="AL113"/>
  <c r="AL208"/>
  <c r="AL114"/>
  <c r="AL209"/>
  <c r="AL310"/>
  <c r="AL210"/>
  <c r="AL211"/>
  <c r="AL6"/>
  <c r="AL7"/>
  <c r="AL8"/>
  <c r="AL311"/>
  <c r="AL115"/>
  <c r="AL116"/>
  <c r="AL117"/>
  <c r="AL9"/>
  <c r="AL10"/>
  <c r="AL11"/>
  <c r="AL312"/>
  <c r="AL212"/>
  <c r="AL213"/>
  <c r="AL12"/>
  <c r="AL214"/>
  <c r="AL13"/>
  <c r="AL313"/>
  <c r="AL14"/>
  <c r="AL15"/>
  <c r="AL314"/>
  <c r="AL315"/>
  <c r="AL118"/>
  <c r="AL16"/>
  <c r="AL119"/>
  <c r="AL215"/>
  <c r="AL216"/>
  <c r="AL120"/>
  <c r="AL121"/>
  <c r="AL217"/>
  <c r="AL316"/>
  <c r="AL218"/>
  <c r="AL219"/>
  <c r="AL220"/>
  <c r="AL317"/>
  <c r="AL122"/>
  <c r="AL158"/>
  <c r="AL17"/>
  <c r="AL318"/>
  <c r="AL319"/>
  <c r="AL18"/>
  <c r="AL320"/>
  <c r="AL221"/>
  <c r="AL222"/>
  <c r="AL321"/>
  <c r="AL322"/>
  <c r="AL323"/>
  <c r="AL223"/>
  <c r="AL123"/>
  <c r="AL324"/>
  <c r="AL325"/>
  <c r="AL326"/>
  <c r="AL19"/>
  <c r="AL20"/>
  <c r="AL21"/>
  <c r="AL224"/>
  <c r="AL22"/>
  <c r="AL124"/>
  <c r="AL327"/>
  <c r="AL225"/>
  <c r="AL125"/>
  <c r="AL126"/>
  <c r="AL328"/>
  <c r="AL173"/>
  <c r="AL329"/>
  <c r="AL23"/>
  <c r="AL24"/>
  <c r="AL226"/>
  <c r="AL25"/>
  <c r="AL330"/>
  <c r="AL26"/>
  <c r="AL331"/>
  <c r="AL332"/>
  <c r="AL27"/>
  <c r="AL333"/>
  <c r="AL334"/>
  <c r="AL28"/>
  <c r="AL29"/>
  <c r="AL335"/>
  <c r="AL336"/>
  <c r="AL30"/>
  <c r="AL31"/>
  <c r="AL32"/>
  <c r="AL33"/>
  <c r="AL34"/>
  <c r="AL337"/>
  <c r="AL35"/>
  <c r="AL338"/>
  <c r="AL227"/>
  <c r="AL339"/>
  <c r="AL340"/>
  <c r="AL36"/>
  <c r="AL37"/>
  <c r="AL38"/>
  <c r="AL174"/>
  <c r="AL39"/>
  <c r="AL341"/>
  <c r="AL342"/>
  <c r="AL228"/>
  <c r="AL229"/>
  <c r="AL343"/>
  <c r="AL344"/>
  <c r="AL40"/>
  <c r="AL345"/>
  <c r="AL127"/>
  <c r="AL346"/>
  <c r="AL41"/>
  <c r="AL347"/>
  <c r="AL42"/>
  <c r="AL348"/>
  <c r="AL159"/>
  <c r="AL349"/>
  <c r="AL160"/>
  <c r="AL43"/>
  <c r="AL230"/>
  <c r="AL350"/>
  <c r="AL175"/>
  <c r="AL231"/>
  <c r="AL176"/>
  <c r="AL177"/>
  <c r="AL232"/>
  <c r="AL351"/>
  <c r="AL233"/>
  <c r="AL352"/>
  <c r="AL353"/>
  <c r="AL234"/>
  <c r="AL44"/>
  <c r="AL128"/>
  <c r="AL45"/>
  <c r="AL161"/>
  <c r="AL46"/>
  <c r="AL178"/>
  <c r="AL179"/>
  <c r="AL47"/>
  <c r="AL180"/>
  <c r="AL162"/>
  <c r="AL181"/>
  <c r="AL354"/>
  <c r="AL355"/>
  <c r="AL48"/>
  <c r="AL49"/>
  <c r="AL182"/>
  <c r="AL235"/>
  <c r="AL356"/>
  <c r="AL129"/>
  <c r="AL183"/>
  <c r="AL236"/>
  <c r="AL237"/>
  <c r="AL184"/>
  <c r="AL185"/>
  <c r="AL238"/>
  <c r="AL130"/>
  <c r="AL131"/>
  <c r="AL50"/>
  <c r="AL357"/>
  <c r="AL239"/>
  <c r="AL240"/>
  <c r="AL163"/>
  <c r="AL132"/>
  <c r="AL51"/>
  <c r="AL241"/>
  <c r="AL242"/>
  <c r="AL164"/>
  <c r="AL165"/>
  <c r="AL358"/>
  <c r="AL186"/>
  <c r="AL187"/>
  <c r="AL133"/>
  <c r="AL52"/>
  <c r="AL359"/>
  <c r="AL53"/>
  <c r="AL54"/>
  <c r="AL55"/>
  <c r="AL56"/>
  <c r="AL57"/>
  <c r="AL134"/>
  <c r="AL360"/>
  <c r="AL361"/>
  <c r="AL188"/>
  <c r="AL189"/>
  <c r="AL135"/>
  <c r="AL136"/>
  <c r="AL137"/>
  <c r="AL138"/>
  <c r="AL58"/>
  <c r="AL362"/>
  <c r="AL59"/>
  <c r="AL243"/>
  <c r="AL363"/>
  <c r="AL139"/>
  <c r="AL244"/>
  <c r="AL190"/>
  <c r="AL191"/>
  <c r="AL192"/>
  <c r="AL60"/>
  <c r="AL61"/>
  <c r="AL62"/>
  <c r="AL245"/>
  <c r="AL63"/>
  <c r="AL64"/>
  <c r="AL246"/>
  <c r="AL247"/>
  <c r="AL364"/>
  <c r="AL193"/>
  <c r="AL140"/>
  <c r="AL65"/>
  <c r="AL141"/>
  <c r="AL365"/>
  <c r="AL366"/>
  <c r="AL367"/>
  <c r="AL248"/>
  <c r="AL66"/>
  <c r="AL67"/>
  <c r="AL249"/>
  <c r="AL68"/>
  <c r="AL368"/>
  <c r="AL369"/>
  <c r="AL142"/>
  <c r="AL250"/>
  <c r="AL143"/>
  <c r="AL144"/>
  <c r="AL145"/>
  <c r="AL69"/>
  <c r="AL70"/>
  <c r="AL71"/>
  <c r="AL370"/>
  <c r="AL72"/>
  <c r="AL251"/>
  <c r="AL252"/>
  <c r="AL166"/>
  <c r="AL167"/>
  <c r="AL73"/>
  <c r="AL74"/>
  <c r="AL75"/>
  <c r="AL76"/>
  <c r="AL253"/>
  <c r="AL77"/>
  <c r="AL371"/>
  <c r="AL372"/>
  <c r="AL254"/>
  <c r="AL255"/>
  <c r="AL78"/>
  <c r="AL256"/>
  <c r="AL146"/>
  <c r="AL194"/>
  <c r="AL195"/>
  <c r="AL196"/>
  <c r="AL197"/>
  <c r="AL79"/>
  <c r="AL373"/>
  <c r="AL257"/>
  <c r="AL147"/>
  <c r="AL258"/>
  <c r="AL374"/>
  <c r="AL375"/>
  <c r="AL376"/>
  <c r="AL80"/>
  <c r="AL81"/>
  <c r="AL82"/>
  <c r="AL377"/>
  <c r="AL378"/>
  <c r="AL259"/>
  <c r="AL379"/>
  <c r="AL260"/>
  <c r="AL261"/>
  <c r="AL380"/>
  <c r="AL148"/>
  <c r="AL262"/>
  <c r="AL263"/>
  <c r="AL83"/>
  <c r="AL84"/>
  <c r="AL198"/>
  <c r="AL264"/>
  <c r="AL168"/>
  <c r="AL381"/>
  <c r="AL85"/>
  <c r="AL86"/>
  <c r="AL382"/>
  <c r="AL265"/>
  <c r="AL266"/>
  <c r="AL87"/>
  <c r="AL267"/>
  <c r="AL268"/>
  <c r="AL269"/>
  <c r="AL383"/>
  <c r="AL149"/>
  <c r="AL88"/>
  <c r="AL150"/>
  <c r="AL384"/>
  <c r="AL151"/>
  <c r="AL89"/>
  <c r="AL152"/>
  <c r="AL270"/>
  <c r="AL271"/>
  <c r="AL153"/>
  <c r="AL385"/>
  <c r="AL272"/>
  <c r="AL273"/>
  <c r="AL274"/>
  <c r="AL275"/>
  <c r="AL276"/>
  <c r="AL277"/>
  <c r="AL386"/>
  <c r="AL387"/>
  <c r="AL388"/>
  <c r="AL90"/>
  <c r="AL278"/>
  <c r="AL389"/>
  <c r="AL390"/>
  <c r="AL391"/>
  <c r="AL392"/>
  <c r="AL154"/>
  <c r="AL393"/>
  <c r="AL279"/>
  <c r="AL91"/>
  <c r="AL394"/>
  <c r="AL395"/>
  <c r="AL396"/>
  <c r="AL155"/>
  <c r="AL397"/>
  <c r="AL398"/>
  <c r="AL399"/>
  <c r="AL400"/>
  <c r="AL401"/>
  <c r="AL402"/>
  <c r="AL280"/>
  <c r="AL403"/>
  <c r="AL92"/>
  <c r="AL281"/>
  <c r="AL282"/>
  <c r="AL404"/>
  <c r="AL169"/>
  <c r="AL93"/>
  <c r="AL156"/>
  <c r="AL170"/>
  <c r="AL405"/>
  <c r="AL283"/>
  <c r="AL284"/>
  <c r="AL285"/>
  <c r="AL94"/>
  <c r="AL406"/>
  <c r="AL171"/>
  <c r="AL286"/>
  <c r="AL287"/>
  <c r="AL157"/>
  <c r="AL288"/>
  <c r="AL289"/>
  <c r="AL290"/>
  <c r="AL95"/>
  <c r="AL96"/>
  <c r="AL97"/>
  <c r="AL98"/>
  <c r="AL99"/>
  <c r="AL100"/>
  <c r="AL101"/>
  <c r="AL199"/>
  <c r="AL407"/>
  <c r="AL408"/>
  <c r="AL200"/>
  <c r="AL102"/>
  <c r="AL103"/>
  <c r="AL291"/>
  <c r="AO104"/>
  <c r="AO105"/>
  <c r="AO106"/>
  <c r="AO107"/>
  <c r="AO292"/>
  <c r="AO293"/>
  <c r="AO294"/>
  <c r="AO295"/>
  <c r="AO296"/>
  <c r="AO297"/>
  <c r="AO298"/>
  <c r="AO108"/>
  <c r="AO109"/>
  <c r="AO299"/>
  <c r="AO201"/>
  <c r="AO202"/>
  <c r="AO110"/>
  <c r="AO300"/>
  <c r="AO172"/>
  <c r="AO2"/>
  <c r="AO3"/>
  <c r="AO203"/>
  <c r="AO301"/>
  <c r="AO302"/>
  <c r="AO204"/>
  <c r="AO4"/>
  <c r="AO5"/>
  <c r="AO205"/>
  <c r="AO303"/>
  <c r="AO111"/>
  <c r="AO112"/>
  <c r="AO304"/>
  <c r="AO206"/>
  <c r="AO305"/>
  <c r="AO207"/>
  <c r="AO306"/>
  <c r="AO307"/>
  <c r="AO308"/>
  <c r="AO309"/>
  <c r="AO113"/>
  <c r="AO208"/>
  <c r="AO114"/>
  <c r="AO209"/>
  <c r="AO310"/>
  <c r="AO210"/>
  <c r="AO211"/>
  <c r="AO6"/>
  <c r="AO7"/>
  <c r="AO8"/>
  <c r="AO311"/>
  <c r="AO115"/>
  <c r="AO116"/>
  <c r="AO117"/>
  <c r="AO9"/>
  <c r="AO10"/>
  <c r="AO11"/>
  <c r="AO312"/>
  <c r="AO212"/>
  <c r="AO213"/>
  <c r="AO12"/>
  <c r="AO214"/>
  <c r="AO13"/>
  <c r="AO313"/>
  <c r="AO14"/>
  <c r="AO15"/>
  <c r="AO314"/>
  <c r="AO315"/>
  <c r="AO118"/>
  <c r="AO16"/>
  <c r="AO119"/>
  <c r="AO215"/>
  <c r="AO216"/>
  <c r="AO120"/>
  <c r="AO121"/>
  <c r="AO217"/>
  <c r="AO316"/>
  <c r="AO218"/>
  <c r="AO219"/>
  <c r="AO220"/>
  <c r="AO317"/>
  <c r="AO122"/>
  <c r="AO158"/>
  <c r="AO17"/>
  <c r="AO318"/>
  <c r="AO319"/>
  <c r="AO18"/>
  <c r="AO320"/>
  <c r="AO221"/>
  <c r="AO222"/>
  <c r="AO321"/>
  <c r="AO322"/>
  <c r="AO323"/>
  <c r="AO223"/>
  <c r="AO123"/>
  <c r="AO324"/>
  <c r="AO325"/>
  <c r="AO326"/>
  <c r="AO19"/>
  <c r="AO20"/>
  <c r="AO21"/>
  <c r="AO224"/>
  <c r="AO22"/>
  <c r="AO124"/>
  <c r="AO327"/>
  <c r="AO225"/>
  <c r="AO125"/>
  <c r="AO126"/>
  <c r="AO328"/>
  <c r="AO173"/>
  <c r="AO329"/>
  <c r="AO23"/>
  <c r="AO24"/>
  <c r="AO226"/>
  <c r="AO25"/>
  <c r="AO330"/>
  <c r="AO26"/>
  <c r="AO331"/>
  <c r="AO332"/>
  <c r="AO27"/>
  <c r="AO333"/>
  <c r="AO334"/>
  <c r="AO28"/>
  <c r="AO29"/>
  <c r="AO335"/>
  <c r="AO336"/>
  <c r="AO30"/>
  <c r="AO31"/>
  <c r="AO32"/>
  <c r="AO33"/>
  <c r="AO34"/>
  <c r="AO337"/>
  <c r="AO35"/>
  <c r="AO338"/>
  <c r="AO227"/>
  <c r="AO339"/>
  <c r="AO340"/>
  <c r="AO36"/>
  <c r="AO37"/>
  <c r="AO38"/>
  <c r="AO174"/>
  <c r="AO39"/>
  <c r="AO341"/>
  <c r="AO342"/>
  <c r="AO228"/>
  <c r="AO229"/>
  <c r="AO343"/>
  <c r="AO344"/>
  <c r="AO40"/>
  <c r="AO345"/>
  <c r="AO127"/>
  <c r="AO346"/>
  <c r="AO41"/>
  <c r="AO347"/>
  <c r="AO42"/>
  <c r="AO348"/>
  <c r="AO159"/>
  <c r="AO349"/>
  <c r="AO160"/>
  <c r="AO43"/>
  <c r="AO230"/>
  <c r="AO350"/>
  <c r="AO175"/>
  <c r="AO231"/>
  <c r="AO176"/>
  <c r="AO177"/>
  <c r="AO232"/>
  <c r="AO351"/>
  <c r="AO233"/>
  <c r="AO352"/>
  <c r="AO353"/>
  <c r="AO234"/>
  <c r="AO44"/>
  <c r="AO128"/>
  <c r="AO45"/>
  <c r="AO161"/>
  <c r="AO46"/>
  <c r="AO178"/>
  <c r="AO179"/>
  <c r="AO47"/>
  <c r="AO180"/>
  <c r="AO162"/>
  <c r="AO181"/>
  <c r="AO354"/>
  <c r="AO355"/>
  <c r="AO48"/>
  <c r="AO49"/>
  <c r="AO182"/>
  <c r="AO235"/>
  <c r="AO356"/>
  <c r="AO129"/>
  <c r="AO183"/>
  <c r="AO236"/>
  <c r="AO237"/>
  <c r="AO184"/>
  <c r="AO185"/>
  <c r="AO238"/>
  <c r="AO130"/>
  <c r="AO131"/>
  <c r="AO50"/>
  <c r="AO357"/>
  <c r="AO239"/>
  <c r="AO240"/>
  <c r="AO163"/>
  <c r="AO132"/>
  <c r="AO51"/>
  <c r="AO241"/>
  <c r="AO242"/>
  <c r="AO164"/>
  <c r="AO165"/>
  <c r="AO358"/>
  <c r="AO186"/>
  <c r="AO187"/>
  <c r="AO133"/>
  <c r="AO52"/>
  <c r="AO359"/>
  <c r="AO53"/>
  <c r="AO54"/>
  <c r="AO55"/>
  <c r="AO56"/>
  <c r="AO57"/>
  <c r="AO134"/>
  <c r="AO360"/>
  <c r="AO361"/>
  <c r="AO188"/>
  <c r="AO189"/>
  <c r="AO135"/>
  <c r="AO136"/>
  <c r="AO137"/>
  <c r="AO138"/>
  <c r="AO58"/>
  <c r="AO362"/>
  <c r="AO59"/>
  <c r="AO243"/>
  <c r="AO363"/>
  <c r="AO139"/>
  <c r="AO244"/>
  <c r="AO190"/>
  <c r="AO191"/>
  <c r="AO192"/>
  <c r="AO60"/>
  <c r="AO61"/>
  <c r="AO62"/>
  <c r="AO245"/>
  <c r="AO63"/>
  <c r="AO64"/>
  <c r="AO246"/>
  <c r="AO247"/>
  <c r="AO364"/>
  <c r="AO193"/>
  <c r="AO140"/>
  <c r="AO65"/>
  <c r="AO141"/>
  <c r="AO365"/>
  <c r="AO366"/>
  <c r="AO367"/>
  <c r="AO248"/>
  <c r="AO66"/>
  <c r="AO67"/>
  <c r="AO249"/>
  <c r="AO68"/>
  <c r="AO368"/>
  <c r="AO369"/>
  <c r="AO142"/>
  <c r="AO250"/>
  <c r="AO143"/>
  <c r="AO144"/>
  <c r="AO145"/>
  <c r="AO69"/>
  <c r="AO70"/>
  <c r="AO71"/>
  <c r="AO370"/>
  <c r="AO72"/>
  <c r="AO251"/>
  <c r="AO252"/>
  <c r="AO166"/>
  <c r="AO167"/>
  <c r="AO73"/>
  <c r="AO74"/>
  <c r="AO75"/>
  <c r="AO76"/>
  <c r="AO253"/>
  <c r="AO77"/>
  <c r="AO371"/>
  <c r="AO372"/>
  <c r="AO254"/>
  <c r="AO255"/>
  <c r="AO78"/>
  <c r="AO256"/>
  <c r="AO146"/>
  <c r="AO194"/>
  <c r="AO195"/>
  <c r="AO196"/>
  <c r="AO197"/>
  <c r="AO79"/>
  <c r="AO373"/>
  <c r="AO257"/>
  <c r="AO147"/>
  <c r="AO258"/>
  <c r="AO374"/>
  <c r="AO375"/>
  <c r="AO376"/>
  <c r="AO80"/>
  <c r="AO81"/>
  <c r="AO82"/>
  <c r="AO377"/>
  <c r="AO378"/>
  <c r="AO259"/>
  <c r="AO379"/>
  <c r="AO260"/>
  <c r="AO261"/>
  <c r="AO380"/>
  <c r="AO148"/>
  <c r="AO262"/>
  <c r="AO263"/>
  <c r="AO83"/>
  <c r="AO84"/>
  <c r="AO198"/>
  <c r="AO264"/>
  <c r="AO168"/>
  <c r="AO381"/>
  <c r="AO85"/>
  <c r="AO86"/>
  <c r="AO382"/>
  <c r="AO265"/>
  <c r="AO266"/>
  <c r="AO87"/>
  <c r="AO267"/>
  <c r="AO268"/>
  <c r="AO269"/>
  <c r="AO383"/>
  <c r="AO149"/>
  <c r="AO88"/>
  <c r="AO150"/>
  <c r="AO384"/>
  <c r="AO151"/>
  <c r="AO89"/>
  <c r="AO152"/>
  <c r="AO270"/>
  <c r="AO271"/>
  <c r="AO153"/>
  <c r="AO385"/>
  <c r="AO272"/>
  <c r="AO273"/>
  <c r="AO274"/>
  <c r="AO275"/>
  <c r="AO276"/>
  <c r="AO277"/>
  <c r="AO386"/>
  <c r="AO387"/>
  <c r="AO388"/>
  <c r="AO90"/>
  <c r="AO278"/>
  <c r="AO389"/>
  <c r="AO390"/>
  <c r="AO391"/>
  <c r="AO392"/>
  <c r="AO154"/>
  <c r="AO393"/>
  <c r="AO279"/>
  <c r="AO91"/>
  <c r="AO394"/>
  <c r="AO395"/>
  <c r="AO396"/>
  <c r="AO155"/>
  <c r="AO397"/>
  <c r="AO398"/>
  <c r="AO399"/>
  <c r="AO400"/>
  <c r="AO401"/>
  <c r="AO402"/>
  <c r="AO280"/>
  <c r="AO403"/>
  <c r="AO92"/>
  <c r="AO281"/>
  <c r="AO282"/>
  <c r="AO404"/>
  <c r="AO169"/>
  <c r="AO93"/>
  <c r="AO156"/>
  <c r="AO170"/>
  <c r="AO405"/>
  <c r="AO283"/>
  <c r="AO284"/>
  <c r="AO285"/>
  <c r="AO94"/>
  <c r="AO406"/>
  <c r="AO171"/>
  <c r="AO286"/>
  <c r="AO287"/>
  <c r="AO157"/>
  <c r="AO288"/>
  <c r="AO289"/>
  <c r="AO290"/>
  <c r="AO95"/>
  <c r="AO96"/>
  <c r="AO97"/>
  <c r="AO98"/>
  <c r="AO99"/>
  <c r="AO100"/>
  <c r="AO101"/>
  <c r="AO199"/>
  <c r="AO407"/>
  <c r="AO408"/>
  <c r="AO200"/>
  <c r="AO102"/>
  <c r="AO103"/>
  <c r="AO291"/>
  <c r="AR104"/>
  <c r="AR105"/>
  <c r="AR106"/>
  <c r="AR107"/>
  <c r="AR292"/>
  <c r="AR293"/>
  <c r="AR294"/>
  <c r="AR295"/>
  <c r="AR296"/>
  <c r="AR297"/>
  <c r="AR298"/>
  <c r="AR108"/>
  <c r="AR109"/>
  <c r="AR299"/>
  <c r="AR201"/>
  <c r="AR202"/>
  <c r="AR110"/>
  <c r="AR300"/>
  <c r="AR172"/>
  <c r="AR2"/>
  <c r="AR3"/>
  <c r="AR203"/>
  <c r="AR301"/>
  <c r="AR302"/>
  <c r="AR204"/>
  <c r="AR4"/>
  <c r="AR5"/>
  <c r="AR205"/>
  <c r="AR303"/>
  <c r="AR111"/>
  <c r="AR112"/>
  <c r="AR304"/>
  <c r="AR206"/>
  <c r="AR305"/>
  <c r="AR207"/>
  <c r="AR306"/>
  <c r="AR307"/>
  <c r="AR308"/>
  <c r="AR309"/>
  <c r="AR113"/>
  <c r="AR208"/>
  <c r="AR114"/>
  <c r="AR209"/>
  <c r="AR310"/>
  <c r="AR210"/>
  <c r="AR211"/>
  <c r="AR6"/>
  <c r="AR7"/>
  <c r="AR8"/>
  <c r="AR311"/>
  <c r="AR115"/>
  <c r="AR116"/>
  <c r="AR117"/>
  <c r="AR9"/>
  <c r="AR10"/>
  <c r="AR11"/>
  <c r="AR312"/>
  <c r="AR212"/>
  <c r="AR213"/>
  <c r="AR12"/>
  <c r="AR214"/>
  <c r="AR13"/>
  <c r="AR313"/>
  <c r="AR14"/>
  <c r="AR15"/>
  <c r="AR314"/>
  <c r="AR315"/>
  <c r="AR118"/>
  <c r="AR16"/>
  <c r="AR119"/>
  <c r="AR215"/>
  <c r="AR216"/>
  <c r="AR120"/>
  <c r="AR121"/>
  <c r="AR217"/>
  <c r="AR316"/>
  <c r="AR218"/>
  <c r="AR219"/>
  <c r="AR220"/>
  <c r="AR317"/>
  <c r="AR122"/>
  <c r="AR158"/>
  <c r="AR17"/>
  <c r="AR318"/>
  <c r="AR319"/>
  <c r="AR18"/>
  <c r="AR320"/>
  <c r="AR221"/>
  <c r="AR222"/>
  <c r="AR321"/>
  <c r="AR322"/>
  <c r="AR323"/>
  <c r="AR223"/>
  <c r="AR123"/>
  <c r="AR324"/>
  <c r="AR325"/>
  <c r="AR326"/>
  <c r="AR19"/>
  <c r="AR20"/>
  <c r="AR21"/>
  <c r="AR224"/>
  <c r="AR22"/>
  <c r="AR124"/>
  <c r="AR327"/>
  <c r="AR225"/>
  <c r="AR125"/>
  <c r="AR126"/>
  <c r="AR328"/>
  <c r="AR173"/>
  <c r="AR329"/>
  <c r="AR23"/>
  <c r="AR24"/>
  <c r="AR226"/>
  <c r="AR25"/>
  <c r="AR330"/>
  <c r="AR26"/>
  <c r="AR331"/>
  <c r="AR332"/>
  <c r="AR27"/>
  <c r="AR333"/>
  <c r="AR334"/>
  <c r="AR28"/>
  <c r="AR29"/>
  <c r="AR335"/>
  <c r="AR336"/>
  <c r="AR30"/>
  <c r="AR31"/>
  <c r="AR32"/>
  <c r="AR33"/>
  <c r="AR34"/>
  <c r="AR337"/>
  <c r="AR35"/>
  <c r="AR338"/>
  <c r="AR227"/>
  <c r="AR339"/>
  <c r="AR340"/>
  <c r="AR36"/>
  <c r="AR37"/>
  <c r="AR38"/>
  <c r="AR174"/>
  <c r="AR39"/>
  <c r="AR341"/>
  <c r="AR342"/>
  <c r="AR228"/>
  <c r="AR229"/>
  <c r="AR343"/>
  <c r="AR344"/>
  <c r="AR40"/>
  <c r="AR345"/>
  <c r="AR127"/>
  <c r="AR346"/>
  <c r="AR41"/>
  <c r="AR347"/>
  <c r="AR42"/>
  <c r="AR348"/>
  <c r="AR159"/>
  <c r="AR349"/>
  <c r="AR160"/>
  <c r="AR43"/>
  <c r="AR230"/>
  <c r="AR350"/>
  <c r="AR175"/>
  <c r="AR231"/>
  <c r="AR176"/>
  <c r="AR177"/>
  <c r="AR232"/>
  <c r="AR351"/>
  <c r="AR233"/>
  <c r="AR352"/>
  <c r="AR353"/>
  <c r="AR234"/>
  <c r="AR44"/>
  <c r="AR128"/>
  <c r="AR45"/>
  <c r="AR161"/>
  <c r="AR46"/>
  <c r="AR178"/>
  <c r="AR179"/>
  <c r="AR47"/>
  <c r="AR180"/>
  <c r="AR162"/>
  <c r="AR181"/>
  <c r="AR354"/>
  <c r="AR355"/>
  <c r="AR48"/>
  <c r="AR49"/>
  <c r="AR182"/>
  <c r="AR235"/>
  <c r="AR356"/>
  <c r="AR129"/>
  <c r="AR183"/>
  <c r="AR236"/>
  <c r="AR237"/>
  <c r="AR184"/>
  <c r="AR185"/>
  <c r="AR238"/>
  <c r="AR130"/>
  <c r="AR131"/>
  <c r="AR50"/>
  <c r="AR357"/>
  <c r="AR239"/>
  <c r="AR240"/>
  <c r="AR163"/>
  <c r="AR132"/>
  <c r="AR51"/>
  <c r="AR241"/>
  <c r="AR242"/>
  <c r="AR164"/>
  <c r="AR165"/>
  <c r="AR358"/>
  <c r="AR186"/>
  <c r="AR187"/>
  <c r="AR133"/>
  <c r="AR52"/>
  <c r="AR359"/>
  <c r="AR53"/>
  <c r="AR54"/>
  <c r="AR55"/>
  <c r="AR56"/>
  <c r="AR57"/>
  <c r="AR134"/>
  <c r="AR360"/>
  <c r="AR361"/>
  <c r="AR188"/>
  <c r="AR189"/>
  <c r="AR135"/>
  <c r="AR136"/>
  <c r="AR137"/>
  <c r="AR138"/>
  <c r="AR58"/>
  <c r="AR362"/>
  <c r="AR59"/>
  <c r="AR243"/>
  <c r="AR363"/>
  <c r="AR139"/>
  <c r="AR244"/>
  <c r="AR190"/>
  <c r="AR191"/>
  <c r="AR192"/>
  <c r="AR60"/>
  <c r="AR61"/>
  <c r="AR62"/>
  <c r="AR245"/>
  <c r="AR63"/>
  <c r="AR64"/>
  <c r="AR246"/>
  <c r="AR247"/>
  <c r="AR364"/>
  <c r="AR193"/>
  <c r="AR140"/>
  <c r="AR65"/>
  <c r="AR141"/>
  <c r="AR365"/>
  <c r="AR366"/>
  <c r="AR367"/>
  <c r="AR248"/>
  <c r="AR66"/>
  <c r="AR67"/>
  <c r="AR249"/>
  <c r="AR68"/>
  <c r="AR368"/>
  <c r="AR369"/>
  <c r="AR142"/>
  <c r="AR250"/>
  <c r="AR143"/>
  <c r="AR144"/>
  <c r="AR145"/>
  <c r="AR69"/>
  <c r="AR70"/>
  <c r="AR71"/>
  <c r="AR370"/>
  <c r="AR72"/>
  <c r="AR251"/>
  <c r="AR252"/>
  <c r="AR166"/>
  <c r="AR167"/>
  <c r="AR73"/>
  <c r="AR74"/>
  <c r="AR75"/>
  <c r="AR76"/>
  <c r="AR253"/>
  <c r="AR77"/>
  <c r="AR371"/>
  <c r="AR372"/>
  <c r="AR254"/>
  <c r="AR255"/>
  <c r="AR78"/>
  <c r="AR256"/>
  <c r="AR146"/>
  <c r="AR194"/>
  <c r="AR195"/>
  <c r="AR196"/>
  <c r="AR197"/>
  <c r="AR79"/>
  <c r="AR373"/>
  <c r="AR257"/>
  <c r="AR147"/>
  <c r="AR258"/>
  <c r="AR374"/>
  <c r="AR375"/>
  <c r="AR376"/>
  <c r="AR80"/>
  <c r="AR81"/>
  <c r="AR82"/>
  <c r="AR377"/>
  <c r="AR378"/>
  <c r="AR259"/>
  <c r="AR379"/>
  <c r="AR260"/>
  <c r="AR261"/>
  <c r="AR380"/>
  <c r="AR148"/>
  <c r="AR262"/>
  <c r="AR263"/>
  <c r="AR83"/>
  <c r="AR84"/>
  <c r="AR198"/>
  <c r="AR264"/>
  <c r="AR168"/>
  <c r="AR381"/>
  <c r="AR85"/>
  <c r="AR86"/>
  <c r="AR382"/>
  <c r="AR265"/>
  <c r="AR266"/>
  <c r="AR87"/>
  <c r="AR267"/>
  <c r="AR268"/>
  <c r="AR269"/>
  <c r="AR383"/>
  <c r="AR149"/>
  <c r="AR88"/>
  <c r="AR150"/>
  <c r="AR384"/>
  <c r="AR151"/>
  <c r="AR89"/>
  <c r="AR152"/>
  <c r="AR270"/>
  <c r="AR271"/>
  <c r="AR153"/>
  <c r="AR385"/>
  <c r="AR272"/>
  <c r="AR273"/>
  <c r="AR274"/>
  <c r="AR275"/>
  <c r="AR276"/>
  <c r="AR277"/>
  <c r="AR386"/>
  <c r="AR387"/>
  <c r="AR388"/>
  <c r="AR90"/>
  <c r="AR278"/>
  <c r="AR389"/>
  <c r="AR390"/>
  <c r="AR391"/>
  <c r="AR392"/>
  <c r="AR154"/>
  <c r="AR393"/>
  <c r="AR279"/>
  <c r="AR91"/>
  <c r="AR394"/>
  <c r="AR395"/>
  <c r="AR396"/>
  <c r="AR155"/>
  <c r="AR397"/>
  <c r="AR398"/>
  <c r="AR399"/>
  <c r="AR400"/>
  <c r="AR401"/>
  <c r="AR402"/>
  <c r="AR280"/>
  <c r="AR403"/>
  <c r="AR92"/>
  <c r="AR281"/>
  <c r="AR282"/>
  <c r="AR404"/>
  <c r="AR169"/>
  <c r="AR93"/>
  <c r="AR156"/>
  <c r="AR170"/>
  <c r="AR405"/>
  <c r="AR283"/>
  <c r="AR284"/>
  <c r="AR285"/>
  <c r="AR94"/>
  <c r="AR406"/>
  <c r="AR171"/>
  <c r="AR286"/>
  <c r="AR287"/>
  <c r="AR157"/>
  <c r="AR288"/>
  <c r="AR289"/>
  <c r="AR290"/>
  <c r="AR95"/>
  <c r="AR96"/>
  <c r="AR97"/>
  <c r="AR98"/>
  <c r="AR99"/>
  <c r="AR100"/>
  <c r="AR101"/>
  <c r="AR199"/>
  <c r="AR407"/>
  <c r="AR408"/>
  <c r="AR200"/>
  <c r="AR102"/>
  <c r="AR103"/>
  <c r="AR291"/>
  <c r="AU104"/>
  <c r="AU105"/>
  <c r="AU106"/>
  <c r="AU107"/>
  <c r="AU292"/>
  <c r="AU293"/>
  <c r="AU294"/>
  <c r="AU295"/>
  <c r="AU296"/>
  <c r="AU297"/>
  <c r="AU298"/>
  <c r="AU108"/>
  <c r="AU109"/>
  <c r="AU299"/>
  <c r="AU201"/>
  <c r="AU202"/>
  <c r="AU110"/>
  <c r="AU300"/>
  <c r="AU172"/>
  <c r="AU2"/>
  <c r="AU3"/>
  <c r="AU203"/>
  <c r="AU301"/>
  <c r="AU302"/>
  <c r="AU204"/>
  <c r="AU4"/>
  <c r="AU5"/>
  <c r="AU205"/>
  <c r="AU303"/>
  <c r="AU111"/>
  <c r="AU112"/>
  <c r="AU304"/>
  <c r="AU206"/>
  <c r="AU305"/>
  <c r="AU207"/>
  <c r="AU306"/>
  <c r="AU307"/>
  <c r="AU308"/>
  <c r="AU309"/>
  <c r="AU113"/>
  <c r="AU208"/>
  <c r="AU114"/>
  <c r="AU209"/>
  <c r="AU310"/>
  <c r="AU210"/>
  <c r="AU211"/>
  <c r="AU6"/>
  <c r="AU7"/>
  <c r="AU8"/>
  <c r="AU311"/>
  <c r="AU115"/>
  <c r="AU116"/>
  <c r="AU117"/>
  <c r="AU9"/>
  <c r="AU10"/>
  <c r="AU11"/>
  <c r="AU312"/>
  <c r="AU212"/>
  <c r="AU213"/>
  <c r="AU12"/>
  <c r="AU214"/>
  <c r="AU13"/>
  <c r="AU313"/>
  <c r="AU14"/>
  <c r="AU15"/>
  <c r="AU314"/>
  <c r="AU315"/>
  <c r="AU118"/>
  <c r="AU16"/>
  <c r="AU119"/>
  <c r="AU215"/>
  <c r="AU216"/>
  <c r="AU120"/>
  <c r="AU121"/>
  <c r="AU217"/>
  <c r="AU316"/>
  <c r="AU218"/>
  <c r="AU219"/>
  <c r="AU220"/>
  <c r="AU317"/>
  <c r="AU122"/>
  <c r="AU158"/>
  <c r="AU17"/>
  <c r="AU318"/>
  <c r="AU319"/>
  <c r="AU18"/>
  <c r="AU320"/>
  <c r="AU221"/>
  <c r="AU222"/>
  <c r="AU321"/>
  <c r="AU322"/>
  <c r="AU323"/>
  <c r="AU223"/>
  <c r="AU123"/>
  <c r="AU324"/>
  <c r="AU325"/>
  <c r="AU326"/>
  <c r="AU19"/>
  <c r="AU20"/>
  <c r="AU21"/>
  <c r="AU224"/>
  <c r="AU22"/>
  <c r="AU124"/>
  <c r="AU327"/>
  <c r="AU225"/>
  <c r="AU125"/>
  <c r="AU126"/>
  <c r="AU328"/>
  <c r="AU173"/>
  <c r="AU329"/>
  <c r="AU23"/>
  <c r="AU24"/>
  <c r="AU226"/>
  <c r="AU25"/>
  <c r="AU330"/>
  <c r="AU26"/>
  <c r="AU331"/>
  <c r="AU332"/>
  <c r="AU27"/>
  <c r="AU333"/>
  <c r="AU334"/>
  <c r="AU28"/>
  <c r="AU29"/>
  <c r="AU335"/>
  <c r="AU336"/>
  <c r="AU30"/>
  <c r="AU31"/>
  <c r="AU32"/>
  <c r="AU33"/>
  <c r="AU34"/>
  <c r="AU337"/>
  <c r="AU35"/>
  <c r="AU338"/>
  <c r="AU227"/>
  <c r="AU339"/>
  <c r="AU340"/>
  <c r="AU36"/>
  <c r="AU37"/>
  <c r="AU38"/>
  <c r="AU174"/>
  <c r="AU39"/>
  <c r="AU341"/>
  <c r="AU342"/>
  <c r="AU228"/>
  <c r="AU229"/>
  <c r="AU343"/>
  <c r="AU344"/>
  <c r="AU40"/>
  <c r="AU345"/>
  <c r="AU127"/>
  <c r="AU346"/>
  <c r="AU41"/>
  <c r="AU347"/>
  <c r="AU42"/>
  <c r="AU348"/>
  <c r="AU159"/>
  <c r="AU349"/>
  <c r="AU160"/>
  <c r="AU43"/>
  <c r="AU230"/>
  <c r="AU350"/>
  <c r="AU175"/>
  <c r="AU231"/>
  <c r="AU176"/>
  <c r="AU177"/>
  <c r="AU232"/>
  <c r="AU351"/>
  <c r="AU233"/>
  <c r="AU352"/>
  <c r="AU353"/>
  <c r="AU234"/>
  <c r="AU44"/>
  <c r="AU128"/>
  <c r="AU45"/>
  <c r="AU161"/>
  <c r="AU46"/>
  <c r="AU178"/>
  <c r="AU179"/>
  <c r="AU47"/>
  <c r="AU180"/>
  <c r="AU162"/>
  <c r="AU181"/>
  <c r="AU354"/>
  <c r="AU355"/>
  <c r="AU48"/>
  <c r="AU49"/>
  <c r="AU182"/>
  <c r="AU235"/>
  <c r="AU356"/>
  <c r="AU129"/>
  <c r="AU183"/>
  <c r="AU236"/>
  <c r="AU237"/>
  <c r="AU184"/>
  <c r="AU185"/>
  <c r="AU238"/>
  <c r="AU130"/>
  <c r="AU131"/>
  <c r="AU50"/>
  <c r="AU357"/>
  <c r="AU239"/>
  <c r="AU240"/>
  <c r="AU163"/>
  <c r="AU132"/>
  <c r="AU51"/>
  <c r="AU241"/>
  <c r="AU242"/>
  <c r="AU164"/>
  <c r="AU165"/>
  <c r="AU358"/>
  <c r="AU186"/>
  <c r="AU187"/>
  <c r="AU133"/>
  <c r="AU52"/>
  <c r="AU359"/>
  <c r="AU53"/>
  <c r="AU54"/>
  <c r="AU55"/>
  <c r="AU56"/>
  <c r="AU57"/>
  <c r="AU134"/>
  <c r="AU360"/>
  <c r="AU361"/>
  <c r="AU188"/>
  <c r="AU189"/>
  <c r="AU135"/>
  <c r="AU136"/>
  <c r="AU137"/>
  <c r="AU138"/>
  <c r="AU58"/>
  <c r="AU362"/>
  <c r="AU59"/>
  <c r="AU243"/>
  <c r="AU363"/>
  <c r="AU139"/>
  <c r="AU244"/>
  <c r="AU190"/>
  <c r="AU191"/>
  <c r="AU192"/>
  <c r="AU60"/>
  <c r="AU61"/>
  <c r="AU62"/>
  <c r="AU245"/>
  <c r="AU63"/>
  <c r="AU64"/>
  <c r="AU246"/>
  <c r="AU247"/>
  <c r="AU364"/>
  <c r="AU193"/>
  <c r="AU140"/>
  <c r="AU65"/>
  <c r="AU141"/>
  <c r="AU365"/>
  <c r="AU366"/>
  <c r="AU367"/>
  <c r="AU248"/>
  <c r="AU66"/>
  <c r="AU67"/>
  <c r="AU249"/>
  <c r="AU68"/>
  <c r="AU368"/>
  <c r="AU369"/>
  <c r="AU142"/>
  <c r="AU250"/>
  <c r="AU143"/>
  <c r="AU144"/>
  <c r="AU145"/>
  <c r="AU69"/>
  <c r="AU70"/>
  <c r="AU71"/>
  <c r="AU370"/>
  <c r="AU72"/>
  <c r="AU251"/>
  <c r="AU252"/>
  <c r="AU166"/>
  <c r="AU167"/>
  <c r="AU73"/>
  <c r="AU74"/>
  <c r="AU75"/>
  <c r="AU76"/>
  <c r="AU253"/>
  <c r="AU77"/>
  <c r="AU371"/>
  <c r="AU372"/>
  <c r="AU254"/>
  <c r="AU255"/>
  <c r="AU78"/>
  <c r="AU256"/>
  <c r="AU146"/>
  <c r="AU194"/>
  <c r="AU195"/>
  <c r="AU196"/>
  <c r="AU197"/>
  <c r="AU79"/>
  <c r="AU373"/>
  <c r="AU257"/>
  <c r="AU147"/>
  <c r="AU258"/>
  <c r="AU374"/>
  <c r="AU375"/>
  <c r="AU376"/>
  <c r="AU80"/>
  <c r="AU81"/>
  <c r="AU82"/>
  <c r="AU377"/>
  <c r="AU378"/>
  <c r="AU259"/>
  <c r="AU379"/>
  <c r="AU260"/>
  <c r="AU261"/>
  <c r="AU380"/>
  <c r="AU148"/>
  <c r="AU262"/>
  <c r="AU263"/>
  <c r="AU83"/>
  <c r="AU84"/>
  <c r="AU198"/>
  <c r="AU264"/>
  <c r="AU168"/>
  <c r="AU381"/>
  <c r="AU85"/>
  <c r="AU86"/>
  <c r="AU382"/>
  <c r="AU265"/>
  <c r="AU266"/>
  <c r="AU87"/>
  <c r="AU267"/>
  <c r="AU268"/>
  <c r="AU269"/>
  <c r="AU383"/>
  <c r="AU149"/>
  <c r="AU88"/>
  <c r="AU150"/>
  <c r="AU384"/>
  <c r="AU151"/>
  <c r="AU89"/>
  <c r="AU152"/>
  <c r="AU270"/>
  <c r="AU271"/>
  <c r="AU153"/>
  <c r="AU385"/>
  <c r="AU272"/>
  <c r="AU273"/>
  <c r="AU274"/>
  <c r="AU275"/>
  <c r="AU276"/>
  <c r="AU277"/>
  <c r="AU386"/>
  <c r="AU387"/>
  <c r="AU388"/>
  <c r="AU90"/>
  <c r="AU278"/>
  <c r="AU389"/>
  <c r="AU390"/>
  <c r="AU391"/>
  <c r="AU392"/>
  <c r="AU154"/>
  <c r="AU393"/>
  <c r="AU279"/>
  <c r="AU91"/>
  <c r="AU394"/>
  <c r="AU395"/>
  <c r="AU396"/>
  <c r="AU155"/>
  <c r="AU397"/>
  <c r="AU398"/>
  <c r="AU399"/>
  <c r="AU400"/>
  <c r="AU401"/>
  <c r="AU402"/>
  <c r="AU280"/>
  <c r="AU403"/>
  <c r="AU92"/>
  <c r="AU281"/>
  <c r="AU282"/>
  <c r="AU404"/>
  <c r="AU169"/>
  <c r="AU93"/>
  <c r="AU156"/>
  <c r="AU170"/>
  <c r="AU405"/>
  <c r="AU283"/>
  <c r="AU284"/>
  <c r="AU285"/>
  <c r="AU94"/>
  <c r="AU406"/>
  <c r="AU171"/>
  <c r="AU286"/>
  <c r="AU287"/>
  <c r="AU157"/>
  <c r="AU288"/>
  <c r="AU289"/>
  <c r="AU290"/>
  <c r="AU95"/>
  <c r="AU96"/>
  <c r="AU97"/>
  <c r="AU98"/>
  <c r="AU99"/>
  <c r="AU100"/>
  <c r="AU101"/>
  <c r="AU199"/>
  <c r="AU407"/>
  <c r="AU408"/>
  <c r="AU200"/>
  <c r="AU102"/>
  <c r="AU103"/>
  <c r="AU291"/>
  <c r="AT409"/>
  <c r="AQ409"/>
  <c r="AN409"/>
  <c r="AK409"/>
  <c r="AH409"/>
  <c r="AE409"/>
  <c r="AB409"/>
  <c r="Y409"/>
  <c r="V409"/>
  <c r="S409"/>
  <c r="P409"/>
  <c r="M409"/>
  <c r="AX205" l="1"/>
  <c r="AX306"/>
  <c r="AX113"/>
  <c r="AX310"/>
  <c r="AX7"/>
  <c r="AX116"/>
  <c r="AX11"/>
  <c r="AX12"/>
  <c r="AX118"/>
  <c r="AX216"/>
  <c r="AX316"/>
  <c r="AX317"/>
  <c r="AX323"/>
  <c r="AX325"/>
  <c r="AX21"/>
  <c r="AX327"/>
  <c r="AX24"/>
  <c r="AX335"/>
  <c r="AX32"/>
  <c r="AX340"/>
  <c r="AX228"/>
  <c r="AX159"/>
  <c r="AX230"/>
  <c r="AX233"/>
  <c r="AX46"/>
  <c r="AX355"/>
  <c r="AX238"/>
  <c r="AX357"/>
  <c r="AX164"/>
  <c r="AX187"/>
  <c r="AX188"/>
  <c r="AX137"/>
  <c r="AX59"/>
  <c r="AX63"/>
  <c r="AX364"/>
  <c r="AX141"/>
  <c r="AX250"/>
  <c r="AX69"/>
  <c r="AX72"/>
  <c r="AX167"/>
  <c r="AX76"/>
  <c r="AX372"/>
  <c r="AX256"/>
  <c r="AX196"/>
  <c r="AX257"/>
  <c r="AX375"/>
  <c r="AX82"/>
  <c r="AX379"/>
  <c r="AX148"/>
  <c r="AX381"/>
  <c r="AX265"/>
  <c r="AX268"/>
  <c r="AX89"/>
  <c r="AX153"/>
  <c r="AX274"/>
  <c r="AX386"/>
  <c r="AX392"/>
  <c r="AX91"/>
  <c r="AX155"/>
  <c r="AX400"/>
  <c r="AX285"/>
  <c r="AX286"/>
  <c r="AX289"/>
  <c r="AX97"/>
  <c r="AX101"/>
  <c r="AX200"/>
  <c r="AX298"/>
  <c r="AX172"/>
  <c r="AX301"/>
  <c r="AX296"/>
  <c r="AX110"/>
  <c r="AX107"/>
  <c r="AX202"/>
  <c r="AX2"/>
  <c r="AX303"/>
  <c r="AX206"/>
  <c r="AX307"/>
  <c r="AX208"/>
  <c r="AX210"/>
  <c r="AX8"/>
  <c r="AX117"/>
  <c r="AX312"/>
  <c r="AX214"/>
  <c r="AX15"/>
  <c r="AX120"/>
  <c r="AX218"/>
  <c r="AX122"/>
  <c r="AX319"/>
  <c r="AX222"/>
  <c r="AX223"/>
  <c r="AX326"/>
  <c r="AX224"/>
  <c r="AX225"/>
  <c r="AX173"/>
  <c r="AX226"/>
  <c r="AX334"/>
  <c r="AX336"/>
  <c r="AX33"/>
  <c r="AX36"/>
  <c r="AX345"/>
  <c r="AX347"/>
  <c r="AX349"/>
  <c r="AX177"/>
  <c r="AX128"/>
  <c r="AX48"/>
  <c r="AX356"/>
  <c r="AX237"/>
  <c r="AX130"/>
  <c r="AX189"/>
  <c r="AX243"/>
  <c r="AX190"/>
  <c r="AX61"/>
  <c r="AX193"/>
  <c r="AX365"/>
  <c r="AX66"/>
  <c r="AX368"/>
  <c r="AX143"/>
  <c r="AX70"/>
  <c r="AX251"/>
  <c r="AX73"/>
  <c r="AX253"/>
  <c r="AX197"/>
  <c r="AX147"/>
  <c r="AX376"/>
  <c r="AX377"/>
  <c r="AX262"/>
  <c r="AX198"/>
  <c r="AX266"/>
  <c r="AX269"/>
  <c r="AX150"/>
  <c r="AX387"/>
  <c r="AX389"/>
  <c r="AX394"/>
  <c r="AX397"/>
  <c r="AX401"/>
  <c r="AX405"/>
  <c r="AX94"/>
  <c r="AX199"/>
  <c r="AX102"/>
  <c r="AX104"/>
  <c r="AX292"/>
  <c r="AX297"/>
  <c r="AX108"/>
  <c r="AX109"/>
  <c r="AX204"/>
  <c r="AX106"/>
  <c r="AX293"/>
  <c r="AX294"/>
  <c r="AX295"/>
  <c r="AX201"/>
  <c r="AX3"/>
  <c r="AX203"/>
  <c r="AX302"/>
  <c r="AX5"/>
  <c r="AX304"/>
  <c r="AX207"/>
  <c r="AX311"/>
  <c r="AX10"/>
  <c r="AX213"/>
  <c r="AX14"/>
  <c r="AX16"/>
  <c r="AX318"/>
  <c r="AX221"/>
  <c r="AX324"/>
  <c r="AX328"/>
  <c r="AX25"/>
  <c r="AX330"/>
  <c r="AX26"/>
  <c r="AX331"/>
  <c r="AX333"/>
  <c r="AX29"/>
  <c r="AX31"/>
  <c r="AX337"/>
  <c r="AX338"/>
  <c r="AX339"/>
  <c r="AX343"/>
  <c r="AX127"/>
  <c r="AX42"/>
  <c r="AX231"/>
  <c r="AX176"/>
  <c r="AX352"/>
  <c r="AX353"/>
  <c r="AX45"/>
  <c r="AX178"/>
  <c r="AX49"/>
  <c r="AX235"/>
  <c r="AX236"/>
  <c r="AX184"/>
  <c r="AX240"/>
  <c r="AX132"/>
  <c r="AX51"/>
  <c r="AX133"/>
  <c r="AX359"/>
  <c r="AX53"/>
  <c r="AX55"/>
  <c r="AX57"/>
  <c r="AX134"/>
  <c r="AX361"/>
  <c r="AX136"/>
  <c r="AX362"/>
  <c r="AX140"/>
  <c r="AX68"/>
  <c r="AX144"/>
  <c r="AX370"/>
  <c r="AX75"/>
  <c r="AX77"/>
  <c r="AX254"/>
  <c r="AX146"/>
  <c r="AX194"/>
  <c r="AX374"/>
  <c r="AX81"/>
  <c r="AX260"/>
  <c r="AX84"/>
  <c r="AX264"/>
  <c r="AX85"/>
  <c r="AX88"/>
  <c r="AX151"/>
  <c r="AX152"/>
  <c r="AX385"/>
  <c r="AX275"/>
  <c r="AX278"/>
  <c r="AX154"/>
  <c r="AX393"/>
  <c r="AX396"/>
  <c r="AX399"/>
  <c r="AX402"/>
  <c r="AX403"/>
  <c r="AX92"/>
  <c r="AX169"/>
  <c r="AX170"/>
  <c r="AX287"/>
  <c r="AX157"/>
  <c r="AX290"/>
  <c r="AX96"/>
  <c r="AX98"/>
  <c r="AX248"/>
  <c r="AX380"/>
  <c r="AX86"/>
  <c r="AX267"/>
  <c r="AX404"/>
  <c r="AX291"/>
  <c r="AW409"/>
  <c r="AX35"/>
  <c r="AX38"/>
  <c r="AX174"/>
  <c r="AX39"/>
  <c r="AX229"/>
  <c r="AX344"/>
  <c r="AX40"/>
  <c r="AX346"/>
  <c r="AX41"/>
  <c r="AX350"/>
  <c r="AX232"/>
  <c r="AX351"/>
  <c r="AX44"/>
  <c r="AX161"/>
  <c r="AX180"/>
  <c r="AX162"/>
  <c r="AX182"/>
  <c r="AX129"/>
  <c r="AX183"/>
  <c r="AX131"/>
  <c r="AX239"/>
  <c r="AX163"/>
  <c r="AX165"/>
  <c r="AX186"/>
  <c r="AX54"/>
  <c r="AX138"/>
  <c r="AX244"/>
  <c r="AX192"/>
  <c r="AX60"/>
  <c r="AX64"/>
  <c r="AX246"/>
  <c r="A104"/>
  <c r="A105"/>
  <c r="A106"/>
  <c r="A107"/>
  <c r="A292"/>
  <c r="A293"/>
  <c r="A294"/>
  <c r="A295"/>
  <c r="A296"/>
  <c r="A297"/>
  <c r="A298"/>
  <c r="A108"/>
  <c r="A109"/>
  <c r="A299"/>
  <c r="A201"/>
  <c r="A202"/>
  <c r="A110"/>
  <c r="A300"/>
  <c r="A172"/>
  <c r="A2"/>
  <c r="A3"/>
  <c r="A203"/>
  <c r="A301"/>
  <c r="A302"/>
  <c r="A204"/>
  <c r="A4"/>
  <c r="A5"/>
  <c r="A205"/>
  <c r="A303"/>
  <c r="A111"/>
  <c r="A112"/>
  <c r="A304"/>
  <c r="A206"/>
  <c r="A305"/>
  <c r="A207"/>
  <c r="A306"/>
  <c r="A307"/>
  <c r="A308"/>
  <c r="A309"/>
  <c r="A113"/>
  <c r="A208"/>
  <c r="A114"/>
  <c r="A209"/>
  <c r="A310"/>
  <c r="A210"/>
  <c r="A211"/>
  <c r="A6"/>
  <c r="A7"/>
  <c r="A8"/>
  <c r="A311"/>
  <c r="A115"/>
  <c r="A116"/>
  <c r="A117"/>
  <c r="A9"/>
  <c r="A10"/>
  <c r="A11"/>
  <c r="A312"/>
  <c r="A212"/>
  <c r="A213"/>
  <c r="A12"/>
  <c r="A214"/>
  <c r="A13"/>
  <c r="A313"/>
  <c r="A14"/>
  <c r="A15"/>
  <c r="A314"/>
  <c r="A315"/>
  <c r="A118"/>
  <c r="A16"/>
  <c r="A119"/>
  <c r="A215"/>
  <c r="A216"/>
  <c r="A120"/>
  <c r="A121"/>
  <c r="A217"/>
  <c r="A316"/>
  <c r="A218"/>
  <c r="A219"/>
  <c r="A220"/>
  <c r="A317"/>
  <c r="A122"/>
  <c r="A158"/>
  <c r="A17"/>
  <c r="A318"/>
  <c r="A319"/>
  <c r="A18"/>
  <c r="A320"/>
  <c r="A221"/>
  <c r="A222"/>
  <c r="A321"/>
  <c r="A322"/>
  <c r="A323"/>
  <c r="A223"/>
  <c r="A123"/>
  <c r="A324"/>
  <c r="A325"/>
  <c r="A326"/>
  <c r="A19"/>
  <c r="A20"/>
  <c r="A21"/>
  <c r="A224"/>
  <c r="A22"/>
  <c r="A124"/>
  <c r="A327"/>
  <c r="A225"/>
  <c r="A125"/>
  <c r="A126"/>
  <c r="A328"/>
  <c r="A173"/>
  <c r="A329"/>
  <c r="A23"/>
  <c r="A24"/>
  <c r="A226"/>
  <c r="A25"/>
  <c r="A330"/>
  <c r="A26"/>
  <c r="A331"/>
  <c r="A332"/>
  <c r="A27"/>
  <c r="A333"/>
  <c r="A334"/>
  <c r="A28"/>
  <c r="A29"/>
  <c r="A335"/>
  <c r="A336"/>
  <c r="A30"/>
  <c r="A31"/>
  <c r="A32"/>
  <c r="A33"/>
  <c r="A34"/>
  <c r="A337"/>
  <c r="A35"/>
  <c r="A338"/>
  <c r="A227"/>
  <c r="A339"/>
  <c r="A340"/>
  <c r="A36"/>
  <c r="A37"/>
  <c r="A38"/>
  <c r="A174"/>
  <c r="A39"/>
  <c r="A341"/>
  <c r="A342"/>
  <c r="A228"/>
  <c r="A229"/>
  <c r="A343"/>
  <c r="A344"/>
  <c r="A40"/>
  <c r="A345"/>
  <c r="A127"/>
  <c r="A346"/>
  <c r="A41"/>
  <c r="A347"/>
  <c r="A42"/>
  <c r="A348"/>
  <c r="A159"/>
  <c r="A349"/>
  <c r="A160"/>
  <c r="A43"/>
  <c r="A230"/>
  <c r="A350"/>
  <c r="A175"/>
  <c r="A231"/>
  <c r="A176"/>
  <c r="A177"/>
  <c r="A232"/>
  <c r="A351"/>
  <c r="A233"/>
  <c r="A352"/>
  <c r="A353"/>
  <c r="A234"/>
  <c r="A44"/>
  <c r="A128"/>
  <c r="A45"/>
  <c r="A161"/>
  <c r="A46"/>
  <c r="A178"/>
  <c r="A179"/>
  <c r="A47"/>
  <c r="A180"/>
  <c r="A162"/>
  <c r="A181"/>
  <c r="A354"/>
  <c r="A355"/>
  <c r="A48"/>
  <c r="A49"/>
  <c r="A182"/>
  <c r="A235"/>
  <c r="A356"/>
  <c r="A129"/>
  <c r="A183"/>
  <c r="A236"/>
  <c r="A237"/>
  <c r="A184"/>
  <c r="A185"/>
  <c r="A238"/>
  <c r="A130"/>
  <c r="A131"/>
  <c r="A50"/>
  <c r="A357"/>
  <c r="A239"/>
  <c r="A240"/>
  <c r="A163"/>
  <c r="A132"/>
  <c r="A51"/>
  <c r="A241"/>
  <c r="A242"/>
  <c r="A164"/>
  <c r="A165"/>
  <c r="A358"/>
  <c r="A186"/>
  <c r="A187"/>
  <c r="A133"/>
  <c r="A52"/>
  <c r="A359"/>
  <c r="A53"/>
  <c r="A54"/>
  <c r="A55"/>
  <c r="A56"/>
  <c r="A57"/>
  <c r="A134"/>
  <c r="A360"/>
  <c r="A361"/>
  <c r="A188"/>
  <c r="A189"/>
  <c r="A135"/>
  <c r="A136"/>
  <c r="A137"/>
  <c r="A138"/>
  <c r="A58"/>
  <c r="A362"/>
  <c r="A59"/>
  <c r="A243"/>
  <c r="A363"/>
  <c r="A139"/>
  <c r="A244"/>
  <c r="A190"/>
  <c r="A191"/>
  <c r="A192"/>
  <c r="A60"/>
  <c r="A61"/>
  <c r="A62"/>
  <c r="A245"/>
  <c r="A63"/>
  <c r="A64"/>
  <c r="A246"/>
  <c r="A247"/>
  <c r="A364"/>
  <c r="A193"/>
  <c r="A140"/>
  <c r="A65"/>
  <c r="A141"/>
  <c r="A365"/>
  <c r="A366"/>
  <c r="A367"/>
  <c r="A248"/>
  <c r="A66"/>
  <c r="A67"/>
  <c r="A249"/>
  <c r="A68"/>
  <c r="A368"/>
  <c r="A369"/>
  <c r="A142"/>
  <c r="A250"/>
  <c r="A143"/>
  <c r="A144"/>
  <c r="A145"/>
  <c r="A69"/>
  <c r="A70"/>
  <c r="A71"/>
  <c r="A370"/>
  <c r="A72"/>
  <c r="A251"/>
  <c r="A252"/>
  <c r="A166"/>
  <c r="A167"/>
  <c r="A73"/>
  <c r="A74"/>
  <c r="A75"/>
  <c r="A76"/>
  <c r="A253"/>
  <c r="A77"/>
  <c r="A371"/>
  <c r="A372"/>
  <c r="A254"/>
  <c r="A255"/>
  <c r="A78"/>
  <c r="A256"/>
  <c r="A146"/>
  <c r="A194"/>
  <c r="A195"/>
  <c r="A196"/>
  <c r="A197"/>
  <c r="A79"/>
  <c r="A373"/>
  <c r="A257"/>
  <c r="A147"/>
  <c r="A258"/>
  <c r="A374"/>
  <c r="A375"/>
  <c r="A376"/>
  <c r="A80"/>
  <c r="A81"/>
  <c r="A82"/>
  <c r="A377"/>
  <c r="A378"/>
  <c r="A259"/>
  <c r="A379"/>
  <c r="A260"/>
  <c r="A261"/>
  <c r="A380"/>
  <c r="A148"/>
  <c r="A262"/>
  <c r="A263"/>
  <c r="A83"/>
  <c r="A84"/>
  <c r="A198"/>
  <c r="A264"/>
  <c r="A168"/>
  <c r="A381"/>
  <c r="A85"/>
  <c r="A86"/>
  <c r="A382"/>
  <c r="A265"/>
  <c r="A266"/>
  <c r="A87"/>
  <c r="A267"/>
  <c r="A268"/>
  <c r="A269"/>
  <c r="A383"/>
  <c r="A149"/>
  <c r="A88"/>
  <c r="A150"/>
  <c r="A384"/>
  <c r="A151"/>
  <c r="A89"/>
  <c r="A152"/>
  <c r="A270"/>
  <c r="A271"/>
  <c r="A153"/>
  <c r="A385"/>
  <c r="A272"/>
  <c r="A273"/>
  <c r="A274"/>
  <c r="A275"/>
  <c r="A276"/>
  <c r="A277"/>
  <c r="A386"/>
  <c r="A387"/>
  <c r="A388"/>
  <c r="A90"/>
  <c r="A278"/>
  <c r="A389"/>
  <c r="A390"/>
  <c r="A391"/>
  <c r="A392"/>
  <c r="A154"/>
  <c r="A393"/>
  <c r="A279"/>
  <c r="A91"/>
  <c r="A394"/>
  <c r="A395"/>
  <c r="A396"/>
  <c r="A155"/>
  <c r="A397"/>
  <c r="A398"/>
  <c r="A399"/>
  <c r="A400"/>
  <c r="A401"/>
  <c r="A402"/>
  <c r="A280"/>
  <c r="A403"/>
  <c r="A92"/>
  <c r="A281"/>
  <c r="A282"/>
  <c r="A404"/>
  <c r="A169"/>
  <c r="A93"/>
  <c r="A156"/>
  <c r="A170"/>
  <c r="A405"/>
  <c r="A283"/>
  <c r="A284"/>
  <c r="A285"/>
  <c r="A94"/>
  <c r="A406"/>
  <c r="A171"/>
  <c r="A286"/>
  <c r="A287"/>
  <c r="A157"/>
  <c r="A288"/>
  <c r="A289"/>
  <c r="A290"/>
  <c r="A95"/>
  <c r="A96"/>
  <c r="A97"/>
  <c r="A98"/>
  <c r="A99"/>
  <c r="A100"/>
  <c r="A101"/>
  <c r="A199"/>
  <c r="A407"/>
  <c r="A408"/>
  <c r="A200"/>
  <c r="A102"/>
  <c r="A103"/>
  <c r="A291"/>
  <c r="AX409" l="1"/>
  <c r="AV409"/>
  <c r="AP409"/>
  <c r="AR409" s="1"/>
  <c r="AM409"/>
  <c r="AO409" s="1"/>
  <c r="AJ409"/>
  <c r="AL409" s="1"/>
  <c r="AG409"/>
  <c r="AI409" s="1"/>
  <c r="AD409"/>
  <c r="AF409" s="1"/>
  <c r="AA409"/>
  <c r="AC409" s="1"/>
  <c r="X409"/>
  <c r="Z409" s="1"/>
  <c r="U409"/>
  <c r="W409" s="1"/>
  <c r="R409"/>
  <c r="T409" s="1"/>
  <c r="O409"/>
  <c r="Q409" s="1"/>
  <c r="L409"/>
  <c r="N409" s="1"/>
  <c r="AS409"/>
  <c r="AU409" s="1"/>
  <c r="J36" i="10" l="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I36"/>
  <c r="H36"/>
  <c r="G36"/>
  <c r="F36"/>
  <c r="E36"/>
  <c r="D36"/>
  <c r="Q3" l="1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K36"/>
  <c r="L36"/>
  <c r="M36"/>
  <c r="N36"/>
  <c r="O36"/>
  <c r="P36"/>
</calcChain>
</file>

<file path=xl/sharedStrings.xml><?xml version="1.0" encoding="utf-8"?>
<sst xmlns="http://schemas.openxmlformats.org/spreadsheetml/2006/main" count="5086" uniqueCount="3244">
  <si>
    <t>CHITTORGARH</t>
  </si>
  <si>
    <t>AJMER</t>
  </si>
  <si>
    <t>BHARATPUR</t>
  </si>
  <si>
    <t>JAIPUR</t>
  </si>
  <si>
    <t>YADAV BUILDING MATERIAL</t>
  </si>
  <si>
    <t>JODHPUR</t>
  </si>
  <si>
    <t>NAVEEN DISTRIBUTORS</t>
  </si>
  <si>
    <t>JAISALMER</t>
  </si>
  <si>
    <t>SRI GANGANAGAR</t>
  </si>
  <si>
    <t>SAWAI MADHOPUR</t>
  </si>
  <si>
    <t>BANSWARA</t>
  </si>
  <si>
    <t>HANUMANGARH</t>
  </si>
  <si>
    <t>BARMER</t>
  </si>
  <si>
    <t>BIKANER</t>
  </si>
  <si>
    <t>JHALAWAR</t>
  </si>
  <si>
    <t>DUNGARPUR</t>
  </si>
  <si>
    <t>BALAJI CEMENT AGENCY</t>
  </si>
  <si>
    <t>SIKAR</t>
  </si>
  <si>
    <t>KOTA</t>
  </si>
  <si>
    <t>SAINI BUILDING MATERIAL SUPPLI</t>
  </si>
  <si>
    <t>SAINI TRADERS</t>
  </si>
  <si>
    <t>Kuntal Building Material</t>
  </si>
  <si>
    <t>ARTI BUILDING MATERIAL</t>
  </si>
  <si>
    <t>KARAULI</t>
  </si>
  <si>
    <t>SHRI BALAJI BUILDING MATERIAL</t>
  </si>
  <si>
    <t>PRATAPGARH</t>
  </si>
  <si>
    <t>LAXMI BUILDING MATERIAL</t>
  </si>
  <si>
    <t>MITALI ALLOYS PVT LTD</t>
  </si>
  <si>
    <t>ALWAR</t>
  </si>
  <si>
    <t>AGARWAL AGENCIES</t>
  </si>
  <si>
    <t>NAGAUR</t>
  </si>
  <si>
    <t>GARG AGRO AGENCIES</t>
  </si>
  <si>
    <t>ASHWINI AND SONS</t>
  </si>
  <si>
    <t>SAINI BUILDING MATERIAL</t>
  </si>
  <si>
    <t>SHIV SHAKTI BUILDING MATERIAL</t>
  </si>
  <si>
    <t>AGARWAL MACHINERY STORES</t>
  </si>
  <si>
    <t>SHRI GOMTI BM &amp; SUPPLIERS</t>
  </si>
  <si>
    <t>DHOLPUR</t>
  </si>
  <si>
    <t>SHARMA CEMENT AGENCY</t>
  </si>
  <si>
    <t>PAHARIA CHEMICALS</t>
  </si>
  <si>
    <t>POOJA TRADING COMPANY</t>
  </si>
  <si>
    <t>BANSAL TRADING COMPANY</t>
  </si>
  <si>
    <t>AGARWAL CEMENT AGENCY</t>
  </si>
  <si>
    <t>TONK</t>
  </si>
  <si>
    <t>MAA BHAGWATI TRADERS</t>
  </si>
  <si>
    <t>BHILWARA</t>
  </si>
  <si>
    <t>MAHAVEER ASSOCIATES</t>
  </si>
  <si>
    <t>SHREE SHYAM TRADERS</t>
  </si>
  <si>
    <t>KHAJANCHI TRADING CO.</t>
  </si>
  <si>
    <t>MASTER CEMENT AGENCY</t>
  </si>
  <si>
    <t>SHARMA TRADERS</t>
  </si>
  <si>
    <t>CHURU</t>
  </si>
  <si>
    <t>BUNDI</t>
  </si>
  <si>
    <t>SHIV TRADERS</t>
  </si>
  <si>
    <t>JALORE</t>
  </si>
  <si>
    <t>RIDHI SIDHI TRADERS</t>
  </si>
  <si>
    <t>BARAN</t>
  </si>
  <si>
    <t>SHIKHA ENTERPRSIES</t>
  </si>
  <si>
    <t>SHAH TRADERS</t>
  </si>
  <si>
    <t>SHIV CHARAN LAL RAKESH KUMAR</t>
  </si>
  <si>
    <t>Goyal &amp; Co.</t>
  </si>
  <si>
    <t>SHREE BALAJI TRADERS</t>
  </si>
  <si>
    <t>PAWAN BUILDERS</t>
  </si>
  <si>
    <t>VED (MP) CEMENT AGENCY</t>
  </si>
  <si>
    <t>R K TRADERS</t>
  </si>
  <si>
    <t>JHUNJHUNU</t>
  </si>
  <si>
    <t>UMA IRON &amp; CEMENT AGENCY</t>
  </si>
  <si>
    <t>RIDHIMA ENTERPRISES</t>
  </si>
  <si>
    <t>SISODIYA TRADERS</t>
  </si>
  <si>
    <t>GARG TRADING COMPANY</t>
  </si>
  <si>
    <t>OM CEMENT HOUSE</t>
  </si>
  <si>
    <t>H S TRADERS</t>
  </si>
  <si>
    <t>YADAV TRADING COMPANY</t>
  </si>
  <si>
    <t>YADAV CEMENT AGENCY</t>
  </si>
  <si>
    <t>SHREE JI BUILDING MATERIAL STO</t>
  </si>
  <si>
    <t>UDAIPUR</t>
  </si>
  <si>
    <t>SHIV SHAKTI TRADERS</t>
  </si>
  <si>
    <t>RAJSAMAND</t>
  </si>
  <si>
    <t>SIROHI</t>
  </si>
  <si>
    <t>KHANDELWAL CEMENT AGENCY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</si>
  <si>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</si>
  <si>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</si>
  <si>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</si>
  <si>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</si>
  <si>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</si>
  <si>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</si>
  <si>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</si>
  <si>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</si>
  <si>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</si>
  <si>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</si>
  <si>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DAUSA</t>
  </si>
  <si>
    <t>BADAYA TRADERS</t>
  </si>
  <si>
    <t>KHANDELWAL TRADERS</t>
  </si>
  <si>
    <t>SHRI BALAJI CEMENT AGENCY</t>
  </si>
  <si>
    <t>BALAJI TRADERS</t>
  </si>
  <si>
    <t>RAHUL BUILDING MATERIAL</t>
  </si>
  <si>
    <t>YOGESH TRADERS</t>
  </si>
  <si>
    <t>NIKHIL ASSOCIATE</t>
  </si>
  <si>
    <t>JAI SHREE GANESH BUILDING MATE</t>
  </si>
  <si>
    <t>GUPTA HARDWARE STORE</t>
  </si>
  <si>
    <t>RAVINDRA SINGH PARMAR</t>
  </si>
  <si>
    <t>ANKIT TRADERS</t>
  </si>
  <si>
    <t>HEMLATA CEMENT AGENCY</t>
  </si>
  <si>
    <t>KISAAN KHAD BEEJ BHANDAR</t>
  </si>
  <si>
    <t>GURUKRIPA BUILDING MATERIAL</t>
  </si>
  <si>
    <t>DEEPAK TRADING COMPANY</t>
  </si>
  <si>
    <t>SHRI KRISHNA TRADERS</t>
  </si>
  <si>
    <t>SURESH CHAND &amp; CO</t>
  </si>
  <si>
    <t>SHANKAR KHAD BHANDAR</t>
  </si>
  <si>
    <t>KUMAWAT CEMENT AGENCY</t>
  </si>
  <si>
    <t>SANJAY KUMAR SAINI</t>
  </si>
  <si>
    <t>GUPTA TRADERS</t>
  </si>
  <si>
    <t>YADHWANSHI BUILDING MATERIAL</t>
  </si>
  <si>
    <t>ANSHU CEMENT AGENCY</t>
  </si>
  <si>
    <t>ROHIT TRADERS</t>
  </si>
  <si>
    <t>SWASTIK CEMENT AGENCIES</t>
  </si>
  <si>
    <t>SHREE KRISHNA CEMENT STORE</t>
  </si>
  <si>
    <t>JAGDAMBEY BUILDING MATERIAL SU</t>
  </si>
  <si>
    <t>JAI JASOL MAA BUILDING MATERIA</t>
  </si>
  <si>
    <t>BANSAL IRON &amp; CEMENT TRADERS</t>
  </si>
  <si>
    <t>HITA JK SUPER CEMENT</t>
  </si>
  <si>
    <t>SHREE GOPAL TRADING CO</t>
  </si>
  <si>
    <t>NIRBHAY CEMENT AGENCY</t>
  </si>
  <si>
    <t>HARI OM TRADERS</t>
  </si>
  <si>
    <t>PALI</t>
  </si>
  <si>
    <t>VINAYAK TRADERS</t>
  </si>
  <si>
    <t>MANGAL BUILDING MATERIAL STORE</t>
  </si>
  <si>
    <t>JAIN KHAD BEEJ BHANDAR</t>
  </si>
  <si>
    <t>DEEPAK TRADING CO</t>
  </si>
  <si>
    <t>BANSAL MARBLES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</si>
  <si>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</si>
  <si>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</si>
  <si>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</si>
  <si>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</si>
  <si>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</si>
  <si>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</si>
  <si>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MISHRA TRADERS</t>
  </si>
  <si>
    <t>SHIVANSH TRADERS</t>
  </si>
  <si>
    <t>SUKHDEV JI GUPTA</t>
  </si>
  <si>
    <t>AMERIA BUILDING MATERIAL</t>
  </si>
  <si>
    <t>KUSHAL TRADING COMPANY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</si>
  <si>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</si>
  <si>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</si>
  <si>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</si>
  <si>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</si>
  <si>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</si>
  <si>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GOYAL TRADERS</t>
  </si>
  <si>
    <t>SHRI LAXMI MOTORS</t>
  </si>
  <si>
    <t>MAHAVEER BUILDING MATERIAL</t>
  </si>
  <si>
    <t>PRABHU DAYAL HARISH CHAND</t>
  </si>
  <si>
    <t>KUMAWAT TRADERS</t>
  </si>
  <si>
    <t>NAITIK TRADERS</t>
  </si>
  <si>
    <t>TIWARI AGENCIES</t>
  </si>
  <si>
    <t>SARAS ENTERPRISES</t>
  </si>
  <si>
    <t>AGARWAL TRADERS</t>
  </si>
  <si>
    <t>DEV CEMENT AGENCY</t>
  </si>
  <si>
    <t>GOMTI BUILDING MATERIAL STORE</t>
  </si>
  <si>
    <t>BANKE BIHARI KHAD BEEJ BHANDAR</t>
  </si>
  <si>
    <t>B M TRADING &amp; CONSTRUCTION COM</t>
  </si>
  <si>
    <t>CHOUDHARY TRADERS</t>
  </si>
  <si>
    <t>MANISH CEMENT AGENCY</t>
  </si>
  <si>
    <t>SHIV SHANKAR BUILDING MATERIAL</t>
  </si>
  <si>
    <t>NARENDRA SUPPLIERS</t>
  </si>
  <si>
    <t>SAINI KHAD BEEJ BHANDAR</t>
  </si>
  <si>
    <t>AGGARWAL CEMENT STORE</t>
  </si>
  <si>
    <t>NEW SAINI TRADING COMPANY</t>
  </si>
  <si>
    <t>BABA TRADING COMPANY</t>
  </si>
  <si>
    <t>S S AGRAWAL AND COMPANY</t>
  </si>
  <si>
    <t>GAURAV MARBLE</t>
  </si>
  <si>
    <t>GD ASSOCIATES</t>
  </si>
  <si>
    <t>DURGESH ENTERPRISES</t>
  </si>
  <si>
    <t>GOYAL CONSTRUCTION &amp; CONSULTAN</t>
  </si>
  <si>
    <t>OM TRADERS</t>
  </si>
  <si>
    <t>RAM JI BUILDING MATERIAL SUPPL</t>
  </si>
  <si>
    <t>MAA TRADERS</t>
  </si>
  <si>
    <t>ADITYA ENTERPRISES</t>
  </si>
  <si>
    <t>SHARMA SALES CORPORATION</t>
  </si>
  <si>
    <t>SITARAM INFRA PROJECTS</t>
  </si>
  <si>
    <t>GHODELA BUILDING MATERIAL AND</t>
  </si>
  <si>
    <t>MANGLA STEELS AGENCY</t>
  </si>
  <si>
    <t>SARWAN KUMAR MAHESH KUMAR</t>
  </si>
  <si>
    <t>LAXMI BUILDING MATERIAL STORE</t>
  </si>
  <si>
    <t>GOVIND TRADERS</t>
  </si>
  <si>
    <t>KARTIK ENTERPRISES</t>
  </si>
  <si>
    <t>GANESH AGENCIES</t>
  </si>
  <si>
    <t>AGRAWAL TRADERS</t>
  </si>
  <si>
    <t>DIPESH STEEL AND BUILDING MATE</t>
  </si>
  <si>
    <t>SHRI BAJRANG STEEL &amp; CEMENT AG</t>
  </si>
  <si>
    <t>ASHISH SALES CORPORATION</t>
  </si>
  <si>
    <t>ANUPAM PAINTS AND HARDWARES</t>
  </si>
  <si>
    <t>KEDIA TRADING COMPANY</t>
  </si>
  <si>
    <t>SHREE SHYAM BUILDING MATERIAL</t>
  </si>
  <si>
    <t>JAI BAJRANG STEELS</t>
  </si>
  <si>
    <t>MAHA LAXMI SALES</t>
  </si>
  <si>
    <t>KUMAWAT CONSTRUTION AND SUPPLI</t>
  </si>
  <si>
    <t>VINAYAK TRADE HOME</t>
  </si>
  <si>
    <t>ABHAY CONSTRUCTION AND PROPERT</t>
  </si>
  <si>
    <t>SHRI LAXMI AGENCIES</t>
  </si>
  <si>
    <t>VIVEK ENTERPRISES</t>
  </si>
  <si>
    <t>M.N.ASSOCIATES</t>
  </si>
  <si>
    <t>R S TRADERS</t>
  </si>
  <si>
    <t>SAINI STONE SUPPLIERS</t>
  </si>
  <si>
    <t>SHARMA BUILDING MATERIAL SUPPL</t>
  </si>
  <si>
    <t>SATISH CHAND GUPTA</t>
  </si>
  <si>
    <t>BANWARI LAL KUMHAR</t>
  </si>
  <si>
    <t>ASHISH TRADERS</t>
  </si>
  <si>
    <t>SHRI MINESH CONSTRUCTION COMPA</t>
  </si>
  <si>
    <t>SHARMA BUILDING MATERIAL</t>
  </si>
  <si>
    <t>KHANDELWAL TRADING AND COMPANY</t>
  </si>
  <si>
    <t>AKHIL AGARWAL</t>
  </si>
  <si>
    <t>RAHUL SALES</t>
  </si>
  <si>
    <t>ROSHAN SAINI</t>
  </si>
  <si>
    <t>HIMANI ASSOCIATES</t>
  </si>
  <si>
    <t>ARPIT TRADERS</t>
  </si>
  <si>
    <t>PRAJAPAT CEMENT AGENCY</t>
  </si>
  <si>
    <t>RUPESH KHANDELWAL BUILDERS</t>
  </si>
  <si>
    <t>KALPANA CEMENT AGENCY</t>
  </si>
  <si>
    <t>KANHA BUILDERS</t>
  </si>
  <si>
    <t>SHRI SHYAM TENT HOUSE</t>
  </si>
  <si>
    <t>RUCHI ENTERPRISES</t>
  </si>
  <si>
    <t>M K STEEL &amp; DÉCOR</t>
  </si>
  <si>
    <t>HARI BUILDING MATERIAL</t>
  </si>
  <si>
    <t>NEESHA BUILDING MATERIALS</t>
  </si>
  <si>
    <t>ROHIT STEEL AND BUILDING MATER</t>
  </si>
  <si>
    <t>DRASHTIKA ENTERPRISES</t>
  </si>
  <si>
    <t>SHIV CEMENT AGENCY</t>
  </si>
  <si>
    <t>KARTIK SANITARY &amp; BUILDING MAT</t>
  </si>
  <si>
    <t>MITTAL AGENCY</t>
  </si>
  <si>
    <t>CHHITAR MAL KUMAWAT</t>
  </si>
  <si>
    <t>VAIBHAV ENTERPRISES</t>
  </si>
  <si>
    <t>PUNJABI BUILDING MATERIALS</t>
  </si>
  <si>
    <t>GAURAV CONSTRUCTION</t>
  </si>
  <si>
    <t>BHAIRAV BUILDING MATERIAL SUPP</t>
  </si>
  <si>
    <t>M A TRADING COMPANY</t>
  </si>
  <si>
    <t>RAVITA TRADERS</t>
  </si>
  <si>
    <t>SHARDA TRADERS</t>
  </si>
  <si>
    <t>SHARDA ENTERPRISES</t>
  </si>
  <si>
    <t>SHREE GIRIRAJ TRADERS</t>
  </si>
  <si>
    <t>JAI MATADI  BUILDING MATERIAL</t>
  </si>
  <si>
    <t>RUDRA TRADERS</t>
  </si>
  <si>
    <t>S R TRADERS</t>
  </si>
  <si>
    <t>ANIL SALES</t>
  </si>
  <si>
    <t>AGRWAL TRADERS</t>
  </si>
  <si>
    <t>TAMBI TRADING CO</t>
  </si>
  <si>
    <t>GUPTA BUILDING MATERIAL SUPPLI</t>
  </si>
  <si>
    <t>SUMAN ENTERPRISES</t>
  </si>
  <si>
    <t>SUIWAL BROTHERS</t>
  </si>
  <si>
    <t>OM SHIV CEMENT SUPPLIERS</t>
  </si>
  <si>
    <t>SHRI RAM BUILDING MATERIAL</t>
  </si>
  <si>
    <t>J.K. CEMENT AGENCY</t>
  </si>
  <si>
    <t>NATIONAL BUILDERS</t>
  </si>
  <si>
    <t>ARVIND CEMENT &amp; KALI UDYOG</t>
  </si>
  <si>
    <t>SHREE RIDDHI SIDDHI TRADERS</t>
  </si>
  <si>
    <t>AGRAWAL PLYWOOD AND TIMBER</t>
  </si>
  <si>
    <t>VASUDA ASSOCIATES</t>
  </si>
  <si>
    <t>ANKIT AGENCIES</t>
  </si>
  <si>
    <t>JAI KARAULI MAA TRADERS</t>
  </si>
  <si>
    <t>TAK BROTHERS</t>
  </si>
  <si>
    <t>SARASWATI TRADERS</t>
  </si>
  <si>
    <t>BHUVAN AGENCIES</t>
  </si>
  <si>
    <t>SHREE OM TRADING COMPANY</t>
  </si>
  <si>
    <t>JAI SHREE SHYAM TRADERS</t>
  </si>
  <si>
    <t>R R CONSTRUCTION COMPANY</t>
  </si>
  <si>
    <t>MISHRA CEMENT AGENCIES</t>
  </si>
  <si>
    <t>KHANDELWAL TIMBER MART</t>
  </si>
  <si>
    <t>NETA ELECTRICALS</t>
  </si>
  <si>
    <t>JAGDAMBA SUPPLIERS</t>
  </si>
  <si>
    <t>SAINI BUILDER</t>
  </si>
  <si>
    <t>SHREE GANESH TRADING COMPANY</t>
  </si>
  <si>
    <t>SAPNA TRADERS</t>
  </si>
  <si>
    <t>TEENA BUILDING MATERIAL SUPPLI</t>
  </si>
  <si>
    <t>TIWARI BUILDERS</t>
  </si>
  <si>
    <t>NEERAJ ENTERPRISES</t>
  </si>
  <si>
    <t>SHREE JI HARDWARE &amp; SANITARY</t>
  </si>
  <si>
    <t>AGARWAL SANITATION</t>
  </si>
  <si>
    <t>SHREE RAM TRADERS</t>
  </si>
  <si>
    <t>NANDINI TIMBER &amp; BUILDING MATE</t>
  </si>
  <si>
    <t>JAIN BUILDING MATERIAL STORE</t>
  </si>
  <si>
    <t>SHEETAL BUILDING MATERIAL SUPP</t>
  </si>
  <si>
    <t>MARUTI ENTERPRISES</t>
  </si>
  <si>
    <t>SATTGURU BUILDING MATERIAL SUP</t>
  </si>
  <si>
    <t>GOTHAWAL CEMENT AGENCY</t>
  </si>
  <si>
    <t>SIDDHI ENTERPRISES</t>
  </si>
  <si>
    <t>RAMSWAROOP PRAKASHCHAND</t>
  </si>
  <si>
    <t>LATA CEMENT AGENCY</t>
  </si>
  <si>
    <t>CCC ASSOCIATES</t>
  </si>
  <si>
    <t>RADHAKRISHNA ENTERPRISES</t>
  </si>
  <si>
    <t>GUPTA CEMENT AGENCY</t>
  </si>
  <si>
    <t>MADHAV TRADERS</t>
  </si>
  <si>
    <t>BANWARI LAL PRAKESH CHAND</t>
  </si>
  <si>
    <t>MEHTA SANITARY HARDWARE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</si>
  <si>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</si>
  <si>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</si>
  <si>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</si>
  <si>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</si>
  <si>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</si>
  <si>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</si>
  <si>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</si>
  <si>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</si>
  <si>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AGARWAL BUILDING MATERIAL SUPP</t>
  </si>
  <si>
    <t>ABHISHEK CHODHARY &amp; COMPANY</t>
  </si>
  <si>
    <t>AGARWAL PROPERTIES AND BUILDIN</t>
  </si>
  <si>
    <t>SHREE RADHIKA TRADERS</t>
  </si>
  <si>
    <t>LAXMI BUILDING MATERIAL SUPPLI</t>
  </si>
  <si>
    <t>LOKESH BUILDING MATERIAL</t>
  </si>
  <si>
    <t>GANESH TRADERS</t>
  </si>
  <si>
    <t>DEEPENDRA SINGH CHOUHAN</t>
  </si>
  <si>
    <t>MAHALAXMI B M TRADERS</t>
  </si>
  <si>
    <t>NAGPAL BUILDERS</t>
  </si>
  <si>
    <t>SHUBHAM BUILDIERS</t>
  </si>
  <si>
    <t>AGARWAL AGRICULTURE AGENCIES</t>
  </si>
  <si>
    <t>SHREE BALAJI BUILDING MATERIAL</t>
  </si>
  <si>
    <t>TRILOK NATH AGARWAL</t>
  </si>
  <si>
    <t>MEENA BUILDING MATERIAL SUPPLI</t>
  </si>
  <si>
    <t>DILIP SAINI</t>
  </si>
  <si>
    <t>JAI  AMBE TRADERS</t>
  </si>
  <si>
    <t>SHREE SHYAM CONSTRUCTION COMPA</t>
  </si>
  <si>
    <t>VINOD KUMAR SAINI</t>
  </si>
  <si>
    <t>TANVI CEMENT AGENCY</t>
  </si>
  <si>
    <t>GURUKRIPA SUPPLIERS</t>
  </si>
  <si>
    <t>SHIV SANITARY &amp; HARDWARE STORE</t>
  </si>
  <si>
    <t>RAKESH BUILDERS</t>
  </si>
  <si>
    <t>RAJESH BUILDING MATERIAL AND S</t>
  </si>
  <si>
    <t>JAI KISHAN BUILDING MATERIAL S</t>
  </si>
  <si>
    <t>SHRINATH TRADERS</t>
  </si>
  <si>
    <t>RIYA TRADERS</t>
  </si>
  <si>
    <t>MADAN SANITATION</t>
  </si>
  <si>
    <t>SHREE TRADING COMPANY</t>
  </si>
  <si>
    <t>SHREE KALYAN BUILDING MATERIAL</t>
  </si>
  <si>
    <t>YOGESH AGENCY</t>
  </si>
  <si>
    <t>ANKIT TRADERS &amp; CONSTRUCTION</t>
  </si>
  <si>
    <t>PANKAJ KUMAR YADAV</t>
  </si>
  <si>
    <t>SHRI SHYAM STEEL</t>
  </si>
  <si>
    <t>DINESH KUMAR KUMAWAT</t>
  </si>
  <si>
    <t>TANU CEMENT AGENCY</t>
  </si>
  <si>
    <t>RAVI SHANKAR SAINI</t>
  </si>
  <si>
    <t>SAHIL BUILDERS TRADING COMPANY</t>
  </si>
  <si>
    <t>SHRI SHYAM TRADERS</t>
  </si>
  <si>
    <t>SHREE KRISHNA CEMENT AGENCY</t>
  </si>
  <si>
    <t>SAPNA BUILDING MATERIAL SUPPLI</t>
  </si>
  <si>
    <t>SHAKUN ENTERPRISES</t>
  </si>
  <si>
    <t>Retailer Code</t>
  </si>
  <si>
    <t>Grand Total</t>
  </si>
  <si>
    <t>Apr'21</t>
  </si>
  <si>
    <t>Concerned Dealer code</t>
  </si>
  <si>
    <t>Concerned Dealer Name</t>
  </si>
  <si>
    <t>Dist</t>
  </si>
  <si>
    <t>AO</t>
  </si>
  <si>
    <t>State</t>
  </si>
  <si>
    <t>DOA</t>
  </si>
  <si>
    <t>RJ-UDAIPUR</t>
  </si>
  <si>
    <t>RJ-JODHPUR</t>
  </si>
  <si>
    <t>RJ-JAIPUR</t>
  </si>
  <si>
    <t>SHIV GANPATI MARBLE AND GRANIT</t>
  </si>
  <si>
    <t>ANKUR CEMENT AGENCY</t>
  </si>
  <si>
    <t>KANHA BUILDING MATERIAL</t>
  </si>
  <si>
    <t>Combined</t>
  </si>
  <si>
    <t>TOTAL</t>
  </si>
  <si>
    <t>May'21</t>
  </si>
  <si>
    <t>DEVENDRA BUILDING MATERIAL</t>
  </si>
  <si>
    <t>SHEOJI RAM NIRBHAY RAM KUMAWAT</t>
  </si>
  <si>
    <t>PRIYA ENTERPRISES</t>
  </si>
  <si>
    <t>ISRAIL CEMENT AGENCY</t>
  </si>
  <si>
    <t>YADAV CONSTRUCTION COMPANY</t>
  </si>
  <si>
    <t>SEEMA BUILDING MATERIAL SUPPLI</t>
  </si>
  <si>
    <t>MANISH TRADERS</t>
  </si>
  <si>
    <t>VIKAS CEMENT AGENCY</t>
  </si>
  <si>
    <t>HARI SINGH GURJAR</t>
  </si>
  <si>
    <t>SHIVANI BUILDING MATERIAL STOR</t>
  </si>
  <si>
    <t>JAI BALAJI CEMENT AGENCY</t>
  </si>
  <si>
    <t>SAINI BUILDERS</t>
  </si>
  <si>
    <t>Jun'21</t>
  </si>
  <si>
    <t>SONU BUILDING MATERIAL &amp; SUPPL</t>
  </si>
  <si>
    <t>PRADEEP CHOUDHARY J K SUPER CE</t>
  </si>
  <si>
    <t>TANWAR TRADING CO</t>
  </si>
  <si>
    <t>A1 CEMENT AGENCY</t>
  </si>
  <si>
    <t>SAINI TRADING COMPANY</t>
  </si>
  <si>
    <t>BHARADWAJ BUILDERS</t>
  </si>
  <si>
    <t>GOPAL CEMENT SUPPLIERS</t>
  </si>
  <si>
    <t>PRAJAPATI TRADING COMPANY</t>
  </si>
  <si>
    <t>GAGAN TRADERS</t>
  </si>
  <si>
    <t>CHANDER TIMBER DEPOT</t>
  </si>
  <si>
    <t>SAINI SINGODIYA STONE SUPPLIER</t>
  </si>
  <si>
    <t>MODI BUILDERS</t>
  </si>
  <si>
    <t>MADHU SHARMA</t>
  </si>
  <si>
    <t>KHAN BUILDING MATERIAL SUPPLIE</t>
  </si>
  <si>
    <t>SHASTRI BUILDING MATERIAL STOR</t>
  </si>
  <si>
    <t>KOMAL TRADERS</t>
  </si>
  <si>
    <t>BADIWAL TRADERS</t>
  </si>
  <si>
    <t>SWASTIK ENTERPRISES</t>
  </si>
  <si>
    <t>SHISHRAM BUILDING MATERIAL</t>
  </si>
  <si>
    <t>BENIWAL TRADERS</t>
  </si>
  <si>
    <t>KUMAWAT SUPPLIERS</t>
  </si>
  <si>
    <t>BALAJI CEMENT MATERIALS SUPPLI</t>
  </si>
  <si>
    <t>JAI AMBE TRADERS</t>
  </si>
  <si>
    <t>SAINI TENT HOUSE</t>
  </si>
  <si>
    <t>SAINI FLOUR MEELS AND GENERAL</t>
  </si>
  <si>
    <t>GURUKRIPA CONSTRUCTION COMPANY</t>
  </si>
  <si>
    <t>NARESH TRADERS</t>
  </si>
  <si>
    <t>MORDHWAJ CEMENT AGENCY</t>
  </si>
  <si>
    <t>HARSHA CEMENT AGENCY</t>
  </si>
  <si>
    <t>LILA RAM GURJAR</t>
  </si>
  <si>
    <t>Jul'21</t>
  </si>
  <si>
    <t>HANSRAJ DAGDI</t>
  </si>
  <si>
    <t>KAMAL SINGH GURJAR</t>
  </si>
  <si>
    <t>RUPESH CEMENT AGENCY</t>
  </si>
  <si>
    <t>MADHAV ENTERPRISES</t>
  </si>
  <si>
    <t>SHRI SHYAM CEMENT AGENCY</t>
  </si>
  <si>
    <t>HATHWALA CEMENT AGENCY</t>
  </si>
  <si>
    <t>JAI AMBEY TRADERS</t>
  </si>
  <si>
    <t>SHRI GOGA TRADING COMPANY</t>
  </si>
  <si>
    <t>LAVANIA CEMENT SALES CORPORATI</t>
  </si>
  <si>
    <t>KHANDELWAL AGENCY</t>
  </si>
  <si>
    <t>SHASHI ENTERPRISES</t>
  </si>
  <si>
    <t>J KUMAR &amp; COMPANY</t>
  </si>
  <si>
    <t>DHAWAN BUILDERS</t>
  </si>
  <si>
    <t>SAINI CEMENT AGENCY</t>
  </si>
  <si>
    <t>PRIYANKA BUILDERS</t>
  </si>
  <si>
    <t>BHUPENDRA CEMENT AGENCY</t>
  </si>
  <si>
    <t>SWASTIK BUILDING</t>
  </si>
  <si>
    <t>BABA STEEL AND BUILDING MATERI</t>
  </si>
  <si>
    <t>AJMERA TRANSPORTER</t>
  </si>
  <si>
    <t>KIRAN TRADERS</t>
  </si>
  <si>
    <t>ASHUTOSH CONSTRUCTION CO</t>
  </si>
  <si>
    <t>Aug'21</t>
  </si>
  <si>
    <t>SAINI CEMENT SUPPLIER</t>
  </si>
  <si>
    <t>CHOUHAN TRADERS</t>
  </si>
  <si>
    <t>JATIN CEMENT AGENCY</t>
  </si>
  <si>
    <t>MUSKAN TRADING COMPANY</t>
  </si>
  <si>
    <t>SHREE NEELKHANT STEEL &amp; CEMENT</t>
  </si>
  <si>
    <t>CHOUDHARY CEMENT AGENCY</t>
  </si>
  <si>
    <t>SWAMI CONSTRUCTION AND CEMENT</t>
  </si>
  <si>
    <t>PRIYANKA ENTERPRISES</t>
  </si>
  <si>
    <t>AHUJA CEMENT &amp; SANITARYWARE</t>
  </si>
  <si>
    <t>KRISHNA KUMAR RAGHUVEER SINGH</t>
  </si>
  <si>
    <t>DELIGHT MARKETING</t>
  </si>
  <si>
    <t>ANAND SALES (ARM AGRI TRADE LL</t>
  </si>
  <si>
    <t>Slab</t>
  </si>
  <si>
    <t>0-10 MT</t>
  </si>
  <si>
    <t>10-20 MT</t>
  </si>
  <si>
    <t>30-40 MT</t>
  </si>
  <si>
    <t>40-50 MT</t>
  </si>
  <si>
    <t>&gt;50 MT</t>
  </si>
  <si>
    <t>Row Labels</t>
  </si>
  <si>
    <t>Column Labels</t>
  </si>
  <si>
    <t>Average of Avg</t>
  </si>
  <si>
    <t>Sep'21</t>
  </si>
  <si>
    <t>ANIL TRADING COMPANY</t>
  </si>
  <si>
    <t>BALAJI STONE &amp; BUILDING MATERI</t>
  </si>
  <si>
    <t>SATNAM CEMENT AGENCY</t>
  </si>
  <si>
    <t>PAYAL TRADERS</t>
  </si>
  <si>
    <t>LAVKUSH KHAD BEEJ BHANDAR</t>
  </si>
  <si>
    <t>YOGESH CONSTRUCTION</t>
  </si>
  <si>
    <t>AKHLESH TRADING COMPANY</t>
  </si>
  <si>
    <t>BRIJENDRA SINGH CHAUHAN</t>
  </si>
  <si>
    <t>SHRI KANHAIYA BUILDING MATERIA</t>
  </si>
  <si>
    <t>SITARAM SHARMA</t>
  </si>
  <si>
    <t>KUMAWAT STONE MERCHANT</t>
  </si>
  <si>
    <t>TRIVENI CEMENT SUPPLIERS</t>
  </si>
  <si>
    <t>SLAB</t>
  </si>
  <si>
    <t>20-00 MT</t>
  </si>
  <si>
    <t>Count of Retailer Desc.</t>
  </si>
  <si>
    <t>Sale (MT)</t>
  </si>
  <si>
    <t># ARS</t>
  </si>
  <si>
    <t>GOYAL TRADING COMPANY</t>
  </si>
  <si>
    <t>B L BUILDING MATERIAL</t>
  </si>
  <si>
    <t>CHHIRANJILAL OM PRAKASH</t>
  </si>
  <si>
    <t>MITTAL FERTILIZERS</t>
  </si>
  <si>
    <t>UPADHYAY BUILDING MATERIAL</t>
  </si>
  <si>
    <t>Oct'21</t>
  </si>
  <si>
    <t>GUPTA BUILDING MATERIAL STORE</t>
  </si>
  <si>
    <t>HARSH STEELS</t>
  </si>
  <si>
    <t>RAJENDRA TRADERS</t>
  </si>
  <si>
    <t>JAI SHREE RAM AGENCY</t>
  </si>
  <si>
    <t>SHREE BALAJI STEELS TRADERS</t>
  </si>
  <si>
    <t>GAURAV KUMAWAT</t>
  </si>
  <si>
    <t>VAISHALI TRADING COMPANY</t>
  </si>
  <si>
    <t>JAIPUR RURAL</t>
  </si>
  <si>
    <t>JAIPUR URBAN</t>
  </si>
  <si>
    <t>SHREE MAHARANI BUILDING MATERI</t>
  </si>
  <si>
    <t>NEELKANTH SALES AGENCY</t>
  </si>
  <si>
    <t>RAMAVATAR BUILDING MATERIAL</t>
  </si>
  <si>
    <t>R R MATERIAL SUPPLIER</t>
  </si>
  <si>
    <t>BK CONSTRUCTION COMPANY</t>
  </si>
  <si>
    <t>NAMO ENTERPRISES</t>
  </si>
  <si>
    <t>20-30 MT</t>
  </si>
  <si>
    <t>Nov'21</t>
  </si>
  <si>
    <t>ASHISH SUPPLIERS</t>
  </si>
  <si>
    <t>POOJA TRADERS</t>
  </si>
  <si>
    <t>N R CEMENT AGENCY</t>
  </si>
  <si>
    <t>SHREE VINAYAK AGENCIES</t>
  </si>
  <si>
    <t>MEENAKSHI BUILDING MATERIAL SU</t>
  </si>
  <si>
    <t>SATISH CHAND NARESH CHAND</t>
  </si>
  <si>
    <t>VINAYAK BUILDERS AND SUPPLIERS</t>
  </si>
  <si>
    <t>RAJ TRADERS</t>
  </si>
  <si>
    <t>ROHIT ENTERPRISES</t>
  </si>
  <si>
    <t>SHRI KRISHNA BUILDING MATERIAL</t>
  </si>
  <si>
    <t>KRISHNA CONSTRUCTION</t>
  </si>
  <si>
    <t>PARAS STEEL</t>
  </si>
  <si>
    <t>KHANDELWAL TRADING COMPANY</t>
  </si>
  <si>
    <t>BANDAWALA CEMENT AGENCY</t>
  </si>
  <si>
    <t>NISHA TRADERS</t>
  </si>
  <si>
    <t>JOSHI AGENCIES</t>
  </si>
  <si>
    <t>PRADEEP BUILDING MATERIAL SUPP</t>
  </si>
  <si>
    <t>HONEY CEMENT AGENCY</t>
  </si>
  <si>
    <t>Dec'21</t>
  </si>
  <si>
    <t>Jan'22</t>
  </si>
  <si>
    <t>KAMLESH CEMENT AGENCY</t>
  </si>
  <si>
    <t>LOKESH TRADERS</t>
  </si>
  <si>
    <t>POOJA STEEL</t>
  </si>
  <si>
    <t>SHIV SHAKTI WELDING WORKS</t>
  </si>
  <si>
    <t>SHRI KRISHNA ASSOCIATES</t>
  </si>
  <si>
    <t>SHRI KHANDAL CEMENT AGENCY</t>
  </si>
  <si>
    <t>R K ELECTRICALS AND HARDWARE</t>
  </si>
  <si>
    <t>DHANPAL LODHA</t>
  </si>
  <si>
    <t>LALITA CEMENT STORE</t>
  </si>
  <si>
    <t>SHREE SIDDH BABA SAIPURI CEMEN</t>
  </si>
  <si>
    <t>JAI BUILDING MATERIAL SUPPLIER</t>
  </si>
  <si>
    <t>RADHEY CEMENT AGENCY</t>
  </si>
  <si>
    <t>Retailer Desc-</t>
  </si>
  <si>
    <t>JASORIA DISTRIBUTORS</t>
  </si>
  <si>
    <t>MANGAL BUILDING MATERIAL</t>
  </si>
  <si>
    <t>MURARI LAL GOYAL</t>
  </si>
  <si>
    <t>YASH BUILDING MATERIAL SUPPLIE</t>
  </si>
  <si>
    <t>JAGDAMBA TRADING CO</t>
  </si>
  <si>
    <t>BALAJI BUILDING MATERIAL CONST</t>
  </si>
  <si>
    <t>DHARMENDRA &amp; COMPANY</t>
  </si>
  <si>
    <t>KULDEEP CEMENT AGENCY</t>
  </si>
  <si>
    <t>HARDENIYA CEMENT AGENCIES</t>
  </si>
  <si>
    <t>DHAKED BUILDING MATERIAL</t>
  </si>
  <si>
    <t>SHREE MOKA BABA BUILDING MATER</t>
  </si>
  <si>
    <t>INDU JAIN</t>
  </si>
  <si>
    <t>Feb'22</t>
  </si>
  <si>
    <t>MAA BHAGWATI BUILDING SOLUTION</t>
  </si>
  <si>
    <t>SHREE SAI CONSTRUCTION</t>
  </si>
  <si>
    <t>DURGA SHANKAR SHARMA</t>
  </si>
  <si>
    <t>VISHWAKARMA CEMENT AGENCY</t>
  </si>
  <si>
    <t>JANGID ENTERPRISES</t>
  </si>
  <si>
    <t>SHREE BAJRANG BUILDING MATERIA</t>
  </si>
  <si>
    <t>R V BUILDING MATERIAL SUPPLIER</t>
  </si>
  <si>
    <t>JAI BHOMIYA BUILDING MATERIAL</t>
  </si>
  <si>
    <t>MEENA KHAD BEEJ BHANDAR</t>
  </si>
  <si>
    <t>Mar'22</t>
  </si>
  <si>
    <t>VIRENDRA SAINI</t>
  </si>
  <si>
    <t>NARAYAN CEMENT AGENCY</t>
  </si>
  <si>
    <t>PINANIYA CONSTRUCTION COMPANY</t>
  </si>
  <si>
    <t>VIRMANI BUILDERS</t>
  </si>
  <si>
    <t>SHREE GANESH ENTERPRISES</t>
  </si>
  <si>
    <t>SHREE JEE CEMENT AGENCY</t>
  </si>
  <si>
    <t>801582119028</t>
  </si>
  <si>
    <t>801583119044</t>
  </si>
  <si>
    <t>801588119047</t>
  </si>
  <si>
    <t>801589119047</t>
  </si>
  <si>
    <t>801590119047</t>
  </si>
  <si>
    <t>801627202865</t>
  </si>
  <si>
    <t>801716119261</t>
  </si>
  <si>
    <t>801727170904</t>
  </si>
  <si>
    <t>801729119261</t>
  </si>
  <si>
    <t>801757140967</t>
  </si>
  <si>
    <t>801764170692</t>
  </si>
  <si>
    <t>801766119028</t>
  </si>
  <si>
    <t>801796119066</t>
  </si>
  <si>
    <t>801800119026</t>
  </si>
  <si>
    <t>801837119154</t>
  </si>
  <si>
    <t>801838119154</t>
  </si>
  <si>
    <t>801867119042</t>
  </si>
  <si>
    <t>801868119042</t>
  </si>
  <si>
    <t>801869119042</t>
  </si>
  <si>
    <t>801871119042</t>
  </si>
  <si>
    <t>801876119261</t>
  </si>
  <si>
    <t>801878176773</t>
  </si>
  <si>
    <t>801881119028</t>
  </si>
  <si>
    <t>801883176773</t>
  </si>
  <si>
    <t>801915119044</t>
  </si>
  <si>
    <t>801916119050</t>
  </si>
  <si>
    <t>801918178764</t>
  </si>
  <si>
    <t>801920119028</t>
  </si>
  <si>
    <t>801965119261</t>
  </si>
  <si>
    <t>801966119261</t>
  </si>
  <si>
    <t>801967119261</t>
  </si>
  <si>
    <t>801999176773</t>
  </si>
  <si>
    <t>802012119028</t>
  </si>
  <si>
    <t>802044176773</t>
  </si>
  <si>
    <t>802068141556</t>
  </si>
  <si>
    <t>802073119261</t>
  </si>
  <si>
    <t>802088170248</t>
  </si>
  <si>
    <t>802089176773</t>
  </si>
  <si>
    <t>802094122282</t>
  </si>
  <si>
    <t>802095122282</t>
  </si>
  <si>
    <t>802100122282</t>
  </si>
  <si>
    <t>802105209002</t>
  </si>
  <si>
    <t>802117176773</t>
  </si>
  <si>
    <t>802147141115</t>
  </si>
  <si>
    <t>802148141115</t>
  </si>
  <si>
    <t>802149119050</t>
  </si>
  <si>
    <t>802151121706</t>
  </si>
  <si>
    <t>802156211138</t>
  </si>
  <si>
    <t>802161170248</t>
  </si>
  <si>
    <t>802164119208</t>
  </si>
  <si>
    <t>802165143531</t>
  </si>
  <si>
    <t>802196122282</t>
  </si>
  <si>
    <t>802210174756</t>
  </si>
  <si>
    <t>802212119028</t>
  </si>
  <si>
    <t>802213119026</t>
  </si>
  <si>
    <t>802214172597</t>
  </si>
  <si>
    <t>802265179560</t>
  </si>
  <si>
    <t>802370141115</t>
  </si>
  <si>
    <t>802371174756</t>
  </si>
  <si>
    <t>802376119031</t>
  </si>
  <si>
    <t>802838119038</t>
  </si>
  <si>
    <t>802841119050</t>
  </si>
  <si>
    <t>802848179560</t>
  </si>
  <si>
    <t>802870119034</t>
  </si>
  <si>
    <t>802878119038</t>
  </si>
  <si>
    <t>802893140857</t>
  </si>
  <si>
    <t>802894140848</t>
  </si>
  <si>
    <t>802895140967</t>
  </si>
  <si>
    <t>802896140967</t>
  </si>
  <si>
    <t>802913176773</t>
  </si>
  <si>
    <t>802918143531</t>
  </si>
  <si>
    <t>802921141115</t>
  </si>
  <si>
    <t>802923140857</t>
  </si>
  <si>
    <t>802925140963</t>
  </si>
  <si>
    <t>802925176098</t>
  </si>
  <si>
    <t>802948119261</t>
  </si>
  <si>
    <t>802964119038</t>
  </si>
  <si>
    <t>802965119038</t>
  </si>
  <si>
    <t>802968174756</t>
  </si>
  <si>
    <t>802972119050</t>
  </si>
  <si>
    <t>802972174756</t>
  </si>
  <si>
    <t>802987170146</t>
  </si>
  <si>
    <t>803003122282</t>
  </si>
  <si>
    <t>803017170200</t>
  </si>
  <si>
    <t>803018176276</t>
  </si>
  <si>
    <t>803020140851</t>
  </si>
  <si>
    <t>803021140851</t>
  </si>
  <si>
    <t>803022140851</t>
  </si>
  <si>
    <t>803023140851</t>
  </si>
  <si>
    <t>803049140860</t>
  </si>
  <si>
    <t>803051119038</t>
  </si>
  <si>
    <t>803071140848</t>
  </si>
  <si>
    <t>803124140857</t>
  </si>
  <si>
    <t>803125203600</t>
  </si>
  <si>
    <t>803141119050</t>
  </si>
  <si>
    <t>803148171226</t>
  </si>
  <si>
    <t>803188140851</t>
  </si>
  <si>
    <t>803188140857</t>
  </si>
  <si>
    <t>803193119905</t>
  </si>
  <si>
    <t>803201170204</t>
  </si>
  <si>
    <t>803201171226</t>
  </si>
  <si>
    <t>803240119227</t>
  </si>
  <si>
    <t>803251170200</t>
  </si>
  <si>
    <t>803256170204</t>
  </si>
  <si>
    <t>803258140859</t>
  </si>
  <si>
    <t>803260140849</t>
  </si>
  <si>
    <t>803292119028</t>
  </si>
  <si>
    <t>803293170846</t>
  </si>
  <si>
    <t>803351176773</t>
  </si>
  <si>
    <t>803352119038</t>
  </si>
  <si>
    <t>803364170204</t>
  </si>
  <si>
    <t>803425119038</t>
  </si>
  <si>
    <t>803501172942</t>
  </si>
  <si>
    <t>803534141115</t>
  </si>
  <si>
    <t>803578119038</t>
  </si>
  <si>
    <t>803579119038</t>
  </si>
  <si>
    <t>803594119029</t>
  </si>
  <si>
    <t>803690119028</t>
  </si>
  <si>
    <t>803691119028</t>
  </si>
  <si>
    <t>803698172976</t>
  </si>
  <si>
    <t>803721206102</t>
  </si>
  <si>
    <t>803755119029</t>
  </si>
  <si>
    <t>803769119031</t>
  </si>
  <si>
    <t>803770119031</t>
  </si>
  <si>
    <t>803775144170</t>
  </si>
  <si>
    <t>803778140849</t>
  </si>
  <si>
    <t>803794119050</t>
  </si>
  <si>
    <t>803794142332</t>
  </si>
  <si>
    <t>803809140849</t>
  </si>
  <si>
    <t>803820129599</t>
  </si>
  <si>
    <t>803821119066</t>
  </si>
  <si>
    <t>803832119050</t>
  </si>
  <si>
    <t>803843119038</t>
  </si>
  <si>
    <t>803877143416</t>
  </si>
  <si>
    <t>803885119263</t>
  </si>
  <si>
    <t>803886119066</t>
  </si>
  <si>
    <t>803946140851</t>
  </si>
  <si>
    <t>803952119044</t>
  </si>
  <si>
    <t>803954202842</t>
  </si>
  <si>
    <t>803955119905</t>
  </si>
  <si>
    <t>803983119034</t>
  </si>
  <si>
    <t>803990140849</t>
  </si>
  <si>
    <t>803991140858</t>
  </si>
  <si>
    <t>803992140860</t>
  </si>
  <si>
    <t>803993140860</t>
  </si>
  <si>
    <t>804006140966</t>
  </si>
  <si>
    <t>804023119038</t>
  </si>
  <si>
    <t>804031119038</t>
  </si>
  <si>
    <t>804050174756</t>
  </si>
  <si>
    <t>804057140967</t>
  </si>
  <si>
    <t>804058141115</t>
  </si>
  <si>
    <t>804079174756</t>
  </si>
  <si>
    <t>804080141556</t>
  </si>
  <si>
    <t>804081170501</t>
  </si>
  <si>
    <t>804082119263</t>
  </si>
  <si>
    <t>804106119044</t>
  </si>
  <si>
    <t>804122119038</t>
  </si>
  <si>
    <t>804131140967</t>
  </si>
  <si>
    <t>804132179560</t>
  </si>
  <si>
    <t>804135119044</t>
  </si>
  <si>
    <t>804136119038</t>
  </si>
  <si>
    <t>804165119028</t>
  </si>
  <si>
    <t>804176141674</t>
  </si>
  <si>
    <t>804178119046</t>
  </si>
  <si>
    <t>804220170775</t>
  </si>
  <si>
    <t>804235119038</t>
  </si>
  <si>
    <t>804243122377</t>
  </si>
  <si>
    <t>804251119034</t>
  </si>
  <si>
    <t>804286119046</t>
  </si>
  <si>
    <t>804310119028</t>
  </si>
  <si>
    <t>804312142269</t>
  </si>
  <si>
    <t>804313119038</t>
  </si>
  <si>
    <t>804365143148</t>
  </si>
  <si>
    <t>804429201280</t>
  </si>
  <si>
    <t>804430119066</t>
  </si>
  <si>
    <t>804431119208</t>
  </si>
  <si>
    <t>804432141115</t>
  </si>
  <si>
    <t>804474119028</t>
  </si>
  <si>
    <t>804485119038</t>
  </si>
  <si>
    <t>804632141115</t>
  </si>
  <si>
    <t>804744206066</t>
  </si>
  <si>
    <t>804746143114</t>
  </si>
  <si>
    <t>804773119179</t>
  </si>
  <si>
    <t>804774119179</t>
  </si>
  <si>
    <t>804818119261</t>
  </si>
  <si>
    <t>804832119029</t>
  </si>
  <si>
    <t>804833119263</t>
  </si>
  <si>
    <t>804864206066</t>
  </si>
  <si>
    <t>804876119031</t>
  </si>
  <si>
    <t>804888143113</t>
  </si>
  <si>
    <t>804897140857</t>
  </si>
  <si>
    <t>804898119050</t>
  </si>
  <si>
    <t>804909170775</t>
  </si>
  <si>
    <t>804910119038</t>
  </si>
  <si>
    <t>804933170156</t>
  </si>
  <si>
    <t>804935122537</t>
  </si>
  <si>
    <t>804935176279</t>
  </si>
  <si>
    <t>804940119038</t>
  </si>
  <si>
    <t>804966143530</t>
  </si>
  <si>
    <t>804968140852</t>
  </si>
  <si>
    <t>804969140858</t>
  </si>
  <si>
    <t>804971119028</t>
  </si>
  <si>
    <t>804978176276</t>
  </si>
  <si>
    <t>804980171880</t>
  </si>
  <si>
    <t>804980175288</t>
  </si>
  <si>
    <t>804992143114</t>
  </si>
  <si>
    <t>805005146845</t>
  </si>
  <si>
    <t>805095119261</t>
  </si>
  <si>
    <t>805149119208</t>
  </si>
  <si>
    <t>805151202865</t>
  </si>
  <si>
    <t>805158202865</t>
  </si>
  <si>
    <t>805185122377</t>
  </si>
  <si>
    <t>805255119261</t>
  </si>
  <si>
    <t>805276170606</t>
  </si>
  <si>
    <t>805323119028</t>
  </si>
  <si>
    <t>805324119028</t>
  </si>
  <si>
    <t>805325119066</t>
  </si>
  <si>
    <t>805351119028</t>
  </si>
  <si>
    <t>805375119261</t>
  </si>
  <si>
    <t>805377119261</t>
  </si>
  <si>
    <t>805378176276</t>
  </si>
  <si>
    <t>805385149971</t>
  </si>
  <si>
    <t>805385177426</t>
  </si>
  <si>
    <t>805397119044</t>
  </si>
  <si>
    <t>805401176773</t>
  </si>
  <si>
    <t>805403119038</t>
  </si>
  <si>
    <t>805406119261</t>
  </si>
  <si>
    <t>805419119261</t>
  </si>
  <si>
    <t>805420119050</t>
  </si>
  <si>
    <t>805432119038</t>
  </si>
  <si>
    <t>805433119038</t>
  </si>
  <si>
    <t>805453119261</t>
  </si>
  <si>
    <t>805454119038</t>
  </si>
  <si>
    <t>805468170197</t>
  </si>
  <si>
    <t>805468170892</t>
  </si>
  <si>
    <t>805544119038</t>
  </si>
  <si>
    <t>805545149764</t>
  </si>
  <si>
    <t>805572148629</t>
  </si>
  <si>
    <t>805574170204</t>
  </si>
  <si>
    <t>805597144243</t>
  </si>
  <si>
    <t>805621119038</t>
  </si>
  <si>
    <t>805624119028</t>
  </si>
  <si>
    <t>805627175775</t>
  </si>
  <si>
    <t>805654119038</t>
  </si>
  <si>
    <t>805677119038</t>
  </si>
  <si>
    <t>805752170248</t>
  </si>
  <si>
    <t>805765147892</t>
  </si>
  <si>
    <t>805796208268</t>
  </si>
  <si>
    <t>805810143148</t>
  </si>
  <si>
    <t>805810172193</t>
  </si>
  <si>
    <t>805811202865</t>
  </si>
  <si>
    <t>805822119038</t>
  </si>
  <si>
    <t>805828178818</t>
  </si>
  <si>
    <t>805828208066</t>
  </si>
  <si>
    <t>805848143148</t>
  </si>
  <si>
    <t>805869176821</t>
  </si>
  <si>
    <t>805870206441</t>
  </si>
  <si>
    <t>805872176773</t>
  </si>
  <si>
    <t>805911170115</t>
  </si>
  <si>
    <t>805921170775</t>
  </si>
  <si>
    <t>805969119028</t>
  </si>
  <si>
    <t>805984203455</t>
  </si>
  <si>
    <t>805986170248</t>
  </si>
  <si>
    <t>805995170892</t>
  </si>
  <si>
    <t>806024170892</t>
  </si>
  <si>
    <t>806032119044</t>
  </si>
  <si>
    <t>806032209212</t>
  </si>
  <si>
    <t>806047145353</t>
  </si>
  <si>
    <t>806051170204</t>
  </si>
  <si>
    <t>806052170204</t>
  </si>
  <si>
    <t>806094140848</t>
  </si>
  <si>
    <t>806095140967</t>
  </si>
  <si>
    <t>806097173224</t>
  </si>
  <si>
    <t>806099208033</t>
  </si>
  <si>
    <t>806099211138</t>
  </si>
  <si>
    <t>806100205370</t>
  </si>
  <si>
    <t>806101170392</t>
  </si>
  <si>
    <t>806125119038</t>
  </si>
  <si>
    <t>806141119222</t>
  </si>
  <si>
    <t>806142119179</t>
  </si>
  <si>
    <t>806155119038</t>
  </si>
  <si>
    <t>806156119038</t>
  </si>
  <si>
    <t>806157119038</t>
  </si>
  <si>
    <t>806158119038</t>
  </si>
  <si>
    <t>806174119038</t>
  </si>
  <si>
    <t>806175178230</t>
  </si>
  <si>
    <t>806176205969</t>
  </si>
  <si>
    <t>806178170248</t>
  </si>
  <si>
    <t>806210170775</t>
  </si>
  <si>
    <t>806212119066</t>
  </si>
  <si>
    <t>806230146861</t>
  </si>
  <si>
    <t>806232206102</t>
  </si>
  <si>
    <t>806233146861</t>
  </si>
  <si>
    <t>806234202865</t>
  </si>
  <si>
    <t>806246119042</t>
  </si>
  <si>
    <t>806283119038</t>
  </si>
  <si>
    <t>806288119038</t>
  </si>
  <si>
    <t>806289179796</t>
  </si>
  <si>
    <t>806296179796</t>
  </si>
  <si>
    <t>806307119160</t>
  </si>
  <si>
    <t>806322170204</t>
  </si>
  <si>
    <t>806323170204</t>
  </si>
  <si>
    <t>806327170200</t>
  </si>
  <si>
    <t>806337170606</t>
  </si>
  <si>
    <t>806337177727</t>
  </si>
  <si>
    <t>806339170392</t>
  </si>
  <si>
    <t>806339170846</t>
  </si>
  <si>
    <t>806346170204</t>
  </si>
  <si>
    <t>806359179908</t>
  </si>
  <si>
    <t>806360173865</t>
  </si>
  <si>
    <t>806362119028</t>
  </si>
  <si>
    <t>806371149885</t>
  </si>
  <si>
    <t>806395170550</t>
  </si>
  <si>
    <t>806396177426</t>
  </si>
  <si>
    <t>806396207713</t>
  </si>
  <si>
    <t>806400119038</t>
  </si>
  <si>
    <t>806401119038</t>
  </si>
  <si>
    <t>806430171880</t>
  </si>
  <si>
    <t>806430175288</t>
  </si>
  <si>
    <t>806431149765</t>
  </si>
  <si>
    <t>806433119261</t>
  </si>
  <si>
    <t>806436119023</t>
  </si>
  <si>
    <t>806439119023</t>
  </si>
  <si>
    <t>806440119023</t>
  </si>
  <si>
    <t>806466170392</t>
  </si>
  <si>
    <t>806466170846</t>
  </si>
  <si>
    <t>806468119038</t>
  </si>
  <si>
    <t>806469119038</t>
  </si>
  <si>
    <t>806471119905</t>
  </si>
  <si>
    <t>806472170392</t>
  </si>
  <si>
    <t>806474119038</t>
  </si>
  <si>
    <t>806484148557</t>
  </si>
  <si>
    <t>806487149765</t>
  </si>
  <si>
    <t>806487171880</t>
  </si>
  <si>
    <t>806510119261</t>
  </si>
  <si>
    <t>806511119071</t>
  </si>
  <si>
    <t>806511208268</t>
  </si>
  <si>
    <t>806517170692</t>
  </si>
  <si>
    <t>806539149885</t>
  </si>
  <si>
    <t>806540119029</t>
  </si>
  <si>
    <t>806565119038</t>
  </si>
  <si>
    <t>806601119160</t>
  </si>
  <si>
    <t>806615149765</t>
  </si>
  <si>
    <t>806616141512</t>
  </si>
  <si>
    <t>806620148629</t>
  </si>
  <si>
    <t>806651122377</t>
  </si>
  <si>
    <t>806659171839</t>
  </si>
  <si>
    <t>806668177631</t>
  </si>
  <si>
    <t>806669177631</t>
  </si>
  <si>
    <t>806670149885</t>
  </si>
  <si>
    <t>806689149765</t>
  </si>
  <si>
    <t>806717141146</t>
  </si>
  <si>
    <t>806720172252</t>
  </si>
  <si>
    <t>806721140927</t>
  </si>
  <si>
    <t>806722119261</t>
  </si>
  <si>
    <t>806723119261</t>
  </si>
  <si>
    <t>806748170204</t>
  </si>
  <si>
    <t>806754177450</t>
  </si>
  <si>
    <t>806782119208</t>
  </si>
  <si>
    <t>806802122377</t>
  </si>
  <si>
    <t>806804171923</t>
  </si>
  <si>
    <t>806805145394</t>
  </si>
  <si>
    <t>806805171923</t>
  </si>
  <si>
    <t>806827140848</t>
  </si>
  <si>
    <t>806828178764</t>
  </si>
  <si>
    <t>806829171839</t>
  </si>
  <si>
    <t>806830119038</t>
  </si>
  <si>
    <t>806841171226</t>
  </si>
  <si>
    <t>806843171839</t>
  </si>
  <si>
    <t>806862171839</t>
  </si>
  <si>
    <t>806863119038</t>
  </si>
  <si>
    <t>806864175547</t>
  </si>
  <si>
    <t>806871119046</t>
  </si>
  <si>
    <t>806872119026</t>
  </si>
  <si>
    <t>806882119023</t>
  </si>
  <si>
    <t>806883119026</t>
  </si>
  <si>
    <t>806885206441</t>
  </si>
  <si>
    <t>806887119071</t>
  </si>
  <si>
    <t>806898141512</t>
  </si>
  <si>
    <t>806915119028</t>
  </si>
  <si>
    <t>806922170847</t>
  </si>
  <si>
    <t>806923170847</t>
  </si>
  <si>
    <t>806926119047</t>
  </si>
  <si>
    <t>806939141556</t>
  </si>
  <si>
    <t>806943119028</t>
  </si>
  <si>
    <t>806968170200</t>
  </si>
  <si>
    <t>806969119034</t>
  </si>
  <si>
    <t>806971140860</t>
  </si>
  <si>
    <t>806972147364</t>
  </si>
  <si>
    <t>806973141115</t>
  </si>
  <si>
    <t>806975141115</t>
  </si>
  <si>
    <t>806996140858</t>
  </si>
  <si>
    <t>806999171578</t>
  </si>
  <si>
    <t>807002171479</t>
  </si>
  <si>
    <t>807016140967</t>
  </si>
  <si>
    <t>807017170204</t>
  </si>
  <si>
    <t>807025146968</t>
  </si>
  <si>
    <t>807026171909</t>
  </si>
  <si>
    <t>807053170617</t>
  </si>
  <si>
    <t>807054143301</t>
  </si>
  <si>
    <t>807055149885</t>
  </si>
  <si>
    <t>807056149885</t>
  </si>
  <si>
    <t>807065143301</t>
  </si>
  <si>
    <t>807066176015</t>
  </si>
  <si>
    <t>807103174034</t>
  </si>
  <si>
    <t>807104174034</t>
  </si>
  <si>
    <t>807105172338</t>
  </si>
  <si>
    <t>807112119038</t>
  </si>
  <si>
    <t>807113119038</t>
  </si>
  <si>
    <t>807120119261</t>
  </si>
  <si>
    <t>807121146845</t>
  </si>
  <si>
    <t>807122176303</t>
  </si>
  <si>
    <t>807140170228</t>
  </si>
  <si>
    <t>807141202994</t>
  </si>
  <si>
    <t>807142171947</t>
  </si>
  <si>
    <t>807143119023</t>
  </si>
  <si>
    <t>807151170248</t>
  </si>
  <si>
    <t>807153119044</t>
  </si>
  <si>
    <t>807164170197</t>
  </si>
  <si>
    <t>807164208183</t>
  </si>
  <si>
    <t>807177174034</t>
  </si>
  <si>
    <t>807187141115</t>
  </si>
  <si>
    <t>807200174713</t>
  </si>
  <si>
    <t>807201149765</t>
  </si>
  <si>
    <t>807202171947</t>
  </si>
  <si>
    <t>807203119261</t>
  </si>
  <si>
    <t>807228119042</t>
  </si>
  <si>
    <t>807244201172</t>
  </si>
  <si>
    <t>807257172497</t>
  </si>
  <si>
    <t>807258170904</t>
  </si>
  <si>
    <t>807259176929</t>
  </si>
  <si>
    <t>807261141115</t>
  </si>
  <si>
    <t>807265119066</t>
  </si>
  <si>
    <t>807303119208</t>
  </si>
  <si>
    <t>807305173865</t>
  </si>
  <si>
    <t>807310140857</t>
  </si>
  <si>
    <t>807353119261</t>
  </si>
  <si>
    <t>807359177426</t>
  </si>
  <si>
    <t>807360143301</t>
  </si>
  <si>
    <t>807368176303</t>
  </si>
  <si>
    <t>807377176870</t>
  </si>
  <si>
    <t>807393119177</t>
  </si>
  <si>
    <t>807394119177</t>
  </si>
  <si>
    <t>807395144154</t>
  </si>
  <si>
    <t>807406173748</t>
  </si>
  <si>
    <t>807407119026</t>
  </si>
  <si>
    <t>807416176279</t>
  </si>
  <si>
    <t>807416201172</t>
  </si>
  <si>
    <t>807430119066</t>
  </si>
  <si>
    <t>807438174166</t>
  </si>
  <si>
    <t>807439179908</t>
  </si>
  <si>
    <t>807490143114</t>
  </si>
  <si>
    <t>807490173749</t>
  </si>
  <si>
    <t>807568140967</t>
  </si>
  <si>
    <t>807570171578</t>
  </si>
  <si>
    <t>807576201172</t>
  </si>
  <si>
    <t>807577119038</t>
  </si>
  <si>
    <t>807594119044</t>
  </si>
  <si>
    <t>807595177093</t>
  </si>
  <si>
    <t>807601119038</t>
  </si>
  <si>
    <t>807603122282</t>
  </si>
  <si>
    <t>807608149582</t>
  </si>
  <si>
    <t>807609119038</t>
  </si>
  <si>
    <t>807611170248</t>
  </si>
  <si>
    <t>807626119050</t>
  </si>
  <si>
    <t>807629119038</t>
  </si>
  <si>
    <t>807643119038</t>
  </si>
  <si>
    <t>807647172892</t>
  </si>
  <si>
    <t>807648119038</t>
  </si>
  <si>
    <t>807680119038</t>
  </si>
  <si>
    <t>807681119028</t>
  </si>
  <si>
    <t>807682206219</t>
  </si>
  <si>
    <t>807683206066</t>
  </si>
  <si>
    <t>807684206219</t>
  </si>
  <si>
    <t>807690141512</t>
  </si>
  <si>
    <t>807702173224</t>
  </si>
  <si>
    <t>807703119028</t>
  </si>
  <si>
    <t>807704201280</t>
  </si>
  <si>
    <t>807706143148</t>
  </si>
  <si>
    <t>807707207977</t>
  </si>
  <si>
    <t>807711142843</t>
  </si>
  <si>
    <t>807718146968</t>
  </si>
  <si>
    <t>807719141115</t>
  </si>
  <si>
    <t>807722119160</t>
  </si>
  <si>
    <t>807722174357</t>
  </si>
  <si>
    <t>807723172497</t>
  </si>
  <si>
    <t>807724172497</t>
  </si>
  <si>
    <t>807726140850</t>
  </si>
  <si>
    <t>807733176869</t>
  </si>
  <si>
    <t>807734176869</t>
  </si>
  <si>
    <t>807734205004</t>
  </si>
  <si>
    <t>807763119044</t>
  </si>
  <si>
    <t>807776119042</t>
  </si>
  <si>
    <t>807777119222</t>
  </si>
  <si>
    <t>807778119208</t>
  </si>
  <si>
    <t>807779202865</t>
  </si>
  <si>
    <t>807780149893</t>
  </si>
  <si>
    <t>807781176647</t>
  </si>
  <si>
    <t>807811171578</t>
  </si>
  <si>
    <t>807811174166</t>
  </si>
  <si>
    <t>807812143113</t>
  </si>
  <si>
    <t>807815170775</t>
  </si>
  <si>
    <t>807817170775</t>
  </si>
  <si>
    <t>807819170775</t>
  </si>
  <si>
    <t>807826201280</t>
  </si>
  <si>
    <t>807861172855</t>
  </si>
  <si>
    <t>807862172338</t>
  </si>
  <si>
    <t>807863172338</t>
  </si>
  <si>
    <t>807864172338</t>
  </si>
  <si>
    <t>807865172855</t>
  </si>
  <si>
    <t>807883206219</t>
  </si>
  <si>
    <t>807884172338</t>
  </si>
  <si>
    <t>807885172338</t>
  </si>
  <si>
    <t>807886172338</t>
  </si>
  <si>
    <t>807887206219</t>
  </si>
  <si>
    <t>807889119261</t>
  </si>
  <si>
    <t>807908119038</t>
  </si>
  <si>
    <t>807909140858</t>
  </si>
  <si>
    <t>807911175680</t>
  </si>
  <si>
    <t>807912171839</t>
  </si>
  <si>
    <t>807915119029</t>
  </si>
  <si>
    <t>807929171880</t>
  </si>
  <si>
    <t>807929175288</t>
  </si>
  <si>
    <t>807931119038</t>
  </si>
  <si>
    <t>807940119038</t>
  </si>
  <si>
    <t>807948119050</t>
  </si>
  <si>
    <t>807949176773</t>
  </si>
  <si>
    <t>807956172338</t>
  </si>
  <si>
    <t>807958172338</t>
  </si>
  <si>
    <t>807975171578</t>
  </si>
  <si>
    <t>807976172942</t>
  </si>
  <si>
    <t>807986171887</t>
  </si>
  <si>
    <t>807987171578</t>
  </si>
  <si>
    <t>807987174166</t>
  </si>
  <si>
    <t>807988170204</t>
  </si>
  <si>
    <t>807997142269</t>
  </si>
  <si>
    <t>807998119038</t>
  </si>
  <si>
    <t>808082119050</t>
  </si>
  <si>
    <t>808084140967</t>
  </si>
  <si>
    <t>808084209796</t>
  </si>
  <si>
    <t>808087140967</t>
  </si>
  <si>
    <t>808088140967</t>
  </si>
  <si>
    <t>808094170204</t>
  </si>
  <si>
    <t>808103119222</t>
  </si>
  <si>
    <t>808120177093</t>
  </si>
  <si>
    <t>808121177093</t>
  </si>
  <si>
    <t>808133119208</t>
  </si>
  <si>
    <t>808145170392</t>
  </si>
  <si>
    <t>808145203484</t>
  </si>
  <si>
    <t>808147119031</t>
  </si>
  <si>
    <t>808151172338</t>
  </si>
  <si>
    <t>808152140967</t>
  </si>
  <si>
    <t>808154204318</t>
  </si>
  <si>
    <t>808155119208</t>
  </si>
  <si>
    <t>808157170392</t>
  </si>
  <si>
    <t>808163140967</t>
  </si>
  <si>
    <t>808172142843</t>
  </si>
  <si>
    <t>808173122282</t>
  </si>
  <si>
    <t>808181170392</t>
  </si>
  <si>
    <t>808182119160</t>
  </si>
  <si>
    <t>808184141115</t>
  </si>
  <si>
    <t>808186173528</t>
  </si>
  <si>
    <t>808198144804</t>
  </si>
  <si>
    <t>808200119050</t>
  </si>
  <si>
    <t>808206172338</t>
  </si>
  <si>
    <t>808210171834</t>
  </si>
  <si>
    <t>808227140850</t>
  </si>
  <si>
    <t>808228140852</t>
  </si>
  <si>
    <t>808229172942</t>
  </si>
  <si>
    <t>808259170204</t>
  </si>
  <si>
    <t>808269170363</t>
  </si>
  <si>
    <t>808271140848</t>
  </si>
  <si>
    <t>808272140967</t>
  </si>
  <si>
    <t>808275143509</t>
  </si>
  <si>
    <t>808276203600</t>
  </si>
  <si>
    <t>808283119044</t>
  </si>
  <si>
    <t>808284119044</t>
  </si>
  <si>
    <t>808289171662</t>
  </si>
  <si>
    <t>808292206102</t>
  </si>
  <si>
    <t>808309177104</t>
  </si>
  <si>
    <t>808310172084</t>
  </si>
  <si>
    <t>808312119050</t>
  </si>
  <si>
    <t>808312202842</t>
  </si>
  <si>
    <t>808313140960</t>
  </si>
  <si>
    <t>808315146500</t>
  </si>
  <si>
    <t>808316204030</t>
  </si>
  <si>
    <t>808317119066</t>
  </si>
  <si>
    <t>808318119066</t>
  </si>
  <si>
    <t>808328121572</t>
  </si>
  <si>
    <t>808330178764</t>
  </si>
  <si>
    <t>808345206102</t>
  </si>
  <si>
    <t>808346171662</t>
  </si>
  <si>
    <t>808347171662</t>
  </si>
  <si>
    <t>808348119034</t>
  </si>
  <si>
    <t>808374175049</t>
  </si>
  <si>
    <t>808390176457</t>
  </si>
  <si>
    <t>808391119042</t>
  </si>
  <si>
    <t>808413170904</t>
  </si>
  <si>
    <t>808419206011</t>
  </si>
  <si>
    <t>808424172338</t>
  </si>
  <si>
    <t>808426145394</t>
  </si>
  <si>
    <t>808427145394</t>
  </si>
  <si>
    <t>808429170248</t>
  </si>
  <si>
    <t>808433174166</t>
  </si>
  <si>
    <t>808434119208</t>
  </si>
  <si>
    <t>808443119263</t>
  </si>
  <si>
    <t>808444140848</t>
  </si>
  <si>
    <t>808446119044</t>
  </si>
  <si>
    <t>808446207438</t>
  </si>
  <si>
    <t>808448206219</t>
  </si>
  <si>
    <t>808449149859</t>
  </si>
  <si>
    <t>808451174034</t>
  </si>
  <si>
    <t>808469119044</t>
  </si>
  <si>
    <t>808471119029</t>
  </si>
  <si>
    <t>808471119208</t>
  </si>
  <si>
    <t>808487141556</t>
  </si>
  <si>
    <t>808488119044</t>
  </si>
  <si>
    <t>808491119066</t>
  </si>
  <si>
    <t>808492204318</t>
  </si>
  <si>
    <t>808495172942</t>
  </si>
  <si>
    <t>808496141556</t>
  </si>
  <si>
    <t>808497141556</t>
  </si>
  <si>
    <t>808498140858</t>
  </si>
  <si>
    <t>808547143509</t>
  </si>
  <si>
    <t>808548119050</t>
  </si>
  <si>
    <t>808550203600</t>
  </si>
  <si>
    <t>808552173728</t>
  </si>
  <si>
    <t>808553172597</t>
  </si>
  <si>
    <t>808554140967</t>
  </si>
  <si>
    <t>808558119050</t>
  </si>
  <si>
    <t>808559119050</t>
  </si>
  <si>
    <t>808569171839</t>
  </si>
  <si>
    <t>808570173310</t>
  </si>
  <si>
    <t>808572205306</t>
  </si>
  <si>
    <t>808575206066</t>
  </si>
  <si>
    <t>808578179928</t>
  </si>
  <si>
    <t>808606119044</t>
  </si>
  <si>
    <t>808607145353</t>
  </si>
  <si>
    <t>808608119044</t>
  </si>
  <si>
    <t>808609119044</t>
  </si>
  <si>
    <t>808610141556</t>
  </si>
  <si>
    <t>808611149764</t>
  </si>
  <si>
    <t>808613173310</t>
  </si>
  <si>
    <t>808615121574</t>
  </si>
  <si>
    <t>808618174756</t>
  </si>
  <si>
    <t>808619173224</t>
  </si>
  <si>
    <t>808622119050</t>
  </si>
  <si>
    <t>808623119050</t>
  </si>
  <si>
    <t>808639208809</t>
  </si>
  <si>
    <t>808644119023</t>
  </si>
  <si>
    <t>808674119154</t>
  </si>
  <si>
    <t>808676172872</t>
  </si>
  <si>
    <t>808677178764</t>
  </si>
  <si>
    <t>808678119028</t>
  </si>
  <si>
    <t>808693176773</t>
  </si>
  <si>
    <t>808708206066</t>
  </si>
  <si>
    <t>808713170197</t>
  </si>
  <si>
    <t>808730201172</t>
  </si>
  <si>
    <t>808731141512</t>
  </si>
  <si>
    <t>808732143114</t>
  </si>
  <si>
    <t>808733149885</t>
  </si>
  <si>
    <t>808733171591</t>
  </si>
  <si>
    <t>808739119038</t>
  </si>
  <si>
    <t>808749119038</t>
  </si>
  <si>
    <t>808750119038</t>
  </si>
  <si>
    <t>808751174034</t>
  </si>
  <si>
    <t>808775170392</t>
  </si>
  <si>
    <t>808775170846</t>
  </si>
  <si>
    <t>808786177426</t>
  </si>
  <si>
    <t>808786203407</t>
  </si>
  <si>
    <t>808787149991</t>
  </si>
  <si>
    <t>808789170363</t>
  </si>
  <si>
    <t>808791170149</t>
  </si>
  <si>
    <t>808791170204</t>
  </si>
  <si>
    <t>808792144804</t>
  </si>
  <si>
    <t>808795119208</t>
  </si>
  <si>
    <t>808818172905</t>
  </si>
  <si>
    <t>808820119028</t>
  </si>
  <si>
    <t>808821172497</t>
  </si>
  <si>
    <t>808822174034</t>
  </si>
  <si>
    <t>808823119038</t>
  </si>
  <si>
    <t>808835146910</t>
  </si>
  <si>
    <t>808837121706</t>
  </si>
  <si>
    <t>808845121574</t>
  </si>
  <si>
    <t>808849173728</t>
  </si>
  <si>
    <t>808852175049</t>
  </si>
  <si>
    <t>808856178511</t>
  </si>
  <si>
    <t>808857119042</t>
  </si>
  <si>
    <t>808858119208</t>
  </si>
  <si>
    <t>808889140967</t>
  </si>
  <si>
    <t>808890148233</t>
  </si>
  <si>
    <t>808891177631</t>
  </si>
  <si>
    <t>808892140858</t>
  </si>
  <si>
    <t>808893170248</t>
  </si>
  <si>
    <t>808894174756</t>
  </si>
  <si>
    <t>808895119050</t>
  </si>
  <si>
    <t>808895202881</t>
  </si>
  <si>
    <t>808902170775</t>
  </si>
  <si>
    <t>808903170775</t>
  </si>
  <si>
    <t>808910119044</t>
  </si>
  <si>
    <t>808911205992</t>
  </si>
  <si>
    <t>808911209139</t>
  </si>
  <si>
    <t>808912146968</t>
  </si>
  <si>
    <t>808914119026</t>
  </si>
  <si>
    <t>808924179877</t>
  </si>
  <si>
    <t>808925119023</t>
  </si>
  <si>
    <t>808926119023</t>
  </si>
  <si>
    <t>808928202842</t>
  </si>
  <si>
    <t>808929119044</t>
  </si>
  <si>
    <t>808930170392</t>
  </si>
  <si>
    <t>808931170248</t>
  </si>
  <si>
    <t>808934142843</t>
  </si>
  <si>
    <t>808937125022</t>
  </si>
  <si>
    <t>808938178764</t>
  </si>
  <si>
    <t>808939119044</t>
  </si>
  <si>
    <t>808939147640</t>
  </si>
  <si>
    <t>808940174034</t>
  </si>
  <si>
    <t>808941122377</t>
  </si>
  <si>
    <t>808951119154</t>
  </si>
  <si>
    <t>808957119044</t>
  </si>
  <si>
    <t>808958173310</t>
  </si>
  <si>
    <t>808959178669</t>
  </si>
  <si>
    <t>808979149996</t>
  </si>
  <si>
    <t>808980175717</t>
  </si>
  <si>
    <t>809004175662</t>
  </si>
  <si>
    <t>809004207290</t>
  </si>
  <si>
    <t>809012146968</t>
  </si>
  <si>
    <t>809016171887</t>
  </si>
  <si>
    <t>809020140848</t>
  </si>
  <si>
    <t>809020208776</t>
  </si>
  <si>
    <t>809039172497</t>
  </si>
  <si>
    <t>809044119221</t>
  </si>
  <si>
    <t>809102171839</t>
  </si>
  <si>
    <t>809103171923</t>
  </si>
  <si>
    <t>809114205966</t>
  </si>
  <si>
    <t>809115140967</t>
  </si>
  <si>
    <t>809117177259</t>
  </si>
  <si>
    <t>809120208183</t>
  </si>
  <si>
    <t>809121141177</t>
  </si>
  <si>
    <t>809121170115</t>
  </si>
  <si>
    <t>809133149885</t>
  </si>
  <si>
    <t>809142178764</t>
  </si>
  <si>
    <t>809143119044</t>
  </si>
  <si>
    <t>809165119038</t>
  </si>
  <si>
    <t>809168119038</t>
  </si>
  <si>
    <t>809170119038</t>
  </si>
  <si>
    <t>809179175856</t>
  </si>
  <si>
    <t>809180174299</t>
  </si>
  <si>
    <t>809181171685</t>
  </si>
  <si>
    <t>809181177202</t>
  </si>
  <si>
    <t>809182178511</t>
  </si>
  <si>
    <t>809183119208</t>
  </si>
  <si>
    <t>809184119208</t>
  </si>
  <si>
    <t>809191170132</t>
  </si>
  <si>
    <t>809205174299</t>
  </si>
  <si>
    <t>809212170904</t>
  </si>
  <si>
    <t>809217121572</t>
  </si>
  <si>
    <t>809219176833</t>
  </si>
  <si>
    <t>809221122377</t>
  </si>
  <si>
    <t>809222140958</t>
  </si>
  <si>
    <t>809223143301</t>
  </si>
  <si>
    <t>809241140860</t>
  </si>
  <si>
    <t>809242170501</t>
  </si>
  <si>
    <t>809267177104</t>
  </si>
  <si>
    <t>809279173288</t>
  </si>
  <si>
    <t>809280170775</t>
  </si>
  <si>
    <t>809281140967</t>
  </si>
  <si>
    <t>809282170775</t>
  </si>
  <si>
    <t>809283119038</t>
  </si>
  <si>
    <t>809284140958</t>
  </si>
  <si>
    <t>809285140967</t>
  </si>
  <si>
    <t>809295171578</t>
  </si>
  <si>
    <t>809312173729</t>
  </si>
  <si>
    <t>809315205370</t>
  </si>
  <si>
    <t>809325205370</t>
  </si>
  <si>
    <t>809326170392</t>
  </si>
  <si>
    <t>809327172648</t>
  </si>
  <si>
    <t>809330176647</t>
  </si>
  <si>
    <t>809332177093</t>
  </si>
  <si>
    <t>809333172640</t>
  </si>
  <si>
    <t>809334170392</t>
  </si>
  <si>
    <t>809338119117</t>
  </si>
  <si>
    <t>809348173729</t>
  </si>
  <si>
    <t>809350172338</t>
  </si>
  <si>
    <t>809354174034</t>
  </si>
  <si>
    <t>809361177016</t>
  </si>
  <si>
    <t>809368144447</t>
  </si>
  <si>
    <t>809411149885</t>
  </si>
  <si>
    <t>809411170617</t>
  </si>
  <si>
    <t>809413119042</t>
  </si>
  <si>
    <t>809418144747</t>
  </si>
  <si>
    <t>809420174756</t>
  </si>
  <si>
    <t>809421170904</t>
  </si>
  <si>
    <t>809422177259</t>
  </si>
  <si>
    <t>809423142269</t>
  </si>
  <si>
    <t>809424177202</t>
  </si>
  <si>
    <t>809426171839</t>
  </si>
  <si>
    <t>809438177016</t>
  </si>
  <si>
    <t>809439208183</t>
  </si>
  <si>
    <t>809455146968</t>
  </si>
  <si>
    <t>809457122377</t>
  </si>
  <si>
    <t>809459119117</t>
  </si>
  <si>
    <t>809466119046</t>
  </si>
  <si>
    <t>809467175288</t>
  </si>
  <si>
    <t>809471119029</t>
  </si>
  <si>
    <t>809476119029</t>
  </si>
  <si>
    <t>809479176303</t>
  </si>
  <si>
    <t>809506149885</t>
  </si>
  <si>
    <t>809507172712</t>
  </si>
  <si>
    <t>809527119154</t>
  </si>
  <si>
    <t>809529145394</t>
  </si>
  <si>
    <t>809532177426</t>
  </si>
  <si>
    <t>809534174445</t>
  </si>
  <si>
    <t>809550173528</t>
  </si>
  <si>
    <t>809551205966</t>
  </si>
  <si>
    <t>809552176929</t>
  </si>
  <si>
    <t>809569171880</t>
  </si>
  <si>
    <t>809577170847</t>
  </si>
  <si>
    <t>809577176693</t>
  </si>
  <si>
    <t>809578177016</t>
  </si>
  <si>
    <t>809579119261</t>
  </si>
  <si>
    <t>809580170204</t>
  </si>
  <si>
    <t>809617171662</t>
  </si>
  <si>
    <t>809618171947</t>
  </si>
  <si>
    <t>809620119031</t>
  </si>
  <si>
    <t>809621142843</t>
  </si>
  <si>
    <t>809622119038</t>
  </si>
  <si>
    <t>809643173224</t>
  </si>
  <si>
    <t>809656171578</t>
  </si>
  <si>
    <t>809735119029</t>
  </si>
  <si>
    <t>809736208183</t>
  </si>
  <si>
    <t>809778178230</t>
  </si>
  <si>
    <t>809780206219</t>
  </si>
  <si>
    <t>809781141556</t>
  </si>
  <si>
    <t>809785149765</t>
  </si>
  <si>
    <t>809794119031</t>
  </si>
  <si>
    <t>809860119044</t>
  </si>
  <si>
    <t>809892119029</t>
  </si>
  <si>
    <t>809893171662</t>
  </si>
  <si>
    <t>809906119026</t>
  </si>
  <si>
    <t>809907140848</t>
  </si>
  <si>
    <t>809908145394</t>
  </si>
  <si>
    <t>809909145394</t>
  </si>
  <si>
    <t>809916119208</t>
  </si>
  <si>
    <t>809917172150</t>
  </si>
  <si>
    <t>809918144868</t>
  </si>
  <si>
    <t>809983178230</t>
  </si>
  <si>
    <t>809984119038</t>
  </si>
  <si>
    <t>809985119028</t>
  </si>
  <si>
    <t>809986119028</t>
  </si>
  <si>
    <t>809989119066</t>
  </si>
  <si>
    <t>810055175288</t>
  </si>
  <si>
    <t>810084172193</t>
  </si>
  <si>
    <t>810094119029</t>
  </si>
  <si>
    <t>810104177947</t>
  </si>
  <si>
    <t>810105206219</t>
  </si>
  <si>
    <t>810120148557</t>
  </si>
  <si>
    <t>810122211137</t>
  </si>
  <si>
    <t>810127178137</t>
  </si>
  <si>
    <t>810128178003</t>
  </si>
  <si>
    <t>810129178003</t>
  </si>
  <si>
    <t>810130178003</t>
  </si>
  <si>
    <t>810131178836</t>
  </si>
  <si>
    <t>810132207643</t>
  </si>
  <si>
    <t>810155149764</t>
  </si>
  <si>
    <t>810157140848</t>
  </si>
  <si>
    <t>810158119066</t>
  </si>
  <si>
    <t>810159172084</t>
  </si>
  <si>
    <t>810182140829</t>
  </si>
  <si>
    <t>810221140857</t>
  </si>
  <si>
    <t>810221140858</t>
  </si>
  <si>
    <t>810222119263</t>
  </si>
  <si>
    <t>810223177104</t>
  </si>
  <si>
    <t>810224119028</t>
  </si>
  <si>
    <t>810225176833</t>
  </si>
  <si>
    <t>810242119261</t>
  </si>
  <si>
    <t>810274144447</t>
  </si>
  <si>
    <t>810298172946</t>
  </si>
  <si>
    <t>810299140851</t>
  </si>
  <si>
    <t>810304176929</t>
  </si>
  <si>
    <t>810305140967</t>
  </si>
  <si>
    <t>810324175288</t>
  </si>
  <si>
    <t>810348176870</t>
  </si>
  <si>
    <t>810376146500</t>
  </si>
  <si>
    <t>810377119038</t>
  </si>
  <si>
    <t>810386172946</t>
  </si>
  <si>
    <t>810387142843</t>
  </si>
  <si>
    <t>810434174166</t>
  </si>
  <si>
    <t>810435178661</t>
  </si>
  <si>
    <t>810480141115</t>
  </si>
  <si>
    <t>810481172497</t>
  </si>
  <si>
    <t>810510174034</t>
  </si>
  <si>
    <t>810511119044</t>
  </si>
  <si>
    <t>810512119028</t>
  </si>
  <si>
    <t>810513176833</t>
  </si>
  <si>
    <t>810533178724</t>
  </si>
  <si>
    <t>810558141115</t>
  </si>
  <si>
    <t>810559145353</t>
  </si>
  <si>
    <t>810560142332</t>
  </si>
  <si>
    <t>810583140958</t>
  </si>
  <si>
    <t>810584145394</t>
  </si>
  <si>
    <t>810595176641</t>
  </si>
  <si>
    <t>810596176693</t>
  </si>
  <si>
    <t>810597176693</t>
  </si>
  <si>
    <t>810647170617</t>
  </si>
  <si>
    <t>810648140481</t>
  </si>
  <si>
    <t>810653142843</t>
  </si>
  <si>
    <t>810683178661</t>
  </si>
  <si>
    <t>810684119261</t>
  </si>
  <si>
    <t>810685119208</t>
  </si>
  <si>
    <t>810686178661</t>
  </si>
  <si>
    <t>810700119154</t>
  </si>
  <si>
    <t>810734119065</t>
  </si>
  <si>
    <t>810741172597</t>
  </si>
  <si>
    <t>810751176870</t>
  </si>
  <si>
    <t>810756208329</t>
  </si>
  <si>
    <t>810762119044</t>
  </si>
  <si>
    <t>810798119031</t>
  </si>
  <si>
    <t>810799206219</t>
  </si>
  <si>
    <t>810821141512</t>
  </si>
  <si>
    <t>810830119261</t>
  </si>
  <si>
    <t>810839122377</t>
  </si>
  <si>
    <t>810840119026</t>
  </si>
  <si>
    <t>810841179755</t>
  </si>
  <si>
    <t>810843176773</t>
  </si>
  <si>
    <t>810852179911</t>
  </si>
  <si>
    <t>810871140860</t>
  </si>
  <si>
    <t>810894201280</t>
  </si>
  <si>
    <t>810896179467</t>
  </si>
  <si>
    <t>810897179467</t>
  </si>
  <si>
    <t>810898140881</t>
  </si>
  <si>
    <t>810899177295</t>
  </si>
  <si>
    <t>810901177295</t>
  </si>
  <si>
    <t>810902177295</t>
  </si>
  <si>
    <t>810906173728</t>
  </si>
  <si>
    <t>810907142269</t>
  </si>
  <si>
    <t>810908140850</t>
  </si>
  <si>
    <t>810913119029</t>
  </si>
  <si>
    <t>810914119179</t>
  </si>
  <si>
    <t>810919170248</t>
  </si>
  <si>
    <t>810920119109</t>
  </si>
  <si>
    <t>810922175288</t>
  </si>
  <si>
    <t>810951177295</t>
  </si>
  <si>
    <t>810952140881</t>
  </si>
  <si>
    <t>810953140881</t>
  </si>
  <si>
    <t>810954174034</t>
  </si>
  <si>
    <t>810956179869</t>
  </si>
  <si>
    <t>810958179877</t>
  </si>
  <si>
    <t>810991172640</t>
  </si>
  <si>
    <t>811032170204</t>
  </si>
  <si>
    <t>811033179877</t>
  </si>
  <si>
    <t>811034207643</t>
  </si>
  <si>
    <t>811036170846</t>
  </si>
  <si>
    <t>811037179869</t>
  </si>
  <si>
    <t>811038172497</t>
  </si>
  <si>
    <t>811045172905</t>
  </si>
  <si>
    <t>811047174756</t>
  </si>
  <si>
    <t>811049119117</t>
  </si>
  <si>
    <t>811051173849</t>
  </si>
  <si>
    <t>811052178219</t>
  </si>
  <si>
    <t>811064170248</t>
  </si>
  <si>
    <t>811066119038</t>
  </si>
  <si>
    <t>811070170501</t>
  </si>
  <si>
    <t>811071173288</t>
  </si>
  <si>
    <t>811085178230</t>
  </si>
  <si>
    <t>811086178230</t>
  </si>
  <si>
    <t>811088143114</t>
  </si>
  <si>
    <t>811089170228</t>
  </si>
  <si>
    <t>811089179877</t>
  </si>
  <si>
    <t>811091140481</t>
  </si>
  <si>
    <t>811092176641</t>
  </si>
  <si>
    <t>811093176844</t>
  </si>
  <si>
    <t>811098119038</t>
  </si>
  <si>
    <t>811099179869</t>
  </si>
  <si>
    <t>811106178234</t>
  </si>
  <si>
    <t>811106178237</t>
  </si>
  <si>
    <t>811107170204</t>
  </si>
  <si>
    <t>811118141905</t>
  </si>
  <si>
    <t>811119177068</t>
  </si>
  <si>
    <t>811119177662</t>
  </si>
  <si>
    <t>811121143607</t>
  </si>
  <si>
    <t>811134173749</t>
  </si>
  <si>
    <t>811135175288</t>
  </si>
  <si>
    <t>811136174166</t>
  </si>
  <si>
    <t>811136175856</t>
  </si>
  <si>
    <t>811137177957</t>
  </si>
  <si>
    <t>811138173310</t>
  </si>
  <si>
    <t>811139170248</t>
  </si>
  <si>
    <t>811165176844</t>
  </si>
  <si>
    <t>811172170392</t>
  </si>
  <si>
    <t>811172172640</t>
  </si>
  <si>
    <t>811173177290</t>
  </si>
  <si>
    <t>811181170228</t>
  </si>
  <si>
    <t>811182174316</t>
  </si>
  <si>
    <t>811183174445</t>
  </si>
  <si>
    <t>811184201090</t>
  </si>
  <si>
    <t>811185119034</t>
  </si>
  <si>
    <t>811186143607</t>
  </si>
  <si>
    <t>811187140967</t>
  </si>
  <si>
    <t>811189176833</t>
  </si>
  <si>
    <t>811191207977</t>
  </si>
  <si>
    <t>811192174166</t>
  </si>
  <si>
    <t>811214173288</t>
  </si>
  <si>
    <t>811218178236</t>
  </si>
  <si>
    <t>811219143301</t>
  </si>
  <si>
    <t>811241170146</t>
  </si>
  <si>
    <t>811242147770</t>
  </si>
  <si>
    <t>811243176303</t>
  </si>
  <si>
    <t>811244178768</t>
  </si>
  <si>
    <t>811251144868</t>
  </si>
  <si>
    <t>811253119066</t>
  </si>
  <si>
    <t>811254202881</t>
  </si>
  <si>
    <t>811254208066</t>
  </si>
  <si>
    <t>811255176773</t>
  </si>
  <si>
    <t>811256179879</t>
  </si>
  <si>
    <t>811270179560</t>
  </si>
  <si>
    <t>811271141115</t>
  </si>
  <si>
    <t>811273170501</t>
  </si>
  <si>
    <t>811274140848</t>
  </si>
  <si>
    <t>811275179946</t>
  </si>
  <si>
    <t>811315119031</t>
  </si>
  <si>
    <t>811316178230</t>
  </si>
  <si>
    <t>811324170204</t>
  </si>
  <si>
    <t>811328176833</t>
  </si>
  <si>
    <t>811329177595</t>
  </si>
  <si>
    <t>811348119117</t>
  </si>
  <si>
    <t>811349178230</t>
  </si>
  <si>
    <t>811350177379</t>
  </si>
  <si>
    <t>811356170146</t>
  </si>
  <si>
    <t>811357170132</t>
  </si>
  <si>
    <t>811357170146</t>
  </si>
  <si>
    <t>811360170013</t>
  </si>
  <si>
    <t>811385142269</t>
  </si>
  <si>
    <t>811386119066</t>
  </si>
  <si>
    <t>811387179560</t>
  </si>
  <si>
    <t>811401145639</t>
  </si>
  <si>
    <t>811402176869</t>
  </si>
  <si>
    <t>811403207977</t>
  </si>
  <si>
    <t>811405178768</t>
  </si>
  <si>
    <t>811418174034</t>
  </si>
  <si>
    <t>811419201578</t>
  </si>
  <si>
    <t>811420119221</t>
  </si>
  <si>
    <t>811420176833</t>
  </si>
  <si>
    <t>811422175288</t>
  </si>
  <si>
    <t>811423141905</t>
  </si>
  <si>
    <t>811425175547</t>
  </si>
  <si>
    <t>811433119038</t>
  </si>
  <si>
    <t>811454144243</t>
  </si>
  <si>
    <t>811455176279</t>
  </si>
  <si>
    <t>811475178844</t>
  </si>
  <si>
    <t>811479145394</t>
  </si>
  <si>
    <t>811480119071</t>
  </si>
  <si>
    <t>811481179891</t>
  </si>
  <si>
    <t>811489179879</t>
  </si>
  <si>
    <t>811510206219</t>
  </si>
  <si>
    <t>811511174034</t>
  </si>
  <si>
    <t>811512140967</t>
  </si>
  <si>
    <t>811513206066</t>
  </si>
  <si>
    <t>811514178764</t>
  </si>
  <si>
    <t>811522175288</t>
  </si>
  <si>
    <t>811523201117</t>
  </si>
  <si>
    <t>811534119034</t>
  </si>
  <si>
    <t>811535176279</t>
  </si>
  <si>
    <t>811543119066</t>
  </si>
  <si>
    <t>811544172497</t>
  </si>
  <si>
    <t>811545178460</t>
  </si>
  <si>
    <t>811546179908</t>
  </si>
  <si>
    <t>811547179908</t>
  </si>
  <si>
    <t>811547204869</t>
  </si>
  <si>
    <t>811549178150</t>
  </si>
  <si>
    <t>811549204869</t>
  </si>
  <si>
    <t>811550119208</t>
  </si>
  <si>
    <t>811582170550</t>
  </si>
  <si>
    <t>811584170013</t>
  </si>
  <si>
    <t>811585202288</t>
  </si>
  <si>
    <t>811588143114</t>
  </si>
  <si>
    <t>811588202204</t>
  </si>
  <si>
    <t>811596119050</t>
  </si>
  <si>
    <t>811621173224</t>
  </si>
  <si>
    <t>811622173224</t>
  </si>
  <si>
    <t>811623179560</t>
  </si>
  <si>
    <t>811624179560</t>
  </si>
  <si>
    <t>811625176773</t>
  </si>
  <si>
    <t>811628202288</t>
  </si>
  <si>
    <t>811629170013</t>
  </si>
  <si>
    <t>811630140481</t>
  </si>
  <si>
    <t>811633170617</t>
  </si>
  <si>
    <t>811634170617</t>
  </si>
  <si>
    <t>811639141512</t>
  </si>
  <si>
    <t>811647171839</t>
  </si>
  <si>
    <t>811648172640</t>
  </si>
  <si>
    <t>811663178003</t>
  </si>
  <si>
    <t>811672205370</t>
  </si>
  <si>
    <t>811674179784</t>
  </si>
  <si>
    <t>811676179784</t>
  </si>
  <si>
    <t>811677170617</t>
  </si>
  <si>
    <t>811679177016</t>
  </si>
  <si>
    <t>811681173611</t>
  </si>
  <si>
    <t>811681177425</t>
  </si>
  <si>
    <t>811682174631</t>
  </si>
  <si>
    <t>811683178230</t>
  </si>
  <si>
    <t>811685201280</t>
  </si>
  <si>
    <t>811686171839</t>
  </si>
  <si>
    <t>811686205949</t>
  </si>
  <si>
    <t>811687143608</t>
  </si>
  <si>
    <t>811693119029</t>
  </si>
  <si>
    <t>811694170197</t>
  </si>
  <si>
    <t>811733179560</t>
  </si>
  <si>
    <t>811735201280</t>
  </si>
  <si>
    <t>811771170550</t>
  </si>
  <si>
    <t>811772119044</t>
  </si>
  <si>
    <t>811773140881</t>
  </si>
  <si>
    <t>811774119028</t>
  </si>
  <si>
    <t>811776119066</t>
  </si>
  <si>
    <t>811777178031</t>
  </si>
  <si>
    <t>811778179879</t>
  </si>
  <si>
    <t>811779178230</t>
  </si>
  <si>
    <t>811780205591</t>
  </si>
  <si>
    <t>811781170248</t>
  </si>
  <si>
    <t>811782207643</t>
  </si>
  <si>
    <t>811799119208</t>
  </si>
  <si>
    <t>811800119208</t>
  </si>
  <si>
    <t>811848202758</t>
  </si>
  <si>
    <t>811860175049</t>
  </si>
  <si>
    <t>811862149872</t>
  </si>
  <si>
    <t>811863174631</t>
  </si>
  <si>
    <t>811864178062</t>
  </si>
  <si>
    <t>811868206066</t>
  </si>
  <si>
    <t>811869175049</t>
  </si>
  <si>
    <t>811870206219</t>
  </si>
  <si>
    <t>811871206219</t>
  </si>
  <si>
    <t>811872146968</t>
  </si>
  <si>
    <t>811891143114</t>
  </si>
  <si>
    <t>811892178150</t>
  </si>
  <si>
    <t>811896205840</t>
  </si>
  <si>
    <t>811897173611</t>
  </si>
  <si>
    <t>811910179877</t>
  </si>
  <si>
    <t>811913178511</t>
  </si>
  <si>
    <t>811918171839</t>
  </si>
  <si>
    <t>811921177300</t>
  </si>
  <si>
    <t>811921208156</t>
  </si>
  <si>
    <t>811922176693</t>
  </si>
  <si>
    <t>811922177787</t>
  </si>
  <si>
    <t>811924170363</t>
  </si>
  <si>
    <t>811944179894</t>
  </si>
  <si>
    <t>811996178695</t>
  </si>
  <si>
    <t>811998119028</t>
  </si>
  <si>
    <t>812000179550</t>
  </si>
  <si>
    <t>812003119028</t>
  </si>
  <si>
    <t>812005202427</t>
  </si>
  <si>
    <t>812043144243</t>
  </si>
  <si>
    <t>812047201838</t>
  </si>
  <si>
    <t>812049170392</t>
  </si>
  <si>
    <t>812052119044</t>
  </si>
  <si>
    <t>812056175288</t>
  </si>
  <si>
    <t>812059172193</t>
  </si>
  <si>
    <t>812060179908</t>
  </si>
  <si>
    <t>812064177426</t>
  </si>
  <si>
    <t>812065179908</t>
  </si>
  <si>
    <t>812066170149</t>
  </si>
  <si>
    <t>812066170204</t>
  </si>
  <si>
    <t>812067119026</t>
  </si>
  <si>
    <t>812067141115</t>
  </si>
  <si>
    <t>812068140881</t>
  </si>
  <si>
    <t>812069202913</t>
  </si>
  <si>
    <t>812070202913</t>
  </si>
  <si>
    <t>812071179911</t>
  </si>
  <si>
    <t>812072144868</t>
  </si>
  <si>
    <t>812076178234</t>
  </si>
  <si>
    <t>812077202452</t>
  </si>
  <si>
    <t>812096173224</t>
  </si>
  <si>
    <t>812097177379</t>
  </si>
  <si>
    <t>812099144243</t>
  </si>
  <si>
    <t>812100178234</t>
  </si>
  <si>
    <t>812100203236</t>
  </si>
  <si>
    <t>812102145639</t>
  </si>
  <si>
    <t>812109171924</t>
  </si>
  <si>
    <t>812110119038</t>
  </si>
  <si>
    <t>812134170146</t>
  </si>
  <si>
    <t>812142174445</t>
  </si>
  <si>
    <t>812160203154</t>
  </si>
  <si>
    <t>812161145639</t>
  </si>
  <si>
    <t>812175141115</t>
  </si>
  <si>
    <t>812176170059</t>
  </si>
  <si>
    <t>812176179560</t>
  </si>
  <si>
    <t>812177140967</t>
  </si>
  <si>
    <t>812178179928</t>
  </si>
  <si>
    <t>812178201280</t>
  </si>
  <si>
    <t>812195141905</t>
  </si>
  <si>
    <t>812196174445</t>
  </si>
  <si>
    <t>812218119026</t>
  </si>
  <si>
    <t>812236179486</t>
  </si>
  <si>
    <t>812237174445</t>
  </si>
  <si>
    <t>812265141115</t>
  </si>
  <si>
    <t>812266140859</t>
  </si>
  <si>
    <t>812267172084</t>
  </si>
  <si>
    <t>812267203330</t>
  </si>
  <si>
    <t>812282174166</t>
  </si>
  <si>
    <t>812289179560</t>
  </si>
  <si>
    <t>812291149765</t>
  </si>
  <si>
    <t>812299143531</t>
  </si>
  <si>
    <t>812300149765</t>
  </si>
  <si>
    <t>812301119208</t>
  </si>
  <si>
    <t>812317174756</t>
  </si>
  <si>
    <t>812320172084</t>
  </si>
  <si>
    <t>812333171662</t>
  </si>
  <si>
    <t>812336178109</t>
  </si>
  <si>
    <t>812344202635</t>
  </si>
  <si>
    <t>812346173100</t>
  </si>
  <si>
    <t>812360173224</t>
  </si>
  <si>
    <t>812362173224</t>
  </si>
  <si>
    <t>812372202849</t>
  </si>
  <si>
    <t>812382179893</t>
  </si>
  <si>
    <t>812384178237</t>
  </si>
  <si>
    <t>812384178298</t>
  </si>
  <si>
    <t>812389176693</t>
  </si>
  <si>
    <t>812389177787</t>
  </si>
  <si>
    <t>812389208055</t>
  </si>
  <si>
    <t>812391149765</t>
  </si>
  <si>
    <t>812392178237</t>
  </si>
  <si>
    <t>812393176693</t>
  </si>
  <si>
    <t>812395174166</t>
  </si>
  <si>
    <t>812396208156</t>
  </si>
  <si>
    <t>812404179894</t>
  </si>
  <si>
    <t>812407178237</t>
  </si>
  <si>
    <t>812409202225</t>
  </si>
  <si>
    <t>812425146909</t>
  </si>
  <si>
    <t>812426178109</t>
  </si>
  <si>
    <t>812428176279</t>
  </si>
  <si>
    <t>812433208156</t>
  </si>
  <si>
    <t>812450140851</t>
  </si>
  <si>
    <t>812451140858</t>
  </si>
  <si>
    <t>812461179893</t>
  </si>
  <si>
    <t>812469201065</t>
  </si>
  <si>
    <t>812472170115</t>
  </si>
  <si>
    <t>812474178234</t>
  </si>
  <si>
    <t>812483174166</t>
  </si>
  <si>
    <t>812505146861</t>
  </si>
  <si>
    <t>812507144447</t>
  </si>
  <si>
    <t>812535149885</t>
  </si>
  <si>
    <t>812536119212</t>
  </si>
  <si>
    <t>812537144343</t>
  </si>
  <si>
    <t>812545170392</t>
  </si>
  <si>
    <t>812545177727</t>
  </si>
  <si>
    <t>812545204375</t>
  </si>
  <si>
    <t>812546176388</t>
  </si>
  <si>
    <t>812548172855</t>
  </si>
  <si>
    <t>812551119177</t>
  </si>
  <si>
    <t>812551203137</t>
  </si>
  <si>
    <t>812552170775</t>
  </si>
  <si>
    <t>812561179877</t>
  </si>
  <si>
    <t>812562178237</t>
  </si>
  <si>
    <t>812563141556</t>
  </si>
  <si>
    <t>812563178237</t>
  </si>
  <si>
    <t>812564141556</t>
  </si>
  <si>
    <t>812565170392</t>
  </si>
  <si>
    <t>812569119029</t>
  </si>
  <si>
    <t>812570208638</t>
  </si>
  <si>
    <t>812571173750</t>
  </si>
  <si>
    <t>812572202428</t>
  </si>
  <si>
    <t>812615177069</t>
  </si>
  <si>
    <t>812616202428</t>
  </si>
  <si>
    <t>812616207977</t>
  </si>
  <si>
    <t>812617173298</t>
  </si>
  <si>
    <t>812624176833</t>
  </si>
  <si>
    <t>812625179868</t>
  </si>
  <si>
    <t>812626176833</t>
  </si>
  <si>
    <t>812627174316</t>
  </si>
  <si>
    <t>812630205370</t>
  </si>
  <si>
    <t>812634174357</t>
  </si>
  <si>
    <t>812654172299</t>
  </si>
  <si>
    <t>812658119071</t>
  </si>
  <si>
    <t>812663175340</t>
  </si>
  <si>
    <t>812664179928</t>
  </si>
  <si>
    <t>812665205949</t>
  </si>
  <si>
    <t>812666179928</t>
  </si>
  <si>
    <t>812667201280</t>
  </si>
  <si>
    <t>812668201280</t>
  </si>
  <si>
    <t>812684170363</t>
  </si>
  <si>
    <t>812687202142</t>
  </si>
  <si>
    <t>812688119042</t>
  </si>
  <si>
    <t>812700119117</t>
  </si>
  <si>
    <t>812701202941</t>
  </si>
  <si>
    <t>812703177202</t>
  </si>
  <si>
    <t>812705142269</t>
  </si>
  <si>
    <t>812706170248</t>
  </si>
  <si>
    <t>812712202913</t>
  </si>
  <si>
    <t>812723179163</t>
  </si>
  <si>
    <t>812723179387</t>
  </si>
  <si>
    <t>812723201841</t>
  </si>
  <si>
    <t>812723202980</t>
  </si>
  <si>
    <t>812723207229</t>
  </si>
  <si>
    <t>812729145394</t>
  </si>
  <si>
    <t>812730119066</t>
  </si>
  <si>
    <t>812737170614</t>
  </si>
  <si>
    <t>812738171226</t>
  </si>
  <si>
    <t>812741129599</t>
  </si>
  <si>
    <t>812743202852</t>
  </si>
  <si>
    <t>812747170392</t>
  </si>
  <si>
    <t>812747208032</t>
  </si>
  <si>
    <t>812751178237</t>
  </si>
  <si>
    <t>812752203649</t>
  </si>
  <si>
    <t>812755203811</t>
  </si>
  <si>
    <t>812757147110</t>
  </si>
  <si>
    <t>812757174756</t>
  </si>
  <si>
    <t>812759119066</t>
  </si>
  <si>
    <t>812760170846</t>
  </si>
  <si>
    <t>812760172640</t>
  </si>
  <si>
    <t>812768176773</t>
  </si>
  <si>
    <t>812768210075</t>
  </si>
  <si>
    <t>812776178287</t>
  </si>
  <si>
    <t>812778179907</t>
  </si>
  <si>
    <t>812780202225</t>
  </si>
  <si>
    <t>812792201280</t>
  </si>
  <si>
    <t>812793202452</t>
  </si>
  <si>
    <t>812794202994</t>
  </si>
  <si>
    <t>812807177104</t>
  </si>
  <si>
    <t>812808172855</t>
  </si>
  <si>
    <t>812810203236</t>
  </si>
  <si>
    <t>812811178237</t>
  </si>
  <si>
    <t>812812202288</t>
  </si>
  <si>
    <t>812821177104</t>
  </si>
  <si>
    <t>812823142843</t>
  </si>
  <si>
    <t>812838119031</t>
  </si>
  <si>
    <t>812838179869</t>
  </si>
  <si>
    <t>812842171938</t>
  </si>
  <si>
    <t>812846142512</t>
  </si>
  <si>
    <t>812848147936</t>
  </si>
  <si>
    <t>812850171662</t>
  </si>
  <si>
    <t>812852202941</t>
  </si>
  <si>
    <t>812854178109</t>
  </si>
  <si>
    <t>812856172497</t>
  </si>
  <si>
    <t>812859119034</t>
  </si>
  <si>
    <t>812860202852</t>
  </si>
  <si>
    <t>812861176833</t>
  </si>
  <si>
    <t>812863145394</t>
  </si>
  <si>
    <t>812866141674</t>
  </si>
  <si>
    <t>812869202913</t>
  </si>
  <si>
    <t>812880175856</t>
  </si>
  <si>
    <t>812883149825</t>
  </si>
  <si>
    <t>812884205620</t>
  </si>
  <si>
    <t>812891119212</t>
  </si>
  <si>
    <t>812893170248</t>
  </si>
  <si>
    <t>812897202329</t>
  </si>
  <si>
    <t>812899202329</t>
  </si>
  <si>
    <t>812900171662</t>
  </si>
  <si>
    <t>812902170248</t>
  </si>
  <si>
    <t>812903203421</t>
  </si>
  <si>
    <t>812905170248</t>
  </si>
  <si>
    <t>812909203156</t>
  </si>
  <si>
    <t>812920149885</t>
  </si>
  <si>
    <t>812944177829</t>
  </si>
  <si>
    <t>812947178226</t>
  </si>
  <si>
    <t>812949204208</t>
  </si>
  <si>
    <t>812964170132</t>
  </si>
  <si>
    <t>812964170146</t>
  </si>
  <si>
    <t>812967177829</t>
  </si>
  <si>
    <t>812969140481</t>
  </si>
  <si>
    <t>812971142353</t>
  </si>
  <si>
    <t>812976119028</t>
  </si>
  <si>
    <t>812978172906</t>
  </si>
  <si>
    <t>812983119212</t>
  </si>
  <si>
    <t>812984178230</t>
  </si>
  <si>
    <t>812985173224</t>
  </si>
  <si>
    <t>812986173224</t>
  </si>
  <si>
    <t>812990119038</t>
  </si>
  <si>
    <t>812992173224</t>
  </si>
  <si>
    <t>812994173224</t>
  </si>
  <si>
    <t>812996201280</t>
  </si>
  <si>
    <t>812999148233</t>
  </si>
  <si>
    <t>813001201280</t>
  </si>
  <si>
    <t>813002201280</t>
  </si>
  <si>
    <t>813003177016</t>
  </si>
  <si>
    <t>813005179486</t>
  </si>
  <si>
    <t>813006178230</t>
  </si>
  <si>
    <t>813007170617</t>
  </si>
  <si>
    <t>813008145394</t>
  </si>
  <si>
    <t>813009175856</t>
  </si>
  <si>
    <t>813010145394</t>
  </si>
  <si>
    <t>813019141115</t>
  </si>
  <si>
    <t>813020177068</t>
  </si>
  <si>
    <t>813020177662</t>
  </si>
  <si>
    <t>813021170059</t>
  </si>
  <si>
    <t>813022143113</t>
  </si>
  <si>
    <t>813023172193</t>
  </si>
  <si>
    <t>813031170775</t>
  </si>
  <si>
    <t>813034170775</t>
  </si>
  <si>
    <t>813036149885</t>
  </si>
  <si>
    <t>813040201091</t>
  </si>
  <si>
    <t>813048179908</t>
  </si>
  <si>
    <t>813050177016</t>
  </si>
  <si>
    <t>813053177069</t>
  </si>
  <si>
    <t>813054170204</t>
  </si>
  <si>
    <t>813055208156</t>
  </si>
  <si>
    <t>813056141905</t>
  </si>
  <si>
    <t>813056175856</t>
  </si>
  <si>
    <t>813060174558</t>
  </si>
  <si>
    <t>813074177957</t>
  </si>
  <si>
    <t>813096119042</t>
  </si>
  <si>
    <t>813099173865</t>
  </si>
  <si>
    <t>813101173865</t>
  </si>
  <si>
    <t>813105202842</t>
  </si>
  <si>
    <t>813118173865</t>
  </si>
  <si>
    <t>813120119042</t>
  </si>
  <si>
    <t>813122205183</t>
  </si>
  <si>
    <t>813122211137</t>
  </si>
  <si>
    <t>813124172640</t>
  </si>
  <si>
    <t>813146206066</t>
  </si>
  <si>
    <t>813147204307</t>
  </si>
  <si>
    <t>813148173310</t>
  </si>
  <si>
    <t>813149149583</t>
  </si>
  <si>
    <t>813150202225</t>
  </si>
  <si>
    <t>813151179892</t>
  </si>
  <si>
    <t>813152140848</t>
  </si>
  <si>
    <t>813154170708</t>
  </si>
  <si>
    <t>813155208156</t>
  </si>
  <si>
    <t>813157202713</t>
  </si>
  <si>
    <t>813158119042</t>
  </si>
  <si>
    <t>813160172640</t>
  </si>
  <si>
    <t>813161179560</t>
  </si>
  <si>
    <t>813162174271</t>
  </si>
  <si>
    <t>813167171578</t>
  </si>
  <si>
    <t>813167175856</t>
  </si>
  <si>
    <t>813167207977</t>
  </si>
  <si>
    <t>813168140848</t>
  </si>
  <si>
    <t>813170140958</t>
  </si>
  <si>
    <t>813172178661</t>
  </si>
  <si>
    <t>813173177068</t>
  </si>
  <si>
    <t>813173208156</t>
  </si>
  <si>
    <t>813174177301</t>
  </si>
  <si>
    <t>813182175049</t>
  </si>
  <si>
    <t>813184175049</t>
  </si>
  <si>
    <t>813185140859</t>
  </si>
  <si>
    <t>813188170248</t>
  </si>
  <si>
    <t>813190140958</t>
  </si>
  <si>
    <t>813192179928</t>
  </si>
  <si>
    <t>813194204034</t>
  </si>
  <si>
    <t>813195176303</t>
  </si>
  <si>
    <t>813198142269</t>
  </si>
  <si>
    <t>813210170392</t>
  </si>
  <si>
    <t>813213170363</t>
  </si>
  <si>
    <t>813215171578</t>
  </si>
  <si>
    <t>813217171226</t>
  </si>
  <si>
    <t>813228205370</t>
  </si>
  <si>
    <t>813229179560</t>
  </si>
  <si>
    <t>813231140848</t>
  </si>
  <si>
    <t>813231140851</t>
  </si>
  <si>
    <t>813245174271</t>
  </si>
  <si>
    <t>813254122377</t>
  </si>
  <si>
    <t>813256119066</t>
  </si>
  <si>
    <t>813257201162</t>
  </si>
  <si>
    <t>813258174271</t>
  </si>
  <si>
    <t>813260174271</t>
  </si>
  <si>
    <t>813266174271</t>
  </si>
  <si>
    <t>813269119050</t>
  </si>
  <si>
    <t>813271176276</t>
  </si>
  <si>
    <t>813277146910</t>
  </si>
  <si>
    <t>813279146910</t>
  </si>
  <si>
    <t>813284170617</t>
  </si>
  <si>
    <t>813288119212</t>
  </si>
  <si>
    <t>813290202288</t>
  </si>
  <si>
    <t>813291205370</t>
  </si>
  <si>
    <t>813293119066</t>
  </si>
  <si>
    <t>813299179894</t>
  </si>
  <si>
    <t>813299202947</t>
  </si>
  <si>
    <t>813301178004</t>
  </si>
  <si>
    <t>813302177092</t>
  </si>
  <si>
    <t>813303177092</t>
  </si>
  <si>
    <t>813312205370</t>
  </si>
  <si>
    <t>813314177982</t>
  </si>
  <si>
    <t>813324174631</t>
  </si>
  <si>
    <t>813327204307</t>
  </si>
  <si>
    <t>813347171662</t>
  </si>
  <si>
    <t>813364207643</t>
  </si>
  <si>
    <t>813366205949</t>
  </si>
  <si>
    <t>813368178003</t>
  </si>
  <si>
    <t>813374170248</t>
  </si>
  <si>
    <t>813375204030</t>
  </si>
  <si>
    <t>813376207977</t>
  </si>
  <si>
    <t>813377204869</t>
  </si>
  <si>
    <t>813378178234</t>
  </si>
  <si>
    <t>813378178237</t>
  </si>
  <si>
    <t>813378178298</t>
  </si>
  <si>
    <t>813385175392</t>
  </si>
  <si>
    <t>813388204318</t>
  </si>
  <si>
    <t>813409170146</t>
  </si>
  <si>
    <t>813413171578</t>
  </si>
  <si>
    <t>813433172640</t>
  </si>
  <si>
    <t>813434140856</t>
  </si>
  <si>
    <t>813438207977</t>
  </si>
  <si>
    <t>813450202913</t>
  </si>
  <si>
    <t>813453175312</t>
  </si>
  <si>
    <t>813489147364</t>
  </si>
  <si>
    <t>813491208032</t>
  </si>
  <si>
    <t>813521140927</t>
  </si>
  <si>
    <t>813532170606</t>
  </si>
  <si>
    <t>813539170146</t>
  </si>
  <si>
    <t>813541170204</t>
  </si>
  <si>
    <t>813541174008</t>
  </si>
  <si>
    <t>813567170392</t>
  </si>
  <si>
    <t>813568173310</t>
  </si>
  <si>
    <t>813570202850</t>
  </si>
  <si>
    <t>813572140967</t>
  </si>
  <si>
    <t>813602177603</t>
  </si>
  <si>
    <t>813613170555</t>
  </si>
  <si>
    <t>813619204318</t>
  </si>
  <si>
    <t>813621206441</t>
  </si>
  <si>
    <t>813632204869</t>
  </si>
  <si>
    <t>813633178150</t>
  </si>
  <si>
    <t>813633204869</t>
  </si>
  <si>
    <t>813635202225</t>
  </si>
  <si>
    <t>813636178661</t>
  </si>
  <si>
    <t>813638204869</t>
  </si>
  <si>
    <t>813642173257</t>
  </si>
  <si>
    <t>813647144447</t>
  </si>
  <si>
    <t>813651178223</t>
  </si>
  <si>
    <t>813656179877</t>
  </si>
  <si>
    <t>813672176641</t>
  </si>
  <si>
    <t>813674179755</t>
  </si>
  <si>
    <t>813676119029</t>
  </si>
  <si>
    <t>813679173728</t>
  </si>
  <si>
    <t>813681175848</t>
  </si>
  <si>
    <t>813690149885</t>
  </si>
  <si>
    <t>813692142984</t>
  </si>
  <si>
    <t>813724202850</t>
  </si>
  <si>
    <t>813725172640</t>
  </si>
  <si>
    <t>813728201065</t>
  </si>
  <si>
    <t>813729140481</t>
  </si>
  <si>
    <t>813731141115</t>
  </si>
  <si>
    <t>813734205620</t>
  </si>
  <si>
    <t>813734207895</t>
  </si>
  <si>
    <t>813746204013</t>
  </si>
  <si>
    <t>813763170149</t>
  </si>
  <si>
    <t>813763170204</t>
  </si>
  <si>
    <t>813765170204</t>
  </si>
  <si>
    <t>813778141115</t>
  </si>
  <si>
    <t>813780140859</t>
  </si>
  <si>
    <t>813782175547</t>
  </si>
  <si>
    <t>813787178230</t>
  </si>
  <si>
    <t>813788202713</t>
  </si>
  <si>
    <t>813788207773</t>
  </si>
  <si>
    <t>813799178031</t>
  </si>
  <si>
    <t>813800144868</t>
  </si>
  <si>
    <t>813802171578</t>
  </si>
  <si>
    <t>813806206980</t>
  </si>
  <si>
    <t>813815170614</t>
  </si>
  <si>
    <t>813816173257</t>
  </si>
  <si>
    <t>813820201172</t>
  </si>
  <si>
    <t>813821178237</t>
  </si>
  <si>
    <t>813829140984</t>
  </si>
  <si>
    <t>813830140960</t>
  </si>
  <si>
    <t>813832172338</t>
  </si>
  <si>
    <t>813834146402</t>
  </si>
  <si>
    <t>813834179755</t>
  </si>
  <si>
    <t>813842202478</t>
  </si>
  <si>
    <t>813847170204</t>
  </si>
  <si>
    <t>813866119028</t>
  </si>
  <si>
    <t>813867175848</t>
  </si>
  <si>
    <t>813876204013</t>
  </si>
  <si>
    <t>813877119023</t>
  </si>
  <si>
    <t>813894202865</t>
  </si>
  <si>
    <t>813895204013</t>
  </si>
  <si>
    <t>813896149765</t>
  </si>
  <si>
    <t>813897205225</t>
  </si>
  <si>
    <t>813909148557</t>
  </si>
  <si>
    <t>813926205004</t>
  </si>
  <si>
    <t>813928172338</t>
  </si>
  <si>
    <t>813932175848</t>
  </si>
  <si>
    <t>813933172798</t>
  </si>
  <si>
    <t>813935170248</t>
  </si>
  <si>
    <t>813936204034</t>
  </si>
  <si>
    <t>813938140847</t>
  </si>
  <si>
    <t>813946205270</t>
  </si>
  <si>
    <t>813962149971</t>
  </si>
  <si>
    <t>813971176693</t>
  </si>
  <si>
    <t>813974170617</t>
  </si>
  <si>
    <t>813979203968</t>
  </si>
  <si>
    <t>813981176773</t>
  </si>
  <si>
    <t>813983170904</t>
  </si>
  <si>
    <t>813984205306</t>
  </si>
  <si>
    <t>813997176693</t>
  </si>
  <si>
    <t>813998177301</t>
  </si>
  <si>
    <t>813998201817</t>
  </si>
  <si>
    <t>814000202956</t>
  </si>
  <si>
    <t>814001170248</t>
  </si>
  <si>
    <t>814004141115</t>
  </si>
  <si>
    <t>814011144747</t>
  </si>
  <si>
    <t>814013172084</t>
  </si>
  <si>
    <t>814013202709</t>
  </si>
  <si>
    <t>814013204933</t>
  </si>
  <si>
    <t>814018141118</t>
  </si>
  <si>
    <t>814031207977</t>
  </si>
  <si>
    <t>814034170248</t>
  </si>
  <si>
    <t>814034175049</t>
  </si>
  <si>
    <t>814038140850</t>
  </si>
  <si>
    <t>814040119208</t>
  </si>
  <si>
    <t>814047178230</t>
  </si>
  <si>
    <t>814048144747</t>
  </si>
  <si>
    <t>814050206049</t>
  </si>
  <si>
    <t>814055171662</t>
  </si>
  <si>
    <t>814058173224</t>
  </si>
  <si>
    <t>814067176870</t>
  </si>
  <si>
    <t>814068170228</t>
  </si>
  <si>
    <t>814068176870</t>
  </si>
  <si>
    <t>814069176870</t>
  </si>
  <si>
    <t>814079202850</t>
  </si>
  <si>
    <t>814084142269</t>
  </si>
  <si>
    <t>814085140858</t>
  </si>
  <si>
    <t>814086141115</t>
  </si>
  <si>
    <t>814087205989</t>
  </si>
  <si>
    <t>814091175049</t>
  </si>
  <si>
    <t>814093170392</t>
  </si>
  <si>
    <t>814094208033</t>
  </si>
  <si>
    <t>814094211138</t>
  </si>
  <si>
    <t>814095172086</t>
  </si>
  <si>
    <t>814095172702</t>
  </si>
  <si>
    <t>814096179473</t>
  </si>
  <si>
    <t>814097141512</t>
  </si>
  <si>
    <t>814106119028</t>
  </si>
  <si>
    <t>814106140859</t>
  </si>
  <si>
    <t>814107205992</t>
  </si>
  <si>
    <t>814108119028</t>
  </si>
  <si>
    <t>814109119052</t>
  </si>
  <si>
    <t>814110172338</t>
  </si>
  <si>
    <t>814111140881</t>
  </si>
  <si>
    <t>814113170775</t>
  </si>
  <si>
    <t>814114172338</t>
  </si>
  <si>
    <t>814115202850</t>
  </si>
  <si>
    <t>814116178298</t>
  </si>
  <si>
    <t>814116202478</t>
  </si>
  <si>
    <t>814117205840</t>
  </si>
  <si>
    <t>814129176773</t>
  </si>
  <si>
    <t>814130201280</t>
  </si>
  <si>
    <t>814139172097</t>
  </si>
  <si>
    <t>814140119050</t>
  </si>
  <si>
    <t>814141202881</t>
  </si>
  <si>
    <t>814151205840</t>
  </si>
  <si>
    <t>814152205591</t>
  </si>
  <si>
    <t>814168205826</t>
  </si>
  <si>
    <t>814168208770</t>
  </si>
  <si>
    <t>814176144243</t>
  </si>
  <si>
    <t>814183147891</t>
  </si>
  <si>
    <t>814184201065</t>
  </si>
  <si>
    <t>814186172640</t>
  </si>
  <si>
    <t>814187178695</t>
  </si>
  <si>
    <t>814188175287</t>
  </si>
  <si>
    <t>814214170606</t>
  </si>
  <si>
    <t>814214207643</t>
  </si>
  <si>
    <t>814218179490</t>
  </si>
  <si>
    <t>814220141311</t>
  </si>
  <si>
    <t>814221170501</t>
  </si>
  <si>
    <t>814222205966</t>
  </si>
  <si>
    <t>814223141115</t>
  </si>
  <si>
    <t>814224206073</t>
  </si>
  <si>
    <t>814225205989</t>
  </si>
  <si>
    <t>814226175848</t>
  </si>
  <si>
    <t>814227178661</t>
  </si>
  <si>
    <t>814236174166</t>
  </si>
  <si>
    <t>814248174693</t>
  </si>
  <si>
    <t>814250178511</t>
  </si>
  <si>
    <t>814253149765</t>
  </si>
  <si>
    <t>814253175288</t>
  </si>
  <si>
    <t>814255119044</t>
  </si>
  <si>
    <t>814256179869</t>
  </si>
  <si>
    <t>814257206219</t>
  </si>
  <si>
    <t>814259119208</t>
  </si>
  <si>
    <t>814279177379</t>
  </si>
  <si>
    <t>814280173224</t>
  </si>
  <si>
    <t>814281170617</t>
  </si>
  <si>
    <t>814284176303</t>
  </si>
  <si>
    <t>814284202452</t>
  </si>
  <si>
    <t>814288140881</t>
  </si>
  <si>
    <t>814290119261</t>
  </si>
  <si>
    <t>814297170248</t>
  </si>
  <si>
    <t>814298173749</t>
  </si>
  <si>
    <t>814308204243</t>
  </si>
  <si>
    <t>814310205966</t>
  </si>
  <si>
    <t>814311205591</t>
  </si>
  <si>
    <t>814330203455</t>
  </si>
  <si>
    <t>814332143530</t>
  </si>
  <si>
    <t>814346201162</t>
  </si>
  <si>
    <t>814349172640</t>
  </si>
  <si>
    <t>814350175717</t>
  </si>
  <si>
    <t>814376205004</t>
  </si>
  <si>
    <t>814377174357</t>
  </si>
  <si>
    <t>814378119044</t>
  </si>
  <si>
    <t>814380205591</t>
  </si>
  <si>
    <t>814381170958</t>
  </si>
  <si>
    <t>814386205372</t>
  </si>
  <si>
    <t>814387119066</t>
  </si>
  <si>
    <t>814388170363</t>
  </si>
  <si>
    <t>814390170132</t>
  </si>
  <si>
    <t>814397176773</t>
  </si>
  <si>
    <t>814401119044</t>
  </si>
  <si>
    <t>814401147640</t>
  </si>
  <si>
    <t>814401209212</t>
  </si>
  <si>
    <t>814402119160</t>
  </si>
  <si>
    <t>814414205591</t>
  </si>
  <si>
    <t>814415204030</t>
  </si>
  <si>
    <t>814416177829</t>
  </si>
  <si>
    <t>814425174166</t>
  </si>
  <si>
    <t>814431170132</t>
  </si>
  <si>
    <t>814433206302</t>
  </si>
  <si>
    <t>814434176097</t>
  </si>
  <si>
    <t>814436143113</t>
  </si>
  <si>
    <t>814436173749</t>
  </si>
  <si>
    <t>814441170132</t>
  </si>
  <si>
    <t>814444175939</t>
  </si>
  <si>
    <t>814445145353</t>
  </si>
  <si>
    <t>814446205966</t>
  </si>
  <si>
    <t>814447140927</t>
  </si>
  <si>
    <t>814456203600</t>
  </si>
  <si>
    <t>814457203600</t>
  </si>
  <si>
    <t>814458177093</t>
  </si>
  <si>
    <t>814459172942</t>
  </si>
  <si>
    <t>814470178150</t>
  </si>
  <si>
    <t>814481170958</t>
  </si>
  <si>
    <t>814482170204</t>
  </si>
  <si>
    <t>814483207977</t>
  </si>
  <si>
    <t>814484202225</t>
  </si>
  <si>
    <t>814494205192</t>
  </si>
  <si>
    <t>814496170146</t>
  </si>
  <si>
    <t>814497170146</t>
  </si>
  <si>
    <t>814498174166</t>
  </si>
  <si>
    <t>814499171479</t>
  </si>
  <si>
    <t>814503143416</t>
  </si>
  <si>
    <t>814503177957</t>
  </si>
  <si>
    <t>814504170958</t>
  </si>
  <si>
    <t>814505147364</t>
  </si>
  <si>
    <t>814505204034</t>
  </si>
  <si>
    <t>814506205591</t>
  </si>
  <si>
    <t>814507173611</t>
  </si>
  <si>
    <t>814514209702</t>
  </si>
  <si>
    <t>814521143416</t>
  </si>
  <si>
    <t>814522143416</t>
  </si>
  <si>
    <t>814522207977</t>
  </si>
  <si>
    <t>814524170204</t>
  </si>
  <si>
    <t>814528141512</t>
  </si>
  <si>
    <t>814530172597</t>
  </si>
  <si>
    <t>814539201654</t>
  </si>
  <si>
    <t>814540140927</t>
  </si>
  <si>
    <t>814540202479</t>
  </si>
  <si>
    <t>814541141512</t>
  </si>
  <si>
    <t>814545149765</t>
  </si>
  <si>
    <t>814577119066</t>
  </si>
  <si>
    <t>814593207907</t>
  </si>
  <si>
    <t>814594174166</t>
  </si>
  <si>
    <t>814595171887</t>
  </si>
  <si>
    <t>814596172084</t>
  </si>
  <si>
    <t>814602201172</t>
  </si>
  <si>
    <t>814602206933</t>
  </si>
  <si>
    <t>814603179755</t>
  </si>
  <si>
    <t>814623173748</t>
  </si>
  <si>
    <t>814625207977</t>
  </si>
  <si>
    <t>814631206529</t>
  </si>
  <si>
    <t>814638119044</t>
  </si>
  <si>
    <t>814639144750</t>
  </si>
  <si>
    <t>814641205992</t>
  </si>
  <si>
    <t>814643140855</t>
  </si>
  <si>
    <t>814651141146</t>
  </si>
  <si>
    <t>814655170228</t>
  </si>
  <si>
    <t>814655179877</t>
  </si>
  <si>
    <t>814655206980</t>
  </si>
  <si>
    <t>814661173224</t>
  </si>
  <si>
    <t>814665178230</t>
  </si>
  <si>
    <t>814667177379</t>
  </si>
  <si>
    <t>814668171662</t>
  </si>
  <si>
    <t>814670170149</t>
  </si>
  <si>
    <t>814671119023</t>
  </si>
  <si>
    <t>814672142843</t>
  </si>
  <si>
    <t>814676175049</t>
  </si>
  <si>
    <t>814679178003</t>
  </si>
  <si>
    <t>814681144243</t>
  </si>
  <si>
    <t>814683205591</t>
  </si>
  <si>
    <t>814689204810</t>
  </si>
  <si>
    <t>814690146861</t>
  </si>
  <si>
    <t>814692177595</t>
  </si>
  <si>
    <t>814693173298</t>
  </si>
  <si>
    <t>814693204304</t>
  </si>
  <si>
    <t>814701178764</t>
  </si>
  <si>
    <t>814702205989</t>
  </si>
  <si>
    <t>814705140829</t>
  </si>
  <si>
    <t>814705208074</t>
  </si>
  <si>
    <t>814708174166</t>
  </si>
  <si>
    <t>814709146968</t>
  </si>
  <si>
    <t>814710205591</t>
  </si>
  <si>
    <t>814711205266</t>
  </si>
  <si>
    <t>814723178386</t>
  </si>
  <si>
    <t>814733119023</t>
  </si>
  <si>
    <t>814749171469</t>
  </si>
  <si>
    <t>814750170617</t>
  </si>
  <si>
    <t>814755170392</t>
  </si>
  <si>
    <t>814756205591</t>
  </si>
  <si>
    <t>814757205591</t>
  </si>
  <si>
    <t>814758122282</t>
  </si>
  <si>
    <t>814766206073</t>
  </si>
  <si>
    <t>814767174166</t>
  </si>
  <si>
    <t>814768171578</t>
  </si>
  <si>
    <t>814773178287</t>
  </si>
  <si>
    <t>814776202865</t>
  </si>
  <si>
    <t>814777178661</t>
  </si>
  <si>
    <t>814785119044</t>
  </si>
  <si>
    <t>814786178309</t>
  </si>
  <si>
    <t>814789119031</t>
  </si>
  <si>
    <t>814790119031</t>
  </si>
  <si>
    <t>814790119177</t>
  </si>
  <si>
    <t>814791172942</t>
  </si>
  <si>
    <t>814793205004</t>
  </si>
  <si>
    <t>814794202956</t>
  </si>
  <si>
    <t>814805206956</t>
  </si>
  <si>
    <t>814806119044</t>
  </si>
  <si>
    <t>814823175049</t>
  </si>
  <si>
    <t>814823178386</t>
  </si>
  <si>
    <t>814824142269</t>
  </si>
  <si>
    <t>814827205183</t>
  </si>
  <si>
    <t>814839206441</t>
  </si>
  <si>
    <t>814843119038</t>
  </si>
  <si>
    <t>814845172640</t>
  </si>
  <si>
    <t>814846144343</t>
  </si>
  <si>
    <t>814850119212</t>
  </si>
  <si>
    <t>814862177093</t>
  </si>
  <si>
    <t>814862208032</t>
  </si>
  <si>
    <t>814866179925</t>
  </si>
  <si>
    <t>814867176693</t>
  </si>
  <si>
    <t>814868171839</t>
  </si>
  <si>
    <t>814870174034</t>
  </si>
  <si>
    <t>814871119208</t>
  </si>
  <si>
    <t>814873119154</t>
  </si>
  <si>
    <t>814874173224</t>
  </si>
  <si>
    <t>814875140860</t>
  </si>
  <si>
    <t>814876140967</t>
  </si>
  <si>
    <t>814876146968</t>
  </si>
  <si>
    <t>814877170392</t>
  </si>
  <si>
    <t>814877204375</t>
  </si>
  <si>
    <t>814878179561</t>
  </si>
  <si>
    <t>814883143608</t>
  </si>
  <si>
    <t>814886173098</t>
  </si>
  <si>
    <t>814891179928</t>
  </si>
  <si>
    <t>814891201280</t>
  </si>
  <si>
    <t>814901206441</t>
  </si>
  <si>
    <t>814902119038</t>
  </si>
  <si>
    <t>814903119038</t>
  </si>
  <si>
    <t>814905170904</t>
  </si>
  <si>
    <t>814907179893</t>
  </si>
  <si>
    <t>814909141905</t>
  </si>
  <si>
    <t>814909170958</t>
  </si>
  <si>
    <t>814909171578</t>
  </si>
  <si>
    <t>814909176363</t>
  </si>
  <si>
    <t>814910206066</t>
  </si>
  <si>
    <t>814913205966</t>
  </si>
  <si>
    <t>814914204034</t>
  </si>
  <si>
    <t>814916205992</t>
  </si>
  <si>
    <t>814917202913</t>
  </si>
  <si>
    <t>814934202479</t>
  </si>
  <si>
    <t>814935206807</t>
  </si>
  <si>
    <t>814936177787</t>
  </si>
  <si>
    <t>814939202479</t>
  </si>
  <si>
    <t>814942172150</t>
  </si>
  <si>
    <t>814955143301</t>
  </si>
  <si>
    <t>814955171591</t>
  </si>
  <si>
    <t>814962119038</t>
  </si>
  <si>
    <t>814972205591</t>
  </si>
  <si>
    <t>814977170392</t>
  </si>
  <si>
    <t>814978207895</t>
  </si>
  <si>
    <t>814979205591</t>
  </si>
  <si>
    <t>814980205591</t>
  </si>
  <si>
    <t>814992205620</t>
  </si>
  <si>
    <t>814992207895</t>
  </si>
  <si>
    <t>814993173224</t>
  </si>
  <si>
    <t>815002205591</t>
  </si>
  <si>
    <t>815016144447</t>
  </si>
  <si>
    <t>815021207643</t>
  </si>
  <si>
    <t>815022119208</t>
  </si>
  <si>
    <t>815027207895</t>
  </si>
  <si>
    <t>815030202850</t>
  </si>
  <si>
    <t>815031119038</t>
  </si>
  <si>
    <t>815046175049</t>
  </si>
  <si>
    <t>815047175049</t>
  </si>
  <si>
    <t>815051208074</t>
  </si>
  <si>
    <t>815052208074</t>
  </si>
  <si>
    <t>815057207857</t>
  </si>
  <si>
    <t>815064208074</t>
  </si>
  <si>
    <t>815066208074</t>
  </si>
  <si>
    <t>815067208074</t>
  </si>
  <si>
    <t>815068208074</t>
  </si>
  <si>
    <t>815084171578</t>
  </si>
  <si>
    <t>815088119208</t>
  </si>
  <si>
    <t>815091149885</t>
  </si>
  <si>
    <t>815092119212</t>
  </si>
  <si>
    <t>815093170146</t>
  </si>
  <si>
    <t>815096119212</t>
  </si>
  <si>
    <t>815097143301</t>
  </si>
  <si>
    <t>815101119074</t>
  </si>
  <si>
    <t>815101208026</t>
  </si>
  <si>
    <t>815102176870</t>
  </si>
  <si>
    <t>815104149765</t>
  </si>
  <si>
    <t>815105205650</t>
  </si>
  <si>
    <t>815111171578</t>
  </si>
  <si>
    <t>815123202142</t>
  </si>
  <si>
    <t>815127205591</t>
  </si>
  <si>
    <t>815133203455</t>
  </si>
  <si>
    <t>815134204318</t>
  </si>
  <si>
    <t>815135172338</t>
  </si>
  <si>
    <t>815136149885</t>
  </si>
  <si>
    <t>815151119208</t>
  </si>
  <si>
    <t>815152170775</t>
  </si>
  <si>
    <t>815155176833</t>
  </si>
  <si>
    <t>815167206219</t>
  </si>
  <si>
    <t>815168177104</t>
  </si>
  <si>
    <t>815168179944</t>
  </si>
  <si>
    <t>815175149765</t>
  </si>
  <si>
    <t>815176175288</t>
  </si>
  <si>
    <t>815182174271</t>
  </si>
  <si>
    <t>815183149971</t>
  </si>
  <si>
    <t>815184174631</t>
  </si>
  <si>
    <t>815199119154</t>
  </si>
  <si>
    <t>815200119154</t>
  </si>
  <si>
    <t>815202179877</t>
  </si>
  <si>
    <t>815202207405</t>
  </si>
  <si>
    <t>815210170363</t>
  </si>
  <si>
    <t>815211170132</t>
  </si>
  <si>
    <t>815218170204</t>
  </si>
  <si>
    <t>815218171226</t>
  </si>
  <si>
    <t>815231206681</t>
  </si>
  <si>
    <t>815232144747</t>
  </si>
  <si>
    <t>815236119066</t>
  </si>
  <si>
    <t>815237174176</t>
  </si>
  <si>
    <t>815253205591</t>
  </si>
  <si>
    <t>815254176693</t>
  </si>
  <si>
    <t>815256170204</t>
  </si>
  <si>
    <t>815271170904</t>
  </si>
  <si>
    <t>815273207809</t>
  </si>
  <si>
    <t>815274207977</t>
  </si>
  <si>
    <t>815275143114</t>
  </si>
  <si>
    <t>815277170775</t>
  </si>
  <si>
    <t>815278206073</t>
  </si>
  <si>
    <t>815306179891</t>
  </si>
  <si>
    <t>815307208638</t>
  </si>
  <si>
    <t>815314173298</t>
  </si>
  <si>
    <t>815342205620</t>
  </si>
  <si>
    <t>815342208638</t>
  </si>
  <si>
    <t>815354172497</t>
  </si>
  <si>
    <t>815355174271</t>
  </si>
  <si>
    <t>815356207945</t>
  </si>
  <si>
    <t>815393205225</t>
  </si>
  <si>
    <t>815394172798</t>
  </si>
  <si>
    <t>815395142269</t>
  </si>
  <si>
    <t>815400202387</t>
  </si>
  <si>
    <t>815401204307</t>
  </si>
  <si>
    <t>815402173729</t>
  </si>
  <si>
    <t>815408201172</t>
  </si>
  <si>
    <t>815416140855</t>
  </si>
  <si>
    <t>815417207787</t>
  </si>
  <si>
    <t>815418140958</t>
  </si>
  <si>
    <t>815420170204</t>
  </si>
  <si>
    <t>815421149765</t>
  </si>
  <si>
    <t>815422149885</t>
  </si>
  <si>
    <t>815422202855</t>
  </si>
  <si>
    <t>815423149885</t>
  </si>
  <si>
    <t>815424170204</t>
  </si>
  <si>
    <t>815425178236</t>
  </si>
  <si>
    <t>815426202994</t>
  </si>
  <si>
    <t>815427149885</t>
  </si>
  <si>
    <t>815427202855</t>
  </si>
  <si>
    <t>815428170204</t>
  </si>
  <si>
    <t>815429170204</t>
  </si>
  <si>
    <t>815430170204</t>
  </si>
  <si>
    <t>815431205969</t>
  </si>
  <si>
    <t>815438208284</t>
  </si>
  <si>
    <t>815439170392</t>
  </si>
  <si>
    <t>815440144996</t>
  </si>
  <si>
    <t>815441172640</t>
  </si>
  <si>
    <t>815451207643</t>
  </si>
  <si>
    <t>815466202428</t>
  </si>
  <si>
    <t>815467203236</t>
  </si>
  <si>
    <t>815468178234</t>
  </si>
  <si>
    <t>815468203236</t>
  </si>
  <si>
    <t>815469208776</t>
  </si>
  <si>
    <t>815470206073</t>
  </si>
  <si>
    <t>815471205992</t>
  </si>
  <si>
    <t>815472179784</t>
  </si>
  <si>
    <t>815473205591</t>
  </si>
  <si>
    <t>815474170204</t>
  </si>
  <si>
    <t>815479203236</t>
  </si>
  <si>
    <t>815480207643</t>
  </si>
  <si>
    <t>815481205650</t>
  </si>
  <si>
    <t>815482174631</t>
  </si>
  <si>
    <t>815483178230</t>
  </si>
  <si>
    <t>815484173224</t>
  </si>
  <si>
    <t>815485173224</t>
  </si>
  <si>
    <t>815486170775</t>
  </si>
  <si>
    <t>815490174384</t>
  </si>
  <si>
    <t>815501170147</t>
  </si>
  <si>
    <t>815502208268</t>
  </si>
  <si>
    <t>815503202980</t>
  </si>
  <si>
    <t>815507176693</t>
  </si>
  <si>
    <t>815508178460</t>
  </si>
  <si>
    <t>815508203651</t>
  </si>
  <si>
    <t>815508206066</t>
  </si>
  <si>
    <t>815509203651</t>
  </si>
  <si>
    <t>815510206066</t>
  </si>
  <si>
    <t>815511170775</t>
  </si>
  <si>
    <t>815512206219</t>
  </si>
  <si>
    <t>815514207857</t>
  </si>
  <si>
    <t>815547178062</t>
  </si>
  <si>
    <t>815557178230</t>
  </si>
  <si>
    <t>815558173224</t>
  </si>
  <si>
    <t>815567170617</t>
  </si>
  <si>
    <t>815572208156</t>
  </si>
  <si>
    <t>815573208156</t>
  </si>
  <si>
    <t>815575171887</t>
  </si>
  <si>
    <t>815576119047</t>
  </si>
  <si>
    <t>815577207291</t>
  </si>
  <si>
    <t>815593203154</t>
  </si>
  <si>
    <t>815594145639</t>
  </si>
  <si>
    <t>815594206049</t>
  </si>
  <si>
    <t>815595208184</t>
  </si>
  <si>
    <t>815597170550</t>
  </si>
  <si>
    <t>815600202913</t>
  </si>
  <si>
    <t>815600209130</t>
  </si>
  <si>
    <t>815601171662</t>
  </si>
  <si>
    <t>815602202913</t>
  </si>
  <si>
    <t>815609207977</t>
  </si>
  <si>
    <t>815621144848</t>
  </si>
  <si>
    <t>815630174166</t>
  </si>
  <si>
    <t>815633208508</t>
  </si>
  <si>
    <t>815634177426</t>
  </si>
  <si>
    <t>815635173865</t>
  </si>
  <si>
    <t>815636202225</t>
  </si>
  <si>
    <t>815643119046</t>
  </si>
  <si>
    <t>815644119046</t>
  </si>
  <si>
    <t>815645208736</t>
  </si>
  <si>
    <t>815646119261</t>
  </si>
  <si>
    <t>815647119261</t>
  </si>
  <si>
    <t>815654174271</t>
  </si>
  <si>
    <t>815655172597</t>
  </si>
  <si>
    <t>815657207857</t>
  </si>
  <si>
    <t>815658119261</t>
  </si>
  <si>
    <t>815663207857</t>
  </si>
  <si>
    <t>815664207857</t>
  </si>
  <si>
    <t>815665140967</t>
  </si>
  <si>
    <t>815666140858</t>
  </si>
  <si>
    <t>815668170325</t>
  </si>
  <si>
    <t>815671171063</t>
  </si>
  <si>
    <t>815672119261</t>
  </si>
  <si>
    <t>815713119023</t>
  </si>
  <si>
    <t>815715207945</t>
  </si>
  <si>
    <t>815719207857</t>
  </si>
  <si>
    <t>815720207857</t>
  </si>
  <si>
    <t>815755205778</t>
  </si>
  <si>
    <t>815756119028</t>
  </si>
  <si>
    <t>815757119028</t>
  </si>
  <si>
    <t>815773171578</t>
  </si>
  <si>
    <t>815774149765</t>
  </si>
  <si>
    <t>815777171578</t>
  </si>
  <si>
    <t>815797205742</t>
  </si>
  <si>
    <t>815798173224</t>
  </si>
  <si>
    <t>815799175547</t>
  </si>
  <si>
    <t>815815204318</t>
  </si>
  <si>
    <t>815816175939</t>
  </si>
  <si>
    <t>815817208776</t>
  </si>
  <si>
    <t>815818208776</t>
  </si>
  <si>
    <t>815819173298</t>
  </si>
  <si>
    <t>815819173865</t>
  </si>
  <si>
    <t>815820203484</t>
  </si>
  <si>
    <t>815820210132</t>
  </si>
  <si>
    <t>815821170606</t>
  </si>
  <si>
    <t>815821207643</t>
  </si>
  <si>
    <t>815822202980</t>
  </si>
  <si>
    <t>815823205591</t>
  </si>
  <si>
    <t>815824175049</t>
  </si>
  <si>
    <t>815826204034</t>
  </si>
  <si>
    <t>815830170958</t>
  </si>
  <si>
    <t>815831207290</t>
  </si>
  <si>
    <t>815832178266</t>
  </si>
  <si>
    <t>815834143148</t>
  </si>
  <si>
    <t>815835201838</t>
  </si>
  <si>
    <t>815835210135</t>
  </si>
  <si>
    <t>815836142332</t>
  </si>
  <si>
    <t>815837174756</t>
  </si>
  <si>
    <t>815838143530</t>
  </si>
  <si>
    <t>815839206102</t>
  </si>
  <si>
    <t>815839207379</t>
  </si>
  <si>
    <t>815840208776</t>
  </si>
  <si>
    <t>815841147364</t>
  </si>
  <si>
    <t>815844179486</t>
  </si>
  <si>
    <t>815845119038</t>
  </si>
  <si>
    <t>815849205591</t>
  </si>
  <si>
    <t>815850174166</t>
  </si>
  <si>
    <t>815863140850</t>
  </si>
  <si>
    <t>815864205650</t>
  </si>
  <si>
    <t>815865205343</t>
  </si>
  <si>
    <t>815866202941</t>
  </si>
  <si>
    <t>815867202941</t>
  </si>
  <si>
    <t>815868171839</t>
  </si>
  <si>
    <t>815869179928</t>
  </si>
  <si>
    <t>815870209130</t>
  </si>
  <si>
    <t>815871149764</t>
  </si>
  <si>
    <t>815882174271</t>
  </si>
  <si>
    <t>815887142512</t>
  </si>
  <si>
    <t>815899175340</t>
  </si>
  <si>
    <t>815900171662</t>
  </si>
  <si>
    <t>815901171662</t>
  </si>
  <si>
    <t>815904175340</t>
  </si>
  <si>
    <t>815905201654</t>
  </si>
  <si>
    <t>815906174377</t>
  </si>
  <si>
    <t>815907147364</t>
  </si>
  <si>
    <t>815907208776</t>
  </si>
  <si>
    <t>815909209146</t>
  </si>
  <si>
    <t>815924178237</t>
  </si>
  <si>
    <t>815929202870</t>
  </si>
  <si>
    <t>815930172702</t>
  </si>
  <si>
    <t>815934206302</t>
  </si>
  <si>
    <t>815935208809</t>
  </si>
  <si>
    <t>815936208074</t>
  </si>
  <si>
    <t>815938143530</t>
  </si>
  <si>
    <t>815938209017</t>
  </si>
  <si>
    <t>815946179928</t>
  </si>
  <si>
    <t>815947172942</t>
  </si>
  <si>
    <t>815958204034</t>
  </si>
  <si>
    <t>815961177069</t>
  </si>
  <si>
    <t>815962149971</t>
  </si>
  <si>
    <t>815963207713</t>
  </si>
  <si>
    <t>815982178109</t>
  </si>
  <si>
    <t>815983140960</t>
  </si>
  <si>
    <t>815984140960</t>
  </si>
  <si>
    <t>815985170204</t>
  </si>
  <si>
    <t>815986170204</t>
  </si>
  <si>
    <t>815987178003</t>
  </si>
  <si>
    <t>815988179486</t>
  </si>
  <si>
    <t>815993176773</t>
  </si>
  <si>
    <t>815993208123</t>
  </si>
  <si>
    <t>816013202225</t>
  </si>
  <si>
    <t>816014205591</t>
  </si>
  <si>
    <t>816015205591</t>
  </si>
  <si>
    <t>816021208074</t>
  </si>
  <si>
    <t>816022208074</t>
  </si>
  <si>
    <t>816037179894</t>
  </si>
  <si>
    <t>816038170204</t>
  </si>
  <si>
    <t>816047205840</t>
  </si>
  <si>
    <t>816047207945</t>
  </si>
  <si>
    <t>816055119044</t>
  </si>
  <si>
    <t>816056170775</t>
  </si>
  <si>
    <t>816088203968</t>
  </si>
  <si>
    <t>816093172338</t>
  </si>
  <si>
    <t>816094141556</t>
  </si>
  <si>
    <t>816095141556</t>
  </si>
  <si>
    <t>816096119208</t>
  </si>
  <si>
    <t>816097171662</t>
  </si>
  <si>
    <t>816098119208</t>
  </si>
  <si>
    <t>816109206302</t>
  </si>
  <si>
    <t>816111208156</t>
  </si>
  <si>
    <t>816114204243</t>
  </si>
  <si>
    <t>816116206049</t>
  </si>
  <si>
    <t>816128174176</t>
  </si>
  <si>
    <t>816129177068</t>
  </si>
  <si>
    <t>816129177662</t>
  </si>
  <si>
    <t>816139140860</t>
  </si>
  <si>
    <t>816140140856</t>
  </si>
  <si>
    <t>816142172946</t>
  </si>
  <si>
    <t>816144119031</t>
  </si>
  <si>
    <t>816154171578</t>
  </si>
  <si>
    <t>816156174316</t>
  </si>
  <si>
    <t>816157174166</t>
  </si>
  <si>
    <t>816167174271</t>
  </si>
  <si>
    <t>816189144279</t>
  </si>
  <si>
    <t>816210171578</t>
  </si>
  <si>
    <t>816239207977</t>
  </si>
  <si>
    <t>816240208874</t>
  </si>
  <si>
    <t>816241208183</t>
  </si>
  <si>
    <t>816247141115</t>
  </si>
  <si>
    <t>816248179560</t>
  </si>
  <si>
    <t>816249178661</t>
  </si>
  <si>
    <t>816250140967</t>
  </si>
  <si>
    <t>816251140858</t>
  </si>
  <si>
    <t>816251140859</t>
  </si>
  <si>
    <t>816252176773</t>
  </si>
  <si>
    <t>816253201172</t>
  </si>
  <si>
    <t>816255179869</t>
  </si>
  <si>
    <t>816256140881</t>
  </si>
  <si>
    <t>816261149825</t>
  </si>
  <si>
    <t>816262176276</t>
  </si>
  <si>
    <t>816263176015</t>
  </si>
  <si>
    <t>816270178661</t>
  </si>
  <si>
    <t>816272119071</t>
  </si>
  <si>
    <t>816275178226</t>
  </si>
  <si>
    <t>816276209166</t>
  </si>
  <si>
    <t>816289202387</t>
  </si>
  <si>
    <t>816290209497</t>
  </si>
  <si>
    <t>816298119028</t>
  </si>
  <si>
    <t>816299175049</t>
  </si>
  <si>
    <t>816301205686</t>
  </si>
  <si>
    <t>816309176773</t>
  </si>
  <si>
    <t>816314179911</t>
  </si>
  <si>
    <t>816315208183</t>
  </si>
  <si>
    <t>816324146910</t>
  </si>
  <si>
    <t>816328171457</t>
  </si>
  <si>
    <t>816329119066</t>
  </si>
  <si>
    <t>816330119066</t>
  </si>
  <si>
    <t>816348207857</t>
  </si>
  <si>
    <t>816351145135</t>
  </si>
  <si>
    <t>816352119047</t>
  </si>
  <si>
    <t>816353174166</t>
  </si>
  <si>
    <t>816356176870</t>
  </si>
  <si>
    <t>816363173374</t>
  </si>
  <si>
    <t>816366176693</t>
  </si>
  <si>
    <t>816367143301</t>
  </si>
  <si>
    <t>816368122377</t>
  </si>
  <si>
    <t>816388208028</t>
  </si>
  <si>
    <t>816389172747</t>
  </si>
  <si>
    <t>816390140858</t>
  </si>
  <si>
    <t>816405205591</t>
  </si>
  <si>
    <t>816407140859</t>
  </si>
  <si>
    <t>816408206073</t>
  </si>
  <si>
    <t>816409140481</t>
  </si>
  <si>
    <t>816424178109</t>
  </si>
  <si>
    <t>816425208183</t>
  </si>
  <si>
    <t>816426149885</t>
  </si>
  <si>
    <t>816426208183</t>
  </si>
  <si>
    <t>816427173849</t>
  </si>
  <si>
    <t>816430209146</t>
  </si>
  <si>
    <t>816435143301</t>
  </si>
  <si>
    <t>816436171578</t>
  </si>
  <si>
    <t>816437177245</t>
  </si>
  <si>
    <t>816442172872</t>
  </si>
  <si>
    <t>816469208074</t>
  </si>
  <si>
    <t>816471208074</t>
  </si>
  <si>
    <t>816477119031</t>
  </si>
  <si>
    <t>816483170115</t>
  </si>
  <si>
    <t>816494119028</t>
  </si>
  <si>
    <t>816496170197</t>
  </si>
  <si>
    <t>816496208183</t>
  </si>
  <si>
    <t>816497140881</t>
  </si>
  <si>
    <t>816497174034</t>
  </si>
  <si>
    <t>816498209017</t>
  </si>
  <si>
    <t>816499205591</t>
  </si>
  <si>
    <t>816500176869</t>
  </si>
  <si>
    <t>816501119050</t>
  </si>
  <si>
    <t>816522140881</t>
  </si>
  <si>
    <t>816522210566</t>
  </si>
  <si>
    <t>816525210566</t>
  </si>
  <si>
    <t>816529204307</t>
  </si>
  <si>
    <t>816534119047</t>
  </si>
  <si>
    <t>816536119044</t>
  </si>
  <si>
    <t>816536144154</t>
  </si>
  <si>
    <t>816536208955</t>
  </si>
  <si>
    <t>816546209652</t>
  </si>
  <si>
    <t>816547209652</t>
  </si>
  <si>
    <t>816551202225</t>
  </si>
  <si>
    <t>816554172252</t>
  </si>
  <si>
    <t>816555170708</t>
  </si>
  <si>
    <t>816561140881</t>
  </si>
  <si>
    <t>816566209652</t>
  </si>
  <si>
    <t>816574170149</t>
  </si>
  <si>
    <t>816575201741</t>
  </si>
  <si>
    <t>816576143114</t>
  </si>
  <si>
    <t>816580175848</t>
  </si>
  <si>
    <t>816592202850</t>
  </si>
  <si>
    <t>816594205742</t>
  </si>
  <si>
    <t>816595175856</t>
  </si>
  <si>
    <t>816601208638</t>
  </si>
  <si>
    <t>816606174166</t>
  </si>
  <si>
    <t>816625171506</t>
  </si>
  <si>
    <t>816626170248</t>
  </si>
  <si>
    <t>816627209563</t>
  </si>
  <si>
    <t>816631203600</t>
  </si>
  <si>
    <t>816634142243</t>
  </si>
  <si>
    <t>816639203971</t>
  </si>
  <si>
    <t>816642173224</t>
  </si>
  <si>
    <t>816651209990</t>
  </si>
  <si>
    <t>816652171578</t>
  </si>
  <si>
    <t>816652174166</t>
  </si>
  <si>
    <t>816685201172</t>
  </si>
  <si>
    <t>816687208055</t>
  </si>
  <si>
    <t>816689174271</t>
  </si>
  <si>
    <t>816690209017</t>
  </si>
  <si>
    <t>816691209017</t>
  </si>
  <si>
    <t>816694174034</t>
  </si>
  <si>
    <t>816705170617</t>
  </si>
  <si>
    <t>816716207713</t>
  </si>
  <si>
    <t>816718170617</t>
  </si>
  <si>
    <t>816719209130</t>
  </si>
  <si>
    <t>816735140967</t>
  </si>
  <si>
    <t>816736209796</t>
  </si>
  <si>
    <t>816738205992</t>
  </si>
  <si>
    <t>816739205966</t>
  </si>
  <si>
    <t>816740140848</t>
  </si>
  <si>
    <t>816742170708</t>
  </si>
  <si>
    <t>816760119038</t>
  </si>
  <si>
    <t>816764206066</t>
  </si>
  <si>
    <t>816765206066</t>
  </si>
  <si>
    <t>816767208074</t>
  </si>
  <si>
    <t>816781173224</t>
  </si>
  <si>
    <t>816785208809</t>
  </si>
  <si>
    <t>816786208809</t>
  </si>
  <si>
    <t>816787203455</t>
  </si>
  <si>
    <t>816796207713</t>
  </si>
  <si>
    <t>816829201280</t>
  </si>
  <si>
    <t>816836147936</t>
  </si>
  <si>
    <t>816859206956</t>
  </si>
  <si>
    <t>816882203156</t>
  </si>
  <si>
    <t>816882208123</t>
  </si>
  <si>
    <t>816895144747</t>
  </si>
  <si>
    <t>816896172084</t>
  </si>
  <si>
    <t>816897173728</t>
  </si>
  <si>
    <t>816898205747</t>
  </si>
  <si>
    <t>816905204307</t>
  </si>
  <si>
    <t>816906207857</t>
  </si>
  <si>
    <t>816917179907</t>
  </si>
  <si>
    <t>816918208032</t>
  </si>
  <si>
    <t>816921144747</t>
  </si>
  <si>
    <t>816922206412</t>
  </si>
  <si>
    <t>816923144747</t>
  </si>
  <si>
    <t>816931170617</t>
  </si>
  <si>
    <t>816932207907</t>
  </si>
  <si>
    <t>816933202870</t>
  </si>
  <si>
    <t>816940208074</t>
  </si>
  <si>
    <t>816941178268</t>
  </si>
  <si>
    <t>816946208638</t>
  </si>
  <si>
    <t>816947173310</t>
  </si>
  <si>
    <t>816948208638</t>
  </si>
  <si>
    <t>816949204320</t>
  </si>
  <si>
    <t>816950119066</t>
  </si>
  <si>
    <t>816970143464</t>
  </si>
  <si>
    <t>816975142332</t>
  </si>
  <si>
    <t>816984208183</t>
  </si>
  <si>
    <t>816986170204</t>
  </si>
  <si>
    <t>816987170204</t>
  </si>
  <si>
    <t>816989178236</t>
  </si>
  <si>
    <t>816991209954</t>
  </si>
  <si>
    <t>816996209146</t>
  </si>
  <si>
    <t>817005170204</t>
  </si>
  <si>
    <t>817014170204</t>
  </si>
  <si>
    <t>817029208976</t>
  </si>
  <si>
    <t>817030209816</t>
  </si>
  <si>
    <t>817030210855</t>
  </si>
  <si>
    <t>817031208268</t>
  </si>
  <si>
    <t>817032206049</t>
  </si>
  <si>
    <t>817038149764</t>
  </si>
  <si>
    <t>817039175547</t>
  </si>
  <si>
    <t>817041119031</t>
  </si>
  <si>
    <t>817045177426</t>
  </si>
  <si>
    <t>817046210132</t>
  </si>
  <si>
    <t>817052145639</t>
  </si>
  <si>
    <t>817052206049</t>
  </si>
  <si>
    <t>817053208268</t>
  </si>
  <si>
    <t>817054148557</t>
  </si>
  <si>
    <t>817055206066</t>
  </si>
  <si>
    <t>817056206066</t>
  </si>
  <si>
    <t>817057206066</t>
  </si>
  <si>
    <t>817057209036</t>
  </si>
  <si>
    <t>817060206529</t>
  </si>
  <si>
    <t>817063171226</t>
  </si>
  <si>
    <t>817064208183</t>
  </si>
  <si>
    <t>817065175848</t>
  </si>
  <si>
    <t>817073144747</t>
  </si>
  <si>
    <t>817078206529</t>
  </si>
  <si>
    <t>817081149991</t>
  </si>
  <si>
    <t>817087142332</t>
  </si>
  <si>
    <t>817093170197</t>
  </si>
  <si>
    <t>817093208183</t>
  </si>
  <si>
    <t>817094171578</t>
  </si>
  <si>
    <t>817094211138</t>
  </si>
  <si>
    <t>817095178003</t>
  </si>
  <si>
    <t>817102207857</t>
  </si>
  <si>
    <t>817103170606</t>
  </si>
  <si>
    <t>817103207643</t>
  </si>
  <si>
    <t>817106170775</t>
  </si>
  <si>
    <t>817108119038</t>
  </si>
  <si>
    <t>817121174756</t>
  </si>
  <si>
    <t>817122209599</t>
  </si>
  <si>
    <t>817123119066</t>
  </si>
  <si>
    <t>817124140960</t>
  </si>
  <si>
    <t>817127206049</t>
  </si>
  <si>
    <t>817136205225</t>
  </si>
  <si>
    <t>817143172282</t>
  </si>
  <si>
    <t>817144209017</t>
  </si>
  <si>
    <t>817146119212</t>
  </si>
  <si>
    <t>817152144868</t>
  </si>
  <si>
    <t>817153119261</t>
  </si>
  <si>
    <t>817159119038</t>
  </si>
  <si>
    <t>817163177426</t>
  </si>
  <si>
    <t>817164172597</t>
  </si>
  <si>
    <t>817165119028</t>
  </si>
  <si>
    <t>817167210440</t>
  </si>
  <si>
    <t>817168119050</t>
  </si>
  <si>
    <t>817172119044</t>
  </si>
  <si>
    <t>817188178219</t>
  </si>
  <si>
    <t>817189119261</t>
  </si>
  <si>
    <t>817192210452</t>
  </si>
  <si>
    <t>817196204208</t>
  </si>
  <si>
    <t>817203209599</t>
  </si>
  <si>
    <t>817206170846</t>
  </si>
  <si>
    <t>817208145394</t>
  </si>
  <si>
    <t>817211204034</t>
  </si>
  <si>
    <t>817212149991</t>
  </si>
  <si>
    <t>817213119026</t>
  </si>
  <si>
    <t>817217209652</t>
  </si>
  <si>
    <t>817218209652</t>
  </si>
  <si>
    <t>817219209652</t>
  </si>
  <si>
    <t>817221209702</t>
  </si>
  <si>
    <t>817223170392</t>
  </si>
  <si>
    <t>817223172640</t>
  </si>
  <si>
    <t>817224201678</t>
  </si>
  <si>
    <t>817225178004</t>
  </si>
  <si>
    <t>817233179560</t>
  </si>
  <si>
    <t>817235170958</t>
  </si>
  <si>
    <t>817238171578</t>
  </si>
  <si>
    <t>817239171578</t>
  </si>
  <si>
    <t>817251210566</t>
  </si>
  <si>
    <t>817252209017</t>
  </si>
  <si>
    <t>817254207713</t>
  </si>
  <si>
    <t>817263170204</t>
  </si>
  <si>
    <t>817264170200</t>
  </si>
  <si>
    <t>817268202867</t>
  </si>
  <si>
    <t>817270176929</t>
  </si>
  <si>
    <t>817271170204</t>
  </si>
  <si>
    <t>817272202870</t>
  </si>
  <si>
    <t>817273204034</t>
  </si>
  <si>
    <t>817275172640</t>
  </si>
  <si>
    <t>817276149991</t>
  </si>
  <si>
    <t>817276177956</t>
  </si>
  <si>
    <t>817277174756</t>
  </si>
  <si>
    <t>817283203352</t>
  </si>
  <si>
    <t>817302121706</t>
  </si>
  <si>
    <t>817308209586</t>
  </si>
  <si>
    <t>817319170617</t>
  </si>
  <si>
    <t>817320178105</t>
  </si>
  <si>
    <t>817322149885</t>
  </si>
  <si>
    <t>817329207713</t>
  </si>
  <si>
    <t>817337177379</t>
  </si>
  <si>
    <t>817342179396</t>
  </si>
  <si>
    <t>817343149825</t>
  </si>
  <si>
    <t>817349205742</t>
  </si>
  <si>
    <t>817350174034</t>
  </si>
  <si>
    <t>817352171479</t>
  </si>
  <si>
    <t>817364148934</t>
  </si>
  <si>
    <t>817365148934</t>
  </si>
  <si>
    <t>817366210355</t>
  </si>
  <si>
    <t>817368143608</t>
  </si>
  <si>
    <t>817372173224</t>
  </si>
  <si>
    <t>817377178105</t>
  </si>
  <si>
    <t>817382119065</t>
  </si>
  <si>
    <t>817384204622</t>
  </si>
  <si>
    <t>817386179911</t>
  </si>
  <si>
    <t>817403176869</t>
  </si>
  <si>
    <t>817403177787</t>
  </si>
  <si>
    <t>817404178234</t>
  </si>
  <si>
    <t>817411177295</t>
  </si>
  <si>
    <t>817412176833</t>
  </si>
  <si>
    <t>817413177295</t>
  </si>
  <si>
    <t>817417119261</t>
  </si>
  <si>
    <t>817426177426</t>
  </si>
  <si>
    <t>817427210452</t>
  </si>
  <si>
    <t>817454178268</t>
  </si>
  <si>
    <t>817459143607</t>
  </si>
  <si>
    <t>817461177301</t>
  </si>
  <si>
    <t>817480119038</t>
  </si>
  <si>
    <t>817482119029</t>
  </si>
  <si>
    <t>817489170775</t>
  </si>
  <si>
    <t>817513205004</t>
  </si>
  <si>
    <t>817514119261</t>
  </si>
  <si>
    <t>817515204030</t>
  </si>
  <si>
    <t>817542171578</t>
  </si>
  <si>
    <t>817543210123</t>
  </si>
  <si>
    <t>817546141512</t>
  </si>
  <si>
    <t>817549179486</t>
  </si>
  <si>
    <t>817585202204</t>
  </si>
  <si>
    <t>817586119066</t>
  </si>
  <si>
    <t>817587208183</t>
  </si>
  <si>
    <t>817588172338</t>
  </si>
  <si>
    <t>817589172338</t>
  </si>
  <si>
    <t>817591119261</t>
  </si>
  <si>
    <t>817595142269</t>
  </si>
  <si>
    <t>817598171839</t>
  </si>
  <si>
    <t>817609210132</t>
  </si>
  <si>
    <t>817610148557</t>
  </si>
  <si>
    <t>817611119071</t>
  </si>
  <si>
    <t>817614206367</t>
  </si>
  <si>
    <t>817628207857</t>
  </si>
  <si>
    <t>817644172942</t>
  </si>
  <si>
    <t>817646175856</t>
  </si>
  <si>
    <t>817647170204</t>
  </si>
  <si>
    <t>817650171839</t>
  </si>
  <si>
    <t>817659140984</t>
  </si>
  <si>
    <t>817665208874</t>
  </si>
  <si>
    <t>817666170197</t>
  </si>
  <si>
    <t>817668174166</t>
  </si>
  <si>
    <t>817677142843</t>
  </si>
  <si>
    <t>817679170617</t>
  </si>
  <si>
    <t>817684209796</t>
  </si>
  <si>
    <t>817709208032</t>
  </si>
  <si>
    <t>817715142241</t>
  </si>
  <si>
    <t>817730207379</t>
  </si>
  <si>
    <t>817732208628</t>
  </si>
  <si>
    <t>817735173224</t>
  </si>
  <si>
    <t>817739209796</t>
  </si>
  <si>
    <t>817740204034</t>
  </si>
  <si>
    <t>817742125022</t>
  </si>
  <si>
    <t>817743177092</t>
  </si>
  <si>
    <t>817744144747</t>
  </si>
  <si>
    <t>817746210163</t>
  </si>
  <si>
    <t>817757171834</t>
  </si>
  <si>
    <t>817763203520</t>
  </si>
  <si>
    <t>817774170200</t>
  </si>
  <si>
    <t>817775179486</t>
  </si>
  <si>
    <t>817787205004</t>
  </si>
  <si>
    <t>817788205969</t>
  </si>
  <si>
    <t>817789179894</t>
  </si>
  <si>
    <t>817791208183</t>
  </si>
  <si>
    <t>817792178661</t>
  </si>
  <si>
    <t>817794207782</t>
  </si>
  <si>
    <t>817795209652</t>
  </si>
  <si>
    <t>817796176833</t>
  </si>
  <si>
    <t>817797209652</t>
  </si>
  <si>
    <t>817799202850</t>
  </si>
  <si>
    <t>817809141115</t>
  </si>
  <si>
    <t>817811210566</t>
  </si>
  <si>
    <t>817812209652</t>
  </si>
  <si>
    <t>817813175547</t>
  </si>
  <si>
    <t>817814140860</t>
  </si>
  <si>
    <t>817819147640</t>
  </si>
  <si>
    <t>817820210566</t>
  </si>
  <si>
    <t>817831208776</t>
  </si>
  <si>
    <t>817833171578</t>
  </si>
  <si>
    <t>817834149885</t>
  </si>
  <si>
    <t>817835119023</t>
  </si>
  <si>
    <t>817838149885</t>
  </si>
  <si>
    <t>817839174271</t>
  </si>
  <si>
    <t>817847206302</t>
  </si>
  <si>
    <t>817848149859</t>
  </si>
  <si>
    <t>817858171591</t>
  </si>
  <si>
    <t>817864174271</t>
  </si>
  <si>
    <t>817866174378</t>
  </si>
  <si>
    <t>817868202941</t>
  </si>
  <si>
    <t>817870207809</t>
  </si>
  <si>
    <t>817871174713</t>
  </si>
  <si>
    <t>817872173310</t>
  </si>
  <si>
    <t>817876209652</t>
  </si>
  <si>
    <t>817878141714</t>
  </si>
  <si>
    <t>817880210566</t>
  </si>
  <si>
    <t>817881176833</t>
  </si>
  <si>
    <t>817882207019</t>
  </si>
  <si>
    <t>817891176833</t>
  </si>
  <si>
    <t>817894203811</t>
  </si>
  <si>
    <t>817900119208</t>
  </si>
  <si>
    <t>817901119038</t>
  </si>
  <si>
    <t>817902172706</t>
  </si>
  <si>
    <t>817905211138</t>
  </si>
  <si>
    <t>817913178298</t>
  </si>
  <si>
    <t>817914178298</t>
  </si>
  <si>
    <t>817914210355</t>
  </si>
  <si>
    <t>817915119261</t>
  </si>
  <si>
    <t>817916178298</t>
  </si>
  <si>
    <t>817917207857</t>
  </si>
  <si>
    <t>817917211256</t>
  </si>
  <si>
    <t>817933202870</t>
  </si>
  <si>
    <t>817934210355</t>
  </si>
  <si>
    <t>817940202142</t>
  </si>
  <si>
    <t>817941206529</t>
  </si>
  <si>
    <t>817943210619</t>
  </si>
  <si>
    <t>817945173528</t>
  </si>
  <si>
    <t>817947119026</t>
  </si>
  <si>
    <t>817958208638</t>
  </si>
  <si>
    <t>817972201280</t>
  </si>
  <si>
    <t>817976211137</t>
  </si>
  <si>
    <t>817977175049</t>
  </si>
  <si>
    <t>817979176833</t>
  </si>
  <si>
    <t>817980170904</t>
  </si>
  <si>
    <t>818004149764</t>
  </si>
  <si>
    <t>818017141115</t>
  </si>
  <si>
    <t>818018204375</t>
  </si>
  <si>
    <t>818021174756</t>
  </si>
  <si>
    <t>818023172640</t>
  </si>
  <si>
    <t>818043171685</t>
  </si>
  <si>
    <t>818063170606</t>
  </si>
  <si>
    <t>818066119261</t>
  </si>
  <si>
    <t>818071202478</t>
  </si>
  <si>
    <t>818073208516</t>
  </si>
  <si>
    <t>818077119044</t>
  </si>
  <si>
    <t>818098204034</t>
  </si>
  <si>
    <t>818099175049</t>
  </si>
  <si>
    <t>818101141115</t>
  </si>
  <si>
    <t>818102170846</t>
  </si>
  <si>
    <t>818124210691</t>
  </si>
  <si>
    <t>818131206066</t>
  </si>
  <si>
    <t>818132206066</t>
  </si>
  <si>
    <t>818133206066</t>
  </si>
  <si>
    <t>818134171839</t>
  </si>
  <si>
    <t>818135170204</t>
  </si>
  <si>
    <t>818136177742</t>
  </si>
  <si>
    <t>818137119212</t>
  </si>
  <si>
    <t>818140209990</t>
  </si>
  <si>
    <t>818141178764</t>
  </si>
  <si>
    <t>818142175547</t>
  </si>
  <si>
    <t>818153205591</t>
  </si>
  <si>
    <t>818155141115</t>
  </si>
  <si>
    <t>818156209599</t>
  </si>
  <si>
    <t>818159211282</t>
  </si>
  <si>
    <t>818161211282</t>
  </si>
  <si>
    <t>818163119071</t>
  </si>
  <si>
    <t>818164206066</t>
  </si>
  <si>
    <t>818177170775</t>
  </si>
  <si>
    <t>818181170775</t>
  </si>
  <si>
    <t>818192172798</t>
  </si>
  <si>
    <t>818194141512</t>
  </si>
  <si>
    <t>818201201117</t>
  </si>
  <si>
    <t>818207207192</t>
  </si>
  <si>
    <t>818212119038</t>
  </si>
  <si>
    <t>818213210210</t>
  </si>
  <si>
    <t>818214209599</t>
  </si>
  <si>
    <t>818216170325</t>
  </si>
  <si>
    <t>818217173865</t>
  </si>
  <si>
    <t>818218206986</t>
  </si>
  <si>
    <t>818221119034</t>
  </si>
  <si>
    <t>818232209816</t>
  </si>
  <si>
    <t>818235211342</t>
  </si>
  <si>
    <t>818237209816</t>
  </si>
  <si>
    <t>818238170204</t>
  </si>
  <si>
    <t>818240144746</t>
  </si>
  <si>
    <t>818250203651</t>
  </si>
  <si>
    <t>818251208088</t>
  </si>
  <si>
    <t>818252209652</t>
  </si>
  <si>
    <t>818254209652</t>
  </si>
  <si>
    <t>818255202428</t>
  </si>
  <si>
    <t>818255210538</t>
  </si>
  <si>
    <t>818256142984</t>
  </si>
  <si>
    <t>818257149885</t>
  </si>
  <si>
    <t>818263208074</t>
  </si>
  <si>
    <t>818277209599</t>
  </si>
  <si>
    <t>818279210745</t>
  </si>
  <si>
    <t>818280172338</t>
  </si>
  <si>
    <t>818288170904</t>
  </si>
  <si>
    <t>818290173224</t>
  </si>
  <si>
    <t>818293173224</t>
  </si>
  <si>
    <t>818294207895</t>
  </si>
  <si>
    <t>818295208066</t>
  </si>
  <si>
    <t>818306208183</t>
  </si>
  <si>
    <t>818307204375</t>
  </si>
  <si>
    <t>818317176833</t>
  </si>
  <si>
    <t>818324205591</t>
  </si>
  <si>
    <t>818325148557</t>
  </si>
  <si>
    <t>818328209954</t>
  </si>
  <si>
    <t>818329173865</t>
  </si>
  <si>
    <t>818340210619</t>
  </si>
  <si>
    <t>818341210619</t>
  </si>
  <si>
    <t>818342173098</t>
  </si>
  <si>
    <t>818343210566</t>
  </si>
  <si>
    <t>818347140927</t>
  </si>
  <si>
    <t>818354202479</t>
  </si>
  <si>
    <t>818372144747</t>
  </si>
  <si>
    <t>818391170132</t>
  </si>
  <si>
    <t>818392170132</t>
  </si>
  <si>
    <t>818394209599</t>
  </si>
  <si>
    <t>818395208770</t>
  </si>
  <si>
    <t>818407209796</t>
  </si>
  <si>
    <t>818408147429</t>
  </si>
  <si>
    <t>818409119236</t>
  </si>
  <si>
    <t>818429175287</t>
  </si>
  <si>
    <t>818440119046</t>
  </si>
  <si>
    <t>818441210619</t>
  </si>
  <si>
    <t>818483210619</t>
  </si>
  <si>
    <t>818499149996</t>
  </si>
  <si>
    <t>818506209599</t>
  </si>
  <si>
    <t>818507209599</t>
  </si>
  <si>
    <t>818514210433</t>
  </si>
  <si>
    <t>Sum of Apr'21</t>
  </si>
  <si>
    <t>Sum of May'21</t>
  </si>
  <si>
    <t>Sum of Jun'21</t>
  </si>
  <si>
    <t>Sum of Jul'21</t>
  </si>
  <si>
    <t>Sum of Aug'21</t>
  </si>
  <si>
    <t>Sum of Sep'21</t>
  </si>
  <si>
    <t>Sum of Oct'21</t>
  </si>
  <si>
    <t>Sum of Nov'21</t>
  </si>
  <si>
    <t>Sum of Dec'21</t>
  </si>
  <si>
    <t>Sum of Jan'22</t>
  </si>
  <si>
    <t>Sum of Feb'22</t>
  </si>
  <si>
    <t>Sum of Mar'22</t>
  </si>
  <si>
    <t>Dealer Code</t>
  </si>
  <si>
    <t>WS Sale</t>
  </si>
  <si>
    <t>Total</t>
  </si>
  <si>
    <t>Prop./Firm</t>
  </si>
  <si>
    <t>Bank Account Number</t>
  </si>
  <si>
    <t>Bank Name</t>
  </si>
  <si>
    <t>Cheque to be issue in favor of</t>
  </si>
  <si>
    <t>Bank IFSC code</t>
  </si>
  <si>
    <t>Status Active/In active</t>
  </si>
  <si>
    <t>Active</t>
  </si>
  <si>
    <t xml:space="preserve">Inactive </t>
  </si>
  <si>
    <t>PUSHPENDRA SHARMA</t>
  </si>
  <si>
    <t>RAVINDRA SINGH PARMAR-THEKDAR</t>
  </si>
  <si>
    <t>RUPESH KUMAR JAGA</t>
  </si>
  <si>
    <t>6388000100147028</t>
  </si>
  <si>
    <t>PUNB0638800</t>
  </si>
  <si>
    <t>PUNJAB NATIONAL BANK</t>
  </si>
</sst>
</file>

<file path=xl/styles.xml><?xml version="1.0" encoding="utf-8"?>
<styleSheet xmlns="http://schemas.openxmlformats.org/spreadsheetml/2006/main">
  <numFmts count="1">
    <numFmt numFmtId="164" formatCode="_*\ #,##0_ ;_*\ \-#,##0_ ;_*\ &quot;-&quot;_ ;_ @_ "/>
  </numFmts>
  <fonts count="14"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72 Condensed"/>
      <family val="2"/>
    </font>
    <font>
      <b/>
      <sz val="10"/>
      <name val="72 Condensed"/>
      <family val="2"/>
    </font>
    <font>
      <b/>
      <sz val="10"/>
      <color theme="1"/>
      <name val="72 Condensed"/>
      <family val="2"/>
    </font>
    <font>
      <sz val="10"/>
      <color theme="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Arial"/>
      <family val="2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1" xfId="0" applyFont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/>
    </xf>
    <xf numFmtId="164" fontId="10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11" fillId="4" borderId="2" xfId="0" applyFont="1" applyFill="1" applyBorder="1" applyAlignment="1">
      <alignment vertical="top"/>
    </xf>
    <xf numFmtId="0" fontId="11" fillId="4" borderId="3" xfId="0" applyNumberFormat="1" applyFont="1" applyFill="1" applyBorder="1" applyAlignment="1">
      <alignment vertical="top"/>
    </xf>
    <xf numFmtId="0" fontId="11" fillId="4" borderId="3" xfId="0" applyFont="1" applyFill="1" applyBorder="1" applyAlignment="1">
      <alignment horizontal="left" vertical="top"/>
    </xf>
    <xf numFmtId="164" fontId="3" fillId="0" borderId="0" xfId="0" applyNumberFormat="1" applyFont="1" applyBorder="1" applyAlignment="1" applyProtection="1">
      <alignment horizontal="center" vertical="center"/>
    </xf>
    <xf numFmtId="164" fontId="13" fillId="0" borderId="0" xfId="0" applyNumberFormat="1" applyFont="1" applyBorder="1" applyAlignment="1" applyProtection="1">
      <alignment horizontal="center" vertical="center"/>
    </xf>
    <xf numFmtId="164" fontId="12" fillId="0" borderId="0" xfId="0" applyNumberFormat="1" applyFont="1" applyBorder="1" applyAlignment="1" applyProtection="1">
      <alignment horizontal="center" vertical="center"/>
    </xf>
    <xf numFmtId="164" fontId="4" fillId="0" borderId="0" xfId="0" applyNumberFormat="1" applyFont="1" applyBorder="1" applyAlignment="1" applyProtection="1">
      <alignment horizontal="center" vertical="center"/>
    </xf>
    <xf numFmtId="164" fontId="5" fillId="0" borderId="0" xfId="0" applyNumberFormat="1" applyFont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vertical="top"/>
      <protection locked="0"/>
    </xf>
    <xf numFmtId="0" fontId="3" fillId="0" borderId="0" xfId="0" applyFont="1" applyBorder="1" applyAlignment="1" applyProtection="1">
      <alignment horizontal="left" vertical="center"/>
      <protection locked="0"/>
    </xf>
    <xf numFmtId="14" fontId="3" fillId="0" borderId="0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top"/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12" fillId="3" borderId="4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vertical="center" readingOrder="0"/>
    </dxf>
    <dxf>
      <alignment horizontal="center" readingOrder="0"/>
    </dxf>
    <dxf>
      <numFmt numFmtId="1" formatCode="0"/>
    </dxf>
    <dxf>
      <numFmt numFmtId="165" formatCode="0.0"/>
    </dxf>
    <dxf>
      <numFmt numFmtId="2" formatCode="0.00"/>
    </dxf>
    <dxf>
      <numFmt numFmtId="166" formatCode="0.000"/>
    </dxf>
    <dxf>
      <numFmt numFmtId="167" formatCode="0.0000"/>
    </dxf>
    <dxf>
      <numFmt numFmtId="168" formatCode="0.00000"/>
    </dxf>
    <dxf>
      <numFmt numFmtId="169" formatCode="0.000000"/>
    </dxf>
    <dxf>
      <numFmt numFmtId="170" formatCode="0.0000000"/>
    </dxf>
    <dxf>
      <numFmt numFmtId="171" formatCode="0.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itendra Kumar Vyas" refreshedDate="44494.727972106484" createdVersion="6" refreshedVersion="6" minRefreshableVersion="3" recordCount="2083">
  <cacheSource type="worksheet">
    <worksheetSource ref="A1:N408" sheet="mtd sale"/>
  </cacheSource>
  <cacheFields count="18">
    <cacheField name="Combined" numFmtId="0">
      <sharedItems/>
    </cacheField>
    <cacheField name="Retailer Code" numFmtId="0">
      <sharedItems containsSemiMixedTypes="0" containsString="0" containsNumber="1" containsInteger="1" minValue="801582" maxValue="816736"/>
    </cacheField>
    <cacheField name="Retailer Desc." numFmtId="0">
      <sharedItems/>
    </cacheField>
    <cacheField name="Concerned Dealer code" numFmtId="0">
      <sharedItems containsSemiMixedTypes="0" containsString="0" containsNumber="1" containsInteger="1" minValue="119023" maxValue="209990"/>
    </cacheField>
    <cacheField name="Concerned Dealer Name" numFmtId="0">
      <sharedItems/>
    </cacheField>
    <cacheField name="Apr'21" numFmtId="164">
      <sharedItems containsSemiMixedTypes="0" containsString="0" containsNumber="1" minValue="0" maxValue="543"/>
    </cacheField>
    <cacheField name="May'21" numFmtId="164">
      <sharedItems containsSemiMixedTypes="0" containsString="0" containsNumber="1" minValue="0" maxValue="434.5"/>
    </cacheField>
    <cacheField name="Jun'21" numFmtId="164">
      <sharedItems containsSemiMixedTypes="0" containsString="0" containsNumber="1" minValue="0" maxValue="541.9"/>
    </cacheField>
    <cacheField name="Jul'21" numFmtId="164">
      <sharedItems containsSemiMixedTypes="0" containsString="0" containsNumber="1" minValue="0" maxValue="511.55"/>
    </cacheField>
    <cacheField name="Aug'21" numFmtId="164">
      <sharedItems containsSemiMixedTypes="0" containsString="0" containsNumber="1" minValue="0" maxValue="554.15"/>
    </cacheField>
    <cacheField name="Sep'21" numFmtId="164">
      <sharedItems containsSemiMixedTypes="0" containsString="0" containsNumber="1" minValue="0" maxValue="1008.2"/>
    </cacheField>
    <cacheField name="Oct'21 (till 24th)" numFmtId="164">
      <sharedItems containsSemiMixedTypes="0" containsString="0" containsNumber="1" minValue="0" maxValue="345.09999999999997"/>
    </cacheField>
    <cacheField name="Grand Total" numFmtId="164">
      <sharedItems containsSemiMixedTypes="0" containsString="0" containsNumber="1" minValue="1" maxValue="3250.9"/>
    </cacheField>
    <cacheField name="Avg" numFmtId="164">
      <sharedItems containsSemiMixedTypes="0" containsString="0" containsNumber="1" minValue="0.14285714285714285" maxValue="464.41428571428571"/>
    </cacheField>
    <cacheField name="Slab" numFmtId="164">
      <sharedItems count="6">
        <s v="20-00 MT"/>
        <s v="0-10 MT"/>
        <s v="10-20 MT"/>
        <s v="&gt;50 MT"/>
        <s v="30-40 MT"/>
        <s v="40-50 MT"/>
      </sharedItems>
    </cacheField>
    <cacheField name="Dist" numFmtId="0">
      <sharedItems count="33">
        <s v="ALWAR"/>
        <s v="BHARATPUR"/>
        <s v="DHOLPUR"/>
        <s v="JAIPUR"/>
        <s v="CHURU"/>
        <s v="JHUNJHUNU"/>
        <s v="SIKAR"/>
        <s v="DAUSA"/>
        <s v="KARAULI"/>
        <s v="SAWAI MADHOPUR"/>
        <s v="AJMER"/>
        <s v="NAGAUR"/>
        <s v="TONK"/>
        <s v="BARMER"/>
        <s v="JAISALMER"/>
        <s v="JODHPUR"/>
        <s v="JALORE"/>
        <s v="PALI"/>
        <s v="SIROHI"/>
        <s v="BIKANER"/>
        <s v="HANUMANGARH"/>
        <s v="SRI GANGANAGAR"/>
        <s v="BHILWARA"/>
        <s v="CHITTORGARH"/>
        <s v="PRATAPGARH"/>
        <s v="BANSWARA"/>
        <s v="DUNGARPUR"/>
        <s v="BARAN"/>
        <s v="BUNDI"/>
        <s v="JHALAWAR"/>
        <s v="KOTA"/>
        <s v="RAJSAMAND"/>
        <s v="UDAIPUR"/>
      </sharedItems>
    </cacheField>
    <cacheField name="AO" numFmtId="0">
      <sharedItems count="12">
        <s v="ALWAR"/>
        <s v="JAIPUR"/>
        <s v="JHUNJHUNU"/>
        <s v="SAWAI MADHOPUR"/>
        <s v="AJMER"/>
        <s v="JODHPUR"/>
        <s v="PALI"/>
        <s v="SRI GANGANAGAR"/>
        <s v="BHILWARA"/>
        <s v="DUNGARPUR"/>
        <s v="KOTA"/>
        <s v="UDAIPUR"/>
      </sharedItems>
    </cacheField>
    <cacheField name="State" numFmtId="0">
      <sharedItems count="3">
        <s v="RJ-JAIPUR"/>
        <s v="RJ-JODHPUR"/>
        <s v="RJ-UDAIP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itendra Kumar Vyas" refreshedDate="44660.475912037036" createdVersion="6" refreshedVersion="6" minRefreshableVersion="3" recordCount="2666">
  <cacheSource type="worksheet">
    <worksheetSource ref="A1:E408" sheet="mtd sale"/>
  </cacheSource>
  <cacheFields count="18">
    <cacheField name="Combined" numFmtId="0">
      <sharedItems count="2666">
        <s v="801582119028"/>
        <s v="801583119044"/>
        <s v="801588119047"/>
        <s v="801589119047"/>
        <s v="801590119047"/>
        <s v="801627202865"/>
        <s v="801716119261"/>
        <s v="801727170904"/>
        <s v="801729119261"/>
        <s v="801757140967"/>
        <s v="801764170692"/>
        <s v="801766119028"/>
        <s v="801796119066"/>
        <s v="801800119026"/>
        <s v="801837119154"/>
        <s v="801838119154"/>
        <s v="801867119042"/>
        <s v="801868119042"/>
        <s v="801869119042"/>
        <s v="801871119042"/>
        <s v="801876119261"/>
        <s v="801878176773"/>
        <s v="801881119028"/>
        <s v="801883176773"/>
        <s v="801915119044"/>
        <s v="801916119050"/>
        <s v="801918178764"/>
        <s v="801920119028"/>
        <s v="801965119261"/>
        <s v="801966119261"/>
        <s v="801967119261"/>
        <s v="801999176773"/>
        <s v="802012119028"/>
        <s v="802044176773"/>
        <s v="802068141556"/>
        <s v="802073119261"/>
        <s v="802088170248"/>
        <s v="802089176773"/>
        <s v="802094122282"/>
        <s v="802095122282"/>
        <s v="802100122282"/>
        <s v="802105209002"/>
        <s v="802117176773"/>
        <s v="802147141115"/>
        <s v="802148141115"/>
        <s v="802149119050"/>
        <s v="802151121706"/>
        <s v="802156211138"/>
        <s v="802161170248"/>
        <s v="802164119208"/>
        <s v="802165143531"/>
        <s v="802196122282"/>
        <s v="802210174756"/>
        <s v="802212119028"/>
        <s v="802213119026"/>
        <s v="802214172597"/>
        <s v="802265179560"/>
        <s v="802370141115"/>
        <s v="802371174756"/>
        <s v="802376119031"/>
        <s v="802838119038"/>
        <s v="802841119050"/>
        <s v="802848179560"/>
        <s v="802870119034"/>
        <s v="802878119038"/>
        <s v="802893140857"/>
        <s v="802894140848"/>
        <s v="802895140967"/>
        <s v="802896140967"/>
        <s v="802913176773"/>
        <s v="802918143531"/>
        <s v="802921141115"/>
        <s v="802923140857"/>
        <s v="802925140963"/>
        <s v="802925176098"/>
        <s v="802948119261"/>
        <s v="802964119038"/>
        <s v="802965119038"/>
        <s v="802968174756"/>
        <s v="802972119050"/>
        <s v="802972174756"/>
        <s v="802987170146"/>
        <s v="803003122282"/>
        <s v="803017170200"/>
        <s v="803018176276"/>
        <s v="803020140851"/>
        <s v="803021140851"/>
        <s v="803022140851"/>
        <s v="803023140851"/>
        <s v="803049140860"/>
        <s v="803051119038"/>
        <s v="803071140848"/>
        <s v="803124140857"/>
        <s v="803125203600"/>
        <s v="803141119050"/>
        <s v="803148171226"/>
        <s v="803188140851"/>
        <s v="803188140857"/>
        <s v="803193119905"/>
        <s v="803201170204"/>
        <s v="803201171226"/>
        <s v="803240119227"/>
        <s v="803251170200"/>
        <s v="803256170204"/>
        <s v="803258140859"/>
        <s v="803260140849"/>
        <s v="803292119028"/>
        <s v="803293170846"/>
        <s v="803351176773"/>
        <s v="803352119038"/>
        <s v="803364170204"/>
        <s v="803425119038"/>
        <s v="803501172942"/>
        <s v="803534141115"/>
        <s v="803578119038"/>
        <s v="803579119038"/>
        <s v="803594119029"/>
        <s v="803690119028"/>
        <s v="803691119028"/>
        <s v="803698172976"/>
        <s v="803721206102"/>
        <s v="803755119029"/>
        <s v="803769119031"/>
        <s v="803770119031"/>
        <s v="803775144170"/>
        <s v="803778140849"/>
        <s v="803794119050"/>
        <s v="803794142332"/>
        <s v="803809140849"/>
        <s v="803820129599"/>
        <s v="803821119066"/>
        <s v="803832119050"/>
        <s v="803843119038"/>
        <s v="803877143416"/>
        <s v="803885119263"/>
        <s v="803886119066"/>
        <s v="803946140851"/>
        <s v="803952119044"/>
        <s v="803954202842"/>
        <s v="803955119905"/>
        <s v="803983119034"/>
        <s v="803990140849"/>
        <s v="803991140858"/>
        <s v="803992140860"/>
        <s v="803993140860"/>
        <s v="804006140966"/>
        <s v="804023119038"/>
        <s v="804031119038"/>
        <s v="804050174756"/>
        <s v="804057140967"/>
        <s v="804058141115"/>
        <s v="804079174756"/>
        <s v="804080141556"/>
        <s v="804081170501"/>
        <s v="804082119263"/>
        <s v="804106119044"/>
        <s v="804122119038"/>
        <s v="804131140967"/>
        <s v="804132179560"/>
        <s v="804135119044"/>
        <s v="804136119038"/>
        <s v="804165119028"/>
        <s v="804176141674"/>
        <s v="804178119046"/>
        <s v="804220170775"/>
        <s v="804235119038"/>
        <s v="804243122377"/>
        <s v="804251119034"/>
        <s v="804286119046"/>
        <s v="804310119028"/>
        <s v="804312142269"/>
        <s v="804313119038"/>
        <s v="804365143148"/>
        <s v="804429201280"/>
        <s v="804430119066"/>
        <s v="804431119208"/>
        <s v="804432141115"/>
        <s v="804474119028"/>
        <s v="804485119038"/>
        <s v="804632141115"/>
        <s v="804744206066"/>
        <s v="804746143114"/>
        <s v="804773119179"/>
        <s v="804774119179"/>
        <s v="804818119261"/>
        <s v="804832119029"/>
        <s v="804833119263"/>
        <s v="804864206066"/>
        <s v="804876119031"/>
        <s v="804888143113"/>
        <s v="804897140857"/>
        <s v="804898119050"/>
        <s v="804909170775"/>
        <s v="804910119038"/>
        <s v="804933170156"/>
        <s v="804935122537"/>
        <s v="804935176279"/>
        <s v="804940119038"/>
        <s v="804966143530"/>
        <s v="804968140852"/>
        <s v="804969140858"/>
        <s v="804971119028"/>
        <s v="804978176276"/>
        <s v="804980171880"/>
        <s v="804980175288"/>
        <s v="804992143114"/>
        <s v="805005146845"/>
        <s v="805095119261"/>
        <s v="805149119208"/>
        <s v="805151202865"/>
        <s v="805158202865"/>
        <s v="805185122377"/>
        <s v="805255119261"/>
        <s v="805276170606"/>
        <s v="805323119028"/>
        <s v="805324119028"/>
        <s v="805325119066"/>
        <s v="805351119028"/>
        <s v="805375119261"/>
        <s v="805377119261"/>
        <s v="805378176276"/>
        <s v="805385149971"/>
        <s v="805385177426"/>
        <s v="805397119044"/>
        <s v="805401176773"/>
        <s v="805403119038"/>
        <s v="805406119261"/>
        <s v="805419119261"/>
        <s v="805420119050"/>
        <s v="805432119038"/>
        <s v="805433119038"/>
        <s v="805453119261"/>
        <s v="805454119038"/>
        <s v="805468170197"/>
        <s v="805468170892"/>
        <s v="805544119038"/>
        <s v="805545149764"/>
        <s v="805572148629"/>
        <s v="805574170204"/>
        <s v="805597144243"/>
        <s v="805621119038"/>
        <s v="805624119028"/>
        <s v="805627175775"/>
        <s v="805654119038"/>
        <s v="805677119038"/>
        <s v="805752170248"/>
        <s v="805765147892"/>
        <s v="805796208268"/>
        <s v="805810143148"/>
        <s v="805810172193"/>
        <s v="805811202865"/>
        <s v="805822119038"/>
        <s v="805828178818"/>
        <s v="805828208066"/>
        <s v="805848143148"/>
        <s v="805869176821"/>
        <s v="805870206441"/>
        <s v="805872176773"/>
        <s v="805911170115"/>
        <s v="805921170775"/>
        <s v="805969119028"/>
        <s v="805984203455"/>
        <s v="805986170248"/>
        <s v="805995170892"/>
        <s v="806024170892"/>
        <s v="806032119044"/>
        <s v="806032209212"/>
        <s v="806047145353"/>
        <s v="806051170204"/>
        <s v="806052170204"/>
        <s v="806094140848"/>
        <s v="806095140967"/>
        <s v="806097173224"/>
        <s v="806099208033"/>
        <s v="806099211138"/>
        <s v="806100205370"/>
        <s v="806101170392"/>
        <s v="806125119038"/>
        <s v="806141119222"/>
        <s v="806142119179"/>
        <s v="806155119038"/>
        <s v="806156119038"/>
        <s v="806157119038"/>
        <s v="806158119038"/>
        <s v="806174119038"/>
        <s v="806175178230"/>
        <s v="806176205969"/>
        <s v="806178170248"/>
        <s v="806210170775"/>
        <s v="806212119066"/>
        <s v="806230146861"/>
        <s v="806232206102"/>
        <s v="806233146861"/>
        <s v="806234202865"/>
        <s v="806246119042"/>
        <s v="806283119038"/>
        <s v="806288119038"/>
        <s v="806289179796"/>
        <s v="806296179796"/>
        <s v="806307119160"/>
        <s v="806322170204"/>
        <s v="806323170204"/>
        <s v="806327170200"/>
        <s v="806337170606"/>
        <s v="806337177727"/>
        <s v="806339170392"/>
        <s v="806339170846"/>
        <s v="806346170204"/>
        <s v="806359179908"/>
        <s v="806360173865"/>
        <s v="806362119028"/>
        <s v="806371149885"/>
        <s v="806395170550"/>
        <s v="806396177426"/>
        <s v="806396207713"/>
        <s v="806400119038"/>
        <s v="806401119038"/>
        <s v="806430171880"/>
        <s v="806430175288"/>
        <s v="806431149765"/>
        <s v="806433119261"/>
        <s v="806436119023"/>
        <s v="806439119023"/>
        <s v="806440119023"/>
        <s v="806466170392"/>
        <s v="806466170846"/>
        <s v="806468119038"/>
        <s v="806469119038"/>
        <s v="806471119905"/>
        <s v="806472170392"/>
        <s v="806474119038"/>
        <s v="806484148557"/>
        <s v="806487149765"/>
        <s v="806487171880"/>
        <s v="806510119261"/>
        <s v="806511119071"/>
        <s v="806511208268"/>
        <s v="806517170692"/>
        <s v="806539149885"/>
        <s v="806540119029"/>
        <s v="806565119038"/>
        <s v="806601119160"/>
        <s v="806615149765"/>
        <s v="806616141512"/>
        <s v="806620148629"/>
        <s v="806651122377"/>
        <s v="806659171839"/>
        <s v="806668177631"/>
        <s v="806669177631"/>
        <s v="806670149885"/>
        <s v="806689149765"/>
        <s v="806717141146"/>
        <s v="806720172252"/>
        <s v="806721140927"/>
        <s v="806722119261"/>
        <s v="806723119261"/>
        <s v="806748170204"/>
        <s v="806754177450"/>
        <s v="806782119208"/>
        <s v="806802122377"/>
        <s v="806804171923"/>
        <s v="806805145394"/>
        <s v="806805171923"/>
        <s v="806827140848"/>
        <s v="806828178764"/>
        <s v="806829171839"/>
        <s v="806830119038"/>
        <s v="806841171226"/>
        <s v="806843171839"/>
        <s v="806862171839"/>
        <s v="806863119038"/>
        <s v="806864175547"/>
        <s v="806871119046"/>
        <s v="806872119026"/>
        <s v="806882119023"/>
        <s v="806883119026"/>
        <s v="806885206441"/>
        <s v="806887119071"/>
        <s v="806898141512"/>
        <s v="806915119028"/>
        <s v="806922170847"/>
        <s v="806923170847"/>
        <s v="806926119047"/>
        <s v="806939141556"/>
        <s v="806943119028"/>
        <s v="806968170200"/>
        <s v="806969119034"/>
        <s v="806971140860"/>
        <s v="806972147364"/>
        <s v="806973141115"/>
        <s v="806975141115"/>
        <s v="806996140858"/>
        <s v="806999171578"/>
        <s v="807002171479"/>
        <s v="807016140967"/>
        <s v="807017170204"/>
        <s v="807025146968"/>
        <s v="807026171909"/>
        <s v="807053170617"/>
        <s v="807054143301"/>
        <s v="807055149885"/>
        <s v="807056149885"/>
        <s v="807065143301"/>
        <s v="807066176015"/>
        <s v="807103174034"/>
        <s v="807104174034"/>
        <s v="807105172338"/>
        <s v="807112119038"/>
        <s v="807113119038"/>
        <s v="807120119261"/>
        <s v="807121146845"/>
        <s v="807122176303"/>
        <s v="807140170228"/>
        <s v="807141202994"/>
        <s v="807142171947"/>
        <s v="807143119023"/>
        <s v="807151170248"/>
        <s v="807153119044"/>
        <s v="807164170197"/>
        <s v="807164208183"/>
        <s v="807177174034"/>
        <s v="807187141115"/>
        <s v="807200174713"/>
        <s v="807201149765"/>
        <s v="807202171947"/>
        <s v="807203119261"/>
        <s v="807228119042"/>
        <s v="807244201172"/>
        <s v="807257172497"/>
        <s v="807258170904"/>
        <s v="807259176929"/>
        <s v="807261141115"/>
        <s v="807265119066"/>
        <s v="807303119208"/>
        <s v="807305173865"/>
        <s v="807310140857"/>
        <s v="807353119261"/>
        <s v="807359177426"/>
        <s v="807360143301"/>
        <s v="807368176303"/>
        <s v="807377176870"/>
        <s v="807393119177"/>
        <s v="807394119177"/>
        <s v="807395144154"/>
        <s v="807406173748"/>
        <s v="807407119026"/>
        <s v="807416176279"/>
        <s v="807416201172"/>
        <s v="807430119066"/>
        <s v="807438174166"/>
        <s v="807439179908"/>
        <s v="807490143114"/>
        <s v="807490173749"/>
        <s v="807568140967"/>
        <s v="807570171578"/>
        <s v="807576201172"/>
        <s v="807577119038"/>
        <s v="807594119044"/>
        <s v="807595177093"/>
        <s v="807601119038"/>
        <s v="807603122282"/>
        <s v="807608149582"/>
        <s v="807609119038"/>
        <s v="807611170248"/>
        <s v="807626119050"/>
        <s v="807629119038"/>
        <s v="807643119038"/>
        <s v="807647172892"/>
        <s v="807648119038"/>
        <s v="807680119038"/>
        <s v="807681119028"/>
        <s v="807682206219"/>
        <s v="807683206066"/>
        <s v="807684206219"/>
        <s v="807690141512"/>
        <s v="807702173224"/>
        <s v="807703119028"/>
        <s v="807704201280"/>
        <s v="807706143148"/>
        <s v="807707207977"/>
        <s v="807711142843"/>
        <s v="807718146968"/>
        <s v="807719141115"/>
        <s v="807722119160"/>
        <s v="807722174357"/>
        <s v="807723172497"/>
        <s v="807724172497"/>
        <s v="807726140850"/>
        <s v="807733176869"/>
        <s v="807734176869"/>
        <s v="807734205004"/>
        <s v="807763119044"/>
        <s v="807776119042"/>
        <s v="807777119222"/>
        <s v="807778119208"/>
        <s v="807779202865"/>
        <s v="807780149893"/>
        <s v="807781176647"/>
        <s v="807811171578"/>
        <s v="807811174166"/>
        <s v="807812143113"/>
        <s v="807815170775"/>
        <s v="807817170775"/>
        <s v="807819170775"/>
        <s v="807826201280"/>
        <s v="807861172855"/>
        <s v="807862172338"/>
        <s v="807863172338"/>
        <s v="807864172338"/>
        <s v="807865172855"/>
        <s v="807883206219"/>
        <s v="807884172338"/>
        <s v="807885172338"/>
        <s v="807886172338"/>
        <s v="807887206219"/>
        <s v="807889119261"/>
        <s v="807908119038"/>
        <s v="807909140858"/>
        <s v="807911175680"/>
        <s v="807912171839"/>
        <s v="807915119029"/>
        <s v="807929171880"/>
        <s v="807929175288"/>
        <s v="807931119038"/>
        <s v="807940119038"/>
        <s v="807948119050"/>
        <s v="807949176773"/>
        <s v="807956172338"/>
        <s v="807958172338"/>
        <s v="807975171578"/>
        <s v="807976172942"/>
        <s v="807986171887"/>
        <s v="807987171578"/>
        <s v="807987174166"/>
        <s v="807988170204"/>
        <s v="807997142269"/>
        <s v="807998119038"/>
        <s v="808082119050"/>
        <s v="808084140967"/>
        <s v="808084209796"/>
        <s v="808087140967"/>
        <s v="808088140967"/>
        <s v="808094170204"/>
        <s v="808103119222"/>
        <s v="808120177093"/>
        <s v="808121177093"/>
        <s v="808133119208"/>
        <s v="808145170392"/>
        <s v="808145203484"/>
        <s v="808147119031"/>
        <s v="808151172338"/>
        <s v="808152140967"/>
        <s v="808154204318"/>
        <s v="808155119208"/>
        <s v="808157170392"/>
        <s v="808163140967"/>
        <s v="808172142843"/>
        <s v="808173122282"/>
        <s v="808181170392"/>
        <s v="808182119160"/>
        <s v="808184141115"/>
        <s v="808186173528"/>
        <s v="808198144804"/>
        <s v="808200119050"/>
        <s v="808206172338"/>
        <s v="808210171834"/>
        <s v="808227140850"/>
        <s v="808228140852"/>
        <s v="808229172942"/>
        <s v="808259170204"/>
        <s v="808269170363"/>
        <s v="808271140848"/>
        <s v="808272140967"/>
        <s v="808275143509"/>
        <s v="808276203600"/>
        <s v="808283119044"/>
        <s v="808284119044"/>
        <s v="808289171662"/>
        <s v="808292206102"/>
        <s v="808309177104"/>
        <s v="808310172084"/>
        <s v="808312119050"/>
        <s v="808312202842"/>
        <s v="808313140960"/>
        <s v="808315146500"/>
        <s v="808316204030"/>
        <s v="808317119066"/>
        <s v="808318119066"/>
        <s v="808328121572"/>
        <s v="808330178764"/>
        <s v="808345206102"/>
        <s v="808346171662"/>
        <s v="808347171662"/>
        <s v="808348119034"/>
        <s v="808374175049"/>
        <s v="808390176457"/>
        <s v="808391119042"/>
        <s v="808413170904"/>
        <s v="808419206011"/>
        <s v="808424172338"/>
        <s v="808426145394"/>
        <s v="808427145394"/>
        <s v="808429170248"/>
        <s v="808433174166"/>
        <s v="808434119208"/>
        <s v="808443119263"/>
        <s v="808444140848"/>
        <s v="808446119044"/>
        <s v="808446207438"/>
        <s v="808448206219"/>
        <s v="808449149859"/>
        <s v="808451174034"/>
        <s v="808469119044"/>
        <s v="808471119029"/>
        <s v="808471119208"/>
        <s v="808487141556"/>
        <s v="808488119044"/>
        <s v="808491119066"/>
        <s v="808492204318"/>
        <s v="808495172942"/>
        <s v="808496141556"/>
        <s v="808497141556"/>
        <s v="808498140858"/>
        <s v="808547143509"/>
        <s v="808548119050"/>
        <s v="808550203600"/>
        <s v="808552173728"/>
        <s v="808553172597"/>
        <s v="808554140967"/>
        <s v="808558119050"/>
        <s v="808559119050"/>
        <s v="808569171839"/>
        <s v="808570173310"/>
        <s v="808572205306"/>
        <s v="808575206066"/>
        <s v="808578179928"/>
        <s v="808606119044"/>
        <s v="808607145353"/>
        <s v="808608119044"/>
        <s v="808609119044"/>
        <s v="808610141556"/>
        <s v="808611149764"/>
        <s v="808613173310"/>
        <s v="808615121574"/>
        <s v="808618174756"/>
        <s v="808619173224"/>
        <s v="808622119050"/>
        <s v="808623119050"/>
        <s v="808639208809"/>
        <s v="808644119023"/>
        <s v="808674119154"/>
        <s v="808676172872"/>
        <s v="808677178764"/>
        <s v="808678119028"/>
        <s v="808693176773"/>
        <s v="808708206066"/>
        <s v="808713170197"/>
        <s v="808730201172"/>
        <s v="808731141512"/>
        <s v="808732143114"/>
        <s v="808733149885"/>
        <s v="808733171591"/>
        <s v="808739119038"/>
        <s v="808749119038"/>
        <s v="808750119038"/>
        <s v="808751174034"/>
        <s v="808775170392"/>
        <s v="808775170846"/>
        <s v="808786177426"/>
        <s v="808786203407"/>
        <s v="808787149991"/>
        <s v="808789170363"/>
        <s v="808791170149"/>
        <s v="808791170204"/>
        <s v="808792144804"/>
        <s v="808795119208"/>
        <s v="808818172905"/>
        <s v="808820119028"/>
        <s v="808821172497"/>
        <s v="808822174034"/>
        <s v="808823119038"/>
        <s v="808835146910"/>
        <s v="808837121706"/>
        <s v="808845121574"/>
        <s v="808849173728"/>
        <s v="808852175049"/>
        <s v="808856178511"/>
        <s v="808857119042"/>
        <s v="808858119208"/>
        <s v="808889140967"/>
        <s v="808890148233"/>
        <s v="808891177631"/>
        <s v="808892140858"/>
        <s v="808893170248"/>
        <s v="808894174756"/>
        <s v="808895119050"/>
        <s v="808895202881"/>
        <s v="808902170775"/>
        <s v="808903170775"/>
        <s v="808910119044"/>
        <s v="808911205992"/>
        <s v="808911209139"/>
        <s v="808912146968"/>
        <s v="808914119026"/>
        <s v="808924179877"/>
        <s v="808925119023"/>
        <s v="808926119023"/>
        <s v="808928202842"/>
        <s v="808929119044"/>
        <s v="808930170392"/>
        <s v="808931170248"/>
        <s v="808934142843"/>
        <s v="808937125022"/>
        <s v="808938178764"/>
        <s v="808939119044"/>
        <s v="808939147640"/>
        <s v="808940174034"/>
        <s v="808941122377"/>
        <s v="808951119154"/>
        <s v="808957119044"/>
        <s v="808958173310"/>
        <s v="808959178669"/>
        <s v="808979149996"/>
        <s v="808980175717"/>
        <s v="809004175662"/>
        <s v="809004207290"/>
        <s v="809012146968"/>
        <s v="809016171887"/>
        <s v="809020140848"/>
        <s v="809020208776"/>
        <s v="809039172497"/>
        <s v="809044119221"/>
        <s v="809102171839"/>
        <s v="809103171923"/>
        <s v="809114205966"/>
        <s v="809115140967"/>
        <s v="809117177259"/>
        <s v="809120208183"/>
        <s v="809121141177"/>
        <s v="809121170115"/>
        <s v="809133149885"/>
        <s v="809142178764"/>
        <s v="809143119044"/>
        <s v="809165119038"/>
        <s v="809168119038"/>
        <s v="809170119038"/>
        <s v="809179175856"/>
        <s v="809180174299"/>
        <s v="809181171685"/>
        <s v="809181177202"/>
        <s v="809182178511"/>
        <s v="809183119208"/>
        <s v="809184119208"/>
        <s v="809191170132"/>
        <s v="809205174299"/>
        <s v="809212170904"/>
        <s v="809217121572"/>
        <s v="809219176833"/>
        <s v="809221122377"/>
        <s v="809222140958"/>
        <s v="809223143301"/>
        <s v="809241140860"/>
        <s v="809242170501"/>
        <s v="809267177104"/>
        <s v="809279173288"/>
        <s v="809280170775"/>
        <s v="809281140967"/>
        <s v="809282170775"/>
        <s v="809283119038"/>
        <s v="809284140958"/>
        <s v="809285140967"/>
        <s v="809295171578"/>
        <s v="809312173729"/>
        <s v="809315205370"/>
        <s v="809325205370"/>
        <s v="809326170392"/>
        <s v="809327172648"/>
        <s v="809330176647"/>
        <s v="809332177093"/>
        <s v="809333172640"/>
        <s v="809334170392"/>
        <s v="809338119117"/>
        <s v="809348173729"/>
        <s v="809350172338"/>
        <s v="809354174034"/>
        <s v="809361177016"/>
        <s v="809368144447"/>
        <s v="809411149885"/>
        <s v="809411170617"/>
        <s v="809413119042"/>
        <s v="809418144747"/>
        <s v="809420174756"/>
        <s v="809421170904"/>
        <s v="809422177259"/>
        <s v="809423142269"/>
        <s v="809424177202"/>
        <s v="809426171839"/>
        <s v="809438177016"/>
        <s v="809439208183"/>
        <s v="809455146968"/>
        <s v="809457122377"/>
        <s v="809459119117"/>
        <s v="809466119046"/>
        <s v="809467175288"/>
        <s v="809471119029"/>
        <s v="809476119029"/>
        <s v="809479176303"/>
        <s v="809506149885"/>
        <s v="809507172712"/>
        <s v="809527119154"/>
        <s v="809529145394"/>
        <s v="809532177426"/>
        <s v="809534174445"/>
        <s v="809550173528"/>
        <s v="809551205966"/>
        <s v="809552176929"/>
        <s v="809569171880"/>
        <s v="809577170847"/>
        <s v="809577176693"/>
        <s v="809578177016"/>
        <s v="809579119261"/>
        <s v="809580170204"/>
        <s v="809617171662"/>
        <s v="809618171947"/>
        <s v="809620119031"/>
        <s v="809621142843"/>
        <s v="809622119038"/>
        <s v="809643173224"/>
        <s v="809656171578"/>
        <s v="809735119029"/>
        <s v="809736208183"/>
        <s v="809778178230"/>
        <s v="809780206219"/>
        <s v="809781141556"/>
        <s v="809785149765"/>
        <s v="809794119031"/>
        <s v="809860119044"/>
        <s v="809892119029"/>
        <s v="809893171662"/>
        <s v="809906119026"/>
        <s v="809907140848"/>
        <s v="809908145394"/>
        <s v="809909145394"/>
        <s v="809916119208"/>
        <s v="809917172150"/>
        <s v="809918144868"/>
        <s v="809983178230"/>
        <s v="809984119038"/>
        <s v="809985119028"/>
        <s v="809986119028"/>
        <s v="809989119066"/>
        <s v="810055175288"/>
        <s v="810084172193"/>
        <s v="810094119029"/>
        <s v="810104177947"/>
        <s v="810105206219"/>
        <s v="810120148557"/>
        <s v="810122211137"/>
        <s v="810127178137"/>
        <s v="810128178003"/>
        <s v="810129178003"/>
        <s v="810130178003"/>
        <s v="810131178836"/>
        <s v="810132207643"/>
        <s v="810155149764"/>
        <s v="810157140848"/>
        <s v="810158119066"/>
        <s v="810159172084"/>
        <s v="810182140829"/>
        <s v="810221140857"/>
        <s v="810221140858"/>
        <s v="810222119263"/>
        <s v="810223177104"/>
        <s v="810224119028"/>
        <s v="810225176833"/>
        <s v="810242119261"/>
        <s v="810274144447"/>
        <s v="810298172946"/>
        <s v="810299140851"/>
        <s v="810304176929"/>
        <s v="810305140967"/>
        <s v="810324175288"/>
        <s v="810348176870"/>
        <s v="810376146500"/>
        <s v="810377119038"/>
        <s v="810386172946"/>
        <s v="810387142843"/>
        <s v="810434174166"/>
        <s v="810435178661"/>
        <s v="810480141115"/>
        <s v="810481172497"/>
        <s v="810510174034"/>
        <s v="810511119044"/>
        <s v="810512119028"/>
        <s v="810513176833"/>
        <s v="810533178724"/>
        <s v="810558141115"/>
        <s v="810559145353"/>
        <s v="810560142332"/>
        <s v="810583140958"/>
        <s v="810584145394"/>
        <s v="810595176641"/>
        <s v="810596176693"/>
        <s v="810597176693"/>
        <s v="810647170617"/>
        <s v="810648140481"/>
        <s v="810653142843"/>
        <s v="810683178661"/>
        <s v="810684119261"/>
        <s v="810685119208"/>
        <s v="810686178661"/>
        <s v="810700119154"/>
        <s v="810734119065"/>
        <s v="810741172597"/>
        <s v="810751176870"/>
        <s v="810756208329"/>
        <s v="810762119044"/>
        <s v="810798119031"/>
        <s v="810799206219"/>
        <s v="810821141512"/>
        <s v="810830119261"/>
        <s v="810839122377"/>
        <s v="810840119026"/>
        <s v="810841179755"/>
        <s v="810843176773"/>
        <s v="810852179911"/>
        <s v="810871140860"/>
        <s v="810894201280"/>
        <s v="810896179467"/>
        <s v="810897179467"/>
        <s v="810898140881"/>
        <s v="810899177295"/>
        <s v="810901177295"/>
        <s v="810902177295"/>
        <s v="810906173728"/>
        <s v="810907142269"/>
        <s v="810908140850"/>
        <s v="810913119029"/>
        <s v="810914119179"/>
        <s v="810919170248"/>
        <s v="810920119109"/>
        <s v="810922175288"/>
        <s v="810951177295"/>
        <s v="810952140881"/>
        <s v="810953140881"/>
        <s v="810954174034"/>
        <s v="810956179869"/>
        <s v="810958179877"/>
        <s v="810991172640"/>
        <s v="811032170204"/>
        <s v="811033179877"/>
        <s v="811034207643"/>
        <s v="811036170846"/>
        <s v="811037179869"/>
        <s v="811038172497"/>
        <s v="811045172905"/>
        <s v="811047174756"/>
        <s v="811049119117"/>
        <s v="811051173849"/>
        <s v="811052178219"/>
        <s v="811064170248"/>
        <s v="811066119038"/>
        <s v="811070170501"/>
        <s v="811071173288"/>
        <s v="811085178230"/>
        <s v="811086178230"/>
        <s v="811088143114"/>
        <s v="811089170228"/>
        <s v="811089179877"/>
        <s v="811091140481"/>
        <s v="811092176641"/>
        <s v="811093176844"/>
        <s v="811098119038"/>
        <s v="811099179869"/>
        <s v="811106178237"/>
        <s v="811106178234"/>
        <s v="811107170204"/>
        <s v="811118141905"/>
        <s v="811119177068"/>
        <s v="811119177662"/>
        <s v="811121143607"/>
        <s v="811134173749"/>
        <s v="811135175288"/>
        <s v="811136174166"/>
        <s v="811136175856"/>
        <s v="811137177957"/>
        <s v="811138173310"/>
        <s v="811139170248"/>
        <s v="811165176844"/>
        <s v="811172172640"/>
        <s v="811173177290"/>
        <s v="811181170228"/>
        <s v="811182174316"/>
        <s v="811183174445"/>
        <s v="811184201090"/>
        <s v="811185119034"/>
        <s v="811186143607"/>
        <s v="811187140967"/>
        <s v="811189176833"/>
        <s v="811191207977"/>
        <s v="811192174166"/>
        <s v="811214173288"/>
        <s v="811218178236"/>
        <s v="811219143301"/>
        <s v="811241170146"/>
        <s v="811242147770"/>
        <s v="811243176303"/>
        <s v="811244178768"/>
        <s v="811251144868"/>
        <s v="811253119066"/>
        <s v="811254202881"/>
        <s v="811254208066"/>
        <s v="811255176773"/>
        <s v="811256179879"/>
        <s v="811270179560"/>
        <s v="811271141115"/>
        <s v="811273170501"/>
        <s v="811274140848"/>
        <s v="811275179946"/>
        <s v="811315119031"/>
        <s v="811316178230"/>
        <s v="811324170204"/>
        <s v="811328176833"/>
        <s v="811329177595"/>
        <s v="811348119117"/>
        <s v="811349178230"/>
        <s v="811350177379"/>
        <s v="811356170146"/>
        <s v="811357170132"/>
        <s v="811357170146"/>
        <s v="811360170013"/>
        <s v="811385142269"/>
        <s v="811386119066"/>
        <s v="811387179560"/>
        <s v="811401145639"/>
        <s v="811402176869"/>
        <s v="811403207977"/>
        <s v="811405178768"/>
        <s v="811418174034"/>
        <s v="811419201578"/>
        <s v="811420119221"/>
        <s v="811420176833"/>
        <s v="811422175288"/>
        <s v="811423141905"/>
        <s v="811425175547"/>
        <s v="811433119038"/>
        <s v="811454144243"/>
        <s v="811455176279"/>
        <s v="811475178844"/>
        <s v="811479145394"/>
        <s v="811480119071"/>
        <s v="811481179891"/>
        <s v="811489179879"/>
        <s v="811510206219"/>
        <s v="811511174034"/>
        <s v="811512140967"/>
        <s v="811513206066"/>
        <s v="811514178764"/>
        <s v="811522175288"/>
        <s v="811523201117"/>
        <s v="811534119034"/>
        <s v="811535176279"/>
        <s v="811543119066"/>
        <s v="811544172497"/>
        <s v="811545178460"/>
        <s v="811546179908"/>
        <s v="811547179908"/>
        <s v="811547204869"/>
        <s v="811549178150"/>
        <s v="811549204869"/>
        <s v="811550119208"/>
        <s v="811582170550"/>
        <s v="811584170013"/>
        <s v="811585202288"/>
        <s v="811588143114"/>
        <s v="811588202204"/>
        <s v="811596119050"/>
        <s v="811621173224"/>
        <s v="811622173224"/>
        <s v="811623179560"/>
        <s v="811624179560"/>
        <s v="811625176773"/>
        <s v="811628202288"/>
        <s v="811629170013"/>
        <s v="811630140481"/>
        <s v="811633170617"/>
        <s v="811634170617"/>
        <s v="811639141512"/>
        <s v="811647171839"/>
        <s v="811648172640"/>
        <s v="811663178003"/>
        <s v="811672205370"/>
        <s v="811674179784"/>
        <s v="811676179784"/>
        <s v="811677170617"/>
        <s v="811679177016"/>
        <s v="811681173611"/>
        <s v="811681177425"/>
        <s v="811682174631"/>
        <s v="811683178230"/>
        <s v="811685201280"/>
        <s v="811686171839"/>
        <s v="811686205949"/>
        <s v="811687143608"/>
        <s v="811693119029"/>
        <s v="811694170197"/>
        <s v="811733179560"/>
        <s v="811735201280"/>
        <s v="811771170550"/>
        <s v="811772119044"/>
        <s v="811773140881"/>
        <s v="811774119028"/>
        <s v="811776119066"/>
        <s v="811777178031"/>
        <s v="811778179879"/>
        <s v="811779178230"/>
        <s v="811780205591"/>
        <s v="811781170248"/>
        <s v="811782207643"/>
        <s v="811799119208"/>
        <s v="811800119208"/>
        <s v="811848202758"/>
        <s v="811860175049"/>
        <s v="811862149872"/>
        <s v="811863174631"/>
        <s v="811864178062"/>
        <s v="811868206066"/>
        <s v="811869175049"/>
        <s v="811870206219"/>
        <s v="811871206219"/>
        <s v="811872146968"/>
        <s v="811891143114"/>
        <s v="811892178150"/>
        <s v="811896205840"/>
        <s v="811897173611"/>
        <s v="811910179877"/>
        <s v="811913178511"/>
        <s v="811918171839"/>
        <s v="811921177300"/>
        <s v="811921208156"/>
        <s v="811922176693"/>
        <s v="811922177787"/>
        <s v="811924170363"/>
        <s v="811944179894"/>
        <s v="811996178695"/>
        <s v="811998119028"/>
        <s v="812000179550"/>
        <s v="812003119028"/>
        <s v="812005202427"/>
        <s v="812043144243"/>
        <s v="812047201838"/>
        <s v="812049170392"/>
        <s v="812052119044"/>
        <s v="812056175288"/>
        <s v="812059172193"/>
        <s v="812060179908"/>
        <s v="812064177426"/>
        <s v="812065179908"/>
        <s v="812066170149"/>
        <s v="812066170204"/>
        <s v="812067119026"/>
        <s v="812067141115"/>
        <s v="812068140881"/>
        <s v="812069202913"/>
        <s v="812070202913"/>
        <s v="812071179911"/>
        <s v="812072144868"/>
        <s v="812076178234"/>
        <s v="812077202452"/>
        <s v="812096173224"/>
        <s v="812097177379"/>
        <s v="812099144243"/>
        <s v="812100178234"/>
        <s v="812100203236"/>
        <s v="812102145639"/>
        <s v="812109171924"/>
        <s v="812110119038"/>
        <s v="812134170146"/>
        <s v="812142174445"/>
        <s v="812160203154"/>
        <s v="812161145639"/>
        <s v="812175141115"/>
        <s v="812176170059"/>
        <s v="812176179560"/>
        <s v="812177140967"/>
        <s v="812178179928"/>
        <s v="812178201280"/>
        <s v="812195141905"/>
        <s v="812196174445"/>
        <s v="812218119026"/>
        <s v="812236179486"/>
        <s v="812237174445"/>
        <s v="812265141115"/>
        <s v="812266140859"/>
        <s v="812267172084"/>
        <s v="812267203330"/>
        <s v="812282174166"/>
        <s v="812289179560"/>
        <s v="812291149765"/>
        <s v="812299143531"/>
        <s v="812300149765"/>
        <s v="812301119208"/>
        <s v="812317174756"/>
        <s v="812320172084"/>
        <s v="812333171662"/>
        <s v="812336178109"/>
        <s v="812344202635"/>
        <s v="812346173100"/>
        <s v="812360173224"/>
        <s v="812362173224"/>
        <s v="812372202849"/>
        <s v="812382179893"/>
        <s v="812384178237"/>
        <s v="812384178298"/>
        <s v="812389176693"/>
        <s v="812389177787"/>
        <s v="812389208055"/>
        <s v="812391149765"/>
        <s v="812392178237"/>
        <s v="812393176693"/>
        <s v="812395174166"/>
        <s v="812396208156"/>
        <s v="812404179894"/>
        <s v="812407178237"/>
        <s v="812409202225"/>
        <s v="812425146909"/>
        <s v="812426178109"/>
        <s v="812428176279"/>
        <s v="812433208156"/>
        <s v="812450140851"/>
        <s v="812451140858"/>
        <s v="812461179893"/>
        <s v="812469201065"/>
        <s v="812472170115"/>
        <s v="812474178234"/>
        <s v="812483174166"/>
        <s v="812505146861"/>
        <s v="812507144447"/>
        <s v="812535149885"/>
        <s v="812536119212"/>
        <s v="812537144343"/>
        <s v="812545170392"/>
        <s v="812545177727"/>
        <s v="812545204375"/>
        <s v="812546176388"/>
        <s v="812548172855"/>
        <s v="812551119177"/>
        <s v="812551203137"/>
        <s v="812552170775"/>
        <s v="812561179877"/>
        <s v="812562178237"/>
        <s v="812563141556"/>
        <s v="812564141556"/>
        <s v="812565170392"/>
        <s v="812569119029"/>
        <s v="812570208638"/>
        <s v="812571173750"/>
        <s v="812572202428"/>
        <s v="812615177069"/>
        <s v="812616202428"/>
        <s v="812616207977"/>
        <s v="812617173298"/>
        <s v="812624176833"/>
        <s v="812625179868"/>
        <s v="812626176833"/>
        <s v="812627174316"/>
        <s v="812630205370"/>
        <s v="812634174357"/>
        <s v="812654172299"/>
        <s v="812658119071"/>
        <s v="812663175340"/>
        <s v="812664179928"/>
        <s v="812665205949"/>
        <s v="812666179928"/>
        <s v="812667201280"/>
        <s v="812668201280"/>
        <s v="812684170363"/>
        <s v="812687202142"/>
        <s v="812688119042"/>
        <s v="812700119117"/>
        <s v="812701202941"/>
        <s v="812703177202"/>
        <s v="812705142269"/>
        <s v="812706170248"/>
        <s v="812712202913"/>
        <s v="812723179163"/>
        <s v="812723179387"/>
        <s v="812723201841"/>
        <s v="812723202980"/>
        <s v="812723207229"/>
        <s v="812729145394"/>
        <s v="812730119066"/>
        <s v="812737170614"/>
        <s v="812738171226"/>
        <s v="812741129599"/>
        <s v="812743202852"/>
        <s v="812747170392"/>
        <s v="812747208032"/>
        <s v="812751178237"/>
        <s v="812752203649"/>
        <s v="812755203811"/>
        <s v="812757147110"/>
        <s v="812757174756"/>
        <s v="812759119066"/>
        <s v="812760170846"/>
        <s v="812760172640"/>
        <s v="812768176773"/>
        <s v="812768210075"/>
        <s v="812776178287"/>
        <s v="812778179907"/>
        <s v="812780202225"/>
        <s v="812792201280"/>
        <s v="812793202452"/>
        <s v="812794202994"/>
        <s v="812807177104"/>
        <s v="812808172855"/>
        <s v="812810203236"/>
        <s v="812811178237"/>
        <s v="812812202288"/>
        <s v="812821177104"/>
        <s v="812823142843"/>
        <s v="812838119031"/>
        <s v="812838179869"/>
        <s v="812842171938"/>
        <s v="812846142512"/>
        <s v="812848147936"/>
        <s v="812850171662"/>
        <s v="812852202941"/>
        <s v="812854178109"/>
        <s v="812856172497"/>
        <s v="812859119034"/>
        <s v="812860202852"/>
        <s v="812861176833"/>
        <s v="812863145394"/>
        <s v="812866141674"/>
        <s v="812869202913"/>
        <s v="812880175856"/>
        <s v="812883149825"/>
        <s v="812884205620"/>
        <s v="812891119212"/>
        <s v="812893170248"/>
        <s v="812897202329"/>
        <s v="812899202329"/>
        <s v="812900171662"/>
        <s v="812902170248"/>
        <s v="812903203421"/>
        <s v="812905170248"/>
        <s v="812909203156"/>
        <s v="812920149885"/>
        <s v="812944177829"/>
        <s v="812947178226"/>
        <s v="812949204208"/>
        <s v="812964170132"/>
        <s v="812964170146"/>
        <s v="812967177829"/>
        <s v="812969140481"/>
        <s v="812971142353"/>
        <s v="812976119028"/>
        <s v="812978172906"/>
        <s v="812983119212"/>
        <s v="812984178230"/>
        <s v="812985173224"/>
        <s v="812986173224"/>
        <s v="812990119038"/>
        <s v="812992173224"/>
        <s v="812994173224"/>
        <s v="812996201280"/>
        <s v="812999148233"/>
        <s v="813001201280"/>
        <s v="813002201280"/>
        <s v="813003177016"/>
        <s v="813005179486"/>
        <s v="813006178230"/>
        <s v="813007170617"/>
        <s v="813008145394"/>
        <s v="813009175856"/>
        <s v="813010145394"/>
        <s v="813019141115"/>
        <s v="813020177068"/>
        <s v="813020177662"/>
        <s v="813021170059"/>
        <s v="813022143113"/>
        <s v="813023172193"/>
        <s v="813031170775"/>
        <s v="813034170775"/>
        <s v="813036149885"/>
        <s v="813040201091"/>
        <s v="813048179908"/>
        <s v="813050177016"/>
        <s v="813053177069"/>
        <s v="813054170204"/>
        <s v="813055208156"/>
        <s v="813056141905"/>
        <s v="813056175856"/>
        <s v="813060174558"/>
        <s v="813074177957"/>
        <s v="813096119042"/>
        <s v="813099173865"/>
        <s v="813101173865"/>
        <s v="813105202842"/>
        <s v="813118173865"/>
        <s v="813120119042"/>
        <s v="813122205183"/>
        <s v="813122211137"/>
        <s v="813124172640"/>
        <s v="813146206066"/>
        <s v="813147204307"/>
        <s v="813148173310"/>
        <s v="813149149583"/>
        <s v="813150202225"/>
        <s v="813151179892"/>
        <s v="813152140848"/>
        <s v="813154170708"/>
        <s v="813155208156"/>
        <s v="813157202713"/>
        <s v="813158119042"/>
        <s v="813160172640"/>
        <s v="813161179560"/>
        <s v="813162174271"/>
        <s v="813167171578"/>
        <s v="813167175856"/>
        <s v="813167207977"/>
        <s v="813168140848"/>
        <s v="813170140958"/>
        <s v="813172178661"/>
        <s v="813173177068"/>
        <s v="813173208156"/>
        <s v="813174177301"/>
        <s v="813182175049"/>
        <s v="813184175049"/>
        <s v="813185140859"/>
        <s v="813188170248"/>
        <s v="813190140958"/>
        <s v="813192179928"/>
        <s v="813194204034"/>
        <s v="813195176303"/>
        <s v="813198142269"/>
        <s v="813210170392"/>
        <s v="813213170363"/>
        <s v="813215171578"/>
        <s v="813217171226"/>
        <s v="813228205370"/>
        <s v="813229179560"/>
        <s v="813231140848"/>
        <s v="813231140851"/>
        <s v="813245174271"/>
        <s v="813254122377"/>
        <s v="813256119066"/>
        <s v="813257201162"/>
        <s v="813258174271"/>
        <s v="813260174271"/>
        <s v="813266174271"/>
        <s v="813269119050"/>
        <s v="813271176276"/>
        <s v="813277146910"/>
        <s v="813279146910"/>
        <s v="813284170617"/>
        <s v="813288119212"/>
        <s v="813290202288"/>
        <s v="813291205370"/>
        <s v="813293119066"/>
        <s v="813299179894"/>
        <s v="813299202947"/>
        <s v="813301178004"/>
        <s v="813302177092"/>
        <s v="813303177092"/>
        <s v="813312205370"/>
        <s v="813314177982"/>
        <s v="813324174631"/>
        <s v="813327204307"/>
        <s v="813347171662"/>
        <s v="813364207643"/>
        <s v="813366205949"/>
        <s v="813368178003"/>
        <s v="813374170248"/>
        <s v="813375204030"/>
        <s v="813376207977"/>
        <s v="813377204869"/>
        <s v="813378178234"/>
        <s v="813378178298"/>
        <s v="813385175392"/>
        <s v="813388204318"/>
        <s v="813409170146"/>
        <s v="813413171578"/>
        <s v="813433172640"/>
        <s v="813434140856"/>
        <s v="813438207977"/>
        <s v="813450202913"/>
        <s v="813453175312"/>
        <s v="813489147364"/>
        <s v="813491208032"/>
        <s v="813521140927"/>
        <s v="813532170606"/>
        <s v="813539170146"/>
        <s v="813541170204"/>
        <s v="813541174008"/>
        <s v="813567170392"/>
        <s v="813568173310"/>
        <s v="813570202850"/>
        <s v="813572140967"/>
        <s v="813602177603"/>
        <s v="813613170555"/>
        <s v="813619204318"/>
        <s v="813621206441"/>
        <s v="813632204869"/>
        <s v="813633178150"/>
        <s v="813633204869"/>
        <s v="813635202225"/>
        <s v="813636178661"/>
        <s v="813638204869"/>
        <s v="813642173257"/>
        <s v="813647144447"/>
        <s v="813651178223"/>
        <s v="813656179877"/>
        <s v="813672176641"/>
        <s v="813674179755"/>
        <s v="813676119029"/>
        <s v="813679173728"/>
        <s v="813681175848"/>
        <s v="813690149885"/>
        <s v="813692142984"/>
        <s v="813724202850"/>
        <s v="813725172640"/>
        <s v="813728201065"/>
        <s v="813729140481"/>
        <s v="813731141115"/>
        <s v="813734205620"/>
        <s v="813734207895"/>
        <s v="813746204013"/>
        <s v="813763170149"/>
        <s v="813763170204"/>
        <s v="813765170204"/>
        <s v="813778141115"/>
        <s v="813780140859"/>
        <s v="813782175547"/>
        <s v="813787178230"/>
        <s v="813788202713"/>
        <s v="813788207773"/>
        <s v="813799178031"/>
        <s v="813800144868"/>
        <s v="813802171578"/>
        <s v="813806206980"/>
        <s v="813815170614"/>
        <s v="813816173257"/>
        <s v="813820201172"/>
        <s v="813821178237"/>
        <s v="813829140984"/>
        <s v="813830140960"/>
        <s v="813832172338"/>
        <s v="813834146402"/>
        <s v="813834179755"/>
        <s v="813842202478"/>
        <s v="813847170204"/>
        <s v="813866119028"/>
        <s v="813867175848"/>
        <s v="813876204013"/>
        <s v="813877119023"/>
        <s v="813894202865"/>
        <s v="813895204013"/>
        <s v="813896149765"/>
        <s v="813897205225"/>
        <s v="813909148557"/>
        <s v="813926205004"/>
        <s v="813928172338"/>
        <s v="813932175848"/>
        <s v="813933172798"/>
        <s v="813935170248"/>
        <s v="813936204034"/>
        <s v="813938140847"/>
        <s v="813946205270"/>
        <s v="813962149971"/>
        <s v="813971176693"/>
        <s v="813974170617"/>
        <s v="813979203968"/>
        <s v="813981176773"/>
        <s v="813983170904"/>
        <s v="813984205306"/>
        <s v="813997176693"/>
        <s v="813998177301"/>
        <s v="813998201817"/>
        <s v="814000202956"/>
        <s v="814001170248"/>
        <s v="814004141115"/>
        <s v="814011144747"/>
        <s v="814013172084"/>
        <s v="814013202709"/>
        <s v="814013204933"/>
        <s v="814018141118"/>
        <s v="814031207977"/>
        <s v="814034170248"/>
        <s v="814034175049"/>
        <s v="814038140850"/>
        <s v="814040119208"/>
        <s v="814047178230"/>
        <s v="814048144747"/>
        <s v="814050206049"/>
        <s v="814055171662"/>
        <s v="814058173224"/>
        <s v="814067176870"/>
        <s v="814068170228"/>
        <s v="814068176870"/>
        <s v="814069176870"/>
        <s v="814079202850"/>
        <s v="814084142269"/>
        <s v="814085140858"/>
        <s v="814086141115"/>
        <s v="814087205989"/>
        <s v="814091175049"/>
        <s v="814093170392"/>
        <s v="814094208033"/>
        <s v="814094211138"/>
        <s v="814095172086"/>
        <s v="814095172702"/>
        <s v="814096179473"/>
        <s v="814097141512"/>
        <s v="814106119028"/>
        <s v="814106140859"/>
        <s v="814107205992"/>
        <s v="814108119028"/>
        <s v="814109119052"/>
        <s v="814110172338"/>
        <s v="814111140881"/>
        <s v="814113170775"/>
        <s v="814114172338"/>
        <s v="814115202850"/>
        <s v="814116178298"/>
        <s v="814116202478"/>
        <s v="814117205840"/>
        <s v="814129176773"/>
        <s v="814130201280"/>
        <s v="814139172097"/>
        <s v="814140119050"/>
        <s v="814141202881"/>
        <s v="814151205840"/>
        <s v="814152205591"/>
        <s v="814168205826"/>
        <s v="814168208770"/>
        <s v="814176144243"/>
        <s v="814183147891"/>
        <s v="814184201065"/>
        <s v="814186172640"/>
        <s v="814187178695"/>
        <s v="814188175287"/>
        <s v="814214170606"/>
        <s v="814214207643"/>
        <s v="814218179490"/>
        <s v="814220141311"/>
        <s v="814221170501"/>
        <s v="814222205966"/>
        <s v="814223141115"/>
        <s v="814224206073"/>
        <s v="814225205989"/>
        <s v="814226175848"/>
        <s v="814227178661"/>
        <s v="814236174166"/>
        <s v="814248174693"/>
        <s v="814250178511"/>
        <s v="814253149765"/>
        <s v="814253175288"/>
        <s v="814255119044"/>
        <s v="814256179869"/>
        <s v="814257206219"/>
        <s v="814259119208"/>
        <s v="814279177379"/>
        <s v="814280173224"/>
        <s v="814281170617"/>
        <s v="814284176303"/>
        <s v="814284202452"/>
        <s v="814288140881"/>
        <s v="814290119261"/>
        <s v="814297170248"/>
        <s v="814298173749"/>
        <s v="814308204243"/>
        <s v="814310205966"/>
        <s v="814311205591"/>
        <s v="814330203455"/>
        <s v="814332143530"/>
        <s v="814346201162"/>
        <s v="814349172640"/>
        <s v="814350175717"/>
        <s v="814376205004"/>
        <s v="814377174357"/>
        <s v="814378119044"/>
        <s v="814380205591"/>
        <s v="814381170958"/>
        <s v="814386205372"/>
        <s v="814387119066"/>
        <s v="814388170363"/>
        <s v="814390170132"/>
        <s v="814397176773"/>
        <s v="814401119044"/>
        <s v="814401147640"/>
        <s v="814401209212"/>
        <s v="814402119160"/>
        <s v="814414205591"/>
        <s v="814415204030"/>
        <s v="814416177829"/>
        <s v="814425174166"/>
        <s v="814431170132"/>
        <s v="814433206302"/>
        <s v="814434176097"/>
        <s v="814436143113"/>
        <s v="814436173749"/>
        <s v="814441170132"/>
        <s v="814444175939"/>
        <s v="814445145353"/>
        <s v="814446205966"/>
        <s v="814447140927"/>
        <s v="814456203600"/>
        <s v="814457203600"/>
        <s v="814458177093"/>
        <s v="814459172942"/>
        <s v="814470178150"/>
        <s v="814481170958"/>
        <s v="814482170204"/>
        <s v="814483207977"/>
        <s v="814484202225"/>
        <s v="814494205192"/>
        <s v="814496170146"/>
        <s v="814497170146"/>
        <s v="814498174166"/>
        <s v="814499171479"/>
        <s v="814503143416"/>
        <s v="814503177957"/>
        <s v="814504170958"/>
        <s v="814505147364"/>
        <s v="814505204034"/>
        <s v="814506205591"/>
        <s v="814507173611"/>
        <s v="814514209702"/>
        <s v="814521143416"/>
        <s v="814522143416"/>
        <s v="814522207977"/>
        <s v="814524170204"/>
        <s v="814528141512"/>
        <s v="814530172597"/>
        <s v="814539201654"/>
        <s v="814540140927"/>
        <s v="814540202479"/>
        <s v="814541141512"/>
        <s v="814545149765"/>
        <s v="814577119066"/>
        <s v="814593207907"/>
        <s v="814594174166"/>
        <s v="814595171887"/>
        <s v="814596172084"/>
        <s v="814602206933"/>
        <s v="814603179755"/>
        <s v="814623173748"/>
        <s v="814625207977"/>
        <s v="814631206529"/>
        <s v="814638119044"/>
        <s v="814639144750"/>
        <s v="814641205992"/>
        <s v="814643140855"/>
        <s v="814651141146"/>
        <s v="814655170228"/>
        <s v="814655206980"/>
        <s v="814661173224"/>
        <s v="814665178230"/>
        <s v="814667177379"/>
        <s v="814668171662"/>
        <s v="814670170149"/>
        <s v="814671119023"/>
        <s v="814672142843"/>
        <s v="814676175049"/>
        <s v="814679178003"/>
        <s v="814681144243"/>
        <s v="814683205591"/>
        <s v="814689204810"/>
        <s v="814690146861"/>
        <s v="814692177595"/>
        <s v="814693173298"/>
        <s v="814693204304"/>
        <s v="814701178764"/>
        <s v="814702205989"/>
        <s v="814705140829"/>
        <s v="814705208074"/>
        <s v="814708174166"/>
        <s v="814709146968"/>
        <s v="814710205591"/>
        <s v="814711205266"/>
        <s v="814723178386"/>
        <s v="814733119023"/>
        <s v="814749171469"/>
        <s v="814750170617"/>
        <s v="814755170392"/>
        <s v="814756205591"/>
        <s v="814757205591"/>
        <s v="814758122282"/>
        <s v="814766206073"/>
        <s v="814767174166"/>
        <s v="814768171578"/>
        <s v="814773178287"/>
        <s v="814776202865"/>
        <s v="814777178661"/>
        <s v="814785119044"/>
        <s v="814786178309"/>
        <s v="814789119031"/>
        <s v="814790119031"/>
        <s v="814790119177"/>
        <s v="814791172942"/>
        <s v="814793205004"/>
        <s v="814794202956"/>
        <s v="814805206956"/>
        <s v="814806119044"/>
        <s v="814823175049"/>
        <s v="814823178386"/>
        <s v="814824142269"/>
        <s v="814827205183"/>
        <s v="814839206441"/>
        <s v="814843119038"/>
        <s v="814845172640"/>
        <s v="814846144343"/>
        <s v="814850119212"/>
        <s v="814862177093"/>
        <s v="814862208032"/>
        <s v="814866179925"/>
        <s v="814867176693"/>
        <s v="814868171839"/>
        <s v="814870174034"/>
        <s v="814871119208"/>
        <s v="814873119154"/>
        <s v="814874173224"/>
        <s v="814875140860"/>
        <s v="814876140967"/>
        <s v="814876146968"/>
        <s v="814877204375"/>
        <s v="814878179561"/>
        <s v="814883143608"/>
        <s v="814886173098"/>
        <s v="814891179928"/>
        <s v="814891201280"/>
        <s v="814901206441"/>
        <s v="814902119038"/>
        <s v="814903119038"/>
        <s v="814905170904"/>
        <s v="814907179893"/>
        <s v="814909141905"/>
        <s v="814909170958"/>
        <s v="814909171578"/>
        <s v="814909176363"/>
        <s v="814910206066"/>
        <s v="814913205966"/>
        <s v="814914204034"/>
        <s v="814916205992"/>
        <s v="814917202913"/>
        <s v="814934202479"/>
        <s v="814935206807"/>
        <s v="814936177787"/>
        <s v="814939202479"/>
        <s v="814942172150"/>
        <s v="814955143301"/>
        <s v="814955171591"/>
        <s v="814962119038"/>
        <s v="814972205591"/>
        <s v="814977170392"/>
        <s v="814978207895"/>
        <s v="814979205591"/>
        <s v="814980205591"/>
        <s v="814992205620"/>
        <s v="814992207895"/>
        <s v="814993173224"/>
        <s v="815002205591"/>
        <s v="815016144447"/>
        <s v="815021207643"/>
        <s v="815022119208"/>
        <s v="815027207895"/>
        <s v="815030202850"/>
        <s v="815031119038"/>
        <s v="815046175049"/>
        <s v="815047175049"/>
        <s v="815051208074"/>
        <s v="815052208074"/>
        <s v="815057207857"/>
        <s v="815064208074"/>
        <s v="815066208074"/>
        <s v="815067208074"/>
        <s v="815068208074"/>
        <s v="815084171578"/>
        <s v="815088119208"/>
        <s v="815091149885"/>
        <s v="815092119212"/>
        <s v="815093170146"/>
        <s v="815096119212"/>
        <s v="815097143301"/>
        <s v="815101119074"/>
        <s v="815101208026"/>
        <s v="815102176870"/>
        <s v="815104149765"/>
        <s v="815105205650"/>
        <s v="815111171578"/>
        <s v="815123202142"/>
        <s v="815127205591"/>
        <s v="815133203455"/>
        <s v="815134204318"/>
        <s v="815135172338"/>
        <s v="815136149885"/>
        <s v="815151119208"/>
        <s v="815152170775"/>
        <s v="815155176833"/>
        <s v="815167206219"/>
        <s v="815168177104"/>
        <s v="815168179944"/>
        <s v="815175149765"/>
        <s v="815176175288"/>
        <s v="815182174271"/>
        <s v="815183149971"/>
        <s v="815184174631"/>
        <s v="815199119154"/>
        <s v="815200119154"/>
        <s v="815202179877"/>
        <s v="815202207405"/>
        <s v="815210170363"/>
        <s v="815211170132"/>
        <s v="815218170204"/>
        <s v="815218171226"/>
        <s v="815231206681"/>
        <s v="815232144747"/>
        <s v="815236119066"/>
        <s v="815237174176"/>
        <s v="815253205591"/>
        <s v="815254176693"/>
        <s v="815256170204"/>
        <s v="815271170904"/>
        <s v="815273207809"/>
        <s v="815274207977"/>
        <s v="815275143114"/>
        <s v="815277170775"/>
        <s v="815278206073"/>
        <s v="815306179891"/>
        <s v="815307208638"/>
        <s v="815314173298"/>
        <s v="815342205620"/>
        <s v="815342208638"/>
        <s v="815354172497"/>
        <s v="815355174271"/>
        <s v="815356207945"/>
        <s v="815393205225"/>
        <s v="815394172798"/>
        <s v="815395142269"/>
        <s v="815400202387"/>
        <s v="815401204307"/>
        <s v="815402173729"/>
        <s v="815408201172"/>
        <s v="815416140855"/>
        <s v="815417207787"/>
        <s v="815418140958"/>
        <s v="815420170204"/>
        <s v="815421149765"/>
        <s v="815422149885"/>
        <s v="815422202855"/>
        <s v="815423149885"/>
        <s v="815424170204"/>
        <s v="815425178236"/>
        <s v="815426202994"/>
        <s v="815427149885"/>
        <s v="815427202855"/>
        <s v="815428170204"/>
        <s v="815429170204"/>
        <s v="815430170204"/>
        <s v="815431205969"/>
        <s v="815438208284"/>
        <s v="815439170392"/>
        <s v="815440144996"/>
        <s v="815441172640"/>
        <s v="815451207643"/>
        <s v="815466202428"/>
        <s v="815467203236"/>
        <s v="815468178234"/>
        <s v="815468203236"/>
        <s v="815469208776"/>
        <s v="815470206073"/>
        <s v="815471205992"/>
        <s v="815472179784"/>
        <s v="815473205591"/>
        <s v="815474170204"/>
        <s v="815479203236"/>
        <s v="815480207643"/>
        <s v="815481205650"/>
        <s v="815482174631"/>
        <s v="815483178230"/>
        <s v="815484173224"/>
        <s v="815485173224"/>
        <s v="815486170775"/>
        <s v="815490174384"/>
        <s v="815501170147"/>
        <s v="815502208268"/>
        <s v="815503202980"/>
        <s v="815507176693"/>
        <s v="815508178460"/>
        <s v="815508203651"/>
        <s v="815508206066"/>
        <s v="815509203651"/>
        <s v="815510206066"/>
        <s v="815511170775"/>
        <s v="815512206219"/>
        <s v="815514207857"/>
        <s v="815547178062"/>
        <s v="815557178230"/>
        <s v="815558173224"/>
        <s v="815567170617"/>
        <s v="815572208156"/>
        <s v="815573208156"/>
        <s v="815575171887"/>
        <s v="815576119047"/>
        <s v="815577207291"/>
        <s v="815593203154"/>
        <s v="815594145639"/>
        <s v="815594206049"/>
        <s v="815595208184"/>
        <s v="815597170550"/>
        <s v="815600202913"/>
        <s v="815600209130"/>
        <s v="815601171662"/>
        <s v="815602202913"/>
        <s v="815609207977"/>
        <s v="815621144848"/>
        <s v="815630174166"/>
        <s v="815633208508"/>
        <s v="815634177426"/>
        <s v="815635173865"/>
        <s v="815636202225"/>
        <s v="815643119046"/>
        <s v="815644119046"/>
        <s v="815645208736"/>
        <s v="815646119261"/>
        <s v="815647119261"/>
        <s v="815654174271"/>
        <s v="815655172597"/>
        <s v="815657207857"/>
        <s v="815658119261"/>
        <s v="815663207857"/>
        <s v="815664207857"/>
        <s v="815665140967"/>
        <s v="815666140858"/>
        <s v="815668170325"/>
        <s v="815671171063"/>
        <s v="815672119261"/>
        <s v="815713119023"/>
        <s v="815715207945"/>
        <s v="815719207857"/>
        <s v="815720207857"/>
        <s v="815755205778"/>
        <s v="815756119028"/>
        <s v="815757119028"/>
        <s v="815773171578"/>
        <s v="815774149765"/>
        <s v="815777171578"/>
        <s v="815797205742"/>
        <s v="815798173224"/>
        <s v="815799175547"/>
        <s v="815815204318"/>
        <s v="815816175939"/>
        <s v="815817208776"/>
        <s v="815818208776"/>
        <s v="815819173298"/>
        <s v="815819173865"/>
        <s v="815820203484"/>
        <s v="815820210132"/>
        <s v="815821170606"/>
        <s v="815821207643"/>
        <s v="815822202980"/>
        <s v="815823205591"/>
        <s v="815824175049"/>
        <s v="815826204034"/>
        <s v="815830170958"/>
        <s v="815831207290"/>
        <s v="815832178266"/>
        <s v="815834143148"/>
        <s v="815835201838"/>
        <s v="815835210135"/>
        <s v="815836142332"/>
        <s v="815837174756"/>
        <s v="815838143530"/>
        <s v="815839206102"/>
        <s v="815839207379"/>
        <s v="815840208776"/>
        <s v="815841147364"/>
        <s v="815844179486"/>
        <s v="815845119038"/>
        <s v="815849205591"/>
        <s v="815850174166"/>
        <s v="815863140850"/>
        <s v="815864205650"/>
        <s v="815865205343"/>
        <s v="815866202941"/>
        <s v="815867202941"/>
        <s v="815868171839"/>
        <s v="815869179928"/>
        <s v="815870209130"/>
        <s v="815871149764"/>
        <s v="815882174271"/>
        <s v="815887142512"/>
        <s v="815899175340"/>
        <s v="815900171662"/>
        <s v="815901171662"/>
        <s v="815904175340"/>
        <s v="815905201654"/>
        <s v="815906174377"/>
        <s v="815907147364"/>
        <s v="815907208776"/>
        <s v="815909209146"/>
        <s v="815924178237"/>
        <s v="815929202870"/>
        <s v="815930172702"/>
        <s v="815934206302"/>
        <s v="815935208809"/>
        <s v="815936208074"/>
        <s v="815938143530"/>
        <s v="815938209017"/>
        <s v="815946179928"/>
        <s v="815947172942"/>
        <s v="815958204034"/>
        <s v="815961177069"/>
        <s v="815962149971"/>
        <s v="815963207713"/>
        <s v="815982178109"/>
        <s v="815983140960"/>
        <s v="815984140960"/>
        <s v="815985170204"/>
        <s v="815986170204"/>
        <s v="815987178003"/>
        <s v="815988179486"/>
        <s v="815993176773"/>
        <s v="815993208123"/>
        <s v="816013202225"/>
        <s v="816014205591"/>
        <s v="816015205591"/>
        <s v="816021208074"/>
        <s v="816022208074"/>
        <s v="816037179894"/>
        <s v="816038170204"/>
        <s v="816047205840"/>
        <s v="816047207945"/>
        <s v="816055119044"/>
        <s v="816056170775"/>
        <s v="816088203968"/>
        <s v="816093172338"/>
        <s v="816094141556"/>
        <s v="816095141556"/>
        <s v="816096119208"/>
        <s v="816097171662"/>
        <s v="816098119208"/>
        <s v="816109206302"/>
        <s v="816111208156"/>
        <s v="816114204243"/>
        <s v="816116206049"/>
        <s v="816128174176"/>
        <s v="816129177068"/>
        <s v="816129177662"/>
        <s v="816139140860"/>
        <s v="816140140856"/>
        <s v="816142172946"/>
        <s v="816144119031"/>
        <s v="816154171578"/>
        <s v="816156174316"/>
        <s v="816157174166"/>
        <s v="816167174271"/>
        <s v="816189144279"/>
        <s v="816210171578"/>
        <s v="816239207977"/>
        <s v="816240208874"/>
        <s v="816241208183"/>
        <s v="816247141115"/>
        <s v="816248179560"/>
        <s v="816249178661"/>
        <s v="816250140967"/>
        <s v="816251140858"/>
        <s v="816251140859"/>
        <s v="816252176773"/>
        <s v="816253201172"/>
        <s v="816255179869"/>
        <s v="816256140881"/>
        <s v="816261149825"/>
        <s v="816262176276"/>
        <s v="816263176015"/>
        <s v="816270178661"/>
        <s v="816272119071"/>
        <s v="816275178226"/>
        <s v="816276209166"/>
        <s v="816289202387"/>
        <s v="816290209497"/>
        <s v="816298119028"/>
        <s v="816299175049"/>
        <s v="816301205686"/>
        <s v="816309176773"/>
        <s v="816314179911"/>
        <s v="816315208183"/>
        <s v="816324146910"/>
        <s v="816328171457"/>
        <s v="816329119066"/>
        <s v="816330119066"/>
        <s v="816348207857"/>
        <s v="816351145135"/>
        <s v="816352119047"/>
        <s v="816353174166"/>
        <s v="816356176870"/>
        <s v="816363173374"/>
        <s v="816366176693"/>
        <s v="816367143301"/>
        <s v="816368122377"/>
        <s v="816388208028"/>
        <s v="816389172747"/>
        <s v="816390140858"/>
        <s v="816405205591"/>
        <s v="816407140859"/>
        <s v="816408206073"/>
        <s v="816409140481"/>
        <s v="816424178109"/>
        <s v="816425208183"/>
        <s v="816426149885"/>
        <s v="816426208183"/>
        <s v="816427173849"/>
        <s v="816430209146"/>
        <s v="816435143301"/>
        <s v="816436171578"/>
        <s v="816437177245"/>
        <s v="816442172872"/>
        <s v="816469208074"/>
        <s v="816471208074"/>
        <s v="816477119031"/>
        <s v="816483170115"/>
        <s v="816494119028"/>
        <s v="816496170197"/>
        <s v="816496208183"/>
        <s v="816497140881"/>
        <s v="816497174034"/>
        <s v="816498209017"/>
        <s v="816499205591"/>
        <s v="816500176869"/>
        <s v="816501119050"/>
        <s v="816522140881"/>
        <s v="816522210566"/>
        <s v="816525210566"/>
        <s v="816529204307"/>
        <s v="816534119047"/>
        <s v="816536119044"/>
        <s v="816536144154"/>
        <s v="816536208955"/>
        <s v="816546209652"/>
        <s v="816547209652"/>
        <s v="816551202225"/>
        <s v="816554172252"/>
        <s v="816555170708"/>
        <s v="816561140881"/>
        <s v="816566209652"/>
        <s v="816574170149"/>
        <s v="816575201741"/>
        <s v="816576143114"/>
        <s v="816580175848"/>
        <s v="816592202850"/>
        <s v="816594205742"/>
        <s v="816595175856"/>
        <s v="816601208638"/>
        <s v="816606174166"/>
        <s v="816625171506"/>
        <s v="816626170248"/>
        <s v="816627209563"/>
        <s v="816631203600"/>
        <s v="816634142243"/>
        <s v="816639203971"/>
        <s v="816642173224"/>
        <s v="816651209990"/>
        <s v="816652171578"/>
        <s v="816652174166"/>
        <s v="816685201172"/>
        <s v="816687208055"/>
        <s v="816689174271"/>
        <s v="816690209017"/>
        <s v="816691209017"/>
        <s v="816694174034"/>
        <s v="816705170617"/>
        <s v="816716207713"/>
        <s v="816718170617"/>
        <s v="816719209130"/>
        <s v="816735140967"/>
        <s v="816736209796"/>
        <s v="816738205992"/>
        <s v="816739205966"/>
        <s v="816740140848"/>
        <s v="816742170708"/>
        <s v="816760119038"/>
        <s v="816764206066"/>
        <s v="816765206066"/>
        <s v="816767208074"/>
        <s v="816781173224"/>
        <s v="816785208809"/>
        <s v="816786208809"/>
        <s v="816787203455"/>
        <s v="816796207713"/>
        <s v="816829201280"/>
        <s v="816836147936"/>
        <s v="816859206956"/>
        <s v="816882203156"/>
        <s v="816882208123"/>
        <s v="816895144747"/>
        <s v="816896172084"/>
        <s v="816897173728"/>
        <s v="816898205747"/>
        <s v="816905204307"/>
        <s v="816906207857"/>
        <s v="816917179907"/>
        <s v="816918208032"/>
        <s v="816921144747"/>
        <s v="816922206412"/>
        <s v="816923144747"/>
        <s v="816931170617"/>
        <s v="816932207907"/>
        <s v="816933202870"/>
        <s v="816940208074"/>
        <s v="816941178268"/>
        <s v="816946208638"/>
        <s v="816947173310"/>
        <s v="816948208638"/>
        <s v="816949204320"/>
        <s v="816950119066"/>
        <s v="816970143464"/>
        <s v="816975142332"/>
        <s v="816984208183"/>
        <s v="816986170204"/>
        <s v="816987170204"/>
        <s v="816989178236"/>
        <s v="816991209954"/>
        <s v="816996209146"/>
        <s v="817005170204"/>
        <s v="817014170204"/>
        <s v="817029208976"/>
        <s v="817030209816"/>
        <s v="817030210855"/>
        <s v="817031208268"/>
        <s v="817032206049"/>
        <s v="817038149764"/>
        <s v="817039175547"/>
        <s v="817041119031"/>
        <s v="817045177426"/>
        <s v="817046210132"/>
        <s v="817052206049"/>
        <s v="817053208268"/>
        <s v="817054148557"/>
        <s v="817055206066"/>
        <s v="817057206066"/>
        <s v="817057209036"/>
        <s v="817060206529"/>
        <s v="817063171226"/>
        <s v="817064208183"/>
        <s v="817065175848"/>
        <s v="817073144747"/>
        <s v="817078206529"/>
        <s v="817081149991"/>
        <s v="817087142332"/>
        <s v="817093170197"/>
        <s v="817093208183"/>
        <s v="817094171578"/>
        <s v="817094211138"/>
        <s v="817095178003"/>
        <s v="817102207857"/>
        <s v="817103170606"/>
        <s v="817103207643"/>
        <s v="817106170775"/>
        <s v="817108119038"/>
        <s v="817121174756"/>
        <s v="817122209599"/>
        <s v="817123119066"/>
        <s v="817124140960"/>
        <s v="817127206049"/>
        <s v="817136205225"/>
        <s v="817143172282"/>
        <s v="817144209017"/>
        <s v="817146119212"/>
        <s v="817152144868"/>
        <s v="817153119261"/>
        <s v="817159119038"/>
        <s v="817163177426"/>
        <s v="817164172597"/>
        <s v="817165119028"/>
        <s v="817167210440"/>
        <s v="817168119050"/>
        <s v="817172119044"/>
        <s v="817188178219"/>
        <s v="817189119261"/>
        <s v="817192210452"/>
        <s v="817196204208"/>
        <s v="817203209599"/>
        <s v="817206170846"/>
        <s v="817208145394"/>
        <s v="817211204034"/>
        <s v="817212149991"/>
        <s v="817213119026"/>
        <s v="817217209652"/>
        <s v="817218209652"/>
        <s v="817219209652"/>
        <s v="817221209702"/>
        <s v="817223170392"/>
        <s v="817223172640"/>
        <s v="817224201678"/>
        <s v="817225178004"/>
        <s v="817233179560"/>
        <s v="817235170958"/>
        <s v="817238171578"/>
        <s v="817239171578"/>
        <s v="817251210566"/>
        <s v="817252209017"/>
        <s v="817254207713"/>
        <s v="817263170204"/>
        <s v="817264170200"/>
        <s v="817268202867"/>
        <s v="817270176929"/>
        <s v="817271170204"/>
        <s v="817272202870"/>
        <s v="817273204034"/>
        <s v="817275172640"/>
        <s v="817276149991"/>
        <s v="817276177956"/>
        <s v="817277174756"/>
        <s v="817283203352"/>
        <s v="817302121706"/>
        <s v="817308209586"/>
        <s v="817319170617"/>
        <s v="817320178105"/>
        <s v="817322149885"/>
        <s v="817329207713"/>
        <s v="817337177379"/>
        <s v="817342179396"/>
        <s v="817343149825"/>
        <s v="817349205742"/>
        <s v="817350174034"/>
        <s v="817352171479"/>
        <s v="817364148934"/>
        <s v="817365148934"/>
        <s v="817366210355"/>
        <s v="817368143608"/>
        <s v="817372173224"/>
        <s v="817377178105"/>
        <s v="817382119065"/>
        <s v="817384204622"/>
        <s v="817386179911"/>
        <s v="817403176869"/>
        <s v="817403177787"/>
        <s v="817404178234"/>
        <s v="817411177295"/>
        <s v="817412176833"/>
        <s v="817413177295"/>
        <s v="817417119261"/>
        <s v="817426177426"/>
        <s v="817427210452"/>
        <s v="817454178268"/>
        <s v="817459143607"/>
        <s v="817461177301"/>
        <s v="817480119038"/>
        <s v="817482119029"/>
        <s v="817489170775"/>
        <s v="817513205004"/>
        <s v="817514119261"/>
        <s v="817515204030"/>
        <s v="817542171578"/>
        <s v="817543210123"/>
        <s v="817546141512"/>
        <s v="817549179486"/>
        <s v="817585202204"/>
        <s v="817586119066"/>
        <s v="817587208183"/>
        <s v="817588172338"/>
        <s v="817589172338"/>
        <s v="817591119261"/>
        <s v="817595142269"/>
        <s v="817598171839"/>
        <s v="817609210132"/>
        <s v="817610148557"/>
        <s v="817611119071"/>
        <s v="817614206367"/>
        <s v="817628207857"/>
        <s v="817644172942"/>
        <s v="817646175856"/>
        <s v="817647170204"/>
        <s v="817650171839"/>
        <s v="817659140984"/>
        <s v="817665208874"/>
        <s v="817666170197"/>
        <s v="817668174166"/>
        <s v="817677142843"/>
        <s v="817679170617"/>
        <s v="817684209796"/>
        <s v="817709208032"/>
        <s v="817715142241"/>
        <s v="817730207379"/>
        <s v="817732208628"/>
        <s v="817735173224"/>
        <s v="817739209796"/>
        <s v="817740204034"/>
        <s v="817742125022"/>
        <s v="817743177092"/>
        <s v="817744144747"/>
        <s v="817746210163"/>
        <s v="817757171834"/>
        <s v="817763203520"/>
        <s v="817774170200"/>
        <s v="817775179486"/>
        <s v="817787205004"/>
        <s v="817788205969"/>
        <s v="817789179894"/>
        <s v="817791208183"/>
        <s v="817792178661"/>
        <s v="817794207782"/>
        <s v="817795209652"/>
        <s v="817796176833"/>
        <s v="817797209652"/>
        <s v="817799202850"/>
        <s v="817809141115"/>
        <s v="817811210566"/>
        <s v="817812209652"/>
        <s v="817813175547"/>
        <s v="817814140860"/>
        <s v="817819147640"/>
        <s v="817820210566"/>
        <s v="817831208776"/>
        <s v="817833171578"/>
        <s v="817834149885"/>
        <s v="817835119023"/>
        <s v="817838149885"/>
        <s v="817839174271"/>
        <s v="817847206302"/>
        <s v="817848149859"/>
        <s v="817858171591"/>
        <s v="817864174271"/>
        <s v="817866174378"/>
        <s v="817868202941"/>
        <s v="817870207809"/>
        <s v="817871174713"/>
        <s v="817872173310"/>
        <s v="817876209652"/>
        <s v="817878141714"/>
        <s v="817880210566"/>
        <s v="817881176833"/>
        <s v="817882207019"/>
        <s v="817891176833"/>
        <s v="817894203811"/>
        <s v="817900119208"/>
        <s v="817901119038"/>
        <s v="817902172706"/>
        <s v="817905211138"/>
        <s v="817913178298"/>
        <s v="817914210355"/>
        <s v="817915119261"/>
        <s v="817916178298"/>
        <s v="817917207857"/>
        <s v="817917211256"/>
        <s v="817933202870"/>
        <s v="817934210355"/>
        <s v="817940202142"/>
        <s v="817941206529"/>
        <s v="817943210619"/>
        <s v="817945173528"/>
        <s v="817947119026"/>
        <s v="817958208638"/>
        <s v="817972201280"/>
        <s v="817976211137"/>
        <s v="817977175049"/>
        <s v="817979176833"/>
        <s v="817980170904"/>
        <s v="818004149764"/>
        <s v="818017141115"/>
        <s v="818018204375"/>
        <s v="818021174756"/>
        <s v="818023172640"/>
        <s v="818043171685"/>
        <s v="818063170606"/>
        <s v="818066119261"/>
        <s v="818071202478"/>
        <s v="818073208516"/>
        <s v="818077119044"/>
        <s v="818098204034"/>
        <s v="818099175049"/>
        <s v="818101141115"/>
        <s v="818102170846"/>
        <s v="818124210691"/>
        <s v="818131206066"/>
        <s v="818132206066"/>
        <s v="818133206066"/>
        <s v="818134171839"/>
        <s v="818135170204"/>
        <s v="818136177742"/>
        <s v="818137119212"/>
        <s v="818140209990"/>
        <s v="818141178764"/>
        <s v="818142175547"/>
        <s v="818153205591"/>
        <s v="818155141115"/>
        <s v="818156209599"/>
        <s v="818159211282"/>
        <s v="818161211282"/>
        <s v="818163119071"/>
        <s v="818164206066"/>
        <s v="818177170775"/>
        <s v="818181170775"/>
        <s v="818192172798"/>
        <s v="818194141512"/>
        <s v="818201201117"/>
        <s v="818207207192"/>
        <s v="818212119038"/>
        <s v="818213210210"/>
        <s v="818214209599"/>
        <s v="818216170325"/>
        <s v="818217173865"/>
        <s v="818218206986"/>
        <s v="818221119034"/>
        <s v="818232209816"/>
        <s v="818235211342"/>
        <s v="818237209816"/>
        <s v="818238170204"/>
        <s v="818240144746"/>
        <s v="818250203651"/>
        <s v="818251208088"/>
        <s v="818252209652"/>
        <s v="818254209652"/>
        <s v="818255202428"/>
        <s v="818255210538"/>
        <s v="818256142984"/>
        <s v="818257149885"/>
        <s v="818263208074"/>
        <s v="818277209599"/>
        <s v="818279210745"/>
        <s v="818280172338"/>
        <s v="818288170904"/>
        <s v="818290173224"/>
        <s v="818293173224"/>
        <s v="818294207895"/>
        <s v="818295208066"/>
        <s v="818306208183"/>
        <s v="818307204375"/>
        <s v="818317176833"/>
        <s v="818324205591"/>
        <s v="818325148557"/>
        <s v="818328209954"/>
        <s v="818329173865"/>
        <s v="818340210619"/>
        <s v="818341210619"/>
        <s v="818343210566"/>
        <s v="818347140927"/>
        <s v="818372144747"/>
        <s v="818394209599"/>
        <s v="818395208770"/>
        <s v="818408147429"/>
        <s v="818409119236"/>
        <s v="818429175287"/>
        <s v="818440119046"/>
        <s v="818441210619"/>
        <s v="811172170392"/>
        <s v="812563178237"/>
        <s v="813378178237"/>
        <s v="814602201172"/>
        <s v="814655179877"/>
        <s v="814877170392"/>
        <s v="817052145639"/>
        <s v="817056206066"/>
        <s v="817914178298"/>
        <s v="818342173098"/>
        <s v="818354202479"/>
        <s v="818391170132"/>
        <s v="818392170132"/>
        <s v="818407209796"/>
        <s v="818483210619"/>
        <s v="818499149996"/>
        <s v="818506209599"/>
        <s v="818507209599"/>
        <s v="818514210433"/>
      </sharedItems>
    </cacheField>
    <cacheField name="Retailer Code" numFmtId="0">
      <sharedItems containsSemiMixedTypes="0" containsString="0" containsNumber="1" containsInteger="1" minValue="801582" maxValue="818514"/>
    </cacheField>
    <cacheField name="Retailer Desc-" numFmtId="0">
      <sharedItems/>
    </cacheField>
    <cacheField name="Concerned Dealer code" numFmtId="0">
      <sharedItems containsSemiMixedTypes="0" containsString="0" containsNumber="1" containsInteger="1" minValue="119023" maxValue="211342"/>
    </cacheField>
    <cacheField name="Concerned Dealer Name" numFmtId="0">
      <sharedItems/>
    </cacheField>
    <cacheField name="Apr'21" numFmtId="164">
      <sharedItems containsSemiMixedTypes="0" containsString="0" containsNumber="1" minValue="0" maxValue="543"/>
    </cacheField>
    <cacheField name="May'21" numFmtId="164">
      <sharedItems containsSemiMixedTypes="0" containsString="0" containsNumber="1" minValue="0" maxValue="434.5"/>
    </cacheField>
    <cacheField name="Jun'21" numFmtId="164">
      <sharedItems containsSemiMixedTypes="0" containsString="0" containsNumber="1" minValue="0" maxValue="541.9"/>
    </cacheField>
    <cacheField name="Jul'21" numFmtId="164">
      <sharedItems containsSemiMixedTypes="0" containsString="0" containsNumber="1" minValue="0" maxValue="511.55"/>
    </cacheField>
    <cacheField name="Aug'21" numFmtId="164">
      <sharedItems containsSemiMixedTypes="0" containsString="0" containsNumber="1" minValue="0" maxValue="554.15"/>
    </cacheField>
    <cacheField name="Sep'21" numFmtId="164">
      <sharedItems containsSemiMixedTypes="0" containsString="0" containsNumber="1" minValue="0" maxValue="1008.2"/>
    </cacheField>
    <cacheField name="Oct'21" numFmtId="164">
      <sharedItems containsSemiMixedTypes="0" containsString="0" containsNumber="1" minValue="0" maxValue="410.5"/>
    </cacheField>
    <cacheField name="Nov'21" numFmtId="164">
      <sharedItems containsSemiMixedTypes="0" containsString="0" containsNumber="1" minValue="0" maxValue="482.55"/>
    </cacheField>
    <cacheField name="Dec'21" numFmtId="164">
      <sharedItems containsSemiMixedTypes="0" containsString="0" containsNumber="1" minValue="0" maxValue="905"/>
    </cacheField>
    <cacheField name="Jan'22" numFmtId="164">
      <sharedItems containsSemiMixedTypes="0" containsString="0" containsNumber="1" minValue="0" maxValue="605"/>
    </cacheField>
    <cacheField name="Feb'22" numFmtId="164">
      <sharedItems containsSemiMixedTypes="0" containsString="0" containsNumber="1" minValue="0" maxValue="649"/>
    </cacheField>
    <cacheField name="Mar'22" numFmtId="164">
      <sharedItems containsSemiMixedTypes="0" containsString="0" containsNumber="1" minValue="0" maxValue="700.25"/>
    </cacheField>
    <cacheField name="Grand Total" numFmtId="164">
      <sharedItems containsSemiMixedTypes="0" containsString="0" containsNumber="1" minValue="1" maxValue="624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3">
  <r>
    <s v="806540119029"/>
    <n v="806540"/>
    <s v="CHANDA STONE"/>
    <n v="119029"/>
    <s v="LALLAMAL KANHYALAL &amp; SONS"/>
    <n v="42.5"/>
    <n v="13"/>
    <n v="20"/>
    <n v="50"/>
    <n v="31"/>
    <n v="19.5"/>
    <n v="10"/>
    <n v="186"/>
    <n v="26.571428571428573"/>
    <x v="0"/>
    <x v="0"/>
    <x v="0"/>
    <x v="0"/>
  </r>
  <r>
    <s v="807228119042"/>
    <n v="807228"/>
    <s v="HANSRAJ DAGDI"/>
    <n v="119042"/>
    <s v="SARAS ENTERPRISES"/>
    <n v="0"/>
    <n v="0"/>
    <n v="0"/>
    <n v="10"/>
    <n v="27.5"/>
    <n v="0"/>
    <n v="0"/>
    <n v="37.5"/>
    <n v="5.3571428571428568"/>
    <x v="1"/>
    <x v="0"/>
    <x v="0"/>
    <x v="0"/>
  </r>
  <r>
    <s v="804178119046"/>
    <n v="804178"/>
    <s v="SHIV TRADERS"/>
    <n v="119046"/>
    <s v="GARG AGRO AGENCIES"/>
    <n v="0"/>
    <n v="10"/>
    <n v="25"/>
    <n v="0"/>
    <n v="40"/>
    <n v="0"/>
    <n v="10"/>
    <n v="85"/>
    <n v="12.142857142857142"/>
    <x v="2"/>
    <x v="0"/>
    <x v="0"/>
    <x v="0"/>
  </r>
  <r>
    <s v="804286119046"/>
    <n v="804286"/>
    <s v="ASHWINI AND SONS"/>
    <n v="119046"/>
    <s v="GARG AGRO AGENCIES"/>
    <n v="52"/>
    <n v="72"/>
    <n v="86.5"/>
    <n v="106"/>
    <n v="65"/>
    <n v="94.5"/>
    <n v="40"/>
    <n v="516"/>
    <n v="73.714285714285708"/>
    <x v="3"/>
    <x v="0"/>
    <x v="0"/>
    <x v="0"/>
  </r>
  <r>
    <s v="806871119046"/>
    <n v="806871"/>
    <s v="KISAAN KHAD BEEJ BHANDAR"/>
    <n v="119046"/>
    <s v="GARG AGRO AGENCIES"/>
    <n v="10"/>
    <n v="51.5"/>
    <n v="81.5"/>
    <n v="50"/>
    <n v="62"/>
    <n v="20"/>
    <n v="0"/>
    <n v="275"/>
    <n v="39.285714285714285"/>
    <x v="4"/>
    <x v="0"/>
    <x v="0"/>
    <x v="0"/>
  </r>
  <r>
    <s v="809466119046"/>
    <n v="809466"/>
    <s v="SHIV SHAKTI TRADERS"/>
    <n v="119046"/>
    <s v="GARG AGRO AGENCIES"/>
    <n v="85"/>
    <n v="104.5"/>
    <n v="90"/>
    <n v="40"/>
    <n v="25"/>
    <n v="45"/>
    <n v="4"/>
    <n v="393.5"/>
    <n v="56.214285714285715"/>
    <x v="3"/>
    <x v="0"/>
    <x v="0"/>
    <x v="0"/>
  </r>
  <r>
    <s v="815643119046"/>
    <n v="815643"/>
    <s v="NARESH TRADERS"/>
    <n v="119046"/>
    <s v="GARG AGRO AGENCIES"/>
    <n v="0"/>
    <n v="0"/>
    <n v="0"/>
    <n v="10"/>
    <n v="60"/>
    <n v="30"/>
    <n v="12"/>
    <n v="112"/>
    <n v="16"/>
    <x v="2"/>
    <x v="0"/>
    <x v="0"/>
    <x v="0"/>
  </r>
  <r>
    <s v="815644119046"/>
    <n v="815644"/>
    <s v="MORDHWAJ CEMENT AGENCY"/>
    <n v="119046"/>
    <s v="GARG AGRO AGENCIES"/>
    <n v="0"/>
    <n v="0"/>
    <n v="0"/>
    <n v="10"/>
    <n v="55"/>
    <n v="60"/>
    <n v="10"/>
    <n v="135"/>
    <n v="19.285714285714285"/>
    <x v="2"/>
    <x v="0"/>
    <x v="0"/>
    <x v="0"/>
  </r>
  <r>
    <s v="810648140481"/>
    <n v="810648"/>
    <s v="JAI KISHAN BUILDING MATERIAL S"/>
    <n v="140481"/>
    <s v="Goyal &amp; Co."/>
    <n v="10"/>
    <n v="15"/>
    <n v="20"/>
    <n v="0"/>
    <n v="20"/>
    <n v="0"/>
    <n v="0"/>
    <n v="65"/>
    <n v="9.2857142857142865"/>
    <x v="1"/>
    <x v="0"/>
    <x v="0"/>
    <x v="0"/>
  </r>
  <r>
    <s v="811091140481"/>
    <n v="811091"/>
    <s v="SHRI SHYAM STEEL"/>
    <n v="140481"/>
    <s v="Goyal &amp; Co."/>
    <n v="0"/>
    <n v="10"/>
    <n v="0"/>
    <n v="20"/>
    <n v="0"/>
    <n v="0"/>
    <n v="0"/>
    <n v="30"/>
    <n v="4.2857142857142856"/>
    <x v="1"/>
    <x v="0"/>
    <x v="0"/>
    <x v="0"/>
  </r>
  <r>
    <s v="811630140481"/>
    <n v="811630"/>
    <s v="PANKAJ KUMAR YADAV"/>
    <n v="140481"/>
    <s v="Goyal &amp; Co."/>
    <n v="0"/>
    <n v="50"/>
    <n v="30"/>
    <n v="30"/>
    <n v="10"/>
    <n v="32"/>
    <n v="10"/>
    <n v="162"/>
    <n v="23.142857142857142"/>
    <x v="0"/>
    <x v="0"/>
    <x v="0"/>
    <x v="0"/>
  </r>
  <r>
    <s v="812969140481"/>
    <n v="812969"/>
    <s v="SHRI BALAJI CEMENT AGENCY"/>
    <n v="140481"/>
    <s v="Goyal &amp; Co."/>
    <n v="81.5"/>
    <n v="101.75"/>
    <n v="107"/>
    <n v="157"/>
    <n v="135"/>
    <n v="133.4"/>
    <n v="70.5"/>
    <n v="786.15"/>
    <n v="112.30714285714285"/>
    <x v="3"/>
    <x v="0"/>
    <x v="0"/>
    <x v="0"/>
  </r>
  <r>
    <s v="813729140481"/>
    <n v="813729"/>
    <s v="BABA MOHANRAM BUILDING MATERIA"/>
    <n v="140481"/>
    <s v="Goyal &amp; Co."/>
    <n v="35"/>
    <n v="35"/>
    <n v="50"/>
    <n v="75"/>
    <n v="35"/>
    <n v="162.5"/>
    <n v="99.4"/>
    <n v="491.9"/>
    <n v="70.271428571428572"/>
    <x v="3"/>
    <x v="0"/>
    <x v="0"/>
    <x v="0"/>
  </r>
  <r>
    <s v="816409140481"/>
    <n v="816409"/>
    <s v="KRISHNA KUMAR RAGHUVEER SINGH"/>
    <n v="140481"/>
    <s v="Goyal &amp; Co."/>
    <n v="0"/>
    <n v="0"/>
    <n v="0"/>
    <n v="0"/>
    <n v="0"/>
    <n v="31"/>
    <n v="22.85"/>
    <n v="53.85"/>
    <n v="7.6928571428571431"/>
    <x v="1"/>
    <x v="0"/>
    <x v="0"/>
    <x v="0"/>
  </r>
  <r>
    <s v="806721140927"/>
    <n v="806721"/>
    <s v="TANVI CEMENT AGENCY"/>
    <n v="140927"/>
    <s v="SHIV CHARAN LAL RAKESH KUMAR"/>
    <n v="10"/>
    <n v="23.5"/>
    <n v="15"/>
    <n v="68.55"/>
    <n v="50"/>
    <n v="24"/>
    <n v="10"/>
    <n v="201.05"/>
    <n v="28.721428571428572"/>
    <x v="0"/>
    <x v="0"/>
    <x v="0"/>
    <x v="0"/>
  </r>
  <r>
    <s v="813521140927"/>
    <n v="813521"/>
    <s v="KHANDELWAL TRADERS"/>
    <n v="140927"/>
    <s v="SHIV CHARAN LAL RAKESH KUMAR"/>
    <n v="55"/>
    <n v="15"/>
    <n v="76"/>
    <n v="70"/>
    <n v="93.75"/>
    <n v="109.5"/>
    <n v="58"/>
    <n v="477.25"/>
    <n v="68.178571428571431"/>
    <x v="3"/>
    <x v="0"/>
    <x v="0"/>
    <x v="0"/>
  </r>
  <r>
    <s v="814447140927"/>
    <n v="814447"/>
    <s v="YADAV CEMENT AGENCY"/>
    <n v="140927"/>
    <s v="SHIV CHARAN LAL RAKESH KUMAR"/>
    <n v="10"/>
    <n v="13"/>
    <n v="0"/>
    <n v="57"/>
    <n v="20"/>
    <n v="20"/>
    <n v="10"/>
    <n v="130"/>
    <n v="18.571428571428573"/>
    <x v="2"/>
    <x v="0"/>
    <x v="0"/>
    <x v="0"/>
  </r>
  <r>
    <s v="813692142984"/>
    <n v="813692"/>
    <s v="TIWARI BUILDERS"/>
    <n v="142984"/>
    <s v="JAGDAMBEY BUILDING MATERIAL SU"/>
    <n v="15"/>
    <n v="0"/>
    <n v="46.5"/>
    <n v="46"/>
    <n v="18"/>
    <n v="0"/>
    <n v="12"/>
    <n v="137.5"/>
    <n v="19.642857142857142"/>
    <x v="2"/>
    <x v="0"/>
    <x v="0"/>
    <x v="0"/>
  </r>
  <r>
    <s v="808275143509"/>
    <n v="808275"/>
    <s v="SAINI BUILDER"/>
    <n v="143509"/>
    <s v="PAWAN BUILDERS"/>
    <n v="58.85"/>
    <n v="70"/>
    <n v="98.85"/>
    <n v="95"/>
    <n v="95"/>
    <n v="83.65"/>
    <n v="10"/>
    <n v="511.35"/>
    <n v="73.05"/>
    <x v="3"/>
    <x v="0"/>
    <x v="0"/>
    <x v="0"/>
  </r>
  <r>
    <s v="808547143509"/>
    <n v="808547"/>
    <s v="SHIV SANITARY &amp; HARDWARE STORE"/>
    <n v="143509"/>
    <s v="PAWAN BUILDERS"/>
    <n v="20"/>
    <n v="30"/>
    <n v="58.25"/>
    <n v="35"/>
    <n v="50"/>
    <n v="33"/>
    <n v="10"/>
    <n v="236.25"/>
    <n v="33.75"/>
    <x v="4"/>
    <x v="0"/>
    <x v="0"/>
    <x v="0"/>
  </r>
  <r>
    <s v="814183147891"/>
    <n v="814183"/>
    <s v="BABA TRADING COMPANY"/>
    <n v="147891"/>
    <s v="NEW SAINI TRADING COMPANY"/>
    <n v="80"/>
    <n v="61.5"/>
    <n v="80"/>
    <n v="70"/>
    <n v="116"/>
    <n v="52.3"/>
    <n v="40"/>
    <n v="499.8"/>
    <n v="71.400000000000006"/>
    <x v="3"/>
    <x v="0"/>
    <x v="0"/>
    <x v="0"/>
  </r>
  <r>
    <s v="806484148557"/>
    <n v="806484"/>
    <s v="GUPTA CEMENT AGENCY"/>
    <n v="148557"/>
    <s v="MITALI ALLOYS PVT LTD"/>
    <n v="35"/>
    <n v="40"/>
    <n v="60"/>
    <n v="89.1"/>
    <n v="80"/>
    <n v="60"/>
    <n v="30"/>
    <n v="394.1"/>
    <n v="56.300000000000004"/>
    <x v="3"/>
    <x v="0"/>
    <x v="0"/>
    <x v="0"/>
  </r>
  <r>
    <s v="810120148557"/>
    <n v="810120"/>
    <s v="ANIL SALES"/>
    <n v="148557"/>
    <s v="MITALI ALLOYS PVT LTD"/>
    <n v="40"/>
    <n v="95"/>
    <n v="68.650000000000006"/>
    <n v="90"/>
    <n v="49.5"/>
    <n v="53"/>
    <n v="28.5"/>
    <n v="424.65"/>
    <n v="60.664285714285711"/>
    <x v="3"/>
    <x v="0"/>
    <x v="0"/>
    <x v="0"/>
  </r>
  <r>
    <s v="813909148557"/>
    <n v="813909"/>
    <s v="CCC ASSOCIATES"/>
    <n v="148557"/>
    <s v="MITALI ALLOYS PVT LTD"/>
    <n v="20"/>
    <n v="30"/>
    <n v="42"/>
    <n v="40"/>
    <n v="20"/>
    <n v="20"/>
    <n v="30"/>
    <n v="202"/>
    <n v="28.857142857142858"/>
    <x v="0"/>
    <x v="0"/>
    <x v="0"/>
    <x v="0"/>
  </r>
  <r>
    <s v="806431149765"/>
    <n v="806431"/>
    <s v="SISODIYA TRADERS"/>
    <n v="149765"/>
    <s v="ARORA CEMENT AGENCY"/>
    <n v="40"/>
    <n v="45"/>
    <n v="40"/>
    <n v="0"/>
    <n v="20"/>
    <n v="30"/>
    <n v="0"/>
    <n v="175"/>
    <n v="25"/>
    <x v="0"/>
    <x v="0"/>
    <x v="0"/>
    <x v="0"/>
  </r>
  <r>
    <s v="806615149765"/>
    <n v="806615"/>
    <s v="MAVAR CEMENT AGENCY"/>
    <n v="149765"/>
    <s v="ARORA CEMENT AGENCY"/>
    <n v="10"/>
    <n v="10"/>
    <n v="10"/>
    <n v="0"/>
    <n v="20"/>
    <n v="40"/>
    <n v="19"/>
    <n v="109"/>
    <n v="15.571428571428571"/>
    <x v="2"/>
    <x v="0"/>
    <x v="0"/>
    <x v="0"/>
  </r>
  <r>
    <s v="806689149765"/>
    <n v="806689"/>
    <s v="KAKA BUILDERS"/>
    <n v="149765"/>
    <s v="ARORA CEMENT AGENCY"/>
    <n v="5"/>
    <n v="0"/>
    <n v="0"/>
    <n v="0"/>
    <n v="0"/>
    <n v="0"/>
    <n v="0"/>
    <n v="5"/>
    <n v="0.7142857142857143"/>
    <x v="1"/>
    <x v="0"/>
    <x v="0"/>
    <x v="0"/>
  </r>
  <r>
    <s v="807201149765"/>
    <n v="807201"/>
    <s v="SHRI RADHA SHYAM BUILDERS"/>
    <n v="149765"/>
    <s v="ARORA CEMENT AGENCY"/>
    <n v="30"/>
    <n v="20"/>
    <n v="13"/>
    <n v="0"/>
    <n v="30"/>
    <n v="25"/>
    <n v="20"/>
    <n v="138"/>
    <n v="19.714285714285715"/>
    <x v="2"/>
    <x v="0"/>
    <x v="0"/>
    <x v="0"/>
  </r>
  <r>
    <s v="809785149765"/>
    <n v="809785"/>
    <s v="GAURAV BUILDING MATERIAL SUPPL"/>
    <n v="149765"/>
    <s v="ARORA CEMENT AGENCY"/>
    <n v="92"/>
    <n v="95"/>
    <n v="120"/>
    <n v="40"/>
    <n v="78"/>
    <n v="65"/>
    <n v="93"/>
    <n v="583"/>
    <n v="83.285714285714292"/>
    <x v="3"/>
    <x v="0"/>
    <x v="0"/>
    <x v="0"/>
  </r>
  <r>
    <s v="812291149765"/>
    <n v="812291"/>
    <s v="FAIR TRADING CO"/>
    <n v="149765"/>
    <s v="ARORA CEMENT AGENCY"/>
    <n v="45"/>
    <n v="20"/>
    <n v="30"/>
    <n v="0"/>
    <n v="30"/>
    <n v="30"/>
    <n v="10"/>
    <n v="165"/>
    <n v="23.571428571428573"/>
    <x v="0"/>
    <x v="0"/>
    <x v="0"/>
    <x v="0"/>
  </r>
  <r>
    <s v="812300149765"/>
    <n v="812300"/>
    <s v="LAXMI BANS BALLI UDYOG"/>
    <n v="149765"/>
    <s v="ARORA CEMENT AGENCY"/>
    <n v="60"/>
    <n v="20"/>
    <n v="50"/>
    <n v="0"/>
    <n v="60"/>
    <n v="40"/>
    <n v="78"/>
    <n v="308"/>
    <n v="44"/>
    <x v="5"/>
    <x v="0"/>
    <x v="0"/>
    <x v="0"/>
  </r>
  <r>
    <s v="812391149765"/>
    <n v="812391"/>
    <s v="SAINI CHIPS &amp; MARBLE"/>
    <n v="149765"/>
    <s v="ARORA CEMENT AGENCY"/>
    <n v="45"/>
    <n v="5"/>
    <n v="12"/>
    <n v="0"/>
    <n v="10"/>
    <n v="0"/>
    <n v="0"/>
    <n v="72"/>
    <n v="10.285714285714286"/>
    <x v="2"/>
    <x v="0"/>
    <x v="0"/>
    <x v="0"/>
  </r>
  <r>
    <s v="813896149765"/>
    <n v="813896"/>
    <s v="GOYAL BUILDERS"/>
    <n v="149765"/>
    <s v="ARORA CEMENT AGENCY"/>
    <n v="12"/>
    <n v="10"/>
    <n v="10"/>
    <n v="0"/>
    <n v="20"/>
    <n v="10"/>
    <n v="0"/>
    <n v="62"/>
    <n v="8.8571428571428577"/>
    <x v="1"/>
    <x v="0"/>
    <x v="0"/>
    <x v="0"/>
  </r>
  <r>
    <s v="814253149765"/>
    <n v="814253"/>
    <s v="KANHA BUILDERS"/>
    <n v="149765"/>
    <s v="ARORA CEMENT AGENCY"/>
    <n v="0"/>
    <n v="10"/>
    <n v="0"/>
    <n v="0"/>
    <n v="0"/>
    <n v="0"/>
    <n v="0"/>
    <n v="10"/>
    <n v="1.4285714285714286"/>
    <x v="1"/>
    <x v="0"/>
    <x v="0"/>
    <x v="0"/>
  </r>
  <r>
    <s v="814545149765"/>
    <n v="814545"/>
    <s v="SRIRAM CEMENT AGENCY"/>
    <n v="149765"/>
    <s v="ARORA CEMENT AGENCY"/>
    <n v="35"/>
    <n v="50"/>
    <n v="40"/>
    <n v="20"/>
    <n v="30"/>
    <n v="30"/>
    <n v="30"/>
    <n v="235"/>
    <n v="33.571428571428569"/>
    <x v="4"/>
    <x v="0"/>
    <x v="0"/>
    <x v="0"/>
  </r>
  <r>
    <s v="815104149765"/>
    <n v="815104"/>
    <s v="ISRAIL CEMENT AGENCY"/>
    <n v="149765"/>
    <s v="ARORA CEMENT AGENCY"/>
    <n v="0"/>
    <n v="0"/>
    <n v="120"/>
    <n v="20"/>
    <n v="17"/>
    <n v="30"/>
    <n v="0"/>
    <n v="187"/>
    <n v="26.714285714285715"/>
    <x v="0"/>
    <x v="0"/>
    <x v="0"/>
    <x v="0"/>
  </r>
  <r>
    <s v="815175149765"/>
    <n v="815175"/>
    <s v="SAINI BUILDERS"/>
    <n v="149765"/>
    <s v="ARORA CEMENT AGENCY"/>
    <n v="0"/>
    <n v="0"/>
    <n v="56.5"/>
    <n v="0"/>
    <n v="35"/>
    <n v="30"/>
    <n v="10"/>
    <n v="131.5"/>
    <n v="18.785714285714285"/>
    <x v="2"/>
    <x v="0"/>
    <x v="0"/>
    <x v="0"/>
  </r>
  <r>
    <s v="815421149765"/>
    <n v="815421"/>
    <s v="MODI BUILDERS"/>
    <n v="149765"/>
    <s v="ARORA CEMENT AGENCY"/>
    <n v="0"/>
    <n v="0"/>
    <n v="0"/>
    <n v="50"/>
    <n v="40"/>
    <n v="50"/>
    <n v="20"/>
    <n v="160"/>
    <n v="22.857142857142858"/>
    <x v="0"/>
    <x v="0"/>
    <x v="0"/>
    <x v="0"/>
  </r>
  <r>
    <s v="815774149765"/>
    <n v="815774"/>
    <s v="DHAWAN BUILDERS"/>
    <n v="149765"/>
    <s v="ARORA CEMENT AGENCY"/>
    <n v="0"/>
    <n v="0"/>
    <n v="0"/>
    <n v="0"/>
    <n v="20"/>
    <n v="30"/>
    <n v="22.5"/>
    <n v="72.5"/>
    <n v="10.357142857142858"/>
    <x v="2"/>
    <x v="0"/>
    <x v="0"/>
    <x v="0"/>
  </r>
  <r>
    <s v="804980171880"/>
    <n v="804980"/>
    <s v="SHREE OM TRADING COMPANY"/>
    <n v="171880"/>
    <s v="BHUVAN AGENCIES"/>
    <n v="70"/>
    <n v="120"/>
    <n v="170"/>
    <n v="170"/>
    <n v="120.5"/>
    <n v="150"/>
    <n v="197"/>
    <n v="997.5"/>
    <n v="142.5"/>
    <x v="3"/>
    <x v="0"/>
    <x v="0"/>
    <x v="0"/>
  </r>
  <r>
    <s v="806430171880"/>
    <n v="806430"/>
    <s v="SHUBHAM BUILDIERS"/>
    <n v="171880"/>
    <s v="BHUVAN AGENCIES"/>
    <n v="10"/>
    <n v="10"/>
    <n v="20"/>
    <n v="47"/>
    <n v="30"/>
    <n v="20"/>
    <n v="20"/>
    <n v="157"/>
    <n v="22.428571428571427"/>
    <x v="0"/>
    <x v="0"/>
    <x v="0"/>
    <x v="0"/>
  </r>
  <r>
    <s v="806487171880"/>
    <n v="806487"/>
    <s v="BANWARI LAL PRAKESH CHAND"/>
    <n v="171880"/>
    <s v="BHUVAN AGENCIES"/>
    <n v="43"/>
    <n v="75"/>
    <n v="80"/>
    <n v="60"/>
    <n v="65"/>
    <n v="50"/>
    <n v="30"/>
    <n v="403"/>
    <n v="57.571428571428569"/>
    <x v="3"/>
    <x v="0"/>
    <x v="0"/>
    <x v="0"/>
  </r>
  <r>
    <s v="807929171880"/>
    <n v="807929"/>
    <s v="AGARWAL AGRICULTURE AGENCIES"/>
    <n v="171880"/>
    <s v="BHUVAN AGENCIES"/>
    <n v="10"/>
    <n v="0"/>
    <n v="0"/>
    <n v="40"/>
    <n v="10"/>
    <n v="10"/>
    <n v="15"/>
    <n v="85"/>
    <n v="12.142857142857142"/>
    <x v="2"/>
    <x v="0"/>
    <x v="0"/>
    <x v="0"/>
  </r>
  <r>
    <s v="809569171880"/>
    <n v="809569"/>
    <s v="DEVENDRA BUILDING MATERIAL"/>
    <n v="171880"/>
    <s v="BHUVAN AGENCIES"/>
    <n v="0"/>
    <n v="10"/>
    <n v="0"/>
    <n v="10"/>
    <n v="0"/>
    <n v="25"/>
    <n v="0"/>
    <n v="45"/>
    <n v="6.4285714285714288"/>
    <x v="1"/>
    <x v="0"/>
    <x v="0"/>
    <x v="0"/>
  </r>
  <r>
    <s v="806720172252"/>
    <n v="806720"/>
    <s v="YADHWANSHI BUILDING MATERIAL"/>
    <n v="172252"/>
    <s v="GUPTA TRADERS"/>
    <n v="20"/>
    <n v="35"/>
    <n v="10"/>
    <n v="44"/>
    <n v="11"/>
    <n v="20"/>
    <n v="32"/>
    <n v="172"/>
    <n v="24.571428571428573"/>
    <x v="0"/>
    <x v="0"/>
    <x v="0"/>
    <x v="0"/>
  </r>
  <r>
    <s v="809507172712"/>
    <n v="809507"/>
    <s v="SHEETAL BUILDING MATERIAL SUPP"/>
    <n v="172712"/>
    <s v="JAIN BUILDING MATERIAL STORE"/>
    <n v="40"/>
    <n v="35"/>
    <n v="56"/>
    <n v="30.5"/>
    <n v="42.5"/>
    <n v="43.5"/>
    <n v="39"/>
    <n v="286.5"/>
    <n v="40.928571428571431"/>
    <x v="5"/>
    <x v="0"/>
    <x v="0"/>
    <x v="0"/>
  </r>
  <r>
    <s v="815237174176"/>
    <n v="815237"/>
    <s v="SONU BUILDING MATERIAL &amp; SUPPL"/>
    <n v="174176"/>
    <s v="PRADEEP CHOUDHARY J K SUPER CE"/>
    <n v="0"/>
    <n v="0"/>
    <n v="10"/>
    <n v="35.35"/>
    <n v="20"/>
    <n v="20"/>
    <n v="10"/>
    <n v="95.35"/>
    <n v="13.62142857142857"/>
    <x v="2"/>
    <x v="0"/>
    <x v="0"/>
    <x v="0"/>
  </r>
  <r>
    <s v="816128174176"/>
    <n v="816128"/>
    <s v="JATIN CEMENT AGENCY"/>
    <n v="174176"/>
    <s v="PRADEEP CHOUDHARY J K SUPER CE"/>
    <n v="0"/>
    <n v="0"/>
    <n v="0"/>
    <n v="0"/>
    <n v="10"/>
    <n v="20"/>
    <n v="39"/>
    <n v="69"/>
    <n v="9.8571428571428577"/>
    <x v="1"/>
    <x v="0"/>
    <x v="0"/>
    <x v="0"/>
  </r>
  <r>
    <s v="809467175288"/>
    <n v="809467"/>
    <s v="NATIONAL BUILDERS"/>
    <n v="175288"/>
    <s v="LAXMI TRADERS"/>
    <n v="30"/>
    <n v="0"/>
    <n v="0"/>
    <n v="0"/>
    <n v="0"/>
    <n v="0"/>
    <n v="0"/>
    <n v="30"/>
    <n v="4.2857142857142856"/>
    <x v="1"/>
    <x v="0"/>
    <x v="0"/>
    <x v="0"/>
  </r>
  <r>
    <s v="810055175288"/>
    <n v="810055"/>
    <s v="RUPESH KHANDELWAL BUILDERS"/>
    <n v="175288"/>
    <s v="LAXMI TRADERS"/>
    <n v="432"/>
    <n v="400"/>
    <n v="280.5"/>
    <n v="380"/>
    <n v="175"/>
    <n v="420"/>
    <n v="260"/>
    <n v="2347.5"/>
    <n v="335.35714285714283"/>
    <x v="3"/>
    <x v="0"/>
    <x v="0"/>
    <x v="0"/>
  </r>
  <r>
    <s v="810922175288"/>
    <n v="810922"/>
    <s v="KALPANA CEMENT AGENCY"/>
    <n v="175288"/>
    <s v="LAXMI TRADERS"/>
    <n v="90"/>
    <n v="60"/>
    <n v="55"/>
    <n v="60"/>
    <n v="30"/>
    <n v="60"/>
    <n v="40"/>
    <n v="395"/>
    <n v="56.428571428571431"/>
    <x v="3"/>
    <x v="0"/>
    <x v="0"/>
    <x v="0"/>
  </r>
  <r>
    <s v="811135175288"/>
    <n v="811135"/>
    <s v="KANHA BUILDERS"/>
    <n v="175288"/>
    <s v="LAXMI TRADERS"/>
    <n v="80"/>
    <n v="80"/>
    <n v="95"/>
    <n v="90"/>
    <n v="50"/>
    <n v="50"/>
    <n v="50"/>
    <n v="495"/>
    <n v="70.714285714285708"/>
    <x v="3"/>
    <x v="0"/>
    <x v="0"/>
    <x v="0"/>
  </r>
  <r>
    <s v="811422175288"/>
    <n v="811422"/>
    <s v="SHARMA TRADERS"/>
    <n v="175288"/>
    <s v="LAXMI TRADERS"/>
    <n v="60"/>
    <n v="60"/>
    <n v="60"/>
    <n v="20"/>
    <n v="20"/>
    <n v="0"/>
    <n v="20"/>
    <n v="240"/>
    <n v="34.285714285714285"/>
    <x v="4"/>
    <x v="0"/>
    <x v="0"/>
    <x v="0"/>
  </r>
  <r>
    <s v="812056175288"/>
    <n v="812056"/>
    <s v="RAKESH BUILDERS"/>
    <n v="175288"/>
    <s v="LAXMI TRADERS"/>
    <n v="20"/>
    <n v="0"/>
    <n v="0"/>
    <n v="0"/>
    <n v="0"/>
    <n v="0"/>
    <n v="0"/>
    <n v="20"/>
    <n v="2.8571428571428572"/>
    <x v="1"/>
    <x v="0"/>
    <x v="0"/>
    <x v="0"/>
  </r>
  <r>
    <s v="815176175288"/>
    <n v="815176"/>
    <s v="BHARADWAJ BUILDERS"/>
    <n v="175288"/>
    <s v="LAXMI TRADERS"/>
    <n v="0"/>
    <n v="0"/>
    <n v="0"/>
    <n v="110"/>
    <n v="70"/>
    <n v="90"/>
    <n v="130"/>
    <n v="400"/>
    <n v="57.142857142857146"/>
    <x v="3"/>
    <x v="0"/>
    <x v="0"/>
    <x v="0"/>
  </r>
  <r>
    <s v="810595176641"/>
    <n v="810595"/>
    <s v="NAGPAL BUILDERS"/>
    <n v="176641"/>
    <s v="UMA IRON &amp; CEMENT AGENCY"/>
    <n v="20"/>
    <n v="84.5"/>
    <n v="64"/>
    <n v="93.5"/>
    <n v="76.3"/>
    <n v="54"/>
    <n v="10"/>
    <n v="402.3"/>
    <n v="57.471428571428575"/>
    <x v="3"/>
    <x v="0"/>
    <x v="0"/>
    <x v="0"/>
  </r>
  <r>
    <s v="811092176641"/>
    <n v="811092"/>
    <s v="RIDHIMA ENTERPRISES"/>
    <n v="176641"/>
    <s v="UMA IRON &amp; CEMENT AGENCY"/>
    <n v="166"/>
    <n v="40.549999999999997"/>
    <n v="105"/>
    <n v="38.5"/>
    <n v="79"/>
    <n v="106.5"/>
    <n v="49"/>
    <n v="584.54999999999995"/>
    <n v="83.507142857142853"/>
    <x v="3"/>
    <x v="0"/>
    <x v="0"/>
    <x v="0"/>
  </r>
  <r>
    <s v="813672176641"/>
    <n v="813672"/>
    <s v="LATA CEMENT AGENCY"/>
    <n v="176641"/>
    <s v="UMA IRON &amp; CEMENT AGENCY"/>
    <n v="50"/>
    <n v="50"/>
    <n v="30"/>
    <n v="46"/>
    <n v="47.2"/>
    <n v="30"/>
    <n v="25"/>
    <n v="278.2"/>
    <n v="39.74285714285714"/>
    <x v="4"/>
    <x v="0"/>
    <x v="0"/>
    <x v="0"/>
  </r>
  <r>
    <s v="810435178661"/>
    <n v="810435"/>
    <s v="NARENDRA SUPPLIERS"/>
    <n v="178661"/>
    <s v="KHAJANCHI TRADING CO."/>
    <n v="0"/>
    <n v="15"/>
    <n v="20"/>
    <n v="12"/>
    <n v="45"/>
    <n v="25"/>
    <n v="25"/>
    <n v="142"/>
    <n v="20.285714285714285"/>
    <x v="0"/>
    <x v="0"/>
    <x v="0"/>
    <x v="0"/>
  </r>
  <r>
    <s v="810683178661"/>
    <n v="810683"/>
    <s v="AGGARWAL CEMENT STORE"/>
    <n v="178661"/>
    <s v="KHAJANCHI TRADING CO."/>
    <n v="20"/>
    <n v="25"/>
    <n v="46"/>
    <n v="78"/>
    <n v="60"/>
    <n v="85"/>
    <n v="30"/>
    <n v="344"/>
    <n v="49.142857142857146"/>
    <x v="5"/>
    <x v="0"/>
    <x v="0"/>
    <x v="0"/>
  </r>
  <r>
    <s v="810686178661"/>
    <n v="810686"/>
    <s v="SAINI KHAD BEEJ BHANDAR"/>
    <n v="178661"/>
    <s v="KHAJANCHI TRADING CO."/>
    <n v="25"/>
    <n v="55"/>
    <n v="45"/>
    <n v="70"/>
    <n v="109.6"/>
    <n v="54.5"/>
    <n v="30"/>
    <n v="389.1"/>
    <n v="55.585714285714289"/>
    <x v="3"/>
    <x v="0"/>
    <x v="0"/>
    <x v="0"/>
  </r>
  <r>
    <s v="813172178661"/>
    <n v="813172"/>
    <s v="PRABHU DAYAL HARISH CHAND"/>
    <n v="178661"/>
    <s v="KHAJANCHI TRADING CO."/>
    <n v="56"/>
    <n v="25"/>
    <n v="64"/>
    <n v="69"/>
    <n v="35"/>
    <n v="104.5"/>
    <n v="72.5"/>
    <n v="426"/>
    <n v="60.857142857142854"/>
    <x v="3"/>
    <x v="0"/>
    <x v="0"/>
    <x v="0"/>
  </r>
  <r>
    <s v="813636178661"/>
    <n v="813636"/>
    <s v="SWASTIK CEMENT AGENCIES"/>
    <n v="178661"/>
    <s v="KHAJANCHI TRADING CO."/>
    <n v="62"/>
    <n v="20"/>
    <n v="10"/>
    <n v="60.5"/>
    <n v="45"/>
    <n v="31"/>
    <n v="0"/>
    <n v="228.5"/>
    <n v="32.642857142857146"/>
    <x v="4"/>
    <x v="0"/>
    <x v="0"/>
    <x v="0"/>
  </r>
  <r>
    <s v="814227178661"/>
    <n v="814227"/>
    <s v="SHREE KRISHNA CEMENT STORE"/>
    <n v="178661"/>
    <s v="KHAJANCHI TRADING CO."/>
    <n v="40"/>
    <n v="10"/>
    <n v="25"/>
    <n v="50"/>
    <n v="44"/>
    <n v="20"/>
    <n v="20"/>
    <n v="209"/>
    <n v="29.857142857142858"/>
    <x v="0"/>
    <x v="0"/>
    <x v="0"/>
    <x v="0"/>
  </r>
  <r>
    <s v="814777178661"/>
    <n v="814777"/>
    <s v="MASTER CEMENT AGENCY"/>
    <n v="178661"/>
    <s v="KHAJANCHI TRADING CO."/>
    <n v="61.5"/>
    <n v="20"/>
    <n v="55"/>
    <n v="36"/>
    <n v="30"/>
    <n v="39.5"/>
    <n v="10"/>
    <n v="252"/>
    <n v="36"/>
    <x v="4"/>
    <x v="0"/>
    <x v="0"/>
    <x v="0"/>
  </r>
  <r>
    <s v="816249178661"/>
    <n v="816249"/>
    <s v="MUSKAN TRADING COMPANY"/>
    <n v="178661"/>
    <s v="KHAJANCHI TRADING CO."/>
    <n v="0"/>
    <n v="0"/>
    <n v="0"/>
    <n v="0"/>
    <n v="0"/>
    <n v="40"/>
    <n v="54.5"/>
    <n v="94.5"/>
    <n v="13.5"/>
    <x v="2"/>
    <x v="0"/>
    <x v="0"/>
    <x v="0"/>
  </r>
  <r>
    <s v="816270178661"/>
    <n v="816270"/>
    <s v="CHOUDHARY CEMENT AGENCY"/>
    <n v="178661"/>
    <s v="KHAJANCHI TRADING CO."/>
    <n v="0"/>
    <n v="0"/>
    <n v="0"/>
    <n v="0"/>
    <n v="0"/>
    <n v="52"/>
    <n v="62"/>
    <n v="114"/>
    <n v="16.285714285714285"/>
    <x v="2"/>
    <x v="0"/>
    <x v="0"/>
    <x v="0"/>
  </r>
  <r>
    <s v="812382179893"/>
    <n v="812382"/>
    <s v="NEERAJ ENTERPRISES"/>
    <n v="179893"/>
    <s v="AGRAWAL TRADERS"/>
    <n v="81"/>
    <n v="112"/>
    <n v="98.5"/>
    <n v="93.5"/>
    <n v="51.5"/>
    <n v="59"/>
    <n v="15"/>
    <n v="510.5"/>
    <n v="72.928571428571431"/>
    <x v="3"/>
    <x v="0"/>
    <x v="0"/>
    <x v="0"/>
  </r>
  <r>
    <s v="812461179893"/>
    <n v="812461"/>
    <s v="TANU CEMENT AGENCY"/>
    <n v="179893"/>
    <s v="AGRAWAL TRADERS"/>
    <n v="0"/>
    <n v="10"/>
    <n v="10"/>
    <n v="46"/>
    <n v="20"/>
    <n v="15"/>
    <n v="10"/>
    <n v="111"/>
    <n v="15.857142857142858"/>
    <x v="2"/>
    <x v="0"/>
    <x v="0"/>
    <x v="0"/>
  </r>
  <r>
    <s v="814907179893"/>
    <n v="814907"/>
    <s v="PRAJAPAT CEMENT AGENCY"/>
    <n v="179893"/>
    <s v="AGRAWAL TRADERS"/>
    <n v="10"/>
    <n v="39"/>
    <n v="77"/>
    <n v="30"/>
    <n v="20"/>
    <n v="10"/>
    <n v="5"/>
    <n v="191"/>
    <n v="27.285714285714285"/>
    <x v="0"/>
    <x v="0"/>
    <x v="0"/>
    <x v="0"/>
  </r>
  <r>
    <s v="812469201065"/>
    <n v="812469"/>
    <s v="SHREE KRISHNA TRADERS"/>
    <n v="201065"/>
    <s v="SHRI RADHEY KRISHAN TRADERS"/>
    <n v="20"/>
    <n v="39.5"/>
    <n v="60"/>
    <n v="37.5"/>
    <n v="43"/>
    <n v="37"/>
    <n v="0"/>
    <n v="237"/>
    <n v="33.857142857142854"/>
    <x v="4"/>
    <x v="0"/>
    <x v="0"/>
    <x v="0"/>
  </r>
  <r>
    <s v="813728201065"/>
    <n v="813728"/>
    <s v="SAHIL BUILDERS TRADING COMPANY"/>
    <n v="201065"/>
    <s v="SHRI RADHEY KRISHAN TRADERS"/>
    <n v="0"/>
    <n v="10"/>
    <n v="25"/>
    <n v="0"/>
    <n v="0"/>
    <n v="0"/>
    <n v="0"/>
    <n v="35"/>
    <n v="5"/>
    <x v="1"/>
    <x v="0"/>
    <x v="0"/>
    <x v="0"/>
  </r>
  <r>
    <s v="814184201065"/>
    <n v="814184"/>
    <s v="RAJORIYA TRADING COMPANY"/>
    <n v="201065"/>
    <s v="SHRI RADHEY KRISHAN TRADERS"/>
    <n v="10"/>
    <n v="40.5"/>
    <n v="0"/>
    <n v="0"/>
    <n v="0"/>
    <n v="0"/>
    <n v="0"/>
    <n v="50.5"/>
    <n v="7.2142857142857144"/>
    <x v="1"/>
    <x v="0"/>
    <x v="0"/>
    <x v="0"/>
  </r>
  <r>
    <s v="814540202479"/>
    <n v="814540"/>
    <s v="VED (MP) CEMENT AGENCY"/>
    <n v="202479"/>
    <s v="SHIKHA ENTERPRSIES"/>
    <n v="38"/>
    <n v="20"/>
    <n v="30"/>
    <n v="52.5"/>
    <n v="30"/>
    <n v="55"/>
    <n v="37"/>
    <n v="262.5"/>
    <n v="37.5"/>
    <x v="4"/>
    <x v="0"/>
    <x v="0"/>
    <x v="0"/>
  </r>
  <r>
    <s v="814934202479"/>
    <n v="814934"/>
    <s v="MANISH CEMENT AGENCY"/>
    <n v="202479"/>
    <s v="SHIKHA ENTERPRSIES"/>
    <n v="15"/>
    <n v="65"/>
    <n v="55"/>
    <n v="92"/>
    <n v="79"/>
    <n v="45"/>
    <n v="38"/>
    <n v="389"/>
    <n v="55.571428571428569"/>
    <x v="3"/>
    <x v="0"/>
    <x v="0"/>
    <x v="0"/>
  </r>
  <r>
    <s v="814939202479"/>
    <n v="814939"/>
    <s v="HEMLATA CEMENT AGENCY"/>
    <n v="202479"/>
    <s v="SHIKHA ENTERPRSIES"/>
    <n v="115"/>
    <n v="51"/>
    <n v="105"/>
    <n v="95"/>
    <n v="168.75"/>
    <n v="83.5"/>
    <n v="45"/>
    <n v="663.25"/>
    <n v="94.75"/>
    <x v="3"/>
    <x v="0"/>
    <x v="0"/>
    <x v="0"/>
  </r>
  <r>
    <s v="815105205650"/>
    <n v="815105"/>
    <s v="A1 CEMENT AGENCY"/>
    <n v="205650"/>
    <s v="SAINI TRADING COMPANY"/>
    <n v="0"/>
    <n v="0"/>
    <n v="0"/>
    <n v="63.5"/>
    <n v="15"/>
    <n v="20"/>
    <n v="0"/>
    <n v="98.5"/>
    <n v="14.071428571428571"/>
    <x v="2"/>
    <x v="0"/>
    <x v="0"/>
    <x v="0"/>
  </r>
  <r>
    <s v="815481205650"/>
    <n v="815481"/>
    <s v="BALAJI CEMENT AGENCY"/>
    <n v="205650"/>
    <s v="SAINI TRADING COMPANY"/>
    <n v="0"/>
    <n v="0"/>
    <n v="0"/>
    <n v="20"/>
    <n v="10"/>
    <n v="10"/>
    <n v="10"/>
    <n v="50"/>
    <n v="7.1428571428571432"/>
    <x v="1"/>
    <x v="0"/>
    <x v="0"/>
    <x v="0"/>
  </r>
  <r>
    <s v="815864205650"/>
    <n v="815864"/>
    <s v="SAINI CEMENT SUPPLIER"/>
    <n v="205650"/>
    <s v="SAINI TRADING COMPANY"/>
    <n v="0"/>
    <n v="0"/>
    <n v="0"/>
    <n v="0"/>
    <n v="15"/>
    <n v="37.5"/>
    <n v="38.25"/>
    <n v="90.75"/>
    <n v="12.964285714285714"/>
    <x v="2"/>
    <x v="0"/>
    <x v="0"/>
    <x v="0"/>
  </r>
  <r>
    <s v="815645208736"/>
    <n v="815645"/>
    <s v="HARSHA CEMENT AGENCY"/>
    <n v="208736"/>
    <s v="RAJORIYA TRADING COMPANY"/>
    <n v="0"/>
    <n v="0"/>
    <n v="0"/>
    <n v="14"/>
    <n v="24.6"/>
    <n v="20"/>
    <n v="20"/>
    <n v="78.599999999999994"/>
    <n v="11.228571428571428"/>
    <x v="2"/>
    <x v="0"/>
    <x v="0"/>
    <x v="0"/>
  </r>
  <r>
    <s v="806436119023"/>
    <n v="806436"/>
    <s v="SUKHDEV JI GUPTA"/>
    <n v="119023"/>
    <s v="AGARWAL MACHINERY STORES"/>
    <n v="101"/>
    <n v="41.5"/>
    <n v="170.5"/>
    <n v="103"/>
    <n v="0"/>
    <n v="162"/>
    <n v="172"/>
    <n v="750"/>
    <n v="107.14285714285714"/>
    <x v="3"/>
    <x v="1"/>
    <x v="0"/>
    <x v="0"/>
  </r>
  <r>
    <s v="806439119023"/>
    <n v="806439"/>
    <s v="BALAJI BUILDING MATERIAL STORE"/>
    <n v="119023"/>
    <s v="AGARWAL MACHINERY STORES"/>
    <n v="101"/>
    <n v="115.5"/>
    <n v="211"/>
    <n v="241"/>
    <n v="0"/>
    <n v="200.5"/>
    <n v="129"/>
    <n v="998"/>
    <n v="142.57142857142858"/>
    <x v="3"/>
    <x v="1"/>
    <x v="0"/>
    <x v="0"/>
  </r>
  <r>
    <s v="806440119023"/>
    <n v="806440"/>
    <s v="VIKAS CEMENT AGENCY"/>
    <n v="119023"/>
    <s v="AGARWAL MACHINERY STORES"/>
    <n v="0"/>
    <n v="0"/>
    <n v="23"/>
    <n v="0"/>
    <n v="0"/>
    <n v="51.5"/>
    <n v="43"/>
    <n v="117.5"/>
    <n v="16.785714285714285"/>
    <x v="2"/>
    <x v="1"/>
    <x v="0"/>
    <x v="0"/>
  </r>
  <r>
    <s v="806882119023"/>
    <n v="806882"/>
    <s v="GOMTI BUILDING MATERIAL STORE"/>
    <n v="119023"/>
    <s v="AGARWAL MACHINERY STORES"/>
    <n v="104"/>
    <n v="115"/>
    <n v="215"/>
    <n v="225"/>
    <n v="88.5"/>
    <n v="220"/>
    <n v="129"/>
    <n v="1096.5"/>
    <n v="156.64285714285714"/>
    <x v="3"/>
    <x v="1"/>
    <x v="0"/>
    <x v="0"/>
  </r>
  <r>
    <s v="808644119023"/>
    <n v="808644"/>
    <s v="NAITIK TRADERS"/>
    <n v="119023"/>
    <s v="AGARWAL MACHINERY STORES"/>
    <n v="100"/>
    <n v="116"/>
    <n v="222.5"/>
    <n v="214.5"/>
    <n v="105.5"/>
    <n v="182"/>
    <n v="128"/>
    <n v="1068.5"/>
    <n v="152.64285714285714"/>
    <x v="3"/>
    <x v="1"/>
    <x v="0"/>
    <x v="0"/>
  </r>
  <r>
    <s v="813877119023"/>
    <n v="813877"/>
    <s v="SHIVANI BUILDING MATERIAL STOR"/>
    <n v="119023"/>
    <s v="AGARWAL MACHINERY STORES"/>
    <n v="0"/>
    <n v="0"/>
    <n v="20"/>
    <n v="0"/>
    <n v="0"/>
    <n v="0"/>
    <n v="0"/>
    <n v="20"/>
    <n v="2.8571428571428572"/>
    <x v="1"/>
    <x v="1"/>
    <x v="0"/>
    <x v="0"/>
  </r>
  <r>
    <s v="814671119023"/>
    <n v="814671"/>
    <s v="SHRI GOMTI BM &amp; SUPPLIERS"/>
    <n v="119023"/>
    <s v="AGARWAL MACHINERY STORES"/>
    <n v="100.5"/>
    <n v="116"/>
    <n v="211"/>
    <n v="130"/>
    <n v="139"/>
    <n v="167.5"/>
    <n v="149"/>
    <n v="1013"/>
    <n v="144.71428571428572"/>
    <x v="3"/>
    <x v="1"/>
    <x v="0"/>
    <x v="0"/>
  </r>
  <r>
    <s v="814733119023"/>
    <n v="814733"/>
    <s v="NIRBHAY CEMENT AGENCY"/>
    <n v="119023"/>
    <s v="AGARWAL MACHINERY STORES"/>
    <n v="102"/>
    <n v="125"/>
    <n v="149"/>
    <n v="193.5"/>
    <n v="107"/>
    <n v="152"/>
    <n v="43"/>
    <n v="871.5"/>
    <n v="124.5"/>
    <x v="3"/>
    <x v="1"/>
    <x v="0"/>
    <x v="0"/>
  </r>
  <r>
    <s v="801588119047"/>
    <n v="801588"/>
    <s v="AGARWAL CEMENT AGENCY"/>
    <n v="119047"/>
    <s v="BANSAL TRADING COMPANY"/>
    <n v="194"/>
    <n v="174.5"/>
    <n v="221.5"/>
    <n v="175.3"/>
    <n v="187"/>
    <n v="139"/>
    <n v="127"/>
    <n v="1218.3"/>
    <n v="174.04285714285714"/>
    <x v="3"/>
    <x v="1"/>
    <x v="0"/>
    <x v="0"/>
  </r>
  <r>
    <s v="801589119047"/>
    <n v="801589"/>
    <s v="MAA BHAGWATI TRADERS"/>
    <n v="119047"/>
    <s v="BANSAL TRADING COMPANY"/>
    <n v="41.5"/>
    <n v="20"/>
    <n v="35"/>
    <n v="21.5"/>
    <n v="27"/>
    <n v="20"/>
    <n v="42"/>
    <n v="207"/>
    <n v="29.571428571428573"/>
    <x v="0"/>
    <x v="1"/>
    <x v="0"/>
    <x v="0"/>
  </r>
  <r>
    <s v="801590119047"/>
    <n v="801590"/>
    <s v="MANGAL BUILDING MATERIAL STORE"/>
    <n v="119047"/>
    <s v="BANSAL TRADING COMPANY"/>
    <n v="41.5"/>
    <n v="41.5"/>
    <n v="99.5"/>
    <n v="72"/>
    <n v="20"/>
    <n v="42"/>
    <n v="64"/>
    <n v="380.5"/>
    <n v="54.357142857142854"/>
    <x v="3"/>
    <x v="1"/>
    <x v="0"/>
    <x v="0"/>
  </r>
  <r>
    <s v="806926119047"/>
    <n v="806926"/>
    <s v="AGARWAL KHAD BEEJ BHANDAR"/>
    <n v="119047"/>
    <s v="BANSAL TRADING COMPANY"/>
    <n v="34"/>
    <n v="33.5"/>
    <n v="21.5"/>
    <n v="91.5"/>
    <n v="42"/>
    <n v="57"/>
    <n v="20"/>
    <n v="299.5"/>
    <n v="42.785714285714285"/>
    <x v="5"/>
    <x v="1"/>
    <x v="0"/>
    <x v="0"/>
  </r>
  <r>
    <s v="815576119047"/>
    <n v="815576"/>
    <s v="SHISHRAM BUILDING MATERIAL"/>
    <n v="119047"/>
    <s v="BANSAL TRADING COMPANY"/>
    <n v="0"/>
    <n v="0"/>
    <n v="0"/>
    <n v="59.5"/>
    <n v="93"/>
    <n v="90"/>
    <n v="62"/>
    <n v="304.5"/>
    <n v="43.5"/>
    <x v="5"/>
    <x v="1"/>
    <x v="0"/>
    <x v="0"/>
  </r>
  <r>
    <s v="803820129599"/>
    <n v="803820"/>
    <s v="ARTI BUILDING MATERIAL"/>
    <n v="129599"/>
    <s v="Kuntal Building Material"/>
    <n v="41.5"/>
    <n v="50"/>
    <n v="62"/>
    <n v="42"/>
    <n v="39.75"/>
    <n v="56.5"/>
    <n v="24.25"/>
    <n v="316"/>
    <n v="45.142857142857146"/>
    <x v="5"/>
    <x v="1"/>
    <x v="0"/>
    <x v="0"/>
  </r>
  <r>
    <s v="812741129599"/>
    <n v="812741"/>
    <s v="LAXMI BUILDING MATERIAL"/>
    <n v="129599"/>
    <s v="Kuntal Building Material"/>
    <n v="41"/>
    <n v="40.5"/>
    <n v="41.5"/>
    <n v="0"/>
    <n v="22.25"/>
    <n v="42.5"/>
    <n v="45"/>
    <n v="232.75"/>
    <n v="33.25"/>
    <x v="4"/>
    <x v="1"/>
    <x v="0"/>
    <x v="0"/>
  </r>
  <r>
    <s v="802165143531"/>
    <n v="802165"/>
    <s v="DEEPAK TRADING CO"/>
    <n v="143531"/>
    <s v="JAIN KHAD BEEJ BHANDAR"/>
    <n v="42"/>
    <n v="61.5"/>
    <n v="124.5"/>
    <n v="42"/>
    <n v="46.5"/>
    <n v="12.5"/>
    <n v="12.5"/>
    <n v="341.5"/>
    <n v="48.785714285714285"/>
    <x v="5"/>
    <x v="1"/>
    <x v="0"/>
    <x v="0"/>
  </r>
  <r>
    <s v="802918143531"/>
    <n v="802918"/>
    <s v="BANKE BIHARI KHAD BEEJ BHANDAR"/>
    <n v="143531"/>
    <s v="JAIN KHAD BEEJ BHANDAR"/>
    <n v="15"/>
    <n v="20"/>
    <n v="38"/>
    <n v="20.5"/>
    <n v="15"/>
    <n v="0"/>
    <n v="0"/>
    <n v="108.5"/>
    <n v="15.5"/>
    <x v="2"/>
    <x v="1"/>
    <x v="0"/>
    <x v="0"/>
  </r>
  <r>
    <s v="812299143531"/>
    <n v="812299"/>
    <s v="VIJAY TRADING COMPANY"/>
    <n v="143531"/>
    <s v="JAIN KHAD BEEJ BHANDAR"/>
    <n v="20"/>
    <n v="0"/>
    <n v="49"/>
    <n v="21"/>
    <n v="26.5"/>
    <n v="0"/>
    <n v="0"/>
    <n v="116.5"/>
    <n v="16.642857142857142"/>
    <x v="2"/>
    <x v="1"/>
    <x v="0"/>
    <x v="0"/>
  </r>
  <r>
    <s v="815440144996"/>
    <n v="815440"/>
    <s v="KHAN BUILDING MATERIAL SUPPLIE"/>
    <n v="144996"/>
    <s v="SHASTRI BUILDING MATERIAL STOR"/>
    <n v="0"/>
    <n v="0"/>
    <n v="0"/>
    <n v="32.5"/>
    <n v="22"/>
    <n v="54"/>
    <n v="21"/>
    <n v="129.5"/>
    <n v="18.5"/>
    <x v="2"/>
    <x v="1"/>
    <x v="0"/>
    <x v="0"/>
  </r>
  <r>
    <s v="813154170708"/>
    <n v="813154"/>
    <s v="TIWARI AGENCIES"/>
    <n v="170708"/>
    <s v="BANSAL MARBLES"/>
    <n v="34"/>
    <n v="76.5"/>
    <n v="175"/>
    <n v="110"/>
    <n v="60"/>
    <n v="10"/>
    <n v="10"/>
    <n v="475.5"/>
    <n v="67.928571428571431"/>
    <x v="3"/>
    <x v="1"/>
    <x v="0"/>
    <x v="0"/>
  </r>
  <r>
    <s v="814749171469"/>
    <n v="814749"/>
    <s v="H S TRADERS"/>
    <n v="171469"/>
    <s v="OM CEMENT HOUSE"/>
    <n v="43"/>
    <n v="172"/>
    <n v="127"/>
    <n v="126"/>
    <n v="126.5"/>
    <n v="129"/>
    <n v="132"/>
    <n v="855.5"/>
    <n v="122.21428571428571"/>
    <x v="3"/>
    <x v="1"/>
    <x v="0"/>
    <x v="0"/>
  </r>
  <r>
    <s v="807002171479"/>
    <n v="807002"/>
    <s v="SHREE JI BUILDING MATERIAL STO"/>
    <n v="171479"/>
    <s v="YADAV TRADING COMPANY"/>
    <n v="113"/>
    <n v="116.6"/>
    <n v="99"/>
    <n v="167.5"/>
    <n v="171.5"/>
    <n v="153"/>
    <n v="39"/>
    <n v="859.6"/>
    <n v="122.8"/>
    <x v="3"/>
    <x v="1"/>
    <x v="0"/>
    <x v="0"/>
  </r>
  <r>
    <s v="814499171479"/>
    <n v="814499"/>
    <s v="YADAV CEMENT AGENCY"/>
    <n v="171479"/>
    <s v="YADAV TRADING COMPANY"/>
    <n v="137.5"/>
    <n v="203"/>
    <n v="205.5"/>
    <n v="218"/>
    <n v="207.5"/>
    <n v="140"/>
    <n v="93"/>
    <n v="1204.5"/>
    <n v="172.07142857142858"/>
    <x v="3"/>
    <x v="1"/>
    <x v="0"/>
    <x v="0"/>
  </r>
  <r>
    <s v="813385175392"/>
    <n v="813385"/>
    <s v="JINDAL KHAD BEEJ BHANDAR"/>
    <n v="175392"/>
    <s v="SANTOSH KUMAR SATISH CHAND"/>
    <n v="38.5"/>
    <n v="52.5"/>
    <n v="50"/>
    <n v="57"/>
    <n v="30"/>
    <n v="66.5"/>
    <n v="20"/>
    <n v="314.5"/>
    <n v="44.928571428571431"/>
    <x v="5"/>
    <x v="1"/>
    <x v="0"/>
    <x v="0"/>
  </r>
  <r>
    <s v="806754177450"/>
    <n v="806754"/>
    <s v="KHANDELWAL TIMBER MART"/>
    <n v="177450"/>
    <s v="J.K. CEMENT AGENCY"/>
    <n v="60"/>
    <n v="5"/>
    <n v="22.599999999999998"/>
    <n v="50"/>
    <n v="65.75"/>
    <n v="28"/>
    <n v="30"/>
    <n v="261.35000000000002"/>
    <n v="37.335714285714289"/>
    <x v="4"/>
    <x v="1"/>
    <x v="0"/>
    <x v="0"/>
  </r>
  <r>
    <s v="812944177829"/>
    <n v="812944"/>
    <s v="HITA JK SUPER CEMENT"/>
    <n v="177829"/>
    <s v="GARG TRADING COMPANY"/>
    <n v="13"/>
    <n v="41"/>
    <n v="42"/>
    <n v="56.5"/>
    <n v="25.5"/>
    <n v="56"/>
    <n v="74"/>
    <n v="308"/>
    <n v="44"/>
    <x v="5"/>
    <x v="1"/>
    <x v="0"/>
    <x v="0"/>
  </r>
  <r>
    <s v="812967177829"/>
    <n v="812967"/>
    <s v="BANSAL IRON &amp; CEMENT TRADERS"/>
    <n v="177829"/>
    <s v="GARG TRADING COMPANY"/>
    <n v="58.5"/>
    <n v="62.5"/>
    <n v="81"/>
    <n v="106.5"/>
    <n v="72.5"/>
    <n v="97"/>
    <n v="26"/>
    <n v="504"/>
    <n v="72"/>
    <x v="3"/>
    <x v="1"/>
    <x v="0"/>
    <x v="0"/>
  </r>
  <r>
    <s v="814416177829"/>
    <n v="814416"/>
    <s v="SHRI BALAJI BUILDING MATERIAL"/>
    <n v="177829"/>
    <s v="GARG TRADING COMPANY"/>
    <n v="0"/>
    <n v="0"/>
    <n v="22"/>
    <n v="25.5"/>
    <n v="20"/>
    <n v="0"/>
    <n v="0"/>
    <n v="67.5"/>
    <n v="9.6428571428571423"/>
    <x v="1"/>
    <x v="1"/>
    <x v="0"/>
    <x v="0"/>
  </r>
  <r>
    <s v="811475178844"/>
    <n v="811475"/>
    <s v="SAINI TRADERS"/>
    <n v="178844"/>
    <s v="SAINI BUILDING MATERIAL SUPPLI"/>
    <n v="17"/>
    <n v="0"/>
    <n v="7"/>
    <n v="0"/>
    <n v="0"/>
    <n v="0"/>
    <n v="0"/>
    <n v="24"/>
    <n v="3.4285714285714284"/>
    <x v="1"/>
    <x v="1"/>
    <x v="0"/>
    <x v="0"/>
  </r>
  <r>
    <s v="814096179473"/>
    <n v="814096"/>
    <s v="ROHIT TRADERS"/>
    <n v="179473"/>
    <s v="ANSHU CEMENT AGENCY"/>
    <n v="16.5"/>
    <n v="0"/>
    <n v="6.5"/>
    <n v="10"/>
    <n v="5"/>
    <n v="2.5"/>
    <n v="0"/>
    <n v="40.5"/>
    <n v="5.7857142857142856"/>
    <x v="1"/>
    <x v="1"/>
    <x v="0"/>
    <x v="0"/>
  </r>
  <r>
    <s v="801627202865"/>
    <n v="801627"/>
    <s v="SHREE GOPAL TRADING CO"/>
    <n v="202865"/>
    <s v="DEEPAK TRADERS"/>
    <n v="84"/>
    <n v="131"/>
    <n v="110"/>
    <n v="86.5"/>
    <n v="83"/>
    <n v="84"/>
    <n v="22"/>
    <n v="600.5"/>
    <n v="85.785714285714292"/>
    <x v="3"/>
    <x v="1"/>
    <x v="0"/>
    <x v="0"/>
  </r>
  <r>
    <s v="805151202865"/>
    <n v="805151"/>
    <s v="RAHUL BUILDING MATERIAL"/>
    <n v="202865"/>
    <s v="DEEPAK TRADERS"/>
    <n v="105.5"/>
    <n v="165.5"/>
    <n v="335.5"/>
    <n v="217"/>
    <n v="148.5"/>
    <n v="137.5"/>
    <n v="20"/>
    <n v="1129.5"/>
    <n v="161.35714285714286"/>
    <x v="3"/>
    <x v="1"/>
    <x v="0"/>
    <x v="0"/>
  </r>
  <r>
    <s v="805158202865"/>
    <n v="805158"/>
    <s v="FAUJDAR BUILDING MATERIAL"/>
    <n v="202865"/>
    <s v="DEEPAK TRADERS"/>
    <n v="54.5"/>
    <n v="41.5"/>
    <n v="126"/>
    <n v="81.5"/>
    <n v="97"/>
    <n v="32.5"/>
    <n v="37.5"/>
    <n v="470.5"/>
    <n v="67.214285714285708"/>
    <x v="3"/>
    <x v="1"/>
    <x v="0"/>
    <x v="0"/>
  </r>
  <r>
    <s v="805811202865"/>
    <n v="805811"/>
    <s v="YOGESH TRADERS"/>
    <n v="202865"/>
    <s v="DEEPAK TRADERS"/>
    <n v="30"/>
    <n v="94"/>
    <n v="207.5"/>
    <n v="181.5"/>
    <n v="116"/>
    <n v="192"/>
    <n v="43"/>
    <n v="864"/>
    <n v="123.42857142857143"/>
    <x v="3"/>
    <x v="1"/>
    <x v="0"/>
    <x v="0"/>
  </r>
  <r>
    <s v="806234202865"/>
    <n v="806234"/>
    <s v="JAI SHREE GANESH BUILDING MATE"/>
    <n v="202865"/>
    <s v="DEEPAK TRADERS"/>
    <n v="42"/>
    <n v="0"/>
    <n v="0"/>
    <n v="0"/>
    <n v="0"/>
    <n v="0"/>
    <n v="0"/>
    <n v="42"/>
    <n v="6"/>
    <x v="1"/>
    <x v="1"/>
    <x v="0"/>
    <x v="0"/>
  </r>
  <r>
    <s v="807779202865"/>
    <n v="807779"/>
    <s v="MAHAVEER BUILDING MATERIAL"/>
    <n v="202865"/>
    <s v="DEEPAK TRADERS"/>
    <n v="0"/>
    <n v="0"/>
    <n v="13"/>
    <n v="0"/>
    <n v="0"/>
    <n v="0"/>
    <n v="0"/>
    <n v="13"/>
    <n v="1.8571428571428572"/>
    <x v="1"/>
    <x v="1"/>
    <x v="0"/>
    <x v="0"/>
  </r>
  <r>
    <s v="813894202865"/>
    <n v="813894"/>
    <s v="SARDAR BUILDING MATERIAL STORE"/>
    <n v="202865"/>
    <s v="DEEPAK TRADERS"/>
    <n v="79"/>
    <n v="95.5"/>
    <n v="114"/>
    <n v="85.5"/>
    <n v="85"/>
    <n v="83.5"/>
    <n v="54"/>
    <n v="596.5"/>
    <n v="85.214285714285708"/>
    <x v="3"/>
    <x v="1"/>
    <x v="0"/>
    <x v="0"/>
  </r>
  <r>
    <s v="814776202865"/>
    <n v="814776"/>
    <s v="GOVIND BUILDING MATERIAL"/>
    <n v="202865"/>
    <s v="DEEPAK TRADERS"/>
    <n v="48.5"/>
    <n v="88.5"/>
    <n v="170.5"/>
    <n v="98"/>
    <n v="121"/>
    <n v="84"/>
    <n v="20"/>
    <n v="630.5"/>
    <n v="90.071428571428569"/>
    <x v="3"/>
    <x v="1"/>
    <x v="0"/>
    <x v="0"/>
  </r>
  <r>
    <s v="813746204013"/>
    <n v="813746"/>
    <s v="KISHAN SINGH CEMENT AGENCY"/>
    <n v="204013"/>
    <s v="SHARDUL CEMENT AGENCY"/>
    <n v="40"/>
    <n v="67.5"/>
    <n v="83.5"/>
    <n v="75"/>
    <n v="0"/>
    <n v="0"/>
    <n v="0"/>
    <n v="266"/>
    <n v="38"/>
    <x v="4"/>
    <x v="1"/>
    <x v="0"/>
    <x v="0"/>
  </r>
  <r>
    <s v="813876204013"/>
    <n v="813876"/>
    <s v="SHREE SHYAM CEMENT AGENCY"/>
    <n v="204013"/>
    <s v="SHARDUL CEMENT AGENCY"/>
    <n v="28.5"/>
    <n v="38"/>
    <n v="57"/>
    <n v="37.5"/>
    <n v="0"/>
    <n v="10"/>
    <n v="0"/>
    <n v="171"/>
    <n v="24.428571428571427"/>
    <x v="0"/>
    <x v="1"/>
    <x v="0"/>
    <x v="0"/>
  </r>
  <r>
    <s v="813895204013"/>
    <n v="813895"/>
    <s v="PUSHPENDRA SINGH J K CEMENT AG"/>
    <n v="204013"/>
    <s v="SHARDUL CEMENT AGENCY"/>
    <n v="72"/>
    <n v="65.5"/>
    <n v="58"/>
    <n v="69"/>
    <n v="30"/>
    <n v="48"/>
    <n v="51.5"/>
    <n v="394"/>
    <n v="56.285714285714285"/>
    <x v="3"/>
    <x v="1"/>
    <x v="0"/>
    <x v="0"/>
  </r>
  <r>
    <s v="816555170708"/>
    <n v="816555"/>
    <s v="SATNAM CEMENT AGENCY"/>
    <n v="170708"/>
    <s v="BANSAL MARBLES"/>
    <n v="0"/>
    <n v="0"/>
    <n v="0"/>
    <n v="0"/>
    <n v="0"/>
    <n v="10"/>
    <n v="75"/>
    <n v="85"/>
    <n v="12.142857142857142"/>
    <x v="2"/>
    <x v="1"/>
    <x v="0"/>
    <x v="0"/>
  </r>
  <r>
    <s v="807143119023"/>
    <n v="807143"/>
    <s v="LAVKUSH KHAD BEEJ BHANDAR"/>
    <n v="119023"/>
    <s v="AGARWAL MACHINERY STORES"/>
    <n v="0"/>
    <n v="0"/>
    <n v="0"/>
    <n v="0"/>
    <n v="0"/>
    <n v="0"/>
    <n v="43"/>
    <n v="43"/>
    <n v="6.1428571428571432"/>
    <x v="1"/>
    <x v="1"/>
    <x v="0"/>
    <x v="0"/>
  </r>
  <r>
    <s v="816352119047"/>
    <n v="816352"/>
    <s v="FAUJDAR BUILDING MATERIAL"/>
    <n v="119047"/>
    <s v="BANSAL TRADING COMPANY"/>
    <n v="0"/>
    <n v="0"/>
    <n v="0"/>
    <n v="0"/>
    <n v="0"/>
    <n v="0"/>
    <n v="22"/>
    <n v="22"/>
    <n v="3.1428571428571428"/>
    <x v="1"/>
    <x v="1"/>
    <x v="0"/>
    <x v="0"/>
  </r>
  <r>
    <s v="816534119047"/>
    <n v="816534"/>
    <s v="SHRI KANHAIYA BUILDING MATERIA"/>
    <n v="119047"/>
    <s v="BANSAL TRADING COMPANY"/>
    <n v="0"/>
    <n v="0"/>
    <n v="0"/>
    <n v="0"/>
    <n v="0"/>
    <n v="0"/>
    <n v="63"/>
    <n v="63"/>
    <n v="9"/>
    <x v="1"/>
    <x v="1"/>
    <x v="0"/>
    <x v="0"/>
  </r>
  <r>
    <s v="815101119074"/>
    <n v="815101"/>
    <s v="DEV CEMENT AGENCY"/>
    <n v="119074"/>
    <s v="LAVANIA CEMENT SALES CORPORATI"/>
    <n v="0"/>
    <n v="0"/>
    <n v="0"/>
    <n v="0"/>
    <n v="10"/>
    <n v="0"/>
    <n v="0"/>
    <n v="10"/>
    <n v="1.4285714285714286"/>
    <x v="1"/>
    <x v="2"/>
    <x v="0"/>
    <x v="0"/>
  </r>
  <r>
    <s v="807200174713"/>
    <n v="807200"/>
    <s v="SHIV GANPATI MARBLE AND GRANIT"/>
    <n v="174713"/>
    <s v="KANHA BUILDING MATERIAL"/>
    <n v="0"/>
    <n v="17"/>
    <n v="26"/>
    <n v="0"/>
    <n v="22"/>
    <n v="21.5"/>
    <n v="30"/>
    <n v="116.5"/>
    <n v="16.642857142857142"/>
    <x v="2"/>
    <x v="2"/>
    <x v="0"/>
    <x v="0"/>
  </r>
  <r>
    <s v="813151179892"/>
    <n v="813151"/>
    <s v="RUPESH CEMENT AGENCY"/>
    <n v="179892"/>
    <s v="MADHAV ENTERPRISES"/>
    <n v="0"/>
    <n v="0"/>
    <n v="0"/>
    <n v="51"/>
    <n v="0"/>
    <n v="51"/>
    <n v="0"/>
    <n v="102"/>
    <n v="14.571428571428571"/>
    <x v="2"/>
    <x v="2"/>
    <x v="0"/>
    <x v="0"/>
  </r>
  <r>
    <s v="811944179894"/>
    <n v="811944"/>
    <s v="RAVINDRA SINGH PARMAR"/>
    <n v="179894"/>
    <s v="SHARMA CEMENT AGENCY"/>
    <n v="94.5"/>
    <n v="72.5"/>
    <n v="95"/>
    <n v="60"/>
    <n v="37.5"/>
    <n v="13.5"/>
    <n v="0"/>
    <n v="373"/>
    <n v="53.285714285714285"/>
    <x v="3"/>
    <x v="2"/>
    <x v="0"/>
    <x v="0"/>
  </r>
  <r>
    <s v="812404179894"/>
    <n v="812404"/>
    <s v="GUPTA HARDWARE STORE"/>
    <n v="179894"/>
    <s v="SHARMA CEMENT AGENCY"/>
    <n v="42"/>
    <n v="72"/>
    <n v="62.5"/>
    <n v="50"/>
    <n v="50"/>
    <n v="60"/>
    <n v="15"/>
    <n v="351.5"/>
    <n v="50.214285714285715"/>
    <x v="3"/>
    <x v="2"/>
    <x v="0"/>
    <x v="0"/>
  </r>
  <r>
    <s v="816037179894"/>
    <n v="816037"/>
    <s v="BHUPENDRA CEMENT AGENCY"/>
    <n v="179894"/>
    <s v="SHARMA CEMENT AGENCY"/>
    <n v="0"/>
    <n v="0"/>
    <n v="0"/>
    <n v="0"/>
    <n v="119"/>
    <n v="164.5"/>
    <n v="15"/>
    <n v="298.5"/>
    <n v="42.642857142857146"/>
    <x v="5"/>
    <x v="2"/>
    <x v="0"/>
    <x v="0"/>
  </r>
  <r>
    <s v="811848202758"/>
    <n v="811848"/>
    <s v="R R CONSTRUCTION COMPANY"/>
    <n v="202758"/>
    <s v="B M TRADING &amp; CONSTRUCTION COM"/>
    <n v="25"/>
    <n v="0"/>
    <n v="79"/>
    <n v="58.5"/>
    <n v="68.5"/>
    <n v="70.5"/>
    <n v="34"/>
    <n v="335.5"/>
    <n v="47.928571428571431"/>
    <x v="5"/>
    <x v="2"/>
    <x v="0"/>
    <x v="0"/>
  </r>
  <r>
    <s v="813299202947"/>
    <n v="813299"/>
    <s v="KRISHNA ENTERPRISES"/>
    <n v="202947"/>
    <s v="SHRI LAXMI MOTORS"/>
    <n v="20"/>
    <n v="0"/>
    <n v="0"/>
    <n v="12.5"/>
    <n v="0"/>
    <n v="0"/>
    <n v="0"/>
    <n v="32.5"/>
    <n v="4.6428571428571432"/>
    <x v="1"/>
    <x v="2"/>
    <x v="0"/>
    <x v="0"/>
  </r>
  <r>
    <s v="815101208026"/>
    <n v="815101"/>
    <s v="DEV CEMENT AGENCY"/>
    <n v="208026"/>
    <s v="PRIYA ENTERPRISES"/>
    <n v="0"/>
    <n v="0"/>
    <n v="79.5"/>
    <n v="44.5"/>
    <n v="91.5"/>
    <n v="107.5"/>
    <n v="28.25"/>
    <n v="351.25"/>
    <n v="50.178571428571431"/>
    <x v="3"/>
    <x v="2"/>
    <x v="0"/>
    <x v="0"/>
  </r>
  <r>
    <s v="812372202849"/>
    <n v="812372"/>
    <s v="YOGESH CONSTRUCTION"/>
    <n v="202849"/>
    <s v="AKHLESH TRADING COMPANY"/>
    <n v="0"/>
    <n v="0"/>
    <n v="0"/>
    <n v="0"/>
    <n v="0"/>
    <n v="0"/>
    <n v="32"/>
    <n v="32"/>
    <n v="4.5714285714285712"/>
    <x v="1"/>
    <x v="2"/>
    <x v="0"/>
    <x v="0"/>
  </r>
  <r>
    <s v="806283119038"/>
    <n v="806283"/>
    <s v="JAI JASOL MAA BUILDING MATERIA"/>
    <n v="119038"/>
    <s v="NAVEEN DISTRIBUTORS"/>
    <n v="15"/>
    <n v="0"/>
    <n v="20"/>
    <n v="0"/>
    <n v="20"/>
    <n v="15"/>
    <n v="0"/>
    <n v="70"/>
    <n v="10"/>
    <x v="2"/>
    <x v="3"/>
    <x v="1"/>
    <x v="0"/>
  </r>
  <r>
    <s v="810734119065"/>
    <n v="810734"/>
    <s v="BABA STEEL AND BUILDING MATERI"/>
    <n v="119065"/>
    <s v="AJMERA TRANSPORTER"/>
    <n v="0"/>
    <n v="0"/>
    <n v="0"/>
    <n v="0"/>
    <n v="67.5"/>
    <n v="42.5"/>
    <n v="40"/>
    <n v="150"/>
    <n v="21.428571428571427"/>
    <x v="0"/>
    <x v="3"/>
    <x v="1"/>
    <x v="0"/>
  </r>
  <r>
    <s v="806511119071"/>
    <n v="806511"/>
    <s v="GAURAV CONSTRUCTION"/>
    <n v="119071"/>
    <s v="GANESH AGENCIES"/>
    <n v="26.5"/>
    <n v="30"/>
    <n v="28.75"/>
    <n v="26"/>
    <n v="0"/>
    <n v="0"/>
    <n v="0"/>
    <n v="111.25"/>
    <n v="15.892857142857142"/>
    <x v="2"/>
    <x v="3"/>
    <x v="1"/>
    <x v="0"/>
  </r>
  <r>
    <s v="806887119071"/>
    <n v="806887"/>
    <s v="RADHAKRISHNA ENTERPRISES"/>
    <n v="119071"/>
    <s v="GANESH AGENCIES"/>
    <n v="50"/>
    <n v="76.5"/>
    <n v="163.80000000000001"/>
    <n v="104.25"/>
    <n v="92.5"/>
    <n v="103.75"/>
    <n v="40"/>
    <n v="630.79999999999995"/>
    <n v="90.114285714285714"/>
    <x v="3"/>
    <x v="3"/>
    <x v="1"/>
    <x v="0"/>
  </r>
  <r>
    <s v="811480119071"/>
    <n v="811480"/>
    <s v="GAURAV BUILDING MATERIAL SUPPL"/>
    <n v="119071"/>
    <s v="GANESH AGENCIES"/>
    <n v="30"/>
    <n v="10"/>
    <n v="94"/>
    <n v="62.75"/>
    <n v="86"/>
    <n v="55"/>
    <n v="10"/>
    <n v="347.75"/>
    <n v="49.678571428571431"/>
    <x v="5"/>
    <x v="3"/>
    <x v="1"/>
    <x v="0"/>
  </r>
  <r>
    <s v="812658119071"/>
    <n v="812658"/>
    <s v="SHREE SHYAM CONSTRUCTION COMPA"/>
    <n v="119071"/>
    <s v="GANESH AGENCIES"/>
    <n v="31"/>
    <n v="30"/>
    <n v="0"/>
    <n v="15"/>
    <n v="22.5"/>
    <n v="0"/>
    <n v="10"/>
    <n v="108.5"/>
    <n v="15.5"/>
    <x v="2"/>
    <x v="3"/>
    <x v="1"/>
    <x v="0"/>
  </r>
  <r>
    <s v="816272119071"/>
    <n v="816272"/>
    <s v="BALAJI TRADERS"/>
    <n v="119071"/>
    <s v="GANESH AGENCIES"/>
    <n v="0"/>
    <n v="0"/>
    <n v="0"/>
    <n v="0"/>
    <n v="0"/>
    <n v="40"/>
    <n v="10"/>
    <n v="50"/>
    <n v="7.1428571428571432"/>
    <x v="1"/>
    <x v="3"/>
    <x v="1"/>
    <x v="0"/>
  </r>
  <r>
    <s v="806307119160"/>
    <n v="806307"/>
    <s v="HARI BUILDING MATERIAL"/>
    <n v="119160"/>
    <s v="NIKHIL ASSOCIATE"/>
    <n v="42.5"/>
    <n v="45"/>
    <n v="51"/>
    <n v="0"/>
    <n v="15"/>
    <n v="26.5"/>
    <n v="14"/>
    <n v="194"/>
    <n v="27.714285714285715"/>
    <x v="0"/>
    <x v="3"/>
    <x v="1"/>
    <x v="0"/>
  </r>
  <r>
    <s v="801716119261"/>
    <n v="801716"/>
    <s v="RIDHI SIDHI TRADERS"/>
    <n v="119261"/>
    <s v="DURGESH ENTERPRISES"/>
    <n v="50"/>
    <n v="50"/>
    <n v="31"/>
    <n v="83"/>
    <n v="21"/>
    <n v="1"/>
    <n v="49"/>
    <n v="285"/>
    <n v="40.714285714285715"/>
    <x v="5"/>
    <x v="3"/>
    <x v="1"/>
    <x v="0"/>
  </r>
  <r>
    <s v="801729119261"/>
    <n v="801729"/>
    <s v="AGARWAL BUILDING MATERIAL SUPP"/>
    <n v="119261"/>
    <s v="DURGESH ENTERPRISES"/>
    <n v="30"/>
    <n v="0"/>
    <n v="50"/>
    <n v="22"/>
    <n v="50"/>
    <n v="0"/>
    <n v="0"/>
    <n v="152"/>
    <n v="21.714285714285715"/>
    <x v="0"/>
    <x v="3"/>
    <x v="1"/>
    <x v="0"/>
  </r>
  <r>
    <s v="801876119261"/>
    <n v="801876"/>
    <s v="BHAIRAV BUILDING MATERIAL SUPP"/>
    <n v="119261"/>
    <s v="DURGESH ENTERPRISES"/>
    <n v="51"/>
    <n v="0"/>
    <n v="30"/>
    <n v="22"/>
    <n v="10"/>
    <n v="0"/>
    <n v="51"/>
    <n v="164"/>
    <n v="23.428571428571427"/>
    <x v="0"/>
    <x v="3"/>
    <x v="1"/>
    <x v="0"/>
  </r>
  <r>
    <s v="801965119261"/>
    <n v="801965"/>
    <s v="AGARWAL AGENCIES"/>
    <n v="119261"/>
    <s v="DURGESH ENTERPRISES"/>
    <n v="0"/>
    <n v="0"/>
    <n v="0"/>
    <n v="50.75"/>
    <n v="52.5"/>
    <n v="21"/>
    <n v="20"/>
    <n v="144.25"/>
    <n v="20.607142857142858"/>
    <x v="0"/>
    <x v="3"/>
    <x v="1"/>
    <x v="0"/>
  </r>
  <r>
    <s v="801966119261"/>
    <n v="801966"/>
    <s v="TANWAR TRADING CO"/>
    <n v="119261"/>
    <s v="DURGESH ENTERPRISES"/>
    <n v="0"/>
    <n v="0"/>
    <n v="0"/>
    <n v="20"/>
    <n v="12"/>
    <n v="20.5"/>
    <n v="30"/>
    <n v="82.5"/>
    <n v="11.785714285714286"/>
    <x v="2"/>
    <x v="3"/>
    <x v="1"/>
    <x v="0"/>
  </r>
  <r>
    <s v="801967119261"/>
    <n v="801967"/>
    <s v="SHIV TRADERS"/>
    <n v="119261"/>
    <s v="DURGESH ENTERPRISES"/>
    <n v="0"/>
    <n v="0"/>
    <n v="0"/>
    <n v="32"/>
    <n v="20.5"/>
    <n v="0"/>
    <n v="0"/>
    <n v="52.5"/>
    <n v="7.5"/>
    <x v="1"/>
    <x v="3"/>
    <x v="1"/>
    <x v="0"/>
  </r>
  <r>
    <s v="802073119261"/>
    <n v="802073"/>
    <s v="ABHISHEK CHODHARY &amp; COMPANY"/>
    <n v="119261"/>
    <s v="DURGESH ENTERPRISES"/>
    <n v="30"/>
    <n v="0"/>
    <n v="30"/>
    <n v="22"/>
    <n v="0"/>
    <n v="13.95"/>
    <n v="20"/>
    <n v="115.95"/>
    <n v="16.564285714285713"/>
    <x v="2"/>
    <x v="3"/>
    <x v="1"/>
    <x v="0"/>
  </r>
  <r>
    <s v="802948119261"/>
    <n v="802948"/>
    <s v="AGARWAL AGENCIES"/>
    <n v="119261"/>
    <s v="DURGESH ENTERPRISES"/>
    <n v="51"/>
    <n v="0"/>
    <n v="102"/>
    <n v="59.5"/>
    <n v="31"/>
    <n v="52.5"/>
    <n v="0"/>
    <n v="296"/>
    <n v="42.285714285714285"/>
    <x v="5"/>
    <x v="3"/>
    <x v="1"/>
    <x v="0"/>
  </r>
  <r>
    <s v="804818119261"/>
    <n v="804818"/>
    <s v="JAGDAMBA SUPPLIERS"/>
    <n v="119261"/>
    <s v="DURGESH ENTERPRISES"/>
    <n v="50"/>
    <n v="0"/>
    <n v="103"/>
    <n v="53"/>
    <n v="22"/>
    <n v="100"/>
    <n v="53"/>
    <n v="381"/>
    <n v="54.428571428571431"/>
    <x v="3"/>
    <x v="3"/>
    <x v="1"/>
    <x v="0"/>
  </r>
  <r>
    <s v="805095119261"/>
    <n v="805095"/>
    <s v="SHRI KRISHNA TRADERS"/>
    <n v="119261"/>
    <s v="DURGESH ENTERPRISES"/>
    <n v="25"/>
    <n v="0"/>
    <n v="101"/>
    <n v="53"/>
    <n v="22"/>
    <n v="0"/>
    <n v="105"/>
    <n v="306"/>
    <n v="43.714285714285715"/>
    <x v="5"/>
    <x v="3"/>
    <x v="1"/>
    <x v="0"/>
  </r>
  <r>
    <s v="805255119261"/>
    <n v="805255"/>
    <s v="SWASTIK BUILDING"/>
    <n v="119261"/>
    <s v="DURGESH ENTERPRISES"/>
    <n v="0"/>
    <n v="0"/>
    <n v="0"/>
    <n v="0"/>
    <n v="10"/>
    <n v="0"/>
    <n v="0"/>
    <n v="10"/>
    <n v="1.4285714285714286"/>
    <x v="1"/>
    <x v="3"/>
    <x v="1"/>
    <x v="0"/>
  </r>
  <r>
    <s v="805375119261"/>
    <n v="805375"/>
    <s v="SHREE RAM TRADERS"/>
    <n v="119261"/>
    <s v="DURGESH ENTERPRISES"/>
    <n v="30"/>
    <n v="0"/>
    <n v="51"/>
    <n v="1"/>
    <n v="50"/>
    <n v="23"/>
    <n v="50.5"/>
    <n v="205.5"/>
    <n v="29.357142857142858"/>
    <x v="0"/>
    <x v="3"/>
    <x v="1"/>
    <x v="0"/>
  </r>
  <r>
    <s v="805377119261"/>
    <n v="805377"/>
    <s v="MANISH TRADERS"/>
    <n v="119261"/>
    <s v="DURGESH ENTERPRISES"/>
    <n v="0"/>
    <n v="0"/>
    <n v="76"/>
    <n v="89.75"/>
    <n v="30.5"/>
    <n v="51.3"/>
    <n v="51"/>
    <n v="298.55"/>
    <n v="42.65"/>
    <x v="5"/>
    <x v="3"/>
    <x v="1"/>
    <x v="0"/>
  </r>
  <r>
    <s v="805406119261"/>
    <n v="805406"/>
    <s v="PRIYANKA BUILDERS"/>
    <n v="119261"/>
    <s v="DURGESH ENTERPRISES"/>
    <n v="0"/>
    <n v="0"/>
    <n v="0"/>
    <n v="0"/>
    <n v="10"/>
    <n v="0"/>
    <n v="31"/>
    <n v="41"/>
    <n v="5.8571428571428568"/>
    <x v="1"/>
    <x v="3"/>
    <x v="1"/>
    <x v="0"/>
  </r>
  <r>
    <s v="805419119261"/>
    <n v="805419"/>
    <s v="SHEOJI RAM NIRBHAY RAM KUMAWAT"/>
    <n v="119261"/>
    <s v="DURGESH ENTERPRISES"/>
    <n v="0"/>
    <n v="0"/>
    <n v="100.5"/>
    <n v="56"/>
    <n v="30"/>
    <n v="40"/>
    <n v="51"/>
    <n v="277.5"/>
    <n v="39.642857142857146"/>
    <x v="4"/>
    <x v="3"/>
    <x v="1"/>
    <x v="0"/>
  </r>
  <r>
    <s v="805453119261"/>
    <n v="805453"/>
    <s v="SHREE GANESH TRADING COMPANY"/>
    <n v="119261"/>
    <s v="DURGESH ENTERPRISES"/>
    <n v="100"/>
    <n v="0"/>
    <n v="102"/>
    <n v="105.95"/>
    <n v="2"/>
    <n v="100"/>
    <n v="73"/>
    <n v="482.95"/>
    <n v="68.992857142857147"/>
    <x v="3"/>
    <x v="3"/>
    <x v="1"/>
    <x v="0"/>
  </r>
  <r>
    <s v="806433119261"/>
    <n v="806433"/>
    <s v="GOYAL CONSTRUCTION &amp; CONSULTAN"/>
    <n v="119261"/>
    <s v="DURGESH ENTERPRISES"/>
    <n v="508.75"/>
    <n v="197.95"/>
    <n v="517.75"/>
    <n v="511.55"/>
    <n v="554.15"/>
    <n v="634.25"/>
    <n v="326.5"/>
    <n v="3250.9"/>
    <n v="464.41428571428571"/>
    <x v="3"/>
    <x v="3"/>
    <x v="1"/>
    <x v="0"/>
  </r>
  <r>
    <s v="806510119261"/>
    <n v="806510"/>
    <s v="GOVIND TRADERS"/>
    <n v="119261"/>
    <s v="DURGESH ENTERPRISES"/>
    <n v="0"/>
    <n v="0"/>
    <n v="30"/>
    <n v="53"/>
    <n v="21"/>
    <n v="0"/>
    <n v="0"/>
    <n v="104"/>
    <n v="14.857142857142858"/>
    <x v="2"/>
    <x v="3"/>
    <x v="1"/>
    <x v="0"/>
  </r>
  <r>
    <s v="806722119261"/>
    <n v="806722"/>
    <s v="AGARWAL PROPERTIES AND BUILDIN"/>
    <n v="119261"/>
    <s v="DURGESH ENTERPRISES"/>
    <n v="30"/>
    <n v="0"/>
    <n v="0"/>
    <n v="23"/>
    <n v="10"/>
    <n v="34.5"/>
    <n v="50"/>
    <n v="147.5"/>
    <n v="21.071428571428573"/>
    <x v="0"/>
    <x v="3"/>
    <x v="1"/>
    <x v="0"/>
  </r>
  <r>
    <s v="806723119261"/>
    <n v="806723"/>
    <s v="LAXMI BUILDING MATERIAL SUPPLI"/>
    <n v="119261"/>
    <s v="DURGESH ENTERPRISES"/>
    <n v="50"/>
    <n v="0"/>
    <n v="53.5"/>
    <n v="53.5"/>
    <n v="51"/>
    <n v="51"/>
    <n v="76"/>
    <n v="335"/>
    <n v="47.857142857142854"/>
    <x v="5"/>
    <x v="3"/>
    <x v="1"/>
    <x v="0"/>
  </r>
  <r>
    <s v="807120119261"/>
    <n v="807120"/>
    <s v="AGARWAL SANITATION"/>
    <n v="119261"/>
    <s v="DURGESH ENTERPRISES"/>
    <n v="100.75"/>
    <n v="0"/>
    <n v="0"/>
    <n v="107"/>
    <n v="100"/>
    <n v="102"/>
    <n v="107.8"/>
    <n v="517.54999999999995"/>
    <n v="73.935714285714283"/>
    <x v="3"/>
    <x v="3"/>
    <x v="1"/>
    <x v="0"/>
  </r>
  <r>
    <s v="807203119261"/>
    <n v="807203"/>
    <s v="GAGAN TRADERS"/>
    <n v="119261"/>
    <s v="DURGESH ENTERPRISES"/>
    <n v="0"/>
    <n v="0"/>
    <n v="0"/>
    <n v="14"/>
    <n v="1"/>
    <n v="1"/>
    <n v="0"/>
    <n v="16"/>
    <n v="2.2857142857142856"/>
    <x v="1"/>
    <x v="3"/>
    <x v="1"/>
    <x v="0"/>
  </r>
  <r>
    <s v="807353119261"/>
    <n v="807353"/>
    <s v="AGRWAL TRADERS"/>
    <n v="119261"/>
    <s v="DURGESH ENTERPRISES"/>
    <n v="101.15"/>
    <n v="0"/>
    <n v="101"/>
    <n v="102"/>
    <n v="52.5"/>
    <n v="50"/>
    <n v="100"/>
    <n v="506.65"/>
    <n v="72.378571428571419"/>
    <x v="3"/>
    <x v="3"/>
    <x v="1"/>
    <x v="0"/>
  </r>
  <r>
    <s v="807889119261"/>
    <n v="807889"/>
    <s v="GUPTA BUILDING MATERIAL SUPPLI"/>
    <n v="119261"/>
    <s v="DURGESH ENTERPRISES"/>
    <n v="50"/>
    <n v="0"/>
    <n v="51"/>
    <n v="77"/>
    <n v="51.25"/>
    <n v="60"/>
    <n v="83"/>
    <n v="372.25"/>
    <n v="53.178571428571431"/>
    <x v="3"/>
    <x v="3"/>
    <x v="1"/>
    <x v="0"/>
  </r>
  <r>
    <s v="809579119261"/>
    <n v="809579"/>
    <s v="TAMBI TRADING CO"/>
    <n v="119261"/>
    <s v="DURGESH ENTERPRISES"/>
    <n v="100"/>
    <n v="58"/>
    <n v="101"/>
    <n v="142"/>
    <n v="58.5"/>
    <n v="102"/>
    <n v="111"/>
    <n v="672.5"/>
    <n v="96.071428571428569"/>
    <x v="3"/>
    <x v="3"/>
    <x v="1"/>
    <x v="0"/>
  </r>
  <r>
    <s v="810242119261"/>
    <n v="810242"/>
    <s v="GOYAL TRADERS"/>
    <n v="119261"/>
    <s v="DURGESH ENTERPRISES"/>
    <n v="343.75"/>
    <n v="117.25"/>
    <n v="141.25"/>
    <n v="255.75"/>
    <n v="542"/>
    <n v="1008.2"/>
    <n v="290"/>
    <n v="2698.2"/>
    <n v="385.45714285714286"/>
    <x v="3"/>
    <x v="3"/>
    <x v="1"/>
    <x v="0"/>
  </r>
  <r>
    <s v="810684119261"/>
    <n v="810684"/>
    <s v="CHANDER TIMBER DEPOT"/>
    <n v="119261"/>
    <s v="DURGESH ENTERPRISES"/>
    <n v="0"/>
    <n v="0"/>
    <n v="0"/>
    <n v="11"/>
    <n v="0"/>
    <n v="0"/>
    <n v="26"/>
    <n v="37"/>
    <n v="5.2857142857142856"/>
    <x v="1"/>
    <x v="3"/>
    <x v="1"/>
    <x v="0"/>
  </r>
  <r>
    <s v="810830119261"/>
    <n v="810830"/>
    <s v="SUMAN ENTERPRISES"/>
    <n v="119261"/>
    <s v="DURGESH ENTERPRISES"/>
    <n v="30"/>
    <n v="0"/>
    <n v="0"/>
    <n v="16.5"/>
    <n v="21"/>
    <n v="22.5"/>
    <n v="0"/>
    <n v="90"/>
    <n v="12.857142857142858"/>
    <x v="2"/>
    <x v="3"/>
    <x v="1"/>
    <x v="0"/>
  </r>
  <r>
    <s v="814290119261"/>
    <n v="814290"/>
    <s v="SUIWAL BROTHERS"/>
    <n v="119261"/>
    <s v="DURGESH ENTERPRISES"/>
    <n v="100"/>
    <n v="105"/>
    <n v="50"/>
    <n v="137"/>
    <n v="121.5"/>
    <n v="113.5"/>
    <n v="77.75"/>
    <n v="704.75"/>
    <n v="100.67857142857143"/>
    <x v="3"/>
    <x v="3"/>
    <x v="1"/>
    <x v="0"/>
  </r>
  <r>
    <s v="815646119261"/>
    <n v="815646"/>
    <s v="KHANDELWAL TRADERS"/>
    <n v="119261"/>
    <s v="DURGESH ENTERPRISES"/>
    <n v="0"/>
    <n v="0"/>
    <n v="0"/>
    <n v="0"/>
    <n v="51"/>
    <n v="0"/>
    <n v="42"/>
    <n v="93"/>
    <n v="13.285714285714286"/>
    <x v="2"/>
    <x v="3"/>
    <x v="1"/>
    <x v="0"/>
  </r>
  <r>
    <s v="815647119261"/>
    <n v="815647"/>
    <s v="KHANDELWAL AGENCY"/>
    <n v="119261"/>
    <s v="DURGESH ENTERPRISES"/>
    <n v="0"/>
    <n v="0"/>
    <n v="0"/>
    <n v="0"/>
    <n v="22.75"/>
    <n v="0"/>
    <n v="10"/>
    <n v="32.75"/>
    <n v="4.6785714285714288"/>
    <x v="1"/>
    <x v="3"/>
    <x v="1"/>
    <x v="0"/>
  </r>
  <r>
    <s v="815658119261"/>
    <n v="815658"/>
    <s v="SHASHI ENTERPRISES"/>
    <n v="119261"/>
    <s v="DURGESH ENTERPRISES"/>
    <n v="0"/>
    <n v="0"/>
    <n v="0"/>
    <n v="0"/>
    <n v="57.75"/>
    <n v="75"/>
    <n v="51"/>
    <n v="183.75"/>
    <n v="26.25"/>
    <x v="0"/>
    <x v="3"/>
    <x v="1"/>
    <x v="0"/>
  </r>
  <r>
    <s v="815672119261"/>
    <n v="815672"/>
    <s v="J KUMAR &amp; COMPANY"/>
    <n v="119261"/>
    <s v="DURGESH ENTERPRISES"/>
    <n v="0"/>
    <n v="0"/>
    <n v="0"/>
    <n v="0"/>
    <n v="51"/>
    <n v="0"/>
    <n v="51"/>
    <n v="102"/>
    <n v="14.571428571428571"/>
    <x v="2"/>
    <x v="3"/>
    <x v="1"/>
    <x v="0"/>
  </r>
  <r>
    <s v="804935122537"/>
    <n v="804935"/>
    <s v="SHREE SHYAM TRADERS"/>
    <n v="122537"/>
    <s v="SARASWATI TRADERS"/>
    <n v="38.450000000000003"/>
    <n v="5"/>
    <n v="56.25"/>
    <n v="84.75"/>
    <n v="137.5"/>
    <n v="85.25"/>
    <n v="72.5"/>
    <n v="479.7"/>
    <n v="68.528571428571425"/>
    <x v="3"/>
    <x v="3"/>
    <x v="1"/>
    <x v="0"/>
  </r>
  <r>
    <s v="808937125022"/>
    <n v="808937"/>
    <s v="R K TRADERS"/>
    <n v="125022"/>
    <s v="SHIV CEMENT AGENCY"/>
    <n v="10"/>
    <n v="28.5"/>
    <n v="63"/>
    <n v="47.5"/>
    <n v="55"/>
    <n v="34"/>
    <n v="40"/>
    <n v="278"/>
    <n v="39.714285714285715"/>
    <x v="4"/>
    <x v="3"/>
    <x v="1"/>
    <x v="0"/>
  </r>
  <r>
    <s v="814651141146"/>
    <n v="814651"/>
    <s v="SHREE SHYAM BUILDING MATERIAL"/>
    <n v="141146"/>
    <s v="KEDIA TRADING COMPANY"/>
    <n v="77.25"/>
    <n v="78.5"/>
    <n v="101.25"/>
    <n v="58"/>
    <n v="73"/>
    <n v="55.25"/>
    <n v="32"/>
    <n v="475.25"/>
    <n v="67.892857142857139"/>
    <x v="3"/>
    <x v="3"/>
    <x v="1"/>
    <x v="0"/>
  </r>
  <r>
    <s v="806616141512"/>
    <n v="806616"/>
    <s v="SHRI SHYAM TENT HOUSE"/>
    <n v="141512"/>
    <s v="MISHRA TRADERS"/>
    <n v="28.5"/>
    <n v="74.5"/>
    <n v="101"/>
    <n v="58.55"/>
    <n v="103.5"/>
    <n v="30"/>
    <n v="46.5"/>
    <n v="442.55"/>
    <n v="63.221428571428575"/>
    <x v="3"/>
    <x v="3"/>
    <x v="1"/>
    <x v="0"/>
  </r>
  <r>
    <s v="806898141512"/>
    <n v="806898"/>
    <s v="SHIV SHANKAR BUILDING MATERIAL"/>
    <n v="141512"/>
    <s v="MISHRA TRADERS"/>
    <n v="81.5"/>
    <n v="131.44999999999999"/>
    <n v="153"/>
    <n v="118"/>
    <n v="50.75"/>
    <n v="20"/>
    <n v="54.55"/>
    <n v="609.25"/>
    <n v="87.035714285714292"/>
    <x v="3"/>
    <x v="3"/>
    <x v="1"/>
    <x v="0"/>
  </r>
  <r>
    <s v="807690141512"/>
    <n v="807690"/>
    <s v="SAPNA BUILDING MATERIAL SUPPLI"/>
    <n v="141512"/>
    <s v="MISHRA TRADERS"/>
    <n v="0"/>
    <n v="9.9499999999999993"/>
    <n v="0"/>
    <n v="0"/>
    <n v="0"/>
    <n v="2.5"/>
    <n v="0"/>
    <n v="12.45"/>
    <n v="1.7785714285714285"/>
    <x v="1"/>
    <x v="3"/>
    <x v="1"/>
    <x v="0"/>
  </r>
  <r>
    <s v="808731141512"/>
    <n v="808731"/>
    <s v="GANESH TRADERS"/>
    <n v="141512"/>
    <s v="MISHRA TRADERS"/>
    <n v="48"/>
    <n v="31"/>
    <n v="50"/>
    <n v="51"/>
    <n v="75.5"/>
    <n v="10"/>
    <n v="40.5"/>
    <n v="306"/>
    <n v="43.714285714285715"/>
    <x v="5"/>
    <x v="3"/>
    <x v="1"/>
    <x v="0"/>
  </r>
  <r>
    <s v="810821141512"/>
    <n v="810821"/>
    <s v="S R TRADERS"/>
    <n v="141512"/>
    <s v="MISHRA TRADERS"/>
    <n v="10"/>
    <n v="3"/>
    <n v="50"/>
    <n v="51"/>
    <n v="22.5"/>
    <n v="25"/>
    <n v="25"/>
    <n v="186.5"/>
    <n v="26.642857142857142"/>
    <x v="0"/>
    <x v="3"/>
    <x v="1"/>
    <x v="0"/>
  </r>
  <r>
    <s v="811639141512"/>
    <n v="811639"/>
    <s v="SAPNA TRADERS"/>
    <n v="141512"/>
    <s v="MISHRA TRADERS"/>
    <n v="30"/>
    <n v="5"/>
    <n v="25"/>
    <n v="33"/>
    <n v="67.699999999999989"/>
    <n v="51.75"/>
    <n v="33.049999999999997"/>
    <n v="245.5"/>
    <n v="35.071428571428569"/>
    <x v="4"/>
    <x v="3"/>
    <x v="1"/>
    <x v="0"/>
  </r>
  <r>
    <s v="814097141512"/>
    <n v="814097"/>
    <s v="HARI OM TRADERS"/>
    <n v="141512"/>
    <s v="MISHRA TRADERS"/>
    <n v="34"/>
    <n v="40.5"/>
    <n v="75"/>
    <n v="51"/>
    <n v="47.5"/>
    <n v="24.75"/>
    <n v="42"/>
    <n v="314.75"/>
    <n v="44.964285714285715"/>
    <x v="5"/>
    <x v="3"/>
    <x v="1"/>
    <x v="0"/>
  </r>
  <r>
    <s v="814528141512"/>
    <n v="814528"/>
    <s v="SHIVANSH TRADERS"/>
    <n v="141512"/>
    <s v="MISHRA TRADERS"/>
    <n v="186"/>
    <n v="156"/>
    <n v="180"/>
    <n v="162.44999999999999"/>
    <n v="90.5"/>
    <n v="32.35"/>
    <n v="130"/>
    <n v="937.30000000000007"/>
    <n v="133.9"/>
    <x v="3"/>
    <x v="3"/>
    <x v="1"/>
    <x v="0"/>
  </r>
  <r>
    <s v="814541141512"/>
    <n v="814541"/>
    <s v="RUDRA TRADERS"/>
    <n v="141512"/>
    <s v="MISHRA TRADERS"/>
    <n v="30"/>
    <n v="4.75"/>
    <n v="20"/>
    <n v="0"/>
    <n v="13.8"/>
    <n v="5"/>
    <n v="30"/>
    <n v="103.55"/>
    <n v="14.792857142857143"/>
    <x v="2"/>
    <x v="3"/>
    <x v="1"/>
    <x v="0"/>
  </r>
  <r>
    <s v="807065143301"/>
    <n v="807065"/>
    <s v="KUMAWAT CEMENT AGENCY"/>
    <n v="143301"/>
    <s v="LAXMI TRADERS"/>
    <n v="51.95"/>
    <n v="0"/>
    <n v="75.349999999999994"/>
    <n v="64.5"/>
    <n v="10"/>
    <n v="84.5"/>
    <n v="20"/>
    <n v="306.3"/>
    <n v="43.75714285714286"/>
    <x v="5"/>
    <x v="3"/>
    <x v="1"/>
    <x v="0"/>
  </r>
  <r>
    <s v="803877143416"/>
    <n v="803877"/>
    <s v="LOKESH BUILDING MATERIAL"/>
    <n v="143416"/>
    <s v="ANKIT AGENCIES"/>
    <n v="5"/>
    <n v="6.75"/>
    <n v="12.25"/>
    <n v="22.5"/>
    <n v="0"/>
    <n v="0"/>
    <n v="0"/>
    <n v="46.5"/>
    <n v="6.6428571428571432"/>
    <x v="1"/>
    <x v="3"/>
    <x v="1"/>
    <x v="0"/>
  </r>
  <r>
    <s v="814503143416"/>
    <n v="814503"/>
    <s v="CHHITAR MAL KUMAWAT"/>
    <n v="143416"/>
    <s v="ANKIT AGENCIES"/>
    <n v="0"/>
    <n v="0"/>
    <n v="0"/>
    <n v="10"/>
    <n v="0"/>
    <n v="0"/>
    <n v="0"/>
    <n v="10"/>
    <n v="1.4285714285714286"/>
    <x v="1"/>
    <x v="3"/>
    <x v="1"/>
    <x v="0"/>
  </r>
  <r>
    <s v="814521143416"/>
    <n v="814521"/>
    <s v="TEENA BUILDING MATERIAL SUPPLI"/>
    <n v="143416"/>
    <s v="ANKIT AGENCIES"/>
    <n v="93.35"/>
    <n v="62.75"/>
    <n v="71.75"/>
    <n v="109.5"/>
    <n v="128.5"/>
    <n v="116.5"/>
    <n v="38"/>
    <n v="620.35"/>
    <n v="88.621428571428581"/>
    <x v="3"/>
    <x v="3"/>
    <x v="1"/>
    <x v="0"/>
  </r>
  <r>
    <s v="809918144868"/>
    <n v="809918"/>
    <s v="SHRI LAXMI AGENCIES"/>
    <n v="144868"/>
    <s v="ASHISH SALES CORPORATION"/>
    <n v="81"/>
    <n v="15"/>
    <n v="62"/>
    <n v="149.25"/>
    <n v="100.5"/>
    <n v="34"/>
    <n v="88.25"/>
    <n v="530"/>
    <n v="75.714285714285708"/>
    <x v="3"/>
    <x v="3"/>
    <x v="1"/>
    <x v="0"/>
  </r>
  <r>
    <s v="811251144868"/>
    <n v="811251"/>
    <s v="VIVEK ENTERPRISES"/>
    <n v="144868"/>
    <s v="ASHISH SALES CORPORATION"/>
    <n v="8"/>
    <n v="0"/>
    <n v="5"/>
    <n v="5"/>
    <n v="10"/>
    <n v="0"/>
    <n v="5"/>
    <n v="33"/>
    <n v="4.7142857142857144"/>
    <x v="1"/>
    <x v="3"/>
    <x v="1"/>
    <x v="0"/>
  </r>
  <r>
    <s v="812072144868"/>
    <n v="812072"/>
    <s v="ANUPAM PAINTS AND HARDWARES"/>
    <n v="144868"/>
    <s v="ASHISH SALES CORPORATION"/>
    <n v="5"/>
    <n v="2.5"/>
    <n v="0"/>
    <n v="5"/>
    <n v="15"/>
    <n v="0"/>
    <n v="0"/>
    <n v="27.5"/>
    <n v="3.9285714285714284"/>
    <x v="1"/>
    <x v="3"/>
    <x v="1"/>
    <x v="0"/>
  </r>
  <r>
    <s v="813800144868"/>
    <n v="813800"/>
    <s v="SHAKUN ENTERPRISES"/>
    <n v="144868"/>
    <s v="ASHISH SALES CORPORATION"/>
    <n v="0"/>
    <n v="7.5"/>
    <n v="27"/>
    <n v="5"/>
    <n v="12.5"/>
    <n v="12.5"/>
    <n v="0"/>
    <n v="64.5"/>
    <n v="9.2142857142857135"/>
    <x v="1"/>
    <x v="3"/>
    <x v="1"/>
    <x v="0"/>
  </r>
  <r>
    <s v="816351145135"/>
    <n v="816351"/>
    <s v="PRIYANKA ENTERPRISES"/>
    <n v="145135"/>
    <s v="AHUJA CEMENT &amp; SANITARYWARE"/>
    <n v="0"/>
    <n v="0"/>
    <n v="0"/>
    <n v="0"/>
    <n v="0"/>
    <n v="41"/>
    <n v="70.400000000000006"/>
    <n v="111.4"/>
    <n v="15.914285714285715"/>
    <x v="2"/>
    <x v="3"/>
    <x v="1"/>
    <x v="0"/>
  </r>
  <r>
    <s v="811401145639"/>
    <n v="811401"/>
    <s v="KAMAL SINGH GURJAR"/>
    <n v="145639"/>
    <s v="GOVIND TRADERS"/>
    <n v="0"/>
    <n v="0"/>
    <n v="0"/>
    <n v="4"/>
    <n v="21"/>
    <n v="9"/>
    <n v="0"/>
    <n v="34"/>
    <n v="4.8571428571428568"/>
    <x v="1"/>
    <x v="3"/>
    <x v="1"/>
    <x v="0"/>
  </r>
  <r>
    <s v="812102145639"/>
    <n v="812102"/>
    <s v="RIYA TRADERS"/>
    <n v="145639"/>
    <s v="GOVIND TRADERS"/>
    <n v="10"/>
    <n v="10.5"/>
    <n v="27.75"/>
    <n v="12"/>
    <n v="21"/>
    <n v="19"/>
    <n v="9.5"/>
    <n v="109.75"/>
    <n v="15.678571428571429"/>
    <x v="2"/>
    <x v="3"/>
    <x v="1"/>
    <x v="0"/>
  </r>
  <r>
    <s v="812161145639"/>
    <n v="812161"/>
    <s v="ARPIT TRADERS"/>
    <n v="145639"/>
    <s v="GOVIND TRADERS"/>
    <n v="68"/>
    <n v="50"/>
    <n v="114.5"/>
    <n v="93.5"/>
    <n v="127.75"/>
    <n v="110.5"/>
    <n v="41"/>
    <n v="605.25"/>
    <n v="86.464285714285708"/>
    <x v="3"/>
    <x v="3"/>
    <x v="1"/>
    <x v="0"/>
  </r>
  <r>
    <s v="805005146845"/>
    <n v="805005"/>
    <s v="NETA ELECTRICALS"/>
    <n v="146845"/>
    <s v="SHARDA TRADERS"/>
    <n v="52"/>
    <n v="32.5"/>
    <n v="40"/>
    <n v="73.099999999999994"/>
    <n v="58.25"/>
    <n v="44.45"/>
    <n v="25"/>
    <n v="325.3"/>
    <n v="46.471428571428575"/>
    <x v="5"/>
    <x v="3"/>
    <x v="1"/>
    <x v="0"/>
  </r>
  <r>
    <s v="807121146845"/>
    <n v="807121"/>
    <s v="SHARDA ENTERPRISES"/>
    <n v="146845"/>
    <s v="SHARDA TRADERS"/>
    <n v="98"/>
    <n v="107.25"/>
    <n v="138.5"/>
    <n v="82.4"/>
    <n v="77.05"/>
    <n v="92.75"/>
    <n v="45"/>
    <n v="640.95000000000005"/>
    <n v="91.564285714285717"/>
    <x v="3"/>
    <x v="3"/>
    <x v="1"/>
    <x v="0"/>
  </r>
  <r>
    <s v="812425146909"/>
    <n v="812425"/>
    <s v="KUSHAL TRADING COMPANY"/>
    <n v="146909"/>
    <s v="AMERIA BUILDING MATERIAL"/>
    <n v="129.44999999999999"/>
    <n v="35"/>
    <n v="170.5"/>
    <n v="186"/>
    <n v="190"/>
    <n v="110.5"/>
    <n v="11.25"/>
    <n v="832.7"/>
    <n v="118.95714285714287"/>
    <x v="3"/>
    <x v="3"/>
    <x v="1"/>
    <x v="0"/>
  </r>
  <r>
    <s v="813149149583"/>
    <n v="813149"/>
    <s v="RAVITA TRADERS"/>
    <n v="149583"/>
    <s v="M A TRADING COMPANY"/>
    <n v="50.5"/>
    <n v="50"/>
    <n v="66"/>
    <n v="42"/>
    <n v="31.5"/>
    <n v="20"/>
    <n v="19"/>
    <n v="279"/>
    <n v="39.857142857142854"/>
    <x v="4"/>
    <x v="3"/>
    <x v="1"/>
    <x v="0"/>
  </r>
  <r>
    <s v="812883149825"/>
    <n v="812883"/>
    <s v="MARUTI ENTERPRISES"/>
    <n v="149825"/>
    <s v="MISHRA CEMENT AGENCIES"/>
    <n v="26"/>
    <n v="10"/>
    <n v="35"/>
    <n v="40"/>
    <n v="63.5"/>
    <n v="20"/>
    <n v="15"/>
    <n v="209.5"/>
    <n v="29.928571428571427"/>
    <x v="0"/>
    <x v="3"/>
    <x v="1"/>
    <x v="0"/>
  </r>
  <r>
    <s v="811862149872"/>
    <n v="811862"/>
    <s v="AKHIL AGARWAL"/>
    <n v="149872"/>
    <s v="GD ASSOCIATES"/>
    <n v="77"/>
    <n v="35"/>
    <n v="126"/>
    <n v="160"/>
    <n v="181.75"/>
    <n v="150.5"/>
    <n v="25.4"/>
    <n v="755.65"/>
    <n v="107.95"/>
    <x v="3"/>
    <x v="3"/>
    <x v="1"/>
    <x v="0"/>
  </r>
  <r>
    <s v="807780149893"/>
    <n v="807780"/>
    <s v="BALAJI TRADERS"/>
    <n v="149893"/>
    <s v="DRASHTIKA ENTERPRISES"/>
    <n v="33.5"/>
    <n v="22.5"/>
    <n v="49.75"/>
    <n v="35"/>
    <n v="56.5"/>
    <n v="78.75"/>
    <n v="41"/>
    <n v="317"/>
    <n v="45.285714285714285"/>
    <x v="5"/>
    <x v="3"/>
    <x v="1"/>
    <x v="0"/>
  </r>
  <r>
    <s v="807142171947"/>
    <n v="807142"/>
    <s v="R S TRADERS"/>
    <n v="171947"/>
    <s v="M.N.ASSOCIATES"/>
    <n v="61.5"/>
    <n v="76.75"/>
    <n v="62.5"/>
    <n v="109.65"/>
    <n v="116.5"/>
    <n v="130"/>
    <n v="48.75"/>
    <n v="605.65"/>
    <n v="86.521428571428572"/>
    <x v="3"/>
    <x v="3"/>
    <x v="1"/>
    <x v="0"/>
  </r>
  <r>
    <s v="807202171947"/>
    <n v="807202"/>
    <s v="SHREE RADHIKA TRADERS"/>
    <n v="171947"/>
    <s v="M.N.ASSOCIATES"/>
    <n v="40"/>
    <n v="0"/>
    <n v="5"/>
    <n v="20"/>
    <n v="27.5"/>
    <n v="20.5"/>
    <n v="12.5"/>
    <n v="125.5"/>
    <n v="17.928571428571427"/>
    <x v="2"/>
    <x v="3"/>
    <x v="1"/>
    <x v="0"/>
  </r>
  <r>
    <s v="809618171947"/>
    <n v="809618"/>
    <s v="PUNJABI BUILDING MATERIALS"/>
    <n v="171947"/>
    <s v="M.N.ASSOCIATES"/>
    <n v="55"/>
    <n v="23.5"/>
    <n v="37.5"/>
    <n v="82.5"/>
    <n v="107.5"/>
    <n v="93"/>
    <n v="35.25"/>
    <n v="434.25"/>
    <n v="62.035714285714285"/>
    <x v="3"/>
    <x v="3"/>
    <x v="1"/>
    <x v="0"/>
  </r>
  <r>
    <s v="809917172150"/>
    <n v="809917"/>
    <s v="HIMANI ASSOCIATES"/>
    <n v="172150"/>
    <s v="GHODELA BUILDING MATERIAL AND"/>
    <n v="51.8"/>
    <n v="33.25"/>
    <n v="65"/>
    <n v="94"/>
    <n v="117.75"/>
    <n v="148.5"/>
    <n v="75.75"/>
    <n v="586.04999999999995"/>
    <n v="83.721428571428561"/>
    <x v="3"/>
    <x v="3"/>
    <x v="1"/>
    <x v="0"/>
  </r>
  <r>
    <s v="814942172150"/>
    <n v="814942"/>
    <s v="RAJESH BUILDING MATERIAL AND S"/>
    <n v="172150"/>
    <s v="GHODELA BUILDING MATERIAL AND"/>
    <n v="17.75"/>
    <n v="30"/>
    <n v="35.75"/>
    <n v="65"/>
    <n v="57"/>
    <n v="40.5"/>
    <n v="17"/>
    <n v="263"/>
    <n v="37.571428571428569"/>
    <x v="4"/>
    <x v="3"/>
    <x v="1"/>
    <x v="0"/>
  </r>
  <r>
    <s v="803698172976"/>
    <n v="803698"/>
    <s v="RAVI SHANKAR SAINI"/>
    <n v="172976"/>
    <s v="SHRI RAM BUILDING MATERIAL"/>
    <n v="0"/>
    <n v="5"/>
    <n v="21"/>
    <n v="17.5"/>
    <n v="53"/>
    <n v="1"/>
    <n v="32.5"/>
    <n v="130"/>
    <n v="18.571428571428573"/>
    <x v="2"/>
    <x v="3"/>
    <x v="1"/>
    <x v="0"/>
  </r>
  <r>
    <s v="809534174445"/>
    <n v="809534"/>
    <s v="SATTGURU BUILDING MATERIAL SUP"/>
    <n v="174445"/>
    <s v="RAM JI BUILDING MATERIAL SUPPL"/>
    <n v="14.5"/>
    <n v="26.25"/>
    <n v="22.5"/>
    <n v="39.200000000000003"/>
    <n v="15"/>
    <n v="51.5"/>
    <n v="20"/>
    <n v="188.95"/>
    <n v="26.99285714285714"/>
    <x v="0"/>
    <x v="3"/>
    <x v="1"/>
    <x v="0"/>
  </r>
  <r>
    <s v="811183174445"/>
    <n v="811183"/>
    <s v="SHARMA BUILDING MATERIAL SUPPL"/>
    <n v="174445"/>
    <s v="RAM JI BUILDING MATERIAL SUPPL"/>
    <n v="16"/>
    <n v="22.5"/>
    <n v="15"/>
    <n v="54"/>
    <n v="20"/>
    <n v="19"/>
    <n v="10"/>
    <n v="156.5"/>
    <n v="22.357142857142858"/>
    <x v="0"/>
    <x v="3"/>
    <x v="1"/>
    <x v="0"/>
  </r>
  <r>
    <s v="812142174445"/>
    <n v="812142"/>
    <s v="GURUKRIPA SUPPLIERS"/>
    <n v="174445"/>
    <s v="RAM JI BUILDING MATERIAL SUPPL"/>
    <n v="14.5"/>
    <n v="15"/>
    <n v="20.5"/>
    <n v="38"/>
    <n v="15"/>
    <n v="19"/>
    <n v="10"/>
    <n v="132"/>
    <n v="18.857142857142858"/>
    <x v="2"/>
    <x v="3"/>
    <x v="1"/>
    <x v="0"/>
  </r>
  <r>
    <s v="812196174445"/>
    <n v="812196"/>
    <s v="SHREE KALYAN BUILDING MATERIAL"/>
    <n v="174445"/>
    <s v="RAM JI BUILDING MATERIAL SUPPL"/>
    <n v="0"/>
    <n v="15"/>
    <n v="20"/>
    <n v="42.5"/>
    <n v="20"/>
    <n v="19"/>
    <n v="10"/>
    <n v="126.5"/>
    <n v="18.071428571428573"/>
    <x v="2"/>
    <x v="3"/>
    <x v="1"/>
    <x v="0"/>
  </r>
  <r>
    <s v="812237174445"/>
    <n v="812237"/>
    <s v="MEENA BUILDING MATERIAL SUPPLI"/>
    <n v="174445"/>
    <s v="RAM JI BUILDING MATERIAL SUPPL"/>
    <n v="15.6"/>
    <n v="23.75"/>
    <n v="27.5"/>
    <n v="40"/>
    <n v="20.5"/>
    <n v="74.5"/>
    <n v="10"/>
    <n v="211.85"/>
    <n v="30.264285714285712"/>
    <x v="4"/>
    <x v="3"/>
    <x v="1"/>
    <x v="0"/>
  </r>
  <r>
    <s v="814248174693"/>
    <n v="814248"/>
    <s v="SITARAM INFRA PROJECTS"/>
    <n v="174693"/>
    <s v="SHARMA SALES CORPORATION"/>
    <n v="39"/>
    <n v="0"/>
    <n v="0"/>
    <n v="0"/>
    <n v="0"/>
    <n v="0"/>
    <n v="0"/>
    <n v="39"/>
    <n v="5.5714285714285712"/>
    <x v="1"/>
    <x v="3"/>
    <x v="1"/>
    <x v="0"/>
  </r>
  <r>
    <s v="803018176276"/>
    <n v="803018"/>
    <s v="SHARMA BUILDING MATERIAL SUPPL"/>
    <n v="176276"/>
    <s v="LAXMI BUILDING MATERIAL STORE"/>
    <n v="25"/>
    <n v="10"/>
    <n v="5"/>
    <n v="17.5"/>
    <n v="10"/>
    <n v="5"/>
    <n v="5"/>
    <n v="77.5"/>
    <n v="11.071428571428571"/>
    <x v="2"/>
    <x v="3"/>
    <x v="1"/>
    <x v="0"/>
  </r>
  <r>
    <s v="805378176276"/>
    <n v="805378"/>
    <s v="BANWARI LAL KUMHAR"/>
    <n v="176276"/>
    <s v="LAXMI BUILDING MATERIAL STORE"/>
    <n v="47.5"/>
    <n v="50"/>
    <n v="66"/>
    <n v="80.5"/>
    <n v="100"/>
    <n v="100"/>
    <n v="31"/>
    <n v="475"/>
    <n v="67.857142857142861"/>
    <x v="3"/>
    <x v="3"/>
    <x v="1"/>
    <x v="0"/>
  </r>
  <r>
    <s v="813271176276"/>
    <n v="813271"/>
    <s v="PRAJAPAT CEMENT AGENCY"/>
    <n v="176276"/>
    <s v="LAXMI BUILDING MATERIAL STORE"/>
    <n v="35"/>
    <n v="50"/>
    <n v="45"/>
    <n v="66.5"/>
    <n v="70"/>
    <n v="43"/>
    <n v="10"/>
    <n v="319.5"/>
    <n v="45.642857142857146"/>
    <x v="5"/>
    <x v="3"/>
    <x v="1"/>
    <x v="0"/>
  </r>
  <r>
    <s v="807416176279"/>
    <n v="807416"/>
    <s v="JAI SHREE SHYAM TRADERS"/>
    <n v="176279"/>
    <s v="ADITYA ENTERPRISES"/>
    <n v="57.85"/>
    <n v="9"/>
    <n v="55.5"/>
    <n v="70"/>
    <n v="117.5"/>
    <n v="83.5"/>
    <n v="33.5"/>
    <n v="426.85"/>
    <n v="60.978571428571435"/>
    <x v="3"/>
    <x v="3"/>
    <x v="1"/>
    <x v="0"/>
  </r>
  <r>
    <s v="811455176279"/>
    <n v="811455"/>
    <s v="MADAN SANITATION"/>
    <n v="176279"/>
    <s v="ADITYA ENTERPRISES"/>
    <n v="5"/>
    <n v="10"/>
    <n v="31.25"/>
    <n v="27.5"/>
    <n v="50"/>
    <n v="50.5"/>
    <n v="5"/>
    <n v="179.25"/>
    <n v="25.607142857142858"/>
    <x v="0"/>
    <x v="3"/>
    <x v="1"/>
    <x v="0"/>
  </r>
  <r>
    <s v="811535176279"/>
    <n v="811535"/>
    <s v="SHREE BALAJI BUILDING MATERIAL"/>
    <n v="176279"/>
    <s v="ADITYA ENTERPRISES"/>
    <n v="0"/>
    <n v="11"/>
    <n v="5"/>
    <n v="38.5"/>
    <n v="17.5"/>
    <n v="10"/>
    <n v="0"/>
    <n v="82"/>
    <n v="11.714285714285714"/>
    <x v="2"/>
    <x v="3"/>
    <x v="1"/>
    <x v="0"/>
  </r>
  <r>
    <s v="812428176279"/>
    <n v="812428"/>
    <s v="SHREE JI HARDWARE &amp; SANITARY"/>
    <n v="176279"/>
    <s v="ADITYA ENTERPRISES"/>
    <n v="30.25"/>
    <n v="14.3"/>
    <n v="32.450000000000003"/>
    <n v="17.5"/>
    <n v="20"/>
    <n v="0"/>
    <n v="0"/>
    <n v="114.5"/>
    <n v="16.357142857142858"/>
    <x v="2"/>
    <x v="3"/>
    <x v="1"/>
    <x v="0"/>
  </r>
  <r>
    <s v="807122176303"/>
    <n v="807122"/>
    <s v="NANDINI TIMBER &amp; BUILDING MATE"/>
    <n v="176303"/>
    <s v="ASHISH TRADERS"/>
    <n v="13.5"/>
    <n v="20"/>
    <n v="15.75"/>
    <n v="8.5"/>
    <n v="25"/>
    <n v="35"/>
    <n v="15"/>
    <n v="132.75"/>
    <n v="18.964285714285715"/>
    <x v="2"/>
    <x v="3"/>
    <x v="1"/>
    <x v="0"/>
  </r>
  <r>
    <s v="807368176303"/>
    <n v="807368"/>
    <s v="SHRI SHYAM TRADERS"/>
    <n v="176303"/>
    <s v="ASHISH TRADERS"/>
    <n v="0"/>
    <n v="15"/>
    <n v="0"/>
    <n v="0"/>
    <n v="7.5"/>
    <n v="16"/>
    <n v="0"/>
    <n v="38.5"/>
    <n v="5.5"/>
    <x v="1"/>
    <x v="3"/>
    <x v="1"/>
    <x v="0"/>
  </r>
  <r>
    <s v="809479176303"/>
    <n v="809479"/>
    <s v="SHRI MINESH CONSTRUCTION COMPA"/>
    <n v="176303"/>
    <s v="ASHISH TRADERS"/>
    <n v="17.5"/>
    <n v="25.5"/>
    <n v="43.75"/>
    <n v="53.5"/>
    <n v="47.5"/>
    <n v="30"/>
    <n v="31.25"/>
    <n v="249"/>
    <n v="35.571428571428569"/>
    <x v="4"/>
    <x v="3"/>
    <x v="1"/>
    <x v="0"/>
  </r>
  <r>
    <s v="811243176303"/>
    <n v="811243"/>
    <s v="ANKIT TRADERS &amp; CONSTRUCTION"/>
    <n v="176303"/>
    <s v="ASHISH TRADERS"/>
    <n v="0"/>
    <n v="40"/>
    <n v="0"/>
    <n v="0"/>
    <n v="0"/>
    <n v="0"/>
    <n v="2.5"/>
    <n v="42.5"/>
    <n v="6.0714285714285712"/>
    <x v="1"/>
    <x v="3"/>
    <x v="1"/>
    <x v="0"/>
  </r>
  <r>
    <s v="813195176303"/>
    <n v="813195"/>
    <s v="YOGESH AGENCY"/>
    <n v="176303"/>
    <s v="ASHISH TRADERS"/>
    <n v="0"/>
    <n v="25"/>
    <n v="0"/>
    <n v="2.5"/>
    <n v="2.5"/>
    <n v="16"/>
    <n v="0"/>
    <n v="46"/>
    <n v="6.5714285714285712"/>
    <x v="1"/>
    <x v="3"/>
    <x v="1"/>
    <x v="0"/>
  </r>
  <r>
    <s v="814284176303"/>
    <n v="814284"/>
    <s v="SHREE TRADING COMPANY"/>
    <n v="176303"/>
    <s v="ASHISH TRADERS"/>
    <n v="0"/>
    <n v="20"/>
    <n v="62.5"/>
    <n v="43"/>
    <n v="32.5"/>
    <n v="23.5"/>
    <n v="19.5"/>
    <n v="201"/>
    <n v="28.714285714285715"/>
    <x v="0"/>
    <x v="3"/>
    <x v="1"/>
    <x v="0"/>
  </r>
  <r>
    <s v="812546176388"/>
    <n v="812546"/>
    <s v="MADHAV TRADERS"/>
    <n v="176388"/>
    <s v="KUMAWAT TRADERS"/>
    <n v="25"/>
    <n v="5"/>
    <n v="15"/>
    <n v="15"/>
    <n v="20"/>
    <n v="22.5"/>
    <n v="15"/>
    <n v="117.5"/>
    <n v="16.785714285714285"/>
    <x v="2"/>
    <x v="3"/>
    <x v="1"/>
    <x v="0"/>
  </r>
  <r>
    <s v="807781176647"/>
    <n v="807781"/>
    <s v="BALAJI TRADERS"/>
    <n v="176647"/>
    <s v="SHREE RIDDHI SIDDHI TRADERS"/>
    <n v="45.5"/>
    <n v="21"/>
    <n v="35"/>
    <n v="73"/>
    <n v="65.5"/>
    <n v="94.5"/>
    <n v="0"/>
    <n v="334.5"/>
    <n v="47.785714285714285"/>
    <x v="5"/>
    <x v="3"/>
    <x v="1"/>
    <x v="0"/>
  </r>
  <r>
    <s v="809330176647"/>
    <n v="809330"/>
    <s v="AGRAWAL PLYWOOD AND TIMBER"/>
    <n v="176647"/>
    <s v="SHREE RIDDHI SIDDHI TRADERS"/>
    <n v="2"/>
    <n v="25.5"/>
    <n v="164"/>
    <n v="168.5"/>
    <n v="142.9"/>
    <n v="122.85"/>
    <n v="37.5"/>
    <n v="663.25"/>
    <n v="94.75"/>
    <x v="3"/>
    <x v="3"/>
    <x v="1"/>
    <x v="0"/>
  </r>
  <r>
    <s v="813602177603"/>
    <n v="813602"/>
    <s v="YADAV CONSTRUCTION COMPANY"/>
    <n v="177603"/>
    <s v="SEEMA BUILDING MATERIAL SUPPLI"/>
    <n v="0"/>
    <n v="0"/>
    <n v="17"/>
    <n v="1"/>
    <n v="42.5"/>
    <n v="28"/>
    <n v="14"/>
    <n v="102.5"/>
    <n v="14.642857142857142"/>
    <x v="2"/>
    <x v="3"/>
    <x v="1"/>
    <x v="0"/>
  </r>
  <r>
    <s v="811137177957"/>
    <n v="811137"/>
    <s v="AGARWAL TRADERS"/>
    <n v="177957"/>
    <s v="MITTAL AGENCY"/>
    <n v="33.5"/>
    <n v="33.75"/>
    <n v="91.75"/>
    <n v="83.5"/>
    <n v="85.5"/>
    <n v="85.5"/>
    <n v="36.9"/>
    <n v="450.4"/>
    <n v="64.342857142857142"/>
    <x v="3"/>
    <x v="3"/>
    <x v="1"/>
    <x v="0"/>
  </r>
  <r>
    <s v="813074177957"/>
    <n v="813074"/>
    <s v="JAI KARAULI MAA TRADERS"/>
    <n v="177957"/>
    <s v="MITTAL AGENCY"/>
    <n v="5"/>
    <n v="0"/>
    <n v="33"/>
    <n v="22.5"/>
    <n v="17"/>
    <n v="31.5"/>
    <n v="5.65"/>
    <n v="114.65"/>
    <n v="16.37857142857143"/>
    <x v="2"/>
    <x v="3"/>
    <x v="1"/>
    <x v="0"/>
  </r>
  <r>
    <s v="814503177957"/>
    <n v="814503"/>
    <s v="CHHITAR MAL KUMAWAT"/>
    <n v="177957"/>
    <s v="MITTAL AGENCY"/>
    <n v="26.25"/>
    <n v="0"/>
    <n v="23.5"/>
    <n v="26.6"/>
    <n v="20"/>
    <n v="30.5"/>
    <n v="0"/>
    <n v="126.85"/>
    <n v="18.12142857142857"/>
    <x v="2"/>
    <x v="3"/>
    <x v="1"/>
    <x v="0"/>
  </r>
  <r>
    <s v="810127178137"/>
    <n v="810127"/>
    <s v="KHANDELWAL TRADERS"/>
    <n v="178137"/>
    <s v="KHANDELWAL TRADING AND COMPANY"/>
    <n v="15.5"/>
    <n v="28"/>
    <n v="54.4"/>
    <n v="27.5"/>
    <n v="90.35"/>
    <n v="93.5"/>
    <n v="27.75"/>
    <n v="337"/>
    <n v="48.142857142857146"/>
    <x v="5"/>
    <x v="3"/>
    <x v="1"/>
    <x v="0"/>
  </r>
  <r>
    <s v="806289179796"/>
    <n v="806289"/>
    <s v="ABHAY CONSTRUCTION AND PROPERT"/>
    <n v="179796"/>
    <s v="VINAYAK TRADE HOME"/>
    <n v="62.5"/>
    <n v="30"/>
    <n v="61.5"/>
    <n v="33"/>
    <n v="48.25"/>
    <n v="30"/>
    <n v="36"/>
    <n v="301.25"/>
    <n v="43.035714285714285"/>
    <x v="5"/>
    <x v="3"/>
    <x v="1"/>
    <x v="0"/>
  </r>
  <r>
    <s v="806296179796"/>
    <n v="806296"/>
    <s v="MEHTA SANITARY HARDWARE"/>
    <n v="179796"/>
    <s v="VINAYAK TRADE HOME"/>
    <n v="25"/>
    <n v="23.95"/>
    <n v="27"/>
    <n v="20"/>
    <n v="32"/>
    <n v="1"/>
    <n v="15"/>
    <n v="143.94999999999999"/>
    <n v="20.564285714285713"/>
    <x v="0"/>
    <x v="3"/>
    <x v="1"/>
    <x v="0"/>
  </r>
  <r>
    <s v="810852179911"/>
    <n v="810852"/>
    <s v="ROHIT STEEL AND BUILDING MATER"/>
    <n v="179911"/>
    <s v="DIPESH STEEL AND BUILDING MATE"/>
    <n v="4"/>
    <n v="13.75"/>
    <n v="11.5"/>
    <n v="2.5"/>
    <n v="7.5"/>
    <n v="2.5"/>
    <n v="0"/>
    <n v="41.75"/>
    <n v="5.9642857142857144"/>
    <x v="1"/>
    <x v="3"/>
    <x v="1"/>
    <x v="0"/>
  </r>
  <r>
    <s v="812071179911"/>
    <n v="812071"/>
    <s v="SHRI BAJRANG STEEL &amp; CEMENT AG"/>
    <n v="179911"/>
    <s v="DIPESH STEEL AND BUILDING MATE"/>
    <n v="57.5"/>
    <n v="84.25"/>
    <n v="89.5"/>
    <n v="46.25"/>
    <n v="68"/>
    <n v="65.5"/>
    <n v="62.5"/>
    <n v="473.5"/>
    <n v="67.642857142857139"/>
    <x v="3"/>
    <x v="3"/>
    <x v="1"/>
    <x v="0"/>
  </r>
  <r>
    <s v="816314179911"/>
    <n v="816314"/>
    <s v="SHREE NEELKHANT STEEL &amp; CEMENT"/>
    <n v="179911"/>
    <s v="DIPESH STEEL AND BUILDING MATE"/>
    <n v="0"/>
    <n v="0"/>
    <n v="0"/>
    <n v="0"/>
    <n v="0"/>
    <n v="24.75"/>
    <n v="0"/>
    <n v="24.75"/>
    <n v="3.5357142857142856"/>
    <x v="1"/>
    <x v="3"/>
    <x v="1"/>
    <x v="0"/>
  </r>
  <r>
    <s v="807244201172"/>
    <n v="807244"/>
    <s v="ADITYA ENTERPRISES"/>
    <n v="201172"/>
    <s v="MAA TRADERS"/>
    <n v="96"/>
    <n v="78.5"/>
    <n v="63.3"/>
    <n v="62"/>
    <n v="39"/>
    <n v="42"/>
    <n v="100"/>
    <n v="480.8"/>
    <n v="68.685714285714283"/>
    <x v="3"/>
    <x v="3"/>
    <x v="1"/>
    <x v="0"/>
  </r>
  <r>
    <s v="807576201172"/>
    <n v="807576"/>
    <s v="SHARMA BUILDING MATERIAL SUPPL"/>
    <n v="201172"/>
    <s v="MAA TRADERS"/>
    <n v="30"/>
    <n v="5"/>
    <n v="54.5"/>
    <n v="36"/>
    <n v="28.5"/>
    <n v="5"/>
    <n v="7.5"/>
    <n v="166.5"/>
    <n v="23.785714285714285"/>
    <x v="0"/>
    <x v="3"/>
    <x v="1"/>
    <x v="0"/>
  </r>
  <r>
    <s v="808730201172"/>
    <n v="808730"/>
    <s v="NEESHA BUILDING MATERIALS"/>
    <n v="201172"/>
    <s v="MAA TRADERS"/>
    <n v="96.5"/>
    <n v="42.5"/>
    <n v="121"/>
    <n v="98"/>
    <n v="85.5"/>
    <n v="54.5"/>
    <n v="29.5"/>
    <n v="527.5"/>
    <n v="75.357142857142861"/>
    <x v="3"/>
    <x v="3"/>
    <x v="1"/>
    <x v="0"/>
  </r>
  <r>
    <s v="813820201172"/>
    <n v="813820"/>
    <s v="M K STEEL &amp; DÉCOR"/>
    <n v="201172"/>
    <s v="MAA TRADERS"/>
    <n v="18.5"/>
    <n v="29"/>
    <n v="7.5"/>
    <n v="11.25"/>
    <n v="51"/>
    <n v="33.5"/>
    <n v="2.5"/>
    <n v="153.25"/>
    <n v="21.892857142857142"/>
    <x v="0"/>
    <x v="3"/>
    <x v="1"/>
    <x v="0"/>
  </r>
  <r>
    <s v="815408201172"/>
    <n v="815408"/>
    <s v="SAINI SINGODIYA STONE SUPPLIER"/>
    <n v="201172"/>
    <s v="MAA TRADERS"/>
    <n v="0"/>
    <n v="0"/>
    <n v="0"/>
    <n v="47.5"/>
    <n v="46"/>
    <n v="17.5"/>
    <n v="10"/>
    <n v="121"/>
    <n v="17.285714285714285"/>
    <x v="2"/>
    <x v="3"/>
    <x v="1"/>
    <x v="0"/>
  </r>
  <r>
    <s v="816253201172"/>
    <n v="816253"/>
    <s v="ANAND SALES (ARM AGRI TRADE LL"/>
    <n v="201172"/>
    <s v="MAA TRADERS"/>
    <n v="0"/>
    <n v="0"/>
    <n v="0"/>
    <n v="0"/>
    <n v="0"/>
    <n v="7.5"/>
    <n v="0"/>
    <n v="7.5"/>
    <n v="1.0714285714285714"/>
    <x v="1"/>
    <x v="3"/>
    <x v="1"/>
    <x v="0"/>
  </r>
  <r>
    <s v="812077202452"/>
    <n v="812077"/>
    <s v="SARWAN KUMAR MAHESH KUMAR"/>
    <n v="202452"/>
    <s v="MANGLA STEELS AGENCY"/>
    <n v="40"/>
    <n v="10"/>
    <n v="37"/>
    <n v="17"/>
    <n v="44.25"/>
    <n v="15"/>
    <n v="16.25"/>
    <n v="179.5"/>
    <n v="25.642857142857142"/>
    <x v="0"/>
    <x v="3"/>
    <x v="1"/>
    <x v="0"/>
  </r>
  <r>
    <s v="812793202452"/>
    <n v="812793"/>
    <s v="GOTHAWAL CEMENT AGENCY"/>
    <n v="202452"/>
    <s v="MANGLA STEELS AGENCY"/>
    <n v="17.5"/>
    <n v="43.5"/>
    <n v="39"/>
    <n v="17.5"/>
    <n v="11"/>
    <n v="35"/>
    <n v="5"/>
    <n v="168.5"/>
    <n v="24.071428571428573"/>
    <x v="0"/>
    <x v="3"/>
    <x v="1"/>
    <x v="0"/>
  </r>
  <r>
    <s v="815929202870"/>
    <n v="815929"/>
    <s v="KIRAN TRADERS"/>
    <n v="202870"/>
    <s v="ASHUTOSH CONSTRUCTION CO"/>
    <n v="0"/>
    <n v="0"/>
    <n v="0"/>
    <n v="0"/>
    <n v="20"/>
    <n v="91"/>
    <n v="73"/>
    <n v="184"/>
    <n v="26.285714285714285"/>
    <x v="0"/>
    <x v="3"/>
    <x v="1"/>
    <x v="0"/>
  </r>
  <r>
    <s v="807141202994"/>
    <n v="807141"/>
    <s v="DILIP SAINI"/>
    <n v="202994"/>
    <s v="ARVIND CEMENT &amp; KALI UDYOG"/>
    <n v="8"/>
    <n v="35"/>
    <n v="25"/>
    <n v="17"/>
    <n v="8.5"/>
    <n v="0"/>
    <n v="18"/>
    <n v="111.5"/>
    <n v="15.928571428571429"/>
    <x v="2"/>
    <x v="3"/>
    <x v="1"/>
    <x v="0"/>
  </r>
  <r>
    <s v="812794202994"/>
    <n v="812794"/>
    <s v="DINESH KUMAR KUMAWAT"/>
    <n v="202994"/>
    <s v="ARVIND CEMENT &amp; KALI UDYOG"/>
    <n v="0"/>
    <n v="20"/>
    <n v="15"/>
    <n v="17.5"/>
    <n v="12"/>
    <n v="18"/>
    <n v="9"/>
    <n v="91.5"/>
    <n v="13.071428571428571"/>
    <x v="2"/>
    <x v="3"/>
    <x v="1"/>
    <x v="0"/>
  </r>
  <r>
    <s v="815426202994"/>
    <n v="815426"/>
    <s v="JAI AMBE TRADERS"/>
    <n v="202994"/>
    <s v="ARVIND CEMENT &amp; KALI UDYOG"/>
    <n v="0"/>
    <n v="0"/>
    <n v="0"/>
    <n v="16.5"/>
    <n v="24.85"/>
    <n v="28"/>
    <n v="19.5"/>
    <n v="88.85"/>
    <n v="12.692857142857141"/>
    <x v="2"/>
    <x v="3"/>
    <x v="1"/>
    <x v="0"/>
  </r>
  <r>
    <s v="812160203154"/>
    <n v="812160"/>
    <s v="SHIV TRADERS"/>
    <n v="203154"/>
    <s v="OM SHIV CEMENT SUPPLIERS"/>
    <n v="81"/>
    <n v="52.35"/>
    <n v="242.55"/>
    <n v="133.5"/>
    <n v="8.25"/>
    <n v="101"/>
    <n v="45.5"/>
    <n v="664.15"/>
    <n v="94.878571428571419"/>
    <x v="3"/>
    <x v="3"/>
    <x v="1"/>
    <x v="0"/>
  </r>
  <r>
    <s v="815593203154"/>
    <n v="815593"/>
    <s v="SAINI BUILDING MATERIAL SUPPLI"/>
    <n v="203154"/>
    <s v="OM SHIV CEMENT SUPPLIERS"/>
    <n v="0"/>
    <n v="0"/>
    <n v="0"/>
    <n v="15"/>
    <n v="0"/>
    <n v="23"/>
    <n v="0"/>
    <n v="38"/>
    <n v="5.4285714285714288"/>
    <x v="1"/>
    <x v="3"/>
    <x v="1"/>
    <x v="0"/>
  </r>
  <r>
    <s v="813147204307"/>
    <n v="813147"/>
    <s v="RUCHI ENTERPRISES"/>
    <n v="204307"/>
    <s v="JAI BAJRANG STEELS"/>
    <n v="136.65"/>
    <n v="88"/>
    <n v="174.60000000000002"/>
    <n v="143.75"/>
    <n v="81"/>
    <n v="58.5"/>
    <n v="33"/>
    <n v="715.5"/>
    <n v="102.21428571428571"/>
    <x v="3"/>
    <x v="3"/>
    <x v="1"/>
    <x v="0"/>
  </r>
  <r>
    <s v="813327204307"/>
    <n v="813327"/>
    <s v="MAHA LAXMI SALES"/>
    <n v="204307"/>
    <s v="JAI BAJRANG STEELS"/>
    <n v="104.5"/>
    <n v="87.75"/>
    <n v="165"/>
    <n v="117"/>
    <n v="144.5"/>
    <n v="134.5"/>
    <n v="87.5"/>
    <n v="840.75"/>
    <n v="120.10714285714286"/>
    <x v="3"/>
    <x v="3"/>
    <x v="1"/>
    <x v="0"/>
  </r>
  <r>
    <s v="815401204307"/>
    <n v="815401"/>
    <s v="PRAJAPATI TRADING COMPANY"/>
    <n v="204307"/>
    <s v="JAI BAJRANG STEELS"/>
    <n v="0"/>
    <n v="0"/>
    <n v="0"/>
    <n v="80"/>
    <n v="113.75"/>
    <n v="67.5"/>
    <n v="33"/>
    <n v="294.25"/>
    <n v="42.035714285714285"/>
    <x v="5"/>
    <x v="3"/>
    <x v="1"/>
    <x v="0"/>
  </r>
  <r>
    <s v="813897205225"/>
    <n v="813897"/>
    <s v="SHREE BALAJI TRADERS"/>
    <n v="205225"/>
    <s v="MAHAVEER ASSOCIATES"/>
    <n v="37.5"/>
    <n v="80.650000000000006"/>
    <n v="51.35"/>
    <n v="92.25"/>
    <n v="123"/>
    <n v="120.5"/>
    <n v="24"/>
    <n v="529.25"/>
    <n v="75.607142857142861"/>
    <x v="3"/>
    <x v="3"/>
    <x v="1"/>
    <x v="0"/>
  </r>
  <r>
    <s v="815393205225"/>
    <n v="815393"/>
    <s v="SWASTIK ENTERPRISES"/>
    <n v="205225"/>
    <s v="MAHAVEER ASSOCIATES"/>
    <n v="0"/>
    <n v="0"/>
    <n v="0"/>
    <n v="5"/>
    <n v="23.5"/>
    <n v="54.5"/>
    <n v="0"/>
    <n v="83"/>
    <n v="11.857142857142858"/>
    <x v="2"/>
    <x v="3"/>
    <x v="1"/>
    <x v="0"/>
  </r>
  <r>
    <s v="814711205266"/>
    <n v="814711"/>
    <s v="JAI  AMBE TRADERS"/>
    <n v="205266"/>
    <s v="TAK BROTHERS"/>
    <n v="10"/>
    <n v="19"/>
    <n v="10"/>
    <n v="3"/>
    <n v="0"/>
    <n v="9"/>
    <n v="0"/>
    <n v="51"/>
    <n v="7.2857142857142856"/>
    <x v="1"/>
    <x v="3"/>
    <x v="1"/>
    <x v="0"/>
  </r>
  <r>
    <s v="813946205270"/>
    <n v="813946"/>
    <s v="KUMAWAT CONSTRUTION AND SUPPLI"/>
    <n v="205270"/>
    <s v="KARTIK ENTERPRISES"/>
    <n v="17.5"/>
    <n v="22.5"/>
    <n v="19"/>
    <n v="30.5"/>
    <n v="63.05"/>
    <n v="91.5"/>
    <n v="60.8"/>
    <n v="304.85000000000002"/>
    <n v="43.550000000000004"/>
    <x v="5"/>
    <x v="3"/>
    <x v="1"/>
    <x v="0"/>
  </r>
  <r>
    <s v="808419206011"/>
    <n v="808419"/>
    <s v="POOJA TRADING COMPANY"/>
    <n v="206011"/>
    <s v="PAHARIA CHEMICALS"/>
    <n v="381.5"/>
    <n v="373"/>
    <n v="541.9"/>
    <n v="487.55"/>
    <n v="312.45"/>
    <n v="132.25"/>
    <n v="345.09999999999997"/>
    <n v="2573.75"/>
    <n v="367.67857142857144"/>
    <x v="3"/>
    <x v="3"/>
    <x v="1"/>
    <x v="0"/>
  </r>
  <r>
    <s v="814050206049"/>
    <n v="814050"/>
    <s v="VASUDA ASSOCIATES"/>
    <n v="206049"/>
    <s v="VAIBHAV ENTERPRISES"/>
    <n v="15"/>
    <n v="70.75"/>
    <n v="273.25"/>
    <n v="328"/>
    <n v="358.8"/>
    <n v="446.2"/>
    <n v="62.75"/>
    <n v="1554.75"/>
    <n v="222.10714285714286"/>
    <x v="3"/>
    <x v="3"/>
    <x v="1"/>
    <x v="0"/>
  </r>
  <r>
    <s v="815594206049"/>
    <n v="815594"/>
    <s v="BENIWAL TRADERS"/>
    <n v="206049"/>
    <s v="VAIBHAV ENTERPRISES"/>
    <n v="0"/>
    <n v="0"/>
    <n v="0"/>
    <n v="27.5"/>
    <n v="28.5"/>
    <n v="64"/>
    <n v="14"/>
    <n v="134"/>
    <n v="19.142857142857142"/>
    <x v="2"/>
    <x v="3"/>
    <x v="1"/>
    <x v="0"/>
  </r>
  <r>
    <s v="816116206049"/>
    <n v="816116"/>
    <s v="CHOUHAN TRADERS"/>
    <n v="206049"/>
    <s v="VAIBHAV ENTERPRISES"/>
    <n v="0"/>
    <n v="0"/>
    <n v="0"/>
    <n v="0"/>
    <n v="5"/>
    <n v="33"/>
    <n v="0"/>
    <n v="38"/>
    <n v="5.4285714285714288"/>
    <x v="1"/>
    <x v="3"/>
    <x v="1"/>
    <x v="0"/>
  </r>
  <r>
    <s v="815231206681"/>
    <n v="815231"/>
    <s v="JAI BALAJI CEMENT AGENCY"/>
    <n v="206681"/>
    <s v="CHOUDHARY TRADERS"/>
    <n v="0"/>
    <n v="0"/>
    <n v="42"/>
    <n v="44.5"/>
    <n v="29.5"/>
    <n v="36"/>
    <n v="18"/>
    <n v="170"/>
    <n v="24.285714285714285"/>
    <x v="0"/>
    <x v="3"/>
    <x v="1"/>
    <x v="0"/>
  </r>
  <r>
    <s v="814935206807"/>
    <n v="814935"/>
    <s v="SIDDHI ENTERPRISES"/>
    <n v="206807"/>
    <s v="DELIGHT MARKETING"/>
    <n v="0"/>
    <n v="0"/>
    <n v="0"/>
    <n v="0"/>
    <n v="0"/>
    <n v="2.5"/>
    <n v="0"/>
    <n v="2.5"/>
    <n v="0.35714285714285715"/>
    <x v="1"/>
    <x v="3"/>
    <x v="1"/>
    <x v="0"/>
  </r>
  <r>
    <s v="814602206933"/>
    <n v="814602"/>
    <s v="ROSHAN SAINI"/>
    <n v="206933"/>
    <s v="RAHUL SALES"/>
    <n v="49"/>
    <n v="56"/>
    <n v="70"/>
    <n v="105"/>
    <n v="85"/>
    <n v="90.5"/>
    <n v="71"/>
    <n v="526.5"/>
    <n v="75.214285714285708"/>
    <x v="3"/>
    <x v="3"/>
    <x v="1"/>
    <x v="0"/>
  </r>
  <r>
    <s v="815417207787"/>
    <n v="815417"/>
    <s v="LAXMI BUILDING MATERIAL"/>
    <n v="207787"/>
    <s v="BALAJI CEMENT MATERIALS SUPPLI"/>
    <n v="0"/>
    <n v="0"/>
    <n v="0"/>
    <n v="3"/>
    <n v="17"/>
    <n v="18"/>
    <n v="11.5"/>
    <n v="49.5"/>
    <n v="7.0714285714285712"/>
    <x v="1"/>
    <x v="3"/>
    <x v="1"/>
    <x v="0"/>
  </r>
  <r>
    <s v="815057207857"/>
    <n v="815057"/>
    <s v="ANKUR CEMENT AGENCY"/>
    <n v="207857"/>
    <s v="YADAV BUILDING MATERIAL"/>
    <n v="0"/>
    <n v="80"/>
    <n v="215"/>
    <n v="125.5"/>
    <n v="82.4"/>
    <n v="224"/>
    <n v="70"/>
    <n v="796.9"/>
    <n v="113.84285714285714"/>
    <x v="3"/>
    <x v="3"/>
    <x v="1"/>
    <x v="0"/>
  </r>
  <r>
    <s v="815514207857"/>
    <n v="815514"/>
    <s v="KRISHNA ENTERPRISES"/>
    <n v="207857"/>
    <s v="YADAV BUILDING MATERIAL"/>
    <n v="0"/>
    <n v="0"/>
    <n v="0"/>
    <n v="30.95"/>
    <n v="35"/>
    <n v="42.5"/>
    <n v="35"/>
    <n v="143.44999999999999"/>
    <n v="20.49285714285714"/>
    <x v="0"/>
    <x v="3"/>
    <x v="1"/>
    <x v="0"/>
  </r>
  <r>
    <s v="815657207857"/>
    <n v="815657"/>
    <s v="LILA RAM GURJAR"/>
    <n v="207857"/>
    <s v="YADAV BUILDING MATERIAL"/>
    <n v="0"/>
    <n v="0"/>
    <n v="0"/>
    <n v="20"/>
    <n v="79"/>
    <n v="47.5"/>
    <n v="27.5"/>
    <n v="174"/>
    <n v="24.857142857142858"/>
    <x v="0"/>
    <x v="3"/>
    <x v="1"/>
    <x v="0"/>
  </r>
  <r>
    <s v="815663207857"/>
    <n v="815663"/>
    <s v="SHRI SHYAM CEMENT AGENCY"/>
    <n v="207857"/>
    <s v="YADAV BUILDING MATERIAL"/>
    <n v="0"/>
    <n v="0"/>
    <n v="0"/>
    <n v="20"/>
    <n v="20"/>
    <n v="20"/>
    <n v="10"/>
    <n v="70"/>
    <n v="10"/>
    <x v="2"/>
    <x v="3"/>
    <x v="1"/>
    <x v="0"/>
  </r>
  <r>
    <s v="815664207857"/>
    <n v="815664"/>
    <s v="HATHWALA CEMENT AGENCY"/>
    <n v="207857"/>
    <s v="YADAV BUILDING MATERIAL"/>
    <n v="0"/>
    <n v="0"/>
    <n v="0"/>
    <n v="10"/>
    <n v="20"/>
    <n v="25.5"/>
    <n v="35"/>
    <n v="90.5"/>
    <n v="12.928571428571429"/>
    <x v="2"/>
    <x v="3"/>
    <x v="1"/>
    <x v="0"/>
  </r>
  <r>
    <s v="815719207857"/>
    <n v="815719"/>
    <s v="JAI AMBEY TRADERS"/>
    <n v="207857"/>
    <s v="YADAV BUILDING MATERIAL"/>
    <n v="0"/>
    <n v="0"/>
    <n v="0"/>
    <n v="10"/>
    <n v="16"/>
    <n v="38.5"/>
    <n v="37.5"/>
    <n v="102"/>
    <n v="14.571428571428571"/>
    <x v="2"/>
    <x v="3"/>
    <x v="1"/>
    <x v="0"/>
  </r>
  <r>
    <s v="815720207857"/>
    <n v="815720"/>
    <s v="SHRI GOGA TRADING COMPANY"/>
    <n v="207857"/>
    <s v="YADAV BUILDING MATERIAL"/>
    <n v="0"/>
    <n v="0"/>
    <n v="0"/>
    <n v="7"/>
    <n v="27.5"/>
    <n v="45"/>
    <n v="45"/>
    <n v="124.5"/>
    <n v="17.785714285714285"/>
    <x v="2"/>
    <x v="3"/>
    <x v="1"/>
    <x v="0"/>
  </r>
  <r>
    <s v="816348207857"/>
    <n v="816348"/>
    <s v="SWAMI CONSTRUCTION AND CEMENT"/>
    <n v="207857"/>
    <s v="YADAV BUILDING MATERIAL"/>
    <n v="0"/>
    <n v="0"/>
    <n v="0"/>
    <n v="0"/>
    <n v="0"/>
    <n v="40"/>
    <n v="52"/>
    <n v="92"/>
    <n v="13.142857142857142"/>
    <x v="2"/>
    <x v="3"/>
    <x v="1"/>
    <x v="0"/>
  </r>
  <r>
    <s v="815595208184"/>
    <n v="815595"/>
    <s v="GOPAL CEMENT SUPPLIERS"/>
    <n v="208184"/>
    <s v="KUMAWAT SUPPLIERS"/>
    <n v="0"/>
    <n v="0"/>
    <n v="0"/>
    <n v="32"/>
    <n v="71.25"/>
    <n v="52.5"/>
    <n v="25"/>
    <n v="180.75"/>
    <n v="25.821428571428573"/>
    <x v="0"/>
    <x v="3"/>
    <x v="1"/>
    <x v="0"/>
  </r>
  <r>
    <s v="815502208268"/>
    <n v="815502"/>
    <s v="KOMAL TRADERS"/>
    <n v="208268"/>
    <s v="BADIWAL TRADERS"/>
    <n v="0"/>
    <n v="0"/>
    <n v="0"/>
    <n v="80.5"/>
    <n v="227"/>
    <n v="195.45"/>
    <n v="140.05000000000001"/>
    <n v="643"/>
    <n v="91.857142857142861"/>
    <x v="3"/>
    <x v="3"/>
    <x v="1"/>
    <x v="0"/>
  </r>
  <r>
    <s v="816261149825"/>
    <n v="816261"/>
    <s v="ANIL TRADING COMPANY"/>
    <n v="149825"/>
    <s v="MISHRA CEMENT AGENCIES"/>
    <n v="0"/>
    <n v="0"/>
    <n v="0"/>
    <n v="0"/>
    <n v="0"/>
    <n v="20"/>
    <n v="10"/>
    <n v="30"/>
    <n v="4.2857142857142856"/>
    <x v="1"/>
    <x v="3"/>
    <x v="1"/>
    <x v="0"/>
  </r>
  <r>
    <s v="816262176276"/>
    <n v="816262"/>
    <s v="BALAJI STONE &amp; BUILDING MATERI"/>
    <n v="176276"/>
    <s v="LAXMI BUILDING MATERIAL STORE"/>
    <n v="0"/>
    <n v="0"/>
    <n v="0"/>
    <n v="0"/>
    <n v="0"/>
    <n v="10"/>
    <n v="0"/>
    <n v="10"/>
    <n v="1.4285714285714286"/>
    <x v="1"/>
    <x v="3"/>
    <x v="1"/>
    <x v="0"/>
  </r>
  <r>
    <s v="805796208268"/>
    <n v="805796"/>
    <s v="PAYAL TRADERS"/>
    <n v="208268"/>
    <s v="BADIWAL TRADERS"/>
    <n v="0"/>
    <n v="0"/>
    <n v="0"/>
    <n v="0"/>
    <n v="0"/>
    <n v="0"/>
    <n v="28"/>
    <n v="28"/>
    <n v="4"/>
    <x v="1"/>
    <x v="3"/>
    <x v="1"/>
    <x v="0"/>
  </r>
  <r>
    <s v="816639203971"/>
    <n v="816639"/>
    <s v="SITARAM SHARMA"/>
    <n v="203971"/>
    <s v="KUMAWAT STONE MERCHANT"/>
    <n v="0"/>
    <n v="0"/>
    <n v="0"/>
    <n v="0"/>
    <n v="0"/>
    <n v="0"/>
    <n v="30"/>
    <n v="30"/>
    <n v="4.2857142857142856"/>
    <x v="1"/>
    <x v="3"/>
    <x v="1"/>
    <x v="0"/>
  </r>
  <r>
    <s v="816685201172"/>
    <n v="816685"/>
    <s v="TRIVENI CEMENT SUPPLIERS"/>
    <n v="201172"/>
    <s v="MAA TRADERS"/>
    <n v="0"/>
    <n v="0"/>
    <n v="0"/>
    <n v="0"/>
    <n v="0"/>
    <n v="0"/>
    <n v="91.5"/>
    <n v="91.5"/>
    <n v="13.071428571428571"/>
    <x v="2"/>
    <x v="3"/>
    <x v="1"/>
    <x v="0"/>
  </r>
  <r>
    <s v="806922170847"/>
    <n v="806922"/>
    <s v="MAHALA ENTERPRISES"/>
    <n v="170847"/>
    <s v="SHREE BALAJI TRADING COMPANY"/>
    <n v="22"/>
    <n v="15"/>
    <n v="10"/>
    <n v="35"/>
    <n v="0"/>
    <n v="26"/>
    <n v="10"/>
    <n v="118"/>
    <n v="16.857142857142858"/>
    <x v="2"/>
    <x v="4"/>
    <x v="2"/>
    <x v="0"/>
  </r>
  <r>
    <s v="806923170847"/>
    <n v="806923"/>
    <s v="CHOUDHARY CEMENT SUPPLIERS"/>
    <n v="170847"/>
    <s v="SHREE BALAJI TRADING COMPANY"/>
    <n v="11"/>
    <n v="3.8"/>
    <n v="30"/>
    <n v="24"/>
    <n v="40"/>
    <n v="10"/>
    <n v="20"/>
    <n v="138.80000000000001"/>
    <n v="19.828571428571429"/>
    <x v="2"/>
    <x v="4"/>
    <x v="2"/>
    <x v="0"/>
  </r>
  <r>
    <s v="809577170847"/>
    <n v="809577"/>
    <s v="TAWANIYA CEMENT SUPPLIER"/>
    <n v="170847"/>
    <s v="SHREE BALAJI TRADING COMPANY"/>
    <n v="102"/>
    <n v="99.2"/>
    <n v="120"/>
    <n v="110"/>
    <n v="110"/>
    <n v="65"/>
    <n v="10"/>
    <n v="616.20000000000005"/>
    <n v="88.028571428571439"/>
    <x v="3"/>
    <x v="4"/>
    <x v="2"/>
    <x v="0"/>
  </r>
  <r>
    <s v="813642173257"/>
    <n v="813642"/>
    <s v="CHOUDHARY BUILDING MATERIAL AN"/>
    <n v="173257"/>
    <s v="CHOUDHARY CEMENT &amp; BUILDING MA"/>
    <n v="19.5"/>
    <n v="36.5"/>
    <n v="37.5"/>
    <n v="28.5"/>
    <n v="36.5"/>
    <n v="11.5"/>
    <n v="40.75"/>
    <n v="210.75"/>
    <n v="30.107142857142858"/>
    <x v="4"/>
    <x v="4"/>
    <x v="2"/>
    <x v="0"/>
  </r>
  <r>
    <s v="813816173257"/>
    <n v="813816"/>
    <s v="ANOP CHAND MAHIYA"/>
    <n v="173257"/>
    <s v="CHOUDHARY CEMENT &amp; BUILDING MA"/>
    <n v="15"/>
    <n v="24"/>
    <n v="0"/>
    <n v="26.5"/>
    <n v="21"/>
    <n v="9"/>
    <n v="30"/>
    <n v="125.5"/>
    <n v="17.928571428571427"/>
    <x v="2"/>
    <x v="4"/>
    <x v="2"/>
    <x v="0"/>
  </r>
  <r>
    <s v="810596176693"/>
    <n v="810596"/>
    <s v="GULAM NABI BHATI"/>
    <n v="176693"/>
    <s v="SUBHAM AGENCIES"/>
    <n v="0"/>
    <n v="0"/>
    <n v="65"/>
    <n v="55"/>
    <n v="23.75"/>
    <n v="75"/>
    <n v="31"/>
    <n v="249.75"/>
    <n v="35.678571428571431"/>
    <x v="4"/>
    <x v="4"/>
    <x v="2"/>
    <x v="0"/>
  </r>
  <r>
    <s v="810597176693"/>
    <n v="810597"/>
    <s v="BABU LAL SWAMI"/>
    <n v="176693"/>
    <s v="SUBHAM AGENCIES"/>
    <n v="0"/>
    <n v="10"/>
    <n v="30"/>
    <n v="1"/>
    <n v="16"/>
    <n v="10"/>
    <n v="0"/>
    <n v="67"/>
    <n v="9.5714285714285712"/>
    <x v="1"/>
    <x v="4"/>
    <x v="2"/>
    <x v="0"/>
  </r>
  <r>
    <s v="812393176693"/>
    <n v="812393"/>
    <s v="MUNNI DEVI"/>
    <n v="176693"/>
    <s v="SUBHAM AGENCIES"/>
    <n v="0"/>
    <n v="0"/>
    <n v="0"/>
    <n v="10"/>
    <n v="0"/>
    <n v="0"/>
    <n v="0"/>
    <n v="10"/>
    <n v="1.4285714285714286"/>
    <x v="1"/>
    <x v="4"/>
    <x v="2"/>
    <x v="0"/>
  </r>
  <r>
    <s v="813971176693"/>
    <n v="813971"/>
    <s v="SHIMBHU SINGH"/>
    <n v="176693"/>
    <s v="SUBHAM AGENCIES"/>
    <n v="40"/>
    <n v="127"/>
    <n v="105"/>
    <n v="26"/>
    <n v="29.5"/>
    <n v="10"/>
    <n v="25"/>
    <n v="362.5"/>
    <n v="51.785714285714285"/>
    <x v="3"/>
    <x v="4"/>
    <x v="2"/>
    <x v="0"/>
  </r>
  <r>
    <s v="813997176693"/>
    <n v="813997"/>
    <s v="IMRAN LILGHAR"/>
    <n v="176693"/>
    <s v="SUBHAM AGENCIES"/>
    <n v="53"/>
    <n v="220"/>
    <n v="70"/>
    <n v="11.05"/>
    <n v="118"/>
    <n v="50"/>
    <n v="10"/>
    <n v="532.04999999999995"/>
    <n v="76.007142857142853"/>
    <x v="3"/>
    <x v="4"/>
    <x v="2"/>
    <x v="0"/>
  </r>
  <r>
    <s v="814867176693"/>
    <n v="814867"/>
    <s v="RAJU KHAN"/>
    <n v="176693"/>
    <s v="SUBHAM AGENCIES"/>
    <n v="266.5"/>
    <n v="12"/>
    <n v="85"/>
    <n v="44"/>
    <n v="10"/>
    <n v="53"/>
    <n v="0"/>
    <n v="470.5"/>
    <n v="67.214285714285708"/>
    <x v="3"/>
    <x v="4"/>
    <x v="2"/>
    <x v="0"/>
  </r>
  <r>
    <s v="815254176693"/>
    <n v="815254"/>
    <s v="SANTOSH KUMAR"/>
    <n v="176693"/>
    <s v="SUBHAM AGENCIES"/>
    <n v="0"/>
    <n v="0"/>
    <n v="35"/>
    <n v="144.94999999999999"/>
    <n v="50"/>
    <n v="20"/>
    <n v="0"/>
    <n v="249.95"/>
    <n v="35.707142857142856"/>
    <x v="4"/>
    <x v="4"/>
    <x v="2"/>
    <x v="0"/>
  </r>
  <r>
    <s v="815507176693"/>
    <n v="815507"/>
    <s v="GURUKRIPA ENTERPRISES"/>
    <n v="176693"/>
    <s v="SUBHAM AGENCIES"/>
    <n v="0"/>
    <n v="0"/>
    <n v="0"/>
    <n v="90"/>
    <n v="20"/>
    <n v="58"/>
    <n v="17"/>
    <n v="185"/>
    <n v="26.428571428571427"/>
    <x v="0"/>
    <x v="4"/>
    <x v="2"/>
    <x v="0"/>
  </r>
  <r>
    <s v="816366176693"/>
    <n v="816366"/>
    <s v="LAXMAN RAM"/>
    <n v="176693"/>
    <s v="SUBHAM AGENCIES"/>
    <n v="0"/>
    <n v="0"/>
    <n v="0"/>
    <n v="0"/>
    <n v="0"/>
    <n v="53"/>
    <n v="20"/>
    <n v="73"/>
    <n v="10.428571428571429"/>
    <x v="2"/>
    <x v="4"/>
    <x v="2"/>
    <x v="0"/>
  </r>
  <r>
    <s v="807733176869"/>
    <n v="807733"/>
    <s v="LADOIA STONE"/>
    <n v="176869"/>
    <s v="CHHABRA CEMENT SUPPLIERS"/>
    <n v="146"/>
    <n v="15"/>
    <n v="134.5"/>
    <n v="162.5"/>
    <n v="75.5"/>
    <n v="86"/>
    <n v="30"/>
    <n v="649.5"/>
    <n v="92.785714285714292"/>
    <x v="3"/>
    <x v="4"/>
    <x v="2"/>
    <x v="0"/>
  </r>
  <r>
    <s v="807734176869"/>
    <n v="807734"/>
    <s v="CHHABRA STONE MERCHANT"/>
    <n v="176869"/>
    <s v="CHHABRA CEMENT SUPPLIERS"/>
    <n v="543"/>
    <n v="422"/>
    <n v="104"/>
    <n v="226.4"/>
    <n v="158.5"/>
    <n v="161"/>
    <n v="57.5"/>
    <n v="1672.4"/>
    <n v="238.91428571428574"/>
    <x v="3"/>
    <x v="4"/>
    <x v="2"/>
    <x v="0"/>
  </r>
  <r>
    <s v="811402176869"/>
    <n v="811402"/>
    <s v="ASHA RAM"/>
    <n v="176869"/>
    <s v="CHHABRA CEMENT SUPPLIERS"/>
    <n v="44"/>
    <n v="72"/>
    <n v="252.5"/>
    <n v="157"/>
    <n v="108.5"/>
    <n v="150"/>
    <n v="55.5"/>
    <n v="839.5"/>
    <n v="119.92857142857143"/>
    <x v="3"/>
    <x v="4"/>
    <x v="2"/>
    <x v="0"/>
  </r>
  <r>
    <s v="816500176869"/>
    <n v="816500"/>
    <s v="KISHAN GAR"/>
    <n v="176869"/>
    <s v="CHHABRA CEMENT SUPPLIERS"/>
    <n v="0"/>
    <n v="0"/>
    <n v="0"/>
    <n v="0"/>
    <n v="0"/>
    <n v="81"/>
    <n v="0"/>
    <n v="81"/>
    <n v="11.571428571428571"/>
    <x v="2"/>
    <x v="4"/>
    <x v="2"/>
    <x v="0"/>
  </r>
  <r>
    <s v="809361177016"/>
    <n v="809361"/>
    <s v="GORISHANKAR SHARMA"/>
    <n v="177016"/>
    <s v="KHANDELWAL STONE"/>
    <n v="62"/>
    <n v="50"/>
    <n v="40"/>
    <n v="35.5"/>
    <n v="30.5"/>
    <n v="35"/>
    <n v="30"/>
    <n v="283"/>
    <n v="40.428571428571431"/>
    <x v="5"/>
    <x v="4"/>
    <x v="2"/>
    <x v="0"/>
  </r>
  <r>
    <s v="809438177016"/>
    <n v="809438"/>
    <s v="ISHAR RAM PRAJAPAT"/>
    <n v="177016"/>
    <s v="KHANDELWAL STONE"/>
    <n v="20"/>
    <n v="20"/>
    <n v="20"/>
    <n v="20"/>
    <n v="8"/>
    <n v="20"/>
    <n v="18"/>
    <n v="126"/>
    <n v="18"/>
    <x v="2"/>
    <x v="4"/>
    <x v="2"/>
    <x v="0"/>
  </r>
  <r>
    <s v="811679177016"/>
    <n v="811679"/>
    <s v="SHREE KRISHNA GRANITE AND MARB"/>
    <n v="177016"/>
    <s v="KHANDELWAL STONE"/>
    <n v="20"/>
    <n v="50"/>
    <n v="20"/>
    <n v="35"/>
    <n v="8"/>
    <n v="24"/>
    <n v="0"/>
    <n v="157"/>
    <n v="22.428571428571427"/>
    <x v="0"/>
    <x v="4"/>
    <x v="2"/>
    <x v="0"/>
  </r>
  <r>
    <s v="813003177016"/>
    <n v="813003"/>
    <s v="MOHAMMED AAMIR BHATI"/>
    <n v="177016"/>
    <s v="KHANDELWAL STONE"/>
    <n v="50"/>
    <n v="60"/>
    <n v="75"/>
    <n v="67.5"/>
    <n v="76"/>
    <n v="61"/>
    <n v="50"/>
    <n v="439.5"/>
    <n v="62.785714285714285"/>
    <x v="3"/>
    <x v="4"/>
    <x v="2"/>
    <x v="0"/>
  </r>
  <r>
    <s v="813050177016"/>
    <n v="813050"/>
    <s v="SUNIL SOMANI"/>
    <n v="177016"/>
    <s v="KHANDELWAL STONE"/>
    <n v="30"/>
    <n v="19"/>
    <n v="20"/>
    <n v="35"/>
    <n v="10"/>
    <n v="40"/>
    <n v="0"/>
    <n v="154"/>
    <n v="22"/>
    <x v="0"/>
    <x v="4"/>
    <x v="2"/>
    <x v="0"/>
  </r>
  <r>
    <s v="813173177068"/>
    <n v="813173"/>
    <s v="RADHE SHYAM"/>
    <n v="177068"/>
    <s v="MAHALAXMI ENTERPRISES"/>
    <n v="0"/>
    <n v="0"/>
    <n v="10"/>
    <n v="0"/>
    <n v="0"/>
    <n v="0"/>
    <n v="0"/>
    <n v="10"/>
    <n v="1.4285714285714286"/>
    <x v="1"/>
    <x v="4"/>
    <x v="2"/>
    <x v="0"/>
  </r>
  <r>
    <s v="816129177068"/>
    <n v="816129"/>
    <s v="BHUVAN KISHOR"/>
    <n v="177068"/>
    <s v="MAHALAXMI ENTERPRISES"/>
    <n v="0"/>
    <n v="0"/>
    <n v="0"/>
    <n v="0"/>
    <n v="0"/>
    <n v="65"/>
    <n v="0"/>
    <n v="65"/>
    <n v="9.2857142857142865"/>
    <x v="1"/>
    <x v="4"/>
    <x v="2"/>
    <x v="0"/>
  </r>
  <r>
    <s v="813174177301"/>
    <n v="813174"/>
    <s v="JODHA RAM"/>
    <n v="177301"/>
    <s v="BALAJI CEMENT SUPPLIERS"/>
    <n v="39.5"/>
    <n v="0"/>
    <n v="27.5"/>
    <n v="46"/>
    <n v="29"/>
    <n v="11.5"/>
    <n v="0"/>
    <n v="153.5"/>
    <n v="21.928571428571427"/>
    <x v="0"/>
    <x v="4"/>
    <x v="2"/>
    <x v="0"/>
  </r>
  <r>
    <s v="813998177301"/>
    <n v="813998"/>
    <s v="SHIV BHAGWAN"/>
    <n v="177301"/>
    <s v="BALAJI CEMENT SUPPLIERS"/>
    <n v="45.5"/>
    <n v="70"/>
    <n v="40"/>
    <n v="39"/>
    <n v="20"/>
    <n v="35"/>
    <n v="0"/>
    <n v="249.5"/>
    <n v="35.642857142857146"/>
    <x v="4"/>
    <x v="4"/>
    <x v="2"/>
    <x v="0"/>
  </r>
  <r>
    <s v="811119177662"/>
    <n v="811119"/>
    <s v="RUPA RAM"/>
    <n v="177662"/>
    <s v="MANOJ KUMAR S/0 BHERA RAM"/>
    <n v="31.5"/>
    <n v="20"/>
    <n v="7.5"/>
    <n v="56.5"/>
    <n v="42"/>
    <n v="49"/>
    <n v="17.5"/>
    <n v="224"/>
    <n v="32"/>
    <x v="4"/>
    <x v="4"/>
    <x v="2"/>
    <x v="0"/>
  </r>
  <r>
    <s v="813020177662"/>
    <n v="813020"/>
    <s v="RAM CHANDRA"/>
    <n v="177662"/>
    <s v="MANOJ KUMAR S/0 BHERA RAM"/>
    <n v="47"/>
    <n v="56"/>
    <n v="51.5"/>
    <n v="52.5"/>
    <n v="53"/>
    <n v="47"/>
    <n v="17.5"/>
    <n v="324.5"/>
    <n v="46.357142857142854"/>
    <x v="5"/>
    <x v="4"/>
    <x v="2"/>
    <x v="0"/>
  </r>
  <r>
    <s v="811922177787"/>
    <n v="811922"/>
    <s v="MAHESH KUMAR"/>
    <n v="177787"/>
    <s v="S M TILES UDYOG"/>
    <n v="12"/>
    <n v="24"/>
    <n v="57"/>
    <n v="15"/>
    <n v="15"/>
    <n v="15"/>
    <n v="0"/>
    <n v="138"/>
    <n v="19.714285714285715"/>
    <x v="2"/>
    <x v="4"/>
    <x v="2"/>
    <x v="0"/>
  </r>
  <r>
    <s v="812389177787"/>
    <n v="812389"/>
    <s v="SHARMA TRADING COMPANY"/>
    <n v="177787"/>
    <s v="S M TILES UDYOG"/>
    <n v="0"/>
    <n v="0"/>
    <n v="12"/>
    <n v="15"/>
    <n v="13"/>
    <n v="15"/>
    <n v="20"/>
    <n v="75"/>
    <n v="10.714285714285714"/>
    <x v="2"/>
    <x v="4"/>
    <x v="2"/>
    <x v="0"/>
  </r>
  <r>
    <s v="814936177787"/>
    <n v="814936"/>
    <s v="GIRDHARI"/>
    <n v="177787"/>
    <s v="S M TILES UDYOG"/>
    <n v="21"/>
    <n v="80"/>
    <n v="0"/>
    <n v="0"/>
    <n v="0"/>
    <n v="0"/>
    <n v="0"/>
    <n v="101"/>
    <n v="14.428571428571429"/>
    <x v="2"/>
    <x v="4"/>
    <x v="2"/>
    <x v="0"/>
  </r>
  <r>
    <s v="814000202956"/>
    <n v="814000"/>
    <s v="BRIJ LAL BANWARI LAL"/>
    <n v="202956"/>
    <s v="SHRI SHYAM CEMENT BHANDAR"/>
    <n v="11.5"/>
    <n v="45"/>
    <n v="43"/>
    <n v="49"/>
    <n v="0"/>
    <n v="55"/>
    <n v="43"/>
    <n v="246.5"/>
    <n v="35.214285714285715"/>
    <x v="4"/>
    <x v="4"/>
    <x v="2"/>
    <x v="0"/>
  </r>
  <r>
    <s v="814794202956"/>
    <n v="814794"/>
    <s v="VAHID ALI"/>
    <n v="202956"/>
    <s v="SHRI SHYAM CEMENT BHANDAR"/>
    <n v="42"/>
    <n v="0"/>
    <n v="20"/>
    <n v="25.5"/>
    <n v="0"/>
    <n v="23.5"/>
    <n v="20"/>
    <n v="131"/>
    <n v="18.714285714285715"/>
    <x v="2"/>
    <x v="4"/>
    <x v="2"/>
    <x v="0"/>
  </r>
  <r>
    <s v="807734205004"/>
    <n v="807734"/>
    <s v="CHHABRA STONE MERCHANT"/>
    <n v="205004"/>
    <s v="MORCHHARI TRADE LINK"/>
    <n v="10"/>
    <n v="0"/>
    <n v="0"/>
    <n v="0"/>
    <n v="0"/>
    <n v="0"/>
    <n v="0"/>
    <n v="10"/>
    <n v="1.4285714285714286"/>
    <x v="1"/>
    <x v="4"/>
    <x v="2"/>
    <x v="0"/>
  </r>
  <r>
    <s v="813926205004"/>
    <n v="813926"/>
    <s v="LAKSHMAN PRASAD"/>
    <n v="205004"/>
    <s v="MORCHHARI TRADE LINK"/>
    <n v="50"/>
    <n v="20"/>
    <n v="10"/>
    <n v="16"/>
    <n v="39.5"/>
    <n v="46.5"/>
    <n v="0"/>
    <n v="182"/>
    <n v="26"/>
    <x v="0"/>
    <x v="4"/>
    <x v="2"/>
    <x v="0"/>
  </r>
  <r>
    <s v="814376205004"/>
    <n v="814376"/>
    <s v="MAHENDRA SINGH TANWAR"/>
    <n v="205004"/>
    <s v="MORCHHARI TRADE LINK"/>
    <n v="95"/>
    <n v="50.4"/>
    <n v="91"/>
    <n v="48"/>
    <n v="57.5"/>
    <n v="65"/>
    <n v="35"/>
    <n v="441.9"/>
    <n v="63.128571428571426"/>
    <x v="3"/>
    <x v="4"/>
    <x v="2"/>
    <x v="0"/>
  </r>
  <r>
    <s v="814793205004"/>
    <n v="814793"/>
    <s v="MAIN PAL SINGH"/>
    <n v="205004"/>
    <s v="MORCHHARI TRADE LINK"/>
    <n v="33"/>
    <n v="0"/>
    <n v="0"/>
    <n v="0"/>
    <n v="0"/>
    <n v="0"/>
    <n v="0"/>
    <n v="33"/>
    <n v="4.7142857142857144"/>
    <x v="1"/>
    <x v="4"/>
    <x v="2"/>
    <x v="0"/>
  </r>
  <r>
    <s v="811921208156"/>
    <n v="811921"/>
    <s v="RAMZAN KHAN"/>
    <n v="208156"/>
    <s v="SHRI BAJRANG TRADERS"/>
    <n v="34.5"/>
    <n v="35"/>
    <n v="51.5"/>
    <n v="46"/>
    <n v="30.5"/>
    <n v="45"/>
    <n v="10"/>
    <n v="252.5"/>
    <n v="36.071428571428569"/>
    <x v="4"/>
    <x v="4"/>
    <x v="2"/>
    <x v="0"/>
  </r>
  <r>
    <s v="812396208156"/>
    <n v="812396"/>
    <s v="SHIVBHAGAWAN SHARMA"/>
    <n v="208156"/>
    <s v="SHRI BAJRANG TRADERS"/>
    <n v="0"/>
    <n v="12"/>
    <n v="0"/>
    <n v="2"/>
    <n v="0"/>
    <n v="0"/>
    <n v="0"/>
    <n v="14"/>
    <n v="2"/>
    <x v="1"/>
    <x v="4"/>
    <x v="2"/>
    <x v="0"/>
  </r>
  <r>
    <s v="812433208156"/>
    <n v="812433"/>
    <s v="GANESHARAM"/>
    <n v="208156"/>
    <s v="SHRI BAJRANG TRADERS"/>
    <n v="0"/>
    <n v="0"/>
    <n v="0"/>
    <n v="25.5"/>
    <n v="0"/>
    <n v="0"/>
    <n v="0"/>
    <n v="25.5"/>
    <n v="3.6428571428571428"/>
    <x v="1"/>
    <x v="4"/>
    <x v="2"/>
    <x v="0"/>
  </r>
  <r>
    <s v="813055208156"/>
    <n v="813055"/>
    <s v="SOHANLAL JOSHI"/>
    <n v="208156"/>
    <s v="SHRI BAJRANG TRADERS"/>
    <n v="0"/>
    <n v="0"/>
    <n v="10"/>
    <n v="2"/>
    <n v="0"/>
    <n v="0"/>
    <n v="0"/>
    <n v="12"/>
    <n v="1.7142857142857142"/>
    <x v="1"/>
    <x v="4"/>
    <x v="2"/>
    <x v="0"/>
  </r>
  <r>
    <s v="813155208156"/>
    <n v="813155"/>
    <s v="AMBEY BUILDING MATERIAL"/>
    <n v="208156"/>
    <s v="SHRI BAJRANG TRADERS"/>
    <n v="43"/>
    <n v="12"/>
    <n v="5"/>
    <n v="81"/>
    <n v="32"/>
    <n v="10"/>
    <n v="10"/>
    <n v="193"/>
    <n v="27.571428571428573"/>
    <x v="0"/>
    <x v="4"/>
    <x v="2"/>
    <x v="0"/>
  </r>
  <r>
    <s v="813173208156"/>
    <n v="813173"/>
    <s v="RADHE SHYAM"/>
    <n v="208156"/>
    <s v="SHRI BAJRANG TRADERS"/>
    <n v="17.5"/>
    <n v="112"/>
    <n v="70"/>
    <n v="12"/>
    <n v="8"/>
    <n v="0"/>
    <n v="10"/>
    <n v="229.5"/>
    <n v="32.785714285714285"/>
    <x v="4"/>
    <x v="4"/>
    <x v="2"/>
    <x v="0"/>
  </r>
  <r>
    <s v="815572208156"/>
    <n v="815572"/>
    <s v="DALIP KUMAR JOSHI"/>
    <n v="208156"/>
    <s v="SHRI BAJRANG TRADERS"/>
    <n v="0"/>
    <n v="0"/>
    <n v="0"/>
    <n v="0"/>
    <n v="0"/>
    <n v="23"/>
    <n v="10"/>
    <n v="33"/>
    <n v="4.7142857142857144"/>
    <x v="1"/>
    <x v="4"/>
    <x v="2"/>
    <x v="0"/>
  </r>
  <r>
    <s v="815573208156"/>
    <n v="815573"/>
    <s v="PREM CHAND"/>
    <n v="208156"/>
    <s v="SHRI BAJRANG TRADERS"/>
    <n v="0"/>
    <n v="0"/>
    <n v="0"/>
    <n v="0"/>
    <n v="43"/>
    <n v="9"/>
    <n v="0"/>
    <n v="52"/>
    <n v="7.4285714285714288"/>
    <x v="1"/>
    <x v="4"/>
    <x v="2"/>
    <x v="0"/>
  </r>
  <r>
    <s v="812848147936"/>
    <n v="812848"/>
    <s v="ADIL SAYED"/>
    <n v="147936"/>
    <s v="VKR CEMENT SUPPLIERS"/>
    <n v="50"/>
    <n v="10"/>
    <n v="50"/>
    <n v="44"/>
    <n v="39.099999999999994"/>
    <n v="41"/>
    <n v="10"/>
    <n v="244.1"/>
    <n v="34.871428571428574"/>
    <x v="4"/>
    <x v="5"/>
    <x v="2"/>
    <x v="0"/>
  </r>
  <r>
    <s v="813613170555"/>
    <n v="813613"/>
    <s v="ABDUL SALAM"/>
    <n v="170555"/>
    <s v="KHATRI ENTERPRISES"/>
    <n v="10"/>
    <n v="10"/>
    <n v="10"/>
    <n v="10"/>
    <n v="10.25"/>
    <n v="10"/>
    <n v="10"/>
    <n v="70.25"/>
    <n v="10.035714285714286"/>
    <x v="2"/>
    <x v="5"/>
    <x v="2"/>
    <x v="0"/>
  </r>
  <r>
    <s v="812236179486"/>
    <n v="812236"/>
    <s v="BHATERI"/>
    <n v="179486"/>
    <s v="MOROLIA TRADERS"/>
    <n v="20"/>
    <n v="40"/>
    <n v="25"/>
    <n v="20"/>
    <n v="30"/>
    <n v="45"/>
    <n v="0"/>
    <n v="180"/>
    <n v="25.714285714285715"/>
    <x v="0"/>
    <x v="5"/>
    <x v="2"/>
    <x v="0"/>
  </r>
  <r>
    <s v="813005179486"/>
    <n v="813005"/>
    <s v="MAHALAXMI STONE SUPPLIERS"/>
    <n v="179486"/>
    <s v="MOROLIA TRADERS"/>
    <n v="10"/>
    <n v="30"/>
    <n v="0"/>
    <n v="37.5"/>
    <n v="30"/>
    <n v="50"/>
    <n v="0"/>
    <n v="157.5"/>
    <n v="22.5"/>
    <x v="0"/>
    <x v="5"/>
    <x v="2"/>
    <x v="0"/>
  </r>
  <r>
    <s v="815844179486"/>
    <n v="815844"/>
    <s v="ANIL KUMAR"/>
    <n v="179486"/>
    <s v="MOROLIA TRADERS"/>
    <n v="0"/>
    <n v="0"/>
    <n v="0"/>
    <n v="0"/>
    <n v="40"/>
    <n v="40"/>
    <n v="0"/>
    <n v="80"/>
    <n v="11.428571428571429"/>
    <x v="2"/>
    <x v="5"/>
    <x v="2"/>
    <x v="0"/>
  </r>
  <r>
    <s v="815988179486"/>
    <n v="815988"/>
    <s v="PRAKASH CHAND"/>
    <n v="179486"/>
    <s v="MOROLIA TRADERS"/>
    <n v="0"/>
    <n v="0"/>
    <n v="0"/>
    <n v="0"/>
    <n v="20"/>
    <n v="15"/>
    <n v="0"/>
    <n v="35"/>
    <n v="5"/>
    <x v="1"/>
    <x v="5"/>
    <x v="2"/>
    <x v="0"/>
  </r>
  <r>
    <s v="814866179925"/>
    <n v="814866"/>
    <s v="MAHAVEER PRASAD"/>
    <n v="179925"/>
    <s v="SHRIRAM DHARM KANTA"/>
    <n v="0"/>
    <n v="0"/>
    <n v="0"/>
    <n v="10"/>
    <n v="20"/>
    <n v="0"/>
    <n v="0"/>
    <n v="30"/>
    <n v="4.2857142857142856"/>
    <x v="1"/>
    <x v="5"/>
    <x v="2"/>
    <x v="0"/>
  </r>
  <r>
    <s v="812536119212"/>
    <n v="812536"/>
    <s v="LAKSHITA SALES"/>
    <n v="119212"/>
    <s v="SURENDRA KUMAR &amp; CO"/>
    <n v="133.55000000000001"/>
    <n v="149"/>
    <n v="137"/>
    <n v="135"/>
    <n v="50"/>
    <n v="131.5"/>
    <n v="32.5"/>
    <n v="768.55"/>
    <n v="109.79285714285713"/>
    <x v="3"/>
    <x v="6"/>
    <x v="2"/>
    <x v="0"/>
  </r>
  <r>
    <s v="812891119212"/>
    <n v="812891"/>
    <s v="QURESHI MARBEL &amp; TILES SUPPLIE"/>
    <n v="119212"/>
    <s v="SURENDRA KUMAR &amp; CO"/>
    <n v="59"/>
    <n v="10"/>
    <n v="88"/>
    <n v="129.30000000000001"/>
    <n v="72.75"/>
    <n v="35"/>
    <n v="25"/>
    <n v="419.05"/>
    <n v="59.864285714285714"/>
    <x v="3"/>
    <x v="6"/>
    <x v="2"/>
    <x v="0"/>
  </r>
  <r>
    <s v="812983119212"/>
    <n v="812983"/>
    <s v="SHRI SHYAM TRADING COMPANY"/>
    <n v="119212"/>
    <s v="SURENDRA KUMAR &amp; CO"/>
    <n v="62.5"/>
    <n v="42"/>
    <n v="42.25"/>
    <n v="37.5"/>
    <n v="99.45"/>
    <n v="77.5"/>
    <n v="47"/>
    <n v="408.2"/>
    <n v="58.31428571428571"/>
    <x v="3"/>
    <x v="6"/>
    <x v="2"/>
    <x v="0"/>
  </r>
  <r>
    <s v="813288119212"/>
    <n v="813288"/>
    <s v="KAMAL CEMENT"/>
    <n v="119212"/>
    <s v="SURENDRA KUMAR &amp; CO"/>
    <n v="102.5"/>
    <n v="142.5"/>
    <n v="41.65"/>
    <n v="35.450000000000003"/>
    <n v="60.45"/>
    <n v="87.5"/>
    <n v="18"/>
    <n v="488.04999999999995"/>
    <n v="69.721428571428561"/>
    <x v="3"/>
    <x v="6"/>
    <x v="2"/>
    <x v="0"/>
  </r>
  <r>
    <s v="814850119212"/>
    <n v="814850"/>
    <s v="KRISHNA HARDWARE"/>
    <n v="119212"/>
    <s v="SURENDRA KUMAR &amp; CO"/>
    <n v="45"/>
    <n v="42.85"/>
    <n v="70"/>
    <n v="48"/>
    <n v="32"/>
    <n v="5"/>
    <n v="38.5"/>
    <n v="281.35000000000002"/>
    <n v="40.192857142857143"/>
    <x v="5"/>
    <x v="6"/>
    <x v="2"/>
    <x v="0"/>
  </r>
  <r>
    <s v="815092119212"/>
    <n v="815092"/>
    <s v="RITIKA ELECTRICAL"/>
    <n v="119212"/>
    <s v="SURENDRA KUMAR &amp; CO"/>
    <n v="0"/>
    <n v="20"/>
    <n v="32"/>
    <n v="30"/>
    <n v="68.5"/>
    <n v="0"/>
    <n v="23"/>
    <n v="173.5"/>
    <n v="24.785714285714285"/>
    <x v="0"/>
    <x v="6"/>
    <x v="2"/>
    <x v="0"/>
  </r>
  <r>
    <s v="815096119212"/>
    <n v="815096"/>
    <s v="KHANDELWAL CEMENT AGENCY"/>
    <n v="119212"/>
    <s v="SURENDRA KUMAR &amp; CO"/>
    <n v="0"/>
    <n v="25"/>
    <n v="101.5"/>
    <n v="89.25"/>
    <n v="34.5"/>
    <n v="25"/>
    <n v="18"/>
    <n v="293.25"/>
    <n v="41.892857142857146"/>
    <x v="5"/>
    <x v="6"/>
    <x v="2"/>
    <x v="0"/>
  </r>
  <r>
    <s v="814018141118"/>
    <n v="814018"/>
    <s v="MAHESH TRADING COMPANY"/>
    <n v="141118"/>
    <s v="SHREE LAXMI NATH STONE COMPANY"/>
    <n v="85"/>
    <n v="83"/>
    <n v="105"/>
    <n v="66"/>
    <n v="99.5"/>
    <n v="68"/>
    <n v="0"/>
    <n v="506.5"/>
    <n v="72.357142857142861"/>
    <x v="3"/>
    <x v="6"/>
    <x v="2"/>
    <x v="0"/>
  </r>
  <r>
    <s v="807054143301"/>
    <n v="807054"/>
    <s v="SHRI TIRUPATI BALAJI CEMENT AG"/>
    <n v="143301"/>
    <s v="LAXMI TRADERS"/>
    <n v="30.5"/>
    <n v="0"/>
    <n v="10"/>
    <n v="47"/>
    <n v="10"/>
    <n v="17.5"/>
    <n v="0"/>
    <n v="115"/>
    <n v="16.428571428571427"/>
    <x v="2"/>
    <x v="6"/>
    <x v="2"/>
    <x v="0"/>
  </r>
  <r>
    <s v="807360143301"/>
    <n v="807360"/>
    <s v="KRISHNA FABRICATION WORKS"/>
    <n v="143301"/>
    <s v="LAXMI TRADERS"/>
    <n v="32.5"/>
    <n v="0"/>
    <n v="10"/>
    <n v="10"/>
    <n v="10"/>
    <n v="17.5"/>
    <n v="0"/>
    <n v="80"/>
    <n v="11.428571428571429"/>
    <x v="2"/>
    <x v="6"/>
    <x v="2"/>
    <x v="0"/>
  </r>
  <r>
    <s v="809223143301"/>
    <n v="809223"/>
    <s v="J K BUILDING MATERIAL SUPPLIER"/>
    <n v="143301"/>
    <s v="LAXMI TRADERS"/>
    <n v="45"/>
    <n v="0"/>
    <n v="2.5"/>
    <n v="40"/>
    <n v="10"/>
    <n v="17.5"/>
    <n v="0"/>
    <n v="115"/>
    <n v="16.428571428571427"/>
    <x v="2"/>
    <x v="6"/>
    <x v="2"/>
    <x v="0"/>
  </r>
  <r>
    <s v="811219143301"/>
    <n v="811219"/>
    <s v="HIMANSHU CEMENT AGENCY"/>
    <n v="143301"/>
    <s v="LAXMI TRADERS"/>
    <n v="0"/>
    <n v="0"/>
    <n v="0"/>
    <n v="17.5"/>
    <n v="4"/>
    <n v="26.5"/>
    <n v="0"/>
    <n v="48"/>
    <n v="6.8571428571428568"/>
    <x v="1"/>
    <x v="6"/>
    <x v="2"/>
    <x v="0"/>
  </r>
  <r>
    <s v="815097143301"/>
    <n v="815097"/>
    <s v="MAA KAILASH KRIPA COATINGS"/>
    <n v="143301"/>
    <s v="LAXMI TRADERS"/>
    <n v="0"/>
    <n v="0"/>
    <n v="65.25"/>
    <n v="67"/>
    <n v="0"/>
    <n v="76.5"/>
    <n v="10"/>
    <n v="218.75"/>
    <n v="31.25"/>
    <x v="4"/>
    <x v="6"/>
    <x v="2"/>
    <x v="0"/>
  </r>
  <r>
    <s v="816367143301"/>
    <n v="816367"/>
    <s v="LAXMI PAINT"/>
    <n v="143301"/>
    <s v="LAXMI TRADERS"/>
    <n v="0"/>
    <n v="0"/>
    <n v="0"/>
    <n v="0"/>
    <n v="0"/>
    <n v="20"/>
    <n v="15"/>
    <n v="35"/>
    <n v="5"/>
    <x v="1"/>
    <x v="6"/>
    <x v="2"/>
    <x v="0"/>
  </r>
  <r>
    <s v="805597144243"/>
    <n v="805597"/>
    <s v="SHEKHAWAT TRADING COMPANY"/>
    <n v="144243"/>
    <s v="SHRI SHYAM TRADING COMPANY"/>
    <n v="93"/>
    <n v="32"/>
    <n v="27.5"/>
    <n v="64.05"/>
    <n v="22.5"/>
    <n v="62"/>
    <n v="27"/>
    <n v="328.05"/>
    <n v="46.864285714285714"/>
    <x v="5"/>
    <x v="6"/>
    <x v="2"/>
    <x v="0"/>
  </r>
  <r>
    <s v="811454144243"/>
    <n v="811454"/>
    <s v="BALAJI TRADERS"/>
    <n v="144243"/>
    <s v="SHRI SHYAM TRADING COMPANY"/>
    <n v="48.6"/>
    <n v="82"/>
    <n v="52.5"/>
    <n v="15"/>
    <n v="14.5"/>
    <n v="40"/>
    <n v="20"/>
    <n v="272.60000000000002"/>
    <n v="38.942857142857143"/>
    <x v="4"/>
    <x v="6"/>
    <x v="2"/>
    <x v="0"/>
  </r>
  <r>
    <s v="812043144243"/>
    <n v="812043"/>
    <s v="SHRI GURUKRIPA TILES PLAZA"/>
    <n v="144243"/>
    <s v="SHRI SHYAM TRADING COMPANY"/>
    <n v="0"/>
    <n v="40"/>
    <n v="10"/>
    <n v="27.5"/>
    <n v="7.5"/>
    <n v="20"/>
    <n v="15"/>
    <n v="120"/>
    <n v="17.142857142857142"/>
    <x v="2"/>
    <x v="6"/>
    <x v="2"/>
    <x v="0"/>
  </r>
  <r>
    <s v="812099144243"/>
    <n v="812099"/>
    <s v="MAA VAISHNO DEVI BUILDING MATE"/>
    <n v="144243"/>
    <s v="SHRI SHYAM TRADING COMPANY"/>
    <n v="52.5"/>
    <n v="48"/>
    <n v="39"/>
    <n v="30"/>
    <n v="12.5"/>
    <n v="55"/>
    <n v="15"/>
    <n v="252"/>
    <n v="36"/>
    <x v="4"/>
    <x v="6"/>
    <x v="2"/>
    <x v="0"/>
  </r>
  <r>
    <s v="814681144243"/>
    <n v="814681"/>
    <s v="JAI BHAWANI BUILDING MATERIAL"/>
    <n v="144243"/>
    <s v="SHRI SHYAM TRADING COMPANY"/>
    <n v="22.5"/>
    <n v="5"/>
    <n v="30"/>
    <n v="38.5"/>
    <n v="13"/>
    <n v="3.5"/>
    <n v="10"/>
    <n v="122.5"/>
    <n v="17.5"/>
    <x v="2"/>
    <x v="6"/>
    <x v="2"/>
    <x v="0"/>
  </r>
  <r>
    <s v="812537144343"/>
    <n v="812537"/>
    <s v="YADAV CEMENT AGENCY"/>
    <n v="144343"/>
    <s v="SHREE BALAJI CEMENT AGENCY"/>
    <n v="0"/>
    <n v="7.5"/>
    <n v="20"/>
    <n v="7.5"/>
    <n v="24"/>
    <n v="15"/>
    <n v="30"/>
    <n v="104"/>
    <n v="14.857142857142858"/>
    <x v="2"/>
    <x v="6"/>
    <x v="2"/>
    <x v="0"/>
  </r>
  <r>
    <s v="814846144343"/>
    <n v="814846"/>
    <s v="AKSH TRADING COMPANY"/>
    <n v="144343"/>
    <s v="SHREE BALAJI CEMENT AGENCY"/>
    <n v="72.5"/>
    <n v="90"/>
    <n v="46"/>
    <n v="35"/>
    <n v="72.5"/>
    <n v="23"/>
    <n v="20"/>
    <n v="359"/>
    <n v="51.285714285714285"/>
    <x v="3"/>
    <x v="6"/>
    <x v="2"/>
    <x v="0"/>
  </r>
  <r>
    <s v="807608149582"/>
    <n v="807608"/>
    <s v="MUNDHRA CEMENT AGENCY"/>
    <n v="149582"/>
    <s v="SHRI BALAJI BUILDING MATERIAL"/>
    <n v="72"/>
    <n v="56"/>
    <n v="94.5"/>
    <n v="54.25"/>
    <n v="79.5"/>
    <n v="79.2"/>
    <n v="40.5"/>
    <n v="475.95"/>
    <n v="67.992857142857147"/>
    <x v="3"/>
    <x v="6"/>
    <x v="2"/>
    <x v="0"/>
  </r>
  <r>
    <s v="806371149885"/>
    <n v="806371"/>
    <s v="MANMOHAN TRADING COMPANY"/>
    <n v="149885"/>
    <s v="LUHANI CEMENT SUPPLIERS"/>
    <n v="0"/>
    <n v="15"/>
    <n v="33.5"/>
    <n v="22.5"/>
    <n v="10"/>
    <n v="30"/>
    <n v="0"/>
    <n v="111"/>
    <n v="15.857142857142858"/>
    <x v="2"/>
    <x v="6"/>
    <x v="2"/>
    <x v="0"/>
  </r>
  <r>
    <s v="806539149885"/>
    <n v="806539"/>
    <s v="VIJAY CEMENT AGENCY"/>
    <n v="149885"/>
    <s v="LUHANI CEMENT SUPPLIERS"/>
    <n v="7.5"/>
    <n v="25"/>
    <n v="22.5"/>
    <n v="40"/>
    <n v="11"/>
    <n v="0"/>
    <n v="20"/>
    <n v="126"/>
    <n v="18"/>
    <x v="2"/>
    <x v="6"/>
    <x v="2"/>
    <x v="0"/>
  </r>
  <r>
    <s v="806670149885"/>
    <n v="806670"/>
    <s v="DEV TRADERS"/>
    <n v="149885"/>
    <s v="LUHANI CEMENT SUPPLIERS"/>
    <n v="55"/>
    <n v="10"/>
    <n v="43"/>
    <n v="39.5"/>
    <n v="17.75"/>
    <n v="60"/>
    <n v="26"/>
    <n v="251.25"/>
    <n v="35.892857142857146"/>
    <x v="4"/>
    <x v="6"/>
    <x v="2"/>
    <x v="0"/>
  </r>
  <r>
    <s v="807055149885"/>
    <n v="807055"/>
    <s v="LAXMI TRADING COMPANY"/>
    <n v="149885"/>
    <s v="LUHANI CEMENT SUPPLIERS"/>
    <n v="70.5"/>
    <n v="14.5"/>
    <n v="2.5"/>
    <n v="40"/>
    <n v="17.5"/>
    <n v="0"/>
    <n v="30.35"/>
    <n v="175.35"/>
    <n v="25.05"/>
    <x v="0"/>
    <x v="6"/>
    <x v="2"/>
    <x v="0"/>
  </r>
  <r>
    <s v="807056149885"/>
    <n v="807056"/>
    <s v="JAI BHAWANI TRADING COMPANY"/>
    <n v="149885"/>
    <s v="LUHANI CEMENT SUPPLIERS"/>
    <n v="0"/>
    <n v="15"/>
    <n v="0"/>
    <n v="15"/>
    <n v="17.2"/>
    <n v="0"/>
    <n v="7.5"/>
    <n v="54.7"/>
    <n v="7.8142857142857149"/>
    <x v="1"/>
    <x v="6"/>
    <x v="2"/>
    <x v="0"/>
  </r>
  <r>
    <s v="808733149885"/>
    <n v="808733"/>
    <s v="DEV TRADING COMPANY"/>
    <n v="149885"/>
    <s v="LUHANI CEMENT SUPPLIERS"/>
    <n v="74.5"/>
    <n v="121.80000000000001"/>
    <n v="110.45"/>
    <n v="88.949999999999989"/>
    <n v="86"/>
    <n v="81"/>
    <n v="49.05"/>
    <n v="611.75"/>
    <n v="87.392857142857139"/>
    <x v="3"/>
    <x v="6"/>
    <x v="2"/>
    <x v="0"/>
  </r>
  <r>
    <s v="809133149885"/>
    <n v="809133"/>
    <s v="ASHA ENTERPRISES"/>
    <n v="149885"/>
    <s v="LUHANI CEMENT SUPPLIERS"/>
    <n v="0"/>
    <n v="19"/>
    <n v="13"/>
    <n v="27.5"/>
    <n v="12.5"/>
    <n v="27.5"/>
    <n v="0"/>
    <n v="99.5"/>
    <n v="14.214285714285714"/>
    <x v="2"/>
    <x v="6"/>
    <x v="2"/>
    <x v="0"/>
  </r>
  <r>
    <s v="809506149885"/>
    <n v="809506"/>
    <s v="MIHIR BHOJ CONSTRUCTION &amp; SUPP"/>
    <n v="149885"/>
    <s v="LUHANI CEMENT SUPPLIERS"/>
    <n v="15"/>
    <n v="36.25"/>
    <n v="61.5"/>
    <n v="93"/>
    <n v="41.5"/>
    <n v="55"/>
    <n v="44.65"/>
    <n v="346.9"/>
    <n v="49.557142857142857"/>
    <x v="5"/>
    <x v="6"/>
    <x v="2"/>
    <x v="0"/>
  </r>
  <r>
    <s v="812535149885"/>
    <n v="812535"/>
    <s v="KISHORE KUMAR KUMAWAT"/>
    <n v="149885"/>
    <s v="LUHANI CEMENT SUPPLIERS"/>
    <n v="20"/>
    <n v="43"/>
    <n v="47"/>
    <n v="40"/>
    <n v="50.5"/>
    <n v="20"/>
    <n v="17.5"/>
    <n v="238"/>
    <n v="34"/>
    <x v="4"/>
    <x v="6"/>
    <x v="2"/>
    <x v="0"/>
  </r>
  <r>
    <s v="812920149885"/>
    <n v="812920"/>
    <s v="BALAJI TRADING COMPANY"/>
    <n v="149885"/>
    <s v="LUHANI CEMENT SUPPLIERS"/>
    <n v="0"/>
    <n v="10"/>
    <n v="15"/>
    <n v="35"/>
    <n v="0"/>
    <n v="12.5"/>
    <n v="0"/>
    <n v="72.5"/>
    <n v="10.357142857142858"/>
    <x v="2"/>
    <x v="6"/>
    <x v="2"/>
    <x v="0"/>
  </r>
  <r>
    <s v="813036149885"/>
    <n v="813036"/>
    <s v="DIVYA SALES"/>
    <n v="149885"/>
    <s v="LUHANI CEMENT SUPPLIERS"/>
    <n v="64.5"/>
    <n v="144.65"/>
    <n v="135"/>
    <n v="112.5"/>
    <n v="118.75"/>
    <n v="62"/>
    <n v="16.75"/>
    <n v="654.15"/>
    <n v="93.45"/>
    <x v="3"/>
    <x v="6"/>
    <x v="2"/>
    <x v="0"/>
  </r>
  <r>
    <s v="813690149885"/>
    <n v="813690"/>
    <s v="VISHAL BRICKS UDYOG &amp; BUILDING"/>
    <n v="149885"/>
    <s v="LUHANI CEMENT SUPPLIERS"/>
    <n v="17.5"/>
    <n v="17"/>
    <n v="0"/>
    <n v="3"/>
    <n v="0"/>
    <n v="7.5"/>
    <n v="15"/>
    <n v="60"/>
    <n v="8.5714285714285712"/>
    <x v="1"/>
    <x v="6"/>
    <x v="2"/>
    <x v="0"/>
  </r>
  <r>
    <s v="815091149885"/>
    <n v="815091"/>
    <s v="SHRI KRISHNA ENTERPRISES"/>
    <n v="149885"/>
    <s v="LUHANI CEMENT SUPPLIERS"/>
    <n v="0"/>
    <n v="10"/>
    <n v="15"/>
    <n v="7.5"/>
    <n v="23.25"/>
    <n v="20.5"/>
    <n v="7.5"/>
    <n v="83.75"/>
    <n v="11.964285714285714"/>
    <x v="2"/>
    <x v="6"/>
    <x v="2"/>
    <x v="0"/>
  </r>
  <r>
    <s v="815136149885"/>
    <n v="815136"/>
    <s v="VISHWAKARMA MARBLE"/>
    <n v="149885"/>
    <s v="LUHANI CEMENT SUPPLIERS"/>
    <n v="0"/>
    <n v="0"/>
    <n v="133"/>
    <n v="126.1"/>
    <n v="51"/>
    <n v="47.5"/>
    <n v="69.5"/>
    <n v="427.1"/>
    <n v="61.01428571428572"/>
    <x v="3"/>
    <x v="6"/>
    <x v="2"/>
    <x v="0"/>
  </r>
  <r>
    <s v="815422149885"/>
    <n v="815422"/>
    <s v="MARUTI CEMENT AGENCY"/>
    <n v="149885"/>
    <s v="LUHANI CEMENT SUPPLIERS"/>
    <n v="0"/>
    <n v="0"/>
    <n v="0"/>
    <n v="122.5"/>
    <n v="123.25"/>
    <n v="82"/>
    <n v="39"/>
    <n v="366.75"/>
    <n v="52.392857142857146"/>
    <x v="3"/>
    <x v="6"/>
    <x v="2"/>
    <x v="0"/>
  </r>
  <r>
    <s v="815423149885"/>
    <n v="815423"/>
    <s v="DEV NARAYAN TRADING COMPANY"/>
    <n v="149885"/>
    <s v="LUHANI CEMENT SUPPLIERS"/>
    <n v="0"/>
    <n v="0"/>
    <n v="0"/>
    <n v="60"/>
    <n v="61"/>
    <n v="7.5"/>
    <n v="33.65"/>
    <n v="162.15"/>
    <n v="23.164285714285715"/>
    <x v="0"/>
    <x v="6"/>
    <x v="2"/>
    <x v="0"/>
  </r>
  <r>
    <s v="815427149885"/>
    <n v="815427"/>
    <s v="GOPAL DHARM KANTA"/>
    <n v="149885"/>
    <s v="LUHANI CEMENT SUPPLIERS"/>
    <n v="0"/>
    <n v="0"/>
    <n v="0"/>
    <n v="52.5"/>
    <n v="107.5"/>
    <n v="59.5"/>
    <n v="38.5"/>
    <n v="258"/>
    <n v="36.857142857142854"/>
    <x v="4"/>
    <x v="6"/>
    <x v="2"/>
    <x v="0"/>
  </r>
  <r>
    <s v="805385149971"/>
    <n v="805385"/>
    <s v="SHARMA BUILDING MATERIAL"/>
    <n v="149971"/>
    <s v="PRADHAN CEMENT SUPPLIERS"/>
    <n v="115"/>
    <n v="0"/>
    <n v="100.5"/>
    <n v="14"/>
    <n v="12.5"/>
    <n v="25"/>
    <n v="20"/>
    <n v="287"/>
    <n v="41"/>
    <x v="5"/>
    <x v="6"/>
    <x v="2"/>
    <x v="0"/>
  </r>
  <r>
    <s v="813962149971"/>
    <n v="813962"/>
    <s v="ZAHID CEMENT SUPPLIERS"/>
    <n v="149971"/>
    <s v="PRADHAN CEMENT SUPPLIERS"/>
    <n v="35"/>
    <n v="0"/>
    <n v="20"/>
    <n v="13.5"/>
    <n v="36.5"/>
    <n v="17.5"/>
    <n v="20"/>
    <n v="142.5"/>
    <n v="20.357142857142858"/>
    <x v="0"/>
    <x v="6"/>
    <x v="2"/>
    <x v="0"/>
  </r>
  <r>
    <s v="815183149971"/>
    <n v="815183"/>
    <s v="SHIFA TILES AND BUILDING MATER"/>
    <n v="149971"/>
    <s v="PRADHAN CEMENT SUPPLIERS"/>
    <n v="0"/>
    <n v="0"/>
    <n v="0"/>
    <n v="54.15"/>
    <n v="27"/>
    <n v="17.5"/>
    <n v="0"/>
    <n v="98.65"/>
    <n v="14.092857142857143"/>
    <x v="2"/>
    <x v="6"/>
    <x v="2"/>
    <x v="0"/>
  </r>
  <r>
    <s v="808787149991"/>
    <n v="808787"/>
    <s v="SIDDHI VINAYAK COMPUTERISED DH"/>
    <n v="149991"/>
    <s v="BALAJI STONE COMPANY"/>
    <n v="92"/>
    <n v="155"/>
    <n v="149.5"/>
    <n v="156"/>
    <n v="127.5"/>
    <n v="162.5"/>
    <n v="92"/>
    <n v="934.5"/>
    <n v="133.5"/>
    <x v="3"/>
    <x v="6"/>
    <x v="2"/>
    <x v="0"/>
  </r>
  <r>
    <s v="807053170617"/>
    <n v="807053"/>
    <s v="TANWAR TRADING COMPANY"/>
    <n v="170617"/>
    <s v="MANGALAM TRADING COMPANY"/>
    <n v="0"/>
    <n v="0"/>
    <n v="0"/>
    <n v="0"/>
    <n v="10"/>
    <n v="2.5"/>
    <n v="7.5"/>
    <n v="20"/>
    <n v="2.8571428571428572"/>
    <x v="1"/>
    <x v="6"/>
    <x v="2"/>
    <x v="0"/>
  </r>
  <r>
    <s v="809411170617"/>
    <n v="809411"/>
    <s v="SUNDRAM  CEMENT SUPPLIERS"/>
    <n v="170617"/>
    <s v="MANGALAM TRADING COMPANY"/>
    <n v="0"/>
    <n v="50"/>
    <n v="44.5"/>
    <n v="78.5"/>
    <n v="70.5"/>
    <n v="101.45"/>
    <n v="65.5"/>
    <n v="410.45"/>
    <n v="58.635714285714286"/>
    <x v="3"/>
    <x v="6"/>
    <x v="2"/>
    <x v="0"/>
  </r>
  <r>
    <s v="810647170617"/>
    <n v="810647"/>
    <s v="SANJAY TRADING COMPANY"/>
    <n v="170617"/>
    <s v="MANGALAM TRADING COMPANY"/>
    <n v="67"/>
    <n v="70"/>
    <n v="73.599999999999994"/>
    <n v="129"/>
    <n v="187.65"/>
    <n v="109.1"/>
    <n v="82"/>
    <n v="718.35"/>
    <n v="102.62142857142858"/>
    <x v="3"/>
    <x v="6"/>
    <x v="2"/>
    <x v="0"/>
  </r>
  <r>
    <s v="811633170617"/>
    <n v="811633"/>
    <s v="SHREE SHYAM DHARAMKANTA"/>
    <n v="170617"/>
    <s v="MANGALAM TRADING COMPANY"/>
    <n v="0"/>
    <n v="0"/>
    <n v="0"/>
    <n v="0"/>
    <n v="0"/>
    <n v="67.5"/>
    <n v="46.25"/>
    <n v="113.75"/>
    <n v="16.25"/>
    <x v="2"/>
    <x v="6"/>
    <x v="2"/>
    <x v="0"/>
  </r>
  <r>
    <s v="811634170617"/>
    <n v="811634"/>
    <s v="SHRI TANOT MATAJI DHARAMKANTA"/>
    <n v="170617"/>
    <s v="MANGALAM TRADING COMPANY"/>
    <n v="117"/>
    <n v="80.5"/>
    <n v="110.75"/>
    <n v="66"/>
    <n v="134.5"/>
    <n v="80"/>
    <n v="114.15"/>
    <n v="702.9"/>
    <n v="100.41428571428571"/>
    <x v="3"/>
    <x v="6"/>
    <x v="2"/>
    <x v="0"/>
  </r>
  <r>
    <s v="811677170617"/>
    <n v="811677"/>
    <s v="ASHVINI ENTERPRISES"/>
    <n v="170617"/>
    <s v="MANGALAM TRADING COMPANY"/>
    <n v="8"/>
    <n v="0"/>
    <n v="64"/>
    <n v="67"/>
    <n v="39.5"/>
    <n v="21"/>
    <n v="70"/>
    <n v="269.5"/>
    <n v="38.5"/>
    <x v="4"/>
    <x v="6"/>
    <x v="2"/>
    <x v="0"/>
  </r>
  <r>
    <s v="813007170617"/>
    <n v="813007"/>
    <s v="SHEETAL TRADING COMPANY"/>
    <n v="170617"/>
    <s v="MANGALAM TRADING COMPANY"/>
    <n v="15"/>
    <n v="45"/>
    <n v="0"/>
    <n v="64.75"/>
    <n v="139.75"/>
    <n v="53.85"/>
    <n v="24.5"/>
    <n v="342.85"/>
    <n v="48.978571428571435"/>
    <x v="5"/>
    <x v="6"/>
    <x v="2"/>
    <x v="0"/>
  </r>
  <r>
    <s v="813284170617"/>
    <n v="813284"/>
    <s v="SURYA CONSTRUCTION AND TRADING"/>
    <n v="170617"/>
    <s v="MANGALAM TRADING COMPANY"/>
    <n v="10"/>
    <n v="0"/>
    <n v="53.5"/>
    <n v="67"/>
    <n v="27.5"/>
    <n v="21.25"/>
    <n v="32.5"/>
    <n v="211.75"/>
    <n v="30.25"/>
    <x v="4"/>
    <x v="6"/>
    <x v="2"/>
    <x v="0"/>
  </r>
  <r>
    <s v="813974170617"/>
    <n v="813974"/>
    <s v="KRISHNA TRADING COMPANY"/>
    <n v="170617"/>
    <s v="MANGALAM TRADING COMPANY"/>
    <n v="34"/>
    <n v="33"/>
    <n v="30"/>
    <n v="71.400000000000006"/>
    <n v="60"/>
    <n v="103"/>
    <n v="39.25"/>
    <n v="370.65"/>
    <n v="52.949999999999996"/>
    <x v="3"/>
    <x v="6"/>
    <x v="2"/>
    <x v="0"/>
  </r>
  <r>
    <s v="814281170617"/>
    <n v="814281"/>
    <s v="DEVNARAYAN BUILDING MATERIAL S"/>
    <n v="170617"/>
    <s v="MANGALAM TRADING COMPANY"/>
    <n v="0"/>
    <n v="20"/>
    <n v="0"/>
    <n v="0"/>
    <n v="0"/>
    <n v="22.5"/>
    <n v="15"/>
    <n v="57.5"/>
    <n v="8.2142857142857135"/>
    <x v="1"/>
    <x v="6"/>
    <x v="2"/>
    <x v="0"/>
  </r>
  <r>
    <s v="814750170617"/>
    <n v="814750"/>
    <s v="TEJAL BUILDING MATERIAL SUPPLI"/>
    <n v="170617"/>
    <s v="MANGALAM TRADING COMPANY"/>
    <n v="89"/>
    <n v="74.45"/>
    <n v="108.5"/>
    <n v="114"/>
    <n v="40"/>
    <n v="75"/>
    <n v="55.5"/>
    <n v="556.45000000000005"/>
    <n v="79.492857142857147"/>
    <x v="3"/>
    <x v="6"/>
    <x v="2"/>
    <x v="0"/>
  </r>
  <r>
    <s v="815567170617"/>
    <n v="815567"/>
    <s v="RIDHI SIDDHI BUILDING MATERIAL"/>
    <n v="170617"/>
    <s v="MANGALAM TRADING COMPANY"/>
    <n v="0"/>
    <n v="0"/>
    <n v="0"/>
    <n v="7.5"/>
    <n v="5"/>
    <n v="13"/>
    <n v="12.5"/>
    <n v="38"/>
    <n v="5.4285714285714288"/>
    <x v="1"/>
    <x v="6"/>
    <x v="2"/>
    <x v="0"/>
  </r>
  <r>
    <s v="814955171591"/>
    <n v="814955"/>
    <s v="BALAJI CEMENT SUPPLIERS"/>
    <n v="171591"/>
    <s v="RULANIYA CEMENT AGENCY"/>
    <n v="39"/>
    <n v="90.5"/>
    <n v="57.5"/>
    <n v="97.5"/>
    <n v="90"/>
    <n v="70.25"/>
    <n v="40"/>
    <n v="484.75"/>
    <n v="69.25"/>
    <x v="3"/>
    <x v="6"/>
    <x v="2"/>
    <x v="0"/>
  </r>
  <r>
    <s v="808210171834"/>
    <n v="808210"/>
    <s v="JORO MORU BROTHERS"/>
    <n v="171834"/>
    <s v="BABA RAMDEV TRADING COMPANY"/>
    <n v="39"/>
    <n v="124.5"/>
    <n v="141.94999999999999"/>
    <n v="166"/>
    <n v="137.5"/>
    <n v="82.5"/>
    <n v="0"/>
    <n v="691.45"/>
    <n v="98.778571428571439"/>
    <x v="3"/>
    <x v="6"/>
    <x v="2"/>
    <x v="0"/>
  </r>
  <r>
    <s v="805385177426"/>
    <n v="805385"/>
    <s v="SHARMA BUILDING MATERIAL"/>
    <n v="177426"/>
    <s v="THALOR ENTERPRISES"/>
    <n v="0"/>
    <n v="0"/>
    <n v="3.5"/>
    <n v="0"/>
    <n v="0"/>
    <n v="0"/>
    <n v="0"/>
    <n v="3.5"/>
    <n v="0.5"/>
    <x v="1"/>
    <x v="6"/>
    <x v="2"/>
    <x v="0"/>
  </r>
  <r>
    <s v="806396177426"/>
    <n v="806396"/>
    <s v="BALAJI BUILDING MATERIAL"/>
    <n v="177426"/>
    <s v="THALOR ENTERPRISES"/>
    <n v="10"/>
    <n v="82.5"/>
    <n v="37.5"/>
    <n v="0"/>
    <n v="0"/>
    <n v="0"/>
    <n v="0"/>
    <n v="130"/>
    <n v="18.571428571428573"/>
    <x v="2"/>
    <x v="6"/>
    <x v="2"/>
    <x v="0"/>
  </r>
  <r>
    <s v="807359177426"/>
    <n v="807359"/>
    <s v="MUMTAJ TRADING COMPANY"/>
    <n v="177426"/>
    <s v="THALOR ENTERPRISES"/>
    <n v="23.75"/>
    <n v="0"/>
    <n v="25"/>
    <n v="12.5"/>
    <n v="34"/>
    <n v="50.5"/>
    <n v="81"/>
    <n v="226.75"/>
    <n v="32.392857142857146"/>
    <x v="4"/>
    <x v="6"/>
    <x v="2"/>
    <x v="0"/>
  </r>
  <r>
    <s v="808786177426"/>
    <n v="808786"/>
    <s v="LAMORIYA DHARM KANTA"/>
    <n v="177426"/>
    <s v="THALOR ENTERPRISES"/>
    <n v="35"/>
    <n v="51"/>
    <n v="92.5"/>
    <n v="40"/>
    <n v="107.5"/>
    <n v="77.5"/>
    <n v="27.5"/>
    <n v="431"/>
    <n v="61.571428571428569"/>
    <x v="3"/>
    <x v="6"/>
    <x v="2"/>
    <x v="0"/>
  </r>
  <r>
    <s v="809532177426"/>
    <n v="809532"/>
    <s v="ANJANI TRADING  COMPANY"/>
    <n v="177426"/>
    <s v="THALOR ENTERPRISES"/>
    <n v="28.5"/>
    <n v="41.5"/>
    <n v="20"/>
    <n v="28.5"/>
    <n v="10"/>
    <n v="40"/>
    <n v="12.5"/>
    <n v="181"/>
    <n v="25.857142857142858"/>
    <x v="0"/>
    <x v="6"/>
    <x v="2"/>
    <x v="0"/>
  </r>
  <r>
    <s v="812064177426"/>
    <n v="812064"/>
    <s v="SHRI BALAJI DHARMKANTA &amp; BUILD"/>
    <n v="177426"/>
    <s v="THALOR ENTERPRISES"/>
    <n v="0"/>
    <n v="5"/>
    <n v="58"/>
    <n v="7.5"/>
    <n v="0"/>
    <n v="0"/>
    <n v="0"/>
    <n v="70.5"/>
    <n v="10.071428571428571"/>
    <x v="2"/>
    <x v="6"/>
    <x v="2"/>
    <x v="0"/>
  </r>
  <r>
    <s v="815634177426"/>
    <n v="815634"/>
    <s v="SHRI BALAJI KRISHI YANTRALYA"/>
    <n v="177426"/>
    <s v="THALOR ENTERPRISES"/>
    <n v="0"/>
    <n v="0"/>
    <n v="0"/>
    <n v="15"/>
    <n v="80"/>
    <n v="139"/>
    <n v="66.5"/>
    <n v="300.5"/>
    <n v="42.928571428571431"/>
    <x v="5"/>
    <x v="6"/>
    <x v="2"/>
    <x v="0"/>
  </r>
  <r>
    <s v="811218178236"/>
    <n v="811218"/>
    <s v="DEEPAK TRADING COMPANY"/>
    <n v="178236"/>
    <s v="BHORIWAL CEMENT UDYOG"/>
    <n v="66.8"/>
    <n v="198"/>
    <n v="45.5"/>
    <n v="131.25"/>
    <n v="54.75"/>
    <n v="73"/>
    <n v="15"/>
    <n v="584.29999999999995"/>
    <n v="83.471428571428561"/>
    <x v="3"/>
    <x v="6"/>
    <x v="2"/>
    <x v="0"/>
  </r>
  <r>
    <s v="815425178236"/>
    <n v="815425"/>
    <s v="CHOUDHARY AGENCY"/>
    <n v="178236"/>
    <s v="BHORIWAL CEMENT UDYOG"/>
    <n v="0"/>
    <n v="0"/>
    <n v="0"/>
    <n v="155"/>
    <n v="162.25"/>
    <n v="124.75"/>
    <n v="15"/>
    <n v="457"/>
    <n v="65.285714285714292"/>
    <x v="3"/>
    <x v="6"/>
    <x v="2"/>
    <x v="0"/>
  </r>
  <r>
    <s v="814218179490"/>
    <n v="814218"/>
    <s v="S S BUILDING MATERIAL SUPPLIER"/>
    <n v="179490"/>
    <s v="KHATRI TRADING COMPANY"/>
    <n v="52.5"/>
    <n v="20"/>
    <n v="17.5"/>
    <n v="151"/>
    <n v="98.5"/>
    <n v="40"/>
    <n v="0"/>
    <n v="379.5"/>
    <n v="54.214285714285715"/>
    <x v="3"/>
    <x v="6"/>
    <x v="2"/>
    <x v="0"/>
  </r>
  <r>
    <s v="815422202855"/>
    <n v="815422"/>
    <s v="MARUTI CEMENT AGENCY"/>
    <n v="202855"/>
    <s v="SHREE BALAJI CONSTRUCTION SUPP"/>
    <n v="0"/>
    <n v="0"/>
    <n v="0"/>
    <n v="5"/>
    <n v="0"/>
    <n v="0"/>
    <n v="0"/>
    <n v="5"/>
    <n v="0.7142857142857143"/>
    <x v="1"/>
    <x v="6"/>
    <x v="2"/>
    <x v="0"/>
  </r>
  <r>
    <s v="815427202855"/>
    <n v="815427"/>
    <s v="GOPAL DHARM KANTA"/>
    <n v="202855"/>
    <s v="SHREE BALAJI CONSTRUCTION SUPP"/>
    <n v="0"/>
    <n v="0"/>
    <n v="0"/>
    <n v="5"/>
    <n v="0"/>
    <n v="0"/>
    <n v="0"/>
    <n v="5"/>
    <n v="0.7142857142857143"/>
    <x v="1"/>
    <x v="6"/>
    <x v="2"/>
    <x v="0"/>
  </r>
  <r>
    <s v="808786203407"/>
    <n v="808786"/>
    <s v="LAMORIYA DHARM KANTA"/>
    <n v="203407"/>
    <s v="HANUMANGARH INT SUPPLIER"/>
    <n v="10"/>
    <n v="0"/>
    <n v="0"/>
    <n v="0"/>
    <n v="0"/>
    <n v="0"/>
    <n v="0"/>
    <n v="10"/>
    <n v="1.4285714285714286"/>
    <x v="1"/>
    <x v="6"/>
    <x v="2"/>
    <x v="0"/>
  </r>
  <r>
    <s v="814168205826"/>
    <n v="814168"/>
    <s v="RUCHIKA TRADING COMPANY"/>
    <n v="205826"/>
    <s v="SHEKHAWAT BUILDING MATERIAL"/>
    <n v="35"/>
    <n v="0"/>
    <n v="0"/>
    <n v="0"/>
    <n v="0"/>
    <n v="0"/>
    <n v="0"/>
    <n v="35"/>
    <n v="5"/>
    <x v="1"/>
    <x v="6"/>
    <x v="2"/>
    <x v="0"/>
  </r>
  <r>
    <s v="815577207291"/>
    <n v="815577"/>
    <s v="BHANDORIYA CERAMICS"/>
    <n v="207291"/>
    <s v="BALAJI TRADERS"/>
    <n v="0"/>
    <n v="0"/>
    <n v="0"/>
    <n v="12.5"/>
    <n v="5"/>
    <n v="7.5"/>
    <n v="10"/>
    <n v="35"/>
    <n v="5"/>
    <x v="1"/>
    <x v="6"/>
    <x v="2"/>
    <x v="0"/>
  </r>
  <r>
    <s v="815963207713"/>
    <n v="815963"/>
    <s v="MOHAMMED SAMEER TAGALA"/>
    <n v="207713"/>
    <s v="TAGALA BROTHERS"/>
    <n v="0"/>
    <n v="0"/>
    <n v="0"/>
    <n v="0"/>
    <n v="148.5"/>
    <n v="193.75"/>
    <n v="101.5"/>
    <n v="443.75"/>
    <n v="63.392857142857146"/>
    <x v="3"/>
    <x v="6"/>
    <x v="2"/>
    <x v="0"/>
  </r>
  <r>
    <s v="814168208770"/>
    <n v="814168"/>
    <s v="RUCHIKA TRADING COMPANY"/>
    <n v="208770"/>
    <s v="SHEKHAWAT BUILDING MATERIAL"/>
    <n v="0"/>
    <n v="0"/>
    <n v="0"/>
    <n v="92.5"/>
    <n v="25"/>
    <n v="30.5"/>
    <n v="0"/>
    <n v="148"/>
    <n v="21.142857142857142"/>
    <x v="0"/>
    <x v="6"/>
    <x v="2"/>
    <x v="0"/>
  </r>
  <r>
    <s v="815909209146"/>
    <n v="815909"/>
    <s v="SAINI CEMENT AGENCY"/>
    <n v="209146"/>
    <s v="KUMAWAT TRADING CO."/>
    <n v="0"/>
    <n v="0"/>
    <n v="0"/>
    <n v="0"/>
    <n v="79.25"/>
    <n v="82"/>
    <n v="0"/>
    <n v="161.25"/>
    <n v="23.035714285714285"/>
    <x v="0"/>
    <x v="6"/>
    <x v="2"/>
    <x v="0"/>
  </r>
  <r>
    <s v="816430209146"/>
    <n v="816430"/>
    <s v="SHRI SHYAM SALES"/>
    <n v="209146"/>
    <s v="KUMAWAT TRADING CO."/>
    <n v="0"/>
    <n v="0"/>
    <n v="0"/>
    <n v="0"/>
    <n v="0"/>
    <n v="28"/>
    <n v="27.5"/>
    <n v="55.5"/>
    <n v="7.9285714285714288"/>
    <x v="1"/>
    <x v="6"/>
    <x v="2"/>
    <x v="0"/>
  </r>
  <r>
    <s v="815962149971"/>
    <n v="815962"/>
    <s v="ASHOKA BUILDING MATERIAL"/>
    <n v="149971"/>
    <s v="PRADHAN CEMENT SUPPLIERS"/>
    <n v="0"/>
    <n v="0"/>
    <n v="0"/>
    <n v="0"/>
    <n v="0"/>
    <n v="0"/>
    <n v="20"/>
    <n v="20"/>
    <n v="2.8571428571428572"/>
    <x v="1"/>
    <x v="6"/>
    <x v="2"/>
    <x v="0"/>
  </r>
  <r>
    <s v="816426149885"/>
    <n v="816426"/>
    <s v="DETWAL CEMENT SUPPLIERS"/>
    <n v="149885"/>
    <s v="LUHANI CEMENT SUPPLIERS"/>
    <n v="0"/>
    <n v="0"/>
    <n v="0"/>
    <n v="0"/>
    <n v="0"/>
    <n v="0"/>
    <n v="64.5"/>
    <n v="64.5"/>
    <n v="9.2142857142857135"/>
    <x v="1"/>
    <x v="6"/>
    <x v="2"/>
    <x v="0"/>
  </r>
  <r>
    <s v="816435143301"/>
    <n v="816435"/>
    <s v="HARI OM ELECTRICAL SANITARY &amp;"/>
    <n v="143301"/>
    <s v="LAXMI TRADERS"/>
    <n v="0"/>
    <n v="0"/>
    <n v="0"/>
    <n v="0"/>
    <n v="0"/>
    <n v="0"/>
    <n v="15"/>
    <n v="15"/>
    <n v="2.1428571428571428"/>
    <x v="1"/>
    <x v="6"/>
    <x v="2"/>
    <x v="0"/>
  </r>
  <r>
    <s v="816705170617"/>
    <n v="816705"/>
    <s v="JMG CONSTRUCTION COMPANY"/>
    <n v="170617"/>
    <s v="MANGALAM TRADING COMPANY"/>
    <n v="0"/>
    <n v="0"/>
    <n v="0"/>
    <n v="0"/>
    <n v="0"/>
    <n v="0"/>
    <n v="5"/>
    <n v="5"/>
    <n v="0.7142857142857143"/>
    <x v="1"/>
    <x v="6"/>
    <x v="2"/>
    <x v="0"/>
  </r>
  <r>
    <s v="816716207713"/>
    <n v="816716"/>
    <s v="BAGRODIA SALES"/>
    <n v="207713"/>
    <s v="TAGALA BROTHERS"/>
    <n v="0"/>
    <n v="0"/>
    <n v="0"/>
    <n v="0"/>
    <n v="0"/>
    <n v="0"/>
    <n v="10"/>
    <n v="10"/>
    <n v="1.4285714285714286"/>
    <x v="1"/>
    <x v="6"/>
    <x v="2"/>
    <x v="0"/>
  </r>
  <r>
    <s v="816718170617"/>
    <n v="816718"/>
    <s v="SHRI BALAJI CEMENT SUPPLIERS"/>
    <n v="170617"/>
    <s v="MANGALAM TRADING COMPANY"/>
    <n v="0"/>
    <n v="0"/>
    <n v="0"/>
    <n v="0"/>
    <n v="0"/>
    <n v="0"/>
    <n v="58"/>
    <n v="58"/>
    <n v="8.2857142857142865"/>
    <x v="1"/>
    <x v="6"/>
    <x v="2"/>
    <x v="0"/>
  </r>
  <r>
    <s v="814109119052"/>
    <n v="814109"/>
    <s v="SHANKAR KHAD BHANDAR"/>
    <n v="119052"/>
    <s v="SURESH CHAND &amp; CO"/>
    <n v="84"/>
    <n v="53"/>
    <n v="96.5"/>
    <n v="104"/>
    <n v="60"/>
    <n v="93"/>
    <n v="66"/>
    <n v="556.5"/>
    <n v="79.5"/>
    <x v="3"/>
    <x v="7"/>
    <x v="3"/>
    <x v="0"/>
  </r>
  <r>
    <s v="804079174756"/>
    <n v="804079"/>
    <s v="HARI OM TRADERS"/>
    <n v="174756"/>
    <s v="SHAH TRADERS"/>
    <n v="10"/>
    <n v="10"/>
    <n v="0"/>
    <n v="41"/>
    <n v="10"/>
    <n v="2"/>
    <n v="0"/>
    <n v="73"/>
    <n v="10.428571428571429"/>
    <x v="2"/>
    <x v="7"/>
    <x v="3"/>
    <x v="0"/>
  </r>
  <r>
    <s v="808980175717"/>
    <n v="808980"/>
    <s v="TRILOK NATH AGARWAL"/>
    <n v="175717"/>
    <s v="S S AGRAWAL AND COMPANY"/>
    <n v="10"/>
    <n v="7"/>
    <n v="15"/>
    <n v="29.5"/>
    <n v="0"/>
    <n v="0"/>
    <n v="19"/>
    <n v="80.5"/>
    <n v="11.5"/>
    <x v="2"/>
    <x v="7"/>
    <x v="3"/>
    <x v="0"/>
  </r>
  <r>
    <s v="814350175717"/>
    <n v="814350"/>
    <s v="GAURAV MARBLE"/>
    <n v="175717"/>
    <s v="S S AGRAWAL AND COMPANY"/>
    <n v="10"/>
    <n v="77"/>
    <n v="69"/>
    <n v="121.5"/>
    <n v="32"/>
    <n v="42"/>
    <n v="27"/>
    <n v="378.5"/>
    <n v="54.071428571428569"/>
    <x v="3"/>
    <x v="7"/>
    <x v="3"/>
    <x v="0"/>
  </r>
  <r>
    <s v="812076178234"/>
    <n v="812076"/>
    <s v="SHRINATH TRADERS"/>
    <n v="178234"/>
    <s v="SHREE GIRIRAJ TRADERS"/>
    <n v="15"/>
    <n v="15"/>
    <n v="40"/>
    <n v="60"/>
    <n v="15"/>
    <n v="37.5"/>
    <n v="60"/>
    <n v="242.5"/>
    <n v="34.642857142857146"/>
    <x v="4"/>
    <x v="7"/>
    <x v="3"/>
    <x v="0"/>
  </r>
  <r>
    <s v="812100178234"/>
    <n v="812100"/>
    <s v="MAHALAXMI B M TRADERS"/>
    <n v="178234"/>
    <s v="SHREE GIRIRAJ TRADERS"/>
    <n v="0"/>
    <n v="10"/>
    <n v="0"/>
    <n v="10"/>
    <n v="0"/>
    <n v="0"/>
    <n v="0"/>
    <n v="20"/>
    <n v="2.8571428571428572"/>
    <x v="1"/>
    <x v="7"/>
    <x v="3"/>
    <x v="0"/>
  </r>
  <r>
    <s v="812474178234"/>
    <n v="812474"/>
    <s v="DEEPENDRA SINGH CHOUHAN"/>
    <n v="178234"/>
    <s v="SHREE GIRIRAJ TRADERS"/>
    <n v="35"/>
    <n v="30"/>
    <n v="93"/>
    <n v="100.5"/>
    <n v="65"/>
    <n v="48.5"/>
    <n v="34"/>
    <n v="406"/>
    <n v="58"/>
    <x v="3"/>
    <x v="7"/>
    <x v="3"/>
    <x v="0"/>
  </r>
  <r>
    <s v="815468178234"/>
    <n v="815468"/>
    <s v="SAINI FLOUR MEELS AND GENERAL"/>
    <n v="178234"/>
    <s v="SHREE GIRIRAJ TRADERS"/>
    <n v="0"/>
    <n v="0"/>
    <n v="0"/>
    <n v="0"/>
    <n v="15"/>
    <n v="20"/>
    <n v="0"/>
    <n v="35"/>
    <n v="5"/>
    <x v="1"/>
    <x v="7"/>
    <x v="3"/>
    <x v="0"/>
  </r>
  <r>
    <s v="811106178237"/>
    <n v="811106"/>
    <s v="SATISH CHAND GUPTA"/>
    <n v="178237"/>
    <s v="BADAYA TRADERS"/>
    <n v="196"/>
    <n v="182.5"/>
    <n v="196.25"/>
    <n v="149"/>
    <n v="130.5"/>
    <n v="194"/>
    <n v="139.5"/>
    <n v="1187.75"/>
    <n v="169.67857142857142"/>
    <x v="3"/>
    <x v="7"/>
    <x v="3"/>
    <x v="0"/>
  </r>
  <r>
    <s v="812392178237"/>
    <n v="812392"/>
    <s v="JAI MATADI  BUILDING MATERIAL"/>
    <n v="178237"/>
    <s v="BADAYA TRADERS"/>
    <n v="12"/>
    <n v="15"/>
    <n v="29"/>
    <n v="35"/>
    <n v="20"/>
    <n v="34"/>
    <n v="0"/>
    <n v="145"/>
    <n v="20.714285714285715"/>
    <x v="0"/>
    <x v="7"/>
    <x v="3"/>
    <x v="0"/>
  </r>
  <r>
    <s v="812407178237"/>
    <n v="812407"/>
    <s v="HARI SINGH GURJAR"/>
    <n v="178237"/>
    <s v="BADAYA TRADERS"/>
    <n v="0"/>
    <n v="0"/>
    <n v="10"/>
    <n v="0"/>
    <n v="0"/>
    <n v="0"/>
    <n v="0"/>
    <n v="10"/>
    <n v="1.4285714285714286"/>
    <x v="1"/>
    <x v="7"/>
    <x v="3"/>
    <x v="0"/>
  </r>
  <r>
    <s v="812751178237"/>
    <n v="812751"/>
    <s v="KARTIK SANITARY &amp; BUILDING MAT"/>
    <n v="178237"/>
    <s v="BADAYA TRADERS"/>
    <n v="18.25"/>
    <n v="26"/>
    <n v="0"/>
    <n v="0"/>
    <n v="0"/>
    <n v="0"/>
    <n v="15"/>
    <n v="59.25"/>
    <n v="8.4642857142857135"/>
    <x v="1"/>
    <x v="7"/>
    <x v="3"/>
    <x v="0"/>
  </r>
  <r>
    <s v="812811178237"/>
    <n v="812811"/>
    <s v="MADHU SHARMA"/>
    <n v="178237"/>
    <s v="BADAYA TRADERS"/>
    <n v="0"/>
    <n v="0"/>
    <n v="0"/>
    <n v="20"/>
    <n v="0"/>
    <n v="0"/>
    <n v="0"/>
    <n v="20"/>
    <n v="2.8571428571428572"/>
    <x v="1"/>
    <x v="7"/>
    <x v="3"/>
    <x v="0"/>
  </r>
  <r>
    <s v="813821178237"/>
    <n v="813821"/>
    <s v="SHARMA BUILDING MATERIAL SUPPL"/>
    <n v="178237"/>
    <s v="BADAYA TRADERS"/>
    <n v="57.5"/>
    <n v="27"/>
    <n v="109"/>
    <n v="47.1"/>
    <n v="40"/>
    <n v="38"/>
    <n v="0"/>
    <n v="318.60000000000002"/>
    <n v="45.51428571428572"/>
    <x v="5"/>
    <x v="7"/>
    <x v="3"/>
    <x v="0"/>
  </r>
  <r>
    <s v="812384178298"/>
    <n v="812384"/>
    <s v="GURUKRIPA BUILDING MATERIAL"/>
    <n v="178298"/>
    <s v="SAINI BUILDING MATERIAL"/>
    <n v="206"/>
    <n v="238.5"/>
    <n v="201.5"/>
    <n v="235"/>
    <n v="147"/>
    <n v="247.25"/>
    <n v="96"/>
    <n v="1371.25"/>
    <n v="195.89285714285714"/>
    <x v="3"/>
    <x v="7"/>
    <x v="3"/>
    <x v="0"/>
  </r>
  <r>
    <s v="814116178298"/>
    <n v="814116"/>
    <s v="SANJAY KUMAR SAINI"/>
    <n v="178298"/>
    <s v="SAINI BUILDING MATERIAL"/>
    <n v="68"/>
    <n v="96"/>
    <n v="93"/>
    <n v="124"/>
    <n v="87"/>
    <n v="75"/>
    <n v="42"/>
    <n v="585"/>
    <n v="83.571428571428569"/>
    <x v="3"/>
    <x v="7"/>
    <x v="3"/>
    <x v="0"/>
  </r>
  <r>
    <s v="813842202478"/>
    <n v="813842"/>
    <s v="VINOD KUMAR SAINI"/>
    <n v="202478"/>
    <s v="RAMSWAROOP PRAKASHCHAND"/>
    <n v="20"/>
    <n v="0"/>
    <n v="0"/>
    <n v="50"/>
    <n v="0"/>
    <n v="15"/>
    <n v="0"/>
    <n v="85"/>
    <n v="12.142857142857142"/>
    <x v="2"/>
    <x v="7"/>
    <x v="3"/>
    <x v="0"/>
  </r>
  <r>
    <s v="812100203236"/>
    <n v="812100"/>
    <s v="MAHALAXMI B M TRADERS"/>
    <n v="203236"/>
    <s v="SAINI STONE SUPPLIERS"/>
    <n v="37.5"/>
    <n v="54"/>
    <n v="60"/>
    <n v="0"/>
    <n v="30"/>
    <n v="15"/>
    <n v="25"/>
    <n v="221.5"/>
    <n v="31.642857142857142"/>
    <x v="4"/>
    <x v="7"/>
    <x v="3"/>
    <x v="0"/>
  </r>
  <r>
    <s v="815467203236"/>
    <n v="815467"/>
    <s v="SAINI TENT HOUSE"/>
    <n v="203236"/>
    <s v="SAINI STONE SUPPLIERS"/>
    <n v="0"/>
    <n v="0"/>
    <n v="0"/>
    <n v="44"/>
    <n v="65"/>
    <n v="30"/>
    <n v="30"/>
    <n v="169"/>
    <n v="24.142857142857142"/>
    <x v="0"/>
    <x v="7"/>
    <x v="3"/>
    <x v="0"/>
  </r>
  <r>
    <s v="815468203236"/>
    <n v="815468"/>
    <s v="SAINI FLOUR MEELS AND GENERAL"/>
    <n v="203236"/>
    <s v="SAINI STONE SUPPLIERS"/>
    <n v="0"/>
    <n v="0"/>
    <n v="0"/>
    <n v="10"/>
    <n v="0"/>
    <n v="0"/>
    <n v="0"/>
    <n v="10"/>
    <n v="1.4285714285714286"/>
    <x v="1"/>
    <x v="7"/>
    <x v="3"/>
    <x v="0"/>
  </r>
  <r>
    <s v="815479203236"/>
    <n v="815479"/>
    <s v="GURUKRIPA CONSTRUCTION COMPANY"/>
    <n v="203236"/>
    <s v="SAINI STONE SUPPLIERS"/>
    <n v="0"/>
    <n v="0"/>
    <n v="0"/>
    <n v="10"/>
    <n v="0"/>
    <n v="0"/>
    <n v="0"/>
    <n v="10"/>
    <n v="1.4285714285714286"/>
    <x v="1"/>
    <x v="7"/>
    <x v="3"/>
    <x v="0"/>
  </r>
  <r>
    <s v="813378178298"/>
    <n v="813378"/>
    <s v="BRIJENDRA SINGH CHAUHAN"/>
    <n v="178298"/>
    <s v="SAINI BUILDING MATERIAL"/>
    <n v="0"/>
    <n v="0"/>
    <n v="0"/>
    <n v="0"/>
    <n v="0"/>
    <n v="0"/>
    <n v="20"/>
    <n v="20"/>
    <n v="2.8571428571428572"/>
    <x v="1"/>
    <x v="7"/>
    <x v="3"/>
    <x v="0"/>
  </r>
  <r>
    <s v="814116202478"/>
    <n v="814116"/>
    <s v="SANJAY KUMAR SAINI"/>
    <n v="202478"/>
    <s v="RAMSWAROOP PRAKASHCHAND"/>
    <n v="0"/>
    <n v="0"/>
    <n v="0"/>
    <n v="0"/>
    <n v="0"/>
    <n v="0"/>
    <n v="20"/>
    <n v="20"/>
    <n v="2.8571428571428572"/>
    <x v="1"/>
    <x v="7"/>
    <x v="3"/>
    <x v="0"/>
  </r>
  <r>
    <s v="808979149996"/>
    <n v="808979"/>
    <s v="GOVERDHAN ENTERPRISES"/>
    <n v="149996"/>
    <s v="GOKLENDRA BUILDING MATERIAL"/>
    <n v="10"/>
    <n v="0"/>
    <n v="20"/>
    <n v="10"/>
    <n v="17"/>
    <n v="0"/>
    <n v="0"/>
    <n v="57"/>
    <n v="8.1428571428571423"/>
    <x v="1"/>
    <x v="8"/>
    <x v="3"/>
    <x v="0"/>
  </r>
  <r>
    <s v="805468170197"/>
    <n v="805468"/>
    <s v="KEDAR LAL RAMKISHAN LAL"/>
    <n v="170197"/>
    <s v="ARVIND BUILDING MATERIAL"/>
    <n v="20"/>
    <n v="35"/>
    <n v="40"/>
    <n v="90"/>
    <n v="15"/>
    <n v="15"/>
    <n v="30"/>
    <n v="245"/>
    <n v="35"/>
    <x v="4"/>
    <x v="8"/>
    <x v="3"/>
    <x v="0"/>
  </r>
  <r>
    <s v="807164170197"/>
    <n v="807164"/>
    <s v="RAJENDRA SINGH DAGUR"/>
    <n v="170197"/>
    <s v="ARVIND BUILDING MATERIAL"/>
    <n v="0"/>
    <n v="0"/>
    <n v="10"/>
    <n v="0"/>
    <n v="0"/>
    <n v="0"/>
    <n v="0"/>
    <n v="10"/>
    <n v="1.4285714285714286"/>
    <x v="1"/>
    <x v="8"/>
    <x v="3"/>
    <x v="0"/>
  </r>
  <r>
    <s v="808713170197"/>
    <n v="808713"/>
    <s v="JAGDAMBA CEMENT AGENCY"/>
    <n v="170197"/>
    <s v="ARVIND BUILDING MATERIAL"/>
    <n v="50"/>
    <n v="62"/>
    <n v="91.5"/>
    <n v="145"/>
    <n v="0"/>
    <n v="0"/>
    <n v="40"/>
    <n v="388.5"/>
    <n v="55.5"/>
    <x v="3"/>
    <x v="8"/>
    <x v="3"/>
    <x v="0"/>
  </r>
  <r>
    <s v="811694170197"/>
    <n v="811694"/>
    <s v="JAI HANUMAN ENTERPRISES"/>
    <n v="170197"/>
    <s v="ARVIND BUILDING MATERIAL"/>
    <n v="171"/>
    <n v="140"/>
    <n v="164"/>
    <n v="453"/>
    <n v="234"/>
    <n v="90"/>
    <n v="54"/>
    <n v="1306"/>
    <n v="186.57142857142858"/>
    <x v="3"/>
    <x v="8"/>
    <x v="3"/>
    <x v="0"/>
  </r>
  <r>
    <s v="805995170892"/>
    <n v="805995"/>
    <s v="HARMAN SINGH AND SONS"/>
    <n v="170892"/>
    <s v="GOURAV AGAENCY"/>
    <n v="15"/>
    <n v="20"/>
    <n v="10"/>
    <n v="0"/>
    <n v="17"/>
    <n v="0"/>
    <n v="13"/>
    <n v="75"/>
    <n v="10.714285714285714"/>
    <x v="2"/>
    <x v="8"/>
    <x v="3"/>
    <x v="0"/>
  </r>
  <r>
    <s v="806024170892"/>
    <n v="806024"/>
    <s v="MOOL CHAND GURJAR"/>
    <n v="170892"/>
    <s v="GOURAV AGAENCY"/>
    <n v="30"/>
    <n v="66.5"/>
    <n v="59"/>
    <n v="30"/>
    <n v="44"/>
    <n v="28"/>
    <n v="54"/>
    <n v="311.5"/>
    <n v="44.5"/>
    <x v="5"/>
    <x v="8"/>
    <x v="3"/>
    <x v="0"/>
  </r>
  <r>
    <s v="812336178109"/>
    <n v="812336"/>
    <s v="SHIV TRADING COMPANY"/>
    <n v="178109"/>
    <s v="KRISHI SEWA KENDRA"/>
    <n v="52.5"/>
    <n v="75.5"/>
    <n v="77.5"/>
    <n v="32.5"/>
    <n v="55"/>
    <n v="56.5"/>
    <n v="0"/>
    <n v="349.5"/>
    <n v="49.928571428571431"/>
    <x v="5"/>
    <x v="8"/>
    <x v="3"/>
    <x v="0"/>
  </r>
  <r>
    <s v="812426178109"/>
    <n v="812426"/>
    <s v="DEV TRADING COMPANY"/>
    <n v="178109"/>
    <s v="KRISHI SEWA KENDRA"/>
    <n v="47.5"/>
    <n v="0"/>
    <n v="35"/>
    <n v="0"/>
    <n v="0"/>
    <n v="0"/>
    <n v="0"/>
    <n v="82.5"/>
    <n v="11.785714285714286"/>
    <x v="2"/>
    <x v="8"/>
    <x v="3"/>
    <x v="0"/>
  </r>
  <r>
    <s v="812854178109"/>
    <n v="812854"/>
    <s v="GHATVASAN BUILDING MATERIAL"/>
    <n v="178109"/>
    <s v="KRISHI SEWA KENDRA"/>
    <n v="65"/>
    <n v="30"/>
    <n v="22.5"/>
    <n v="30"/>
    <n v="50"/>
    <n v="40"/>
    <n v="23.5"/>
    <n v="261"/>
    <n v="37.285714285714285"/>
    <x v="4"/>
    <x v="8"/>
    <x v="3"/>
    <x v="0"/>
  </r>
  <r>
    <s v="815982178109"/>
    <n v="815982"/>
    <s v="KRISHNA CEMENT AGENCY"/>
    <n v="178109"/>
    <s v="KRISHI SEWA KENDRA"/>
    <n v="0"/>
    <n v="0"/>
    <n v="0"/>
    <n v="0"/>
    <n v="50"/>
    <n v="35"/>
    <n v="0"/>
    <n v="85"/>
    <n v="12.142857142857142"/>
    <x v="2"/>
    <x v="8"/>
    <x v="3"/>
    <x v="0"/>
  </r>
  <r>
    <s v="813122205183"/>
    <n v="813122"/>
    <s v="YADHUVANSHI BUILDING MATERIAL"/>
    <n v="205183"/>
    <s v="SANWARIA TRADING COMPANY"/>
    <n v="0"/>
    <n v="0"/>
    <n v="0"/>
    <n v="20"/>
    <n v="27"/>
    <n v="10"/>
    <n v="0"/>
    <n v="57"/>
    <n v="8.1428571428571423"/>
    <x v="1"/>
    <x v="8"/>
    <x v="3"/>
    <x v="0"/>
  </r>
  <r>
    <s v="814827205183"/>
    <n v="814827"/>
    <s v="JAI CHAMUNDA MAA BUILDING MATE"/>
    <n v="205183"/>
    <s v="SANWARIA TRADING COMPANY"/>
    <n v="51.5"/>
    <n v="0"/>
    <n v="0"/>
    <n v="42"/>
    <n v="0"/>
    <n v="0"/>
    <n v="0"/>
    <n v="93.5"/>
    <n v="13.357142857142858"/>
    <x v="2"/>
    <x v="8"/>
    <x v="3"/>
    <x v="0"/>
  </r>
  <r>
    <s v="814593207907"/>
    <n v="814593"/>
    <s v="BHOLU SINGH CEMENT SUPPLIERS"/>
    <n v="207907"/>
    <s v="NARSINGH KHAAD BEEJ BHANDAR"/>
    <n v="0"/>
    <n v="50"/>
    <n v="47.5"/>
    <n v="20"/>
    <n v="20"/>
    <n v="10"/>
    <n v="0"/>
    <n v="147.5"/>
    <n v="21.071428571428573"/>
    <x v="0"/>
    <x v="8"/>
    <x v="3"/>
    <x v="0"/>
  </r>
  <r>
    <s v="807164208183"/>
    <n v="807164"/>
    <s v="RAJENDRA SINGH DAGUR"/>
    <n v="208183"/>
    <s v="AAGRAWAL TRADING COMPANY"/>
    <n v="0"/>
    <n v="0"/>
    <n v="73"/>
    <n v="31.5"/>
    <n v="84.5"/>
    <n v="150.5"/>
    <n v="10"/>
    <n v="349.5"/>
    <n v="49.928571428571431"/>
    <x v="5"/>
    <x v="8"/>
    <x v="3"/>
    <x v="0"/>
  </r>
  <r>
    <s v="809120208183"/>
    <n v="809120"/>
    <s v="JAY BAJRANG BALI BUILDING MATE"/>
    <n v="208183"/>
    <s v="AAGRAWAL TRADING COMPANY"/>
    <n v="0"/>
    <n v="30"/>
    <n v="96.1"/>
    <n v="41.25"/>
    <n v="70.5"/>
    <n v="0"/>
    <n v="0"/>
    <n v="237.85"/>
    <n v="33.978571428571428"/>
    <x v="4"/>
    <x v="8"/>
    <x v="3"/>
    <x v="0"/>
  </r>
  <r>
    <s v="809439208183"/>
    <n v="809439"/>
    <s v="SHRI VISHWAKARMA BUILDING MATE"/>
    <n v="208183"/>
    <s v="AAGRAWAL TRADING COMPANY"/>
    <n v="0"/>
    <n v="0"/>
    <n v="45"/>
    <n v="28.75"/>
    <n v="30"/>
    <n v="0"/>
    <n v="0"/>
    <n v="103.75"/>
    <n v="14.821428571428571"/>
    <x v="2"/>
    <x v="8"/>
    <x v="3"/>
    <x v="0"/>
  </r>
  <r>
    <s v="809736208183"/>
    <n v="809736"/>
    <s v="MA KAILADEVI KHAD BEEJ BHANDAR"/>
    <n v="208183"/>
    <s v="AAGRAWAL TRADING COMPANY"/>
    <n v="0"/>
    <n v="15"/>
    <n v="76.5"/>
    <n v="128.5"/>
    <n v="55"/>
    <n v="0"/>
    <n v="0"/>
    <n v="275"/>
    <n v="39.285714285714285"/>
    <x v="4"/>
    <x v="8"/>
    <x v="3"/>
    <x v="0"/>
  </r>
  <r>
    <s v="816241208183"/>
    <n v="816241"/>
    <s v="AASTHA KRASHI KENDRA"/>
    <n v="208183"/>
    <s v="AAGRAWAL TRADING COMPANY"/>
    <n v="0"/>
    <n v="0"/>
    <n v="0"/>
    <n v="0"/>
    <n v="0"/>
    <n v="214.5"/>
    <n v="9"/>
    <n v="223.5"/>
    <n v="31.928571428571427"/>
    <x v="4"/>
    <x v="8"/>
    <x v="3"/>
    <x v="0"/>
  </r>
  <r>
    <s v="816425208183"/>
    <n v="816425"/>
    <s v="SAGAR BUILDING MATERIAL"/>
    <n v="208183"/>
    <s v="AAGRAWAL TRADING COMPANY"/>
    <n v="0"/>
    <n v="0"/>
    <n v="0"/>
    <n v="0"/>
    <n v="0"/>
    <n v="91.5"/>
    <n v="8"/>
    <n v="99.5"/>
    <n v="14.214285714285714"/>
    <x v="2"/>
    <x v="8"/>
    <x v="3"/>
    <x v="0"/>
  </r>
  <r>
    <s v="810756208329"/>
    <n v="810756"/>
    <s v="SANTOSH BUILDING MATERIAL"/>
    <n v="208329"/>
    <s v="MAHALAXMI ENTERPRISES"/>
    <n v="0"/>
    <n v="0"/>
    <n v="24.9"/>
    <n v="41"/>
    <n v="31.3"/>
    <n v="0"/>
    <n v="0"/>
    <n v="97.2"/>
    <n v="13.885714285714286"/>
    <x v="2"/>
    <x v="8"/>
    <x v="3"/>
    <x v="0"/>
  </r>
  <r>
    <s v="816240208874"/>
    <n v="816240"/>
    <s v="PAWAN BUILDING MATERIAL"/>
    <n v="208874"/>
    <s v="SINGHAL SAINATARY &amp; HARDWARE"/>
    <n v="0"/>
    <n v="0"/>
    <n v="0"/>
    <n v="0"/>
    <n v="0"/>
    <n v="33"/>
    <n v="25"/>
    <n v="58"/>
    <n v="8.2857142857142865"/>
    <x v="1"/>
    <x v="8"/>
    <x v="3"/>
    <x v="0"/>
  </r>
  <r>
    <s v="816315208183"/>
    <n v="816315"/>
    <s v="ADARSH BUILDING MATERIAL"/>
    <n v="208183"/>
    <s v="AAGRAWAL TRADING COMPANY"/>
    <n v="0"/>
    <n v="0"/>
    <n v="0"/>
    <n v="0"/>
    <n v="0"/>
    <n v="82"/>
    <n v="0"/>
    <n v="82"/>
    <n v="11.714285714285714"/>
    <x v="2"/>
    <x v="8"/>
    <x v="3"/>
    <x v="0"/>
  </r>
  <r>
    <s v="816496170197"/>
    <n v="816496"/>
    <s v="MAA KAILADEVI BUILDING MATERIA"/>
    <n v="170197"/>
    <s v="ARVIND BUILDING MATERIAL"/>
    <n v="0"/>
    <n v="0"/>
    <n v="0"/>
    <n v="0"/>
    <n v="0"/>
    <n v="0"/>
    <n v="70"/>
    <n v="70"/>
    <n v="10"/>
    <x v="2"/>
    <x v="8"/>
    <x v="3"/>
    <x v="0"/>
  </r>
  <r>
    <s v="809191170132"/>
    <n v="809191"/>
    <s v="PARIDWAL TRADERS"/>
    <n v="170132"/>
    <s v="JAI KOSHLESH TRADING COMPANY"/>
    <n v="154"/>
    <n v="80"/>
    <n v="122"/>
    <n v="72.5"/>
    <n v="75"/>
    <n v="0"/>
    <n v="0"/>
    <n v="503.5"/>
    <n v="71.928571428571431"/>
    <x v="3"/>
    <x v="9"/>
    <x v="3"/>
    <x v="0"/>
  </r>
  <r>
    <s v="811357170132"/>
    <n v="811357"/>
    <s v="MEENA TRADING COMPANY"/>
    <n v="170132"/>
    <s v="JAI KOSHLESH TRADING COMPANY"/>
    <n v="0"/>
    <n v="0"/>
    <n v="21"/>
    <n v="0"/>
    <n v="0"/>
    <n v="0"/>
    <n v="0"/>
    <n v="21"/>
    <n v="3"/>
    <x v="1"/>
    <x v="9"/>
    <x v="3"/>
    <x v="0"/>
  </r>
  <r>
    <s v="812964170132"/>
    <n v="812964"/>
    <s v="MATO SHRI TRADERS"/>
    <n v="170132"/>
    <s v="JAI KOSHLESH TRADING COMPANY"/>
    <n v="0"/>
    <n v="0"/>
    <n v="21"/>
    <n v="0"/>
    <n v="0"/>
    <n v="0"/>
    <n v="0"/>
    <n v="21"/>
    <n v="3"/>
    <x v="1"/>
    <x v="9"/>
    <x v="3"/>
    <x v="0"/>
  </r>
  <r>
    <s v="814390170132"/>
    <n v="814390"/>
    <s v="K D STONE"/>
    <n v="170132"/>
    <s v="JAI KOSHLESH TRADING COMPANY"/>
    <n v="107.5"/>
    <n v="83"/>
    <n v="95"/>
    <n v="52.5"/>
    <n v="35"/>
    <n v="0"/>
    <n v="10"/>
    <n v="383"/>
    <n v="54.714285714285715"/>
    <x v="3"/>
    <x v="9"/>
    <x v="3"/>
    <x v="0"/>
  </r>
  <r>
    <s v="814431170132"/>
    <n v="814431"/>
    <s v="MONU KIRANA STORE"/>
    <n v="170132"/>
    <s v="JAI KOSHLESH TRADING COMPANY"/>
    <n v="147.5"/>
    <n v="45"/>
    <n v="100"/>
    <n v="0"/>
    <n v="30"/>
    <n v="14"/>
    <n v="0"/>
    <n v="336.5"/>
    <n v="48.071428571428569"/>
    <x v="5"/>
    <x v="9"/>
    <x v="3"/>
    <x v="0"/>
  </r>
  <r>
    <s v="814441170132"/>
    <n v="814441"/>
    <s v="SONAM KHAD BEEJ BHANDAR"/>
    <n v="170132"/>
    <s v="JAI KOSHLESH TRADING COMPANY"/>
    <n v="30"/>
    <n v="42"/>
    <n v="77"/>
    <n v="20"/>
    <n v="15"/>
    <n v="0"/>
    <n v="0"/>
    <n v="184"/>
    <n v="26.285714285714285"/>
    <x v="0"/>
    <x v="9"/>
    <x v="3"/>
    <x v="0"/>
  </r>
  <r>
    <s v="815211170132"/>
    <n v="815211"/>
    <s v="NAKSHATRA TRADERS"/>
    <n v="170132"/>
    <s v="JAI KOSHLESH TRADING COMPANY"/>
    <n v="0"/>
    <n v="0"/>
    <n v="0"/>
    <n v="51.5"/>
    <n v="40"/>
    <n v="42.9"/>
    <n v="174"/>
    <n v="308.39999999999998"/>
    <n v="44.057142857142857"/>
    <x v="5"/>
    <x v="9"/>
    <x v="3"/>
    <x v="0"/>
  </r>
  <r>
    <s v="811241170146"/>
    <n v="811241"/>
    <s v="GOHIL TRADING COMPANY"/>
    <n v="170146"/>
    <s v="KASLIWAL KRISHI SEWA KENDRA"/>
    <n v="0"/>
    <n v="0"/>
    <n v="0"/>
    <n v="10"/>
    <n v="0"/>
    <n v="0"/>
    <n v="0"/>
    <n v="10"/>
    <n v="1.4285714285714286"/>
    <x v="1"/>
    <x v="9"/>
    <x v="3"/>
    <x v="0"/>
  </r>
  <r>
    <s v="811356170146"/>
    <n v="811356"/>
    <s v="DINESH TRADERS"/>
    <n v="170146"/>
    <s v="KASLIWAL KRISHI SEWA KENDRA"/>
    <n v="15"/>
    <n v="20"/>
    <n v="73"/>
    <n v="30"/>
    <n v="62"/>
    <n v="0"/>
    <n v="50"/>
    <n v="250"/>
    <n v="35.714285714285715"/>
    <x v="4"/>
    <x v="9"/>
    <x v="3"/>
    <x v="0"/>
  </r>
  <r>
    <s v="811357170146"/>
    <n v="811357"/>
    <s v="MEENA TRADING COMPANY"/>
    <n v="170146"/>
    <s v="KASLIWAL KRISHI SEWA KENDRA"/>
    <n v="0"/>
    <n v="0"/>
    <n v="0"/>
    <n v="21"/>
    <n v="20"/>
    <n v="0"/>
    <n v="10"/>
    <n v="51"/>
    <n v="7.2857142857142856"/>
    <x v="1"/>
    <x v="9"/>
    <x v="3"/>
    <x v="0"/>
  </r>
  <r>
    <s v="812134170146"/>
    <n v="812134"/>
    <s v="YOGI TRADERS"/>
    <n v="170146"/>
    <s v="KASLIWAL KRISHI SEWA KENDRA"/>
    <n v="104"/>
    <n v="129.5"/>
    <n v="110"/>
    <n v="92"/>
    <n v="5"/>
    <n v="55"/>
    <n v="87"/>
    <n v="582.5"/>
    <n v="83.214285714285708"/>
    <x v="3"/>
    <x v="9"/>
    <x v="3"/>
    <x v="0"/>
  </r>
  <r>
    <s v="812964170146"/>
    <n v="812964"/>
    <s v="MATO SHRI TRADERS"/>
    <n v="170146"/>
    <s v="KASLIWAL KRISHI SEWA KENDRA"/>
    <n v="10"/>
    <n v="20"/>
    <n v="60"/>
    <n v="86"/>
    <n v="25"/>
    <n v="77"/>
    <n v="30"/>
    <n v="308"/>
    <n v="44"/>
    <x v="5"/>
    <x v="9"/>
    <x v="3"/>
    <x v="0"/>
  </r>
  <r>
    <s v="813409170146"/>
    <n v="813409"/>
    <s v="VIKAS TRADING COMPANY"/>
    <n v="170146"/>
    <s v="KASLIWAL KRISHI SEWA KENDRA"/>
    <n v="40"/>
    <n v="56"/>
    <n v="70"/>
    <n v="21"/>
    <n v="30"/>
    <n v="60"/>
    <n v="35"/>
    <n v="312"/>
    <n v="44.571428571428569"/>
    <x v="5"/>
    <x v="9"/>
    <x v="3"/>
    <x v="0"/>
  </r>
  <r>
    <s v="813539170146"/>
    <n v="813539"/>
    <s v="NARAYAN TRADERS"/>
    <n v="170146"/>
    <s v="KASLIWAL KRISHI SEWA KENDRA"/>
    <n v="60"/>
    <n v="87"/>
    <n v="20"/>
    <n v="89"/>
    <n v="75"/>
    <n v="45"/>
    <n v="65"/>
    <n v="441"/>
    <n v="63"/>
    <x v="3"/>
    <x v="9"/>
    <x v="3"/>
    <x v="0"/>
  </r>
  <r>
    <s v="814496170146"/>
    <n v="814496"/>
    <s v="MINAXI TRADERS"/>
    <n v="170146"/>
    <s v="KASLIWAL KRISHI SEWA KENDRA"/>
    <n v="105"/>
    <n v="25"/>
    <n v="144.5"/>
    <n v="0"/>
    <n v="0"/>
    <n v="14"/>
    <n v="27"/>
    <n v="315.5"/>
    <n v="45.071428571428569"/>
    <x v="5"/>
    <x v="9"/>
    <x v="3"/>
    <x v="0"/>
  </r>
  <r>
    <s v="814497170146"/>
    <n v="814497"/>
    <s v="SHRI GANESH BUILDING MATERIAL"/>
    <n v="170146"/>
    <s v="KASLIWAL KRISHI SEWA KENDRA"/>
    <n v="0"/>
    <n v="56"/>
    <n v="40"/>
    <n v="15"/>
    <n v="15"/>
    <n v="0"/>
    <n v="15"/>
    <n v="141"/>
    <n v="20.142857142857142"/>
    <x v="0"/>
    <x v="9"/>
    <x v="3"/>
    <x v="0"/>
  </r>
  <r>
    <s v="815093170146"/>
    <n v="815093"/>
    <s v="MAHAKAL CONSTRUCTION COMPANY"/>
    <n v="170146"/>
    <s v="KASLIWAL KRISHI SEWA KENDRA"/>
    <n v="0"/>
    <n v="70"/>
    <n v="25"/>
    <n v="10"/>
    <n v="30"/>
    <n v="0"/>
    <n v="35"/>
    <n v="170"/>
    <n v="24.285714285714285"/>
    <x v="0"/>
    <x v="9"/>
    <x v="3"/>
    <x v="0"/>
  </r>
  <r>
    <s v="815501170147"/>
    <n v="815501"/>
    <s v="BALAJI BUILDING MATERIAL"/>
    <n v="170147"/>
    <s v="DINESH TRADERS"/>
    <n v="0"/>
    <n v="0"/>
    <n v="0"/>
    <n v="25"/>
    <n v="20"/>
    <n v="14"/>
    <n v="0"/>
    <n v="59"/>
    <n v="8.4285714285714288"/>
    <x v="1"/>
    <x v="9"/>
    <x v="3"/>
    <x v="0"/>
  </r>
  <r>
    <s v="808791170149"/>
    <n v="808791"/>
    <s v="HEMANT TRADING COMPANY"/>
    <n v="170149"/>
    <s v="ASHOK TRADING  COMPANY"/>
    <n v="25"/>
    <n v="50"/>
    <n v="92"/>
    <n v="70"/>
    <n v="0"/>
    <n v="146.9"/>
    <n v="75"/>
    <n v="458.9"/>
    <n v="65.55714285714285"/>
    <x v="3"/>
    <x v="9"/>
    <x v="3"/>
    <x v="0"/>
  </r>
  <r>
    <s v="812066170149"/>
    <n v="812066"/>
    <s v="SAINI BUILDING MATERIAL"/>
    <n v="170149"/>
    <s v="ASHOK TRADING  COMPANY"/>
    <n v="0"/>
    <n v="67"/>
    <n v="77"/>
    <n v="129"/>
    <n v="20"/>
    <n v="67.5"/>
    <n v="30"/>
    <n v="390.5"/>
    <n v="55.785714285714285"/>
    <x v="3"/>
    <x v="9"/>
    <x v="3"/>
    <x v="0"/>
  </r>
  <r>
    <s v="813763170149"/>
    <n v="813763"/>
    <s v="GURU KRIPA MINESH TRADERS"/>
    <n v="170149"/>
    <s v="ASHOK TRADING  COMPANY"/>
    <n v="17.5"/>
    <n v="65.5"/>
    <n v="113.5"/>
    <n v="74"/>
    <n v="0"/>
    <n v="75"/>
    <n v="0"/>
    <n v="345.5"/>
    <n v="49.357142857142854"/>
    <x v="5"/>
    <x v="9"/>
    <x v="3"/>
    <x v="0"/>
  </r>
  <r>
    <s v="814670170149"/>
    <n v="814670"/>
    <s v="JAI SHRI RADHE RADHE TRADERS"/>
    <n v="170149"/>
    <s v="ASHOK TRADING  COMPANY"/>
    <n v="37.5"/>
    <n v="27.5"/>
    <n v="71"/>
    <n v="70"/>
    <n v="15"/>
    <n v="10"/>
    <n v="10"/>
    <n v="241"/>
    <n v="34.428571428571431"/>
    <x v="4"/>
    <x v="9"/>
    <x v="3"/>
    <x v="0"/>
  </r>
  <r>
    <s v="803017170200"/>
    <n v="803017"/>
    <s v="HAZI AND COMPANY"/>
    <n v="170200"/>
    <s v="GARG TRADING COMPANY"/>
    <n v="81"/>
    <n v="91"/>
    <n v="96"/>
    <n v="47"/>
    <n v="75"/>
    <n v="96"/>
    <n v="35"/>
    <n v="521"/>
    <n v="74.428571428571431"/>
    <x v="3"/>
    <x v="9"/>
    <x v="3"/>
    <x v="0"/>
  </r>
  <r>
    <s v="803251170200"/>
    <n v="803251"/>
    <s v="ANSUL TRADING COMPANY"/>
    <n v="170200"/>
    <s v="GARG TRADING COMPANY"/>
    <n v="15"/>
    <n v="20"/>
    <n v="15"/>
    <n v="20"/>
    <n v="10"/>
    <n v="10"/>
    <n v="0"/>
    <n v="90"/>
    <n v="12.857142857142858"/>
    <x v="2"/>
    <x v="9"/>
    <x v="3"/>
    <x v="0"/>
  </r>
  <r>
    <s v="806327170200"/>
    <n v="806327"/>
    <s v="GUPTA ENTERPRISES"/>
    <n v="170200"/>
    <s v="GARG TRADING COMPANY"/>
    <n v="51"/>
    <n v="59.5"/>
    <n v="192.5"/>
    <n v="20"/>
    <n v="15"/>
    <n v="120"/>
    <n v="55"/>
    <n v="513"/>
    <n v="73.285714285714292"/>
    <x v="3"/>
    <x v="9"/>
    <x v="3"/>
    <x v="0"/>
  </r>
  <r>
    <s v="806968170200"/>
    <n v="806968"/>
    <s v="AMISHA TRADING"/>
    <n v="170200"/>
    <s v="GARG TRADING COMPANY"/>
    <n v="35"/>
    <n v="0"/>
    <n v="102.5"/>
    <n v="0"/>
    <n v="20"/>
    <n v="25"/>
    <n v="15"/>
    <n v="197.5"/>
    <n v="28.214285714285715"/>
    <x v="0"/>
    <x v="9"/>
    <x v="3"/>
    <x v="0"/>
  </r>
  <r>
    <s v="803256170204"/>
    <n v="803256"/>
    <s v="NEW BAMANWAS KHAD BEEJ BHANDAR"/>
    <n v="170204"/>
    <s v="GOYAL BUILDING MATERIAL"/>
    <n v="423.5"/>
    <n v="124.5"/>
    <n v="368"/>
    <n v="182"/>
    <n v="20"/>
    <n v="252"/>
    <n v="135"/>
    <n v="1505"/>
    <n v="215"/>
    <x v="3"/>
    <x v="9"/>
    <x v="3"/>
    <x v="0"/>
  </r>
  <r>
    <s v="803364170204"/>
    <n v="803364"/>
    <s v="JAI HANUMAN TRADERS"/>
    <n v="170204"/>
    <s v="GOYAL BUILDING MATERIAL"/>
    <n v="0"/>
    <n v="0"/>
    <n v="0"/>
    <n v="47"/>
    <n v="0"/>
    <n v="0"/>
    <n v="0"/>
    <n v="47"/>
    <n v="6.7142857142857144"/>
    <x v="1"/>
    <x v="9"/>
    <x v="3"/>
    <x v="0"/>
  </r>
  <r>
    <s v="805574170204"/>
    <n v="805574"/>
    <s v="JAI BHAIRAV NATH BUILDING MATE"/>
    <n v="170204"/>
    <s v="GOYAL BUILDING MATERIAL"/>
    <n v="288.5"/>
    <n v="163.5"/>
    <n v="229"/>
    <n v="50"/>
    <n v="42"/>
    <n v="258.5"/>
    <n v="158"/>
    <n v="1189.5"/>
    <n v="169.92857142857142"/>
    <x v="3"/>
    <x v="9"/>
    <x v="3"/>
    <x v="0"/>
  </r>
  <r>
    <s v="806051170204"/>
    <n v="806051"/>
    <s v="KHUSHI BUILDING MATERIAL"/>
    <n v="170204"/>
    <s v="GOYAL BUILDING MATERIAL"/>
    <n v="133"/>
    <n v="52.5"/>
    <n v="230"/>
    <n v="75"/>
    <n v="22"/>
    <n v="92"/>
    <n v="80"/>
    <n v="684.5"/>
    <n v="97.785714285714292"/>
    <x v="3"/>
    <x v="9"/>
    <x v="3"/>
    <x v="0"/>
  </r>
  <r>
    <s v="806322170204"/>
    <n v="806322"/>
    <s v="INDIAN BUILDING MATERIAL"/>
    <n v="170204"/>
    <s v="GOYAL BUILDING MATERIAL"/>
    <n v="107"/>
    <n v="77"/>
    <n v="202.5"/>
    <n v="15"/>
    <n v="20"/>
    <n v="94"/>
    <n v="0"/>
    <n v="515.5"/>
    <n v="73.642857142857139"/>
    <x v="3"/>
    <x v="9"/>
    <x v="3"/>
    <x v="0"/>
  </r>
  <r>
    <s v="806323170204"/>
    <n v="806323"/>
    <s v="RAJAWAL TRADERS"/>
    <n v="170204"/>
    <s v="GOYAL BUILDING MATERIAL"/>
    <n v="93.5"/>
    <n v="46"/>
    <n v="52.5"/>
    <n v="89"/>
    <n v="15"/>
    <n v="37"/>
    <n v="0"/>
    <n v="333"/>
    <n v="47.571428571428569"/>
    <x v="5"/>
    <x v="9"/>
    <x v="3"/>
    <x v="0"/>
  </r>
  <r>
    <s v="806346170204"/>
    <n v="806346"/>
    <s v="SHYAM BUILDING MATERIAL"/>
    <n v="170204"/>
    <s v="GOYAL BUILDING MATERIAL"/>
    <n v="105"/>
    <n v="52.5"/>
    <n v="231.75"/>
    <n v="146.5"/>
    <n v="0"/>
    <n v="96.5"/>
    <n v="0"/>
    <n v="632.25"/>
    <n v="90.321428571428569"/>
    <x v="3"/>
    <x v="9"/>
    <x v="3"/>
    <x v="0"/>
  </r>
  <r>
    <s v="806748170204"/>
    <n v="806748"/>
    <s v="CHECHI BUILDING MATERIAL"/>
    <n v="170204"/>
    <s v="GOYAL BUILDING MATERIAL"/>
    <n v="35"/>
    <n v="46"/>
    <n v="87.5"/>
    <n v="35"/>
    <n v="15"/>
    <n v="13"/>
    <n v="0"/>
    <n v="231.5"/>
    <n v="33.071428571428569"/>
    <x v="4"/>
    <x v="9"/>
    <x v="3"/>
    <x v="0"/>
  </r>
  <r>
    <s v="807017170204"/>
    <n v="807017"/>
    <s v="SHREE DEVNARAYAN BUILDING MATE"/>
    <n v="170204"/>
    <s v="GOYAL BUILDING MATERIAL"/>
    <n v="70"/>
    <n v="94"/>
    <n v="65"/>
    <n v="35"/>
    <n v="10"/>
    <n v="37.5"/>
    <n v="0"/>
    <n v="311.5"/>
    <n v="44.5"/>
    <x v="5"/>
    <x v="9"/>
    <x v="3"/>
    <x v="0"/>
  </r>
  <r>
    <s v="807988170204"/>
    <n v="807988"/>
    <s v="BHOLE BUILDING MATERIAL"/>
    <n v="170204"/>
    <s v="GOYAL BUILDING MATERIAL"/>
    <n v="38.5"/>
    <n v="43.5"/>
    <n v="52.5"/>
    <n v="40"/>
    <n v="0"/>
    <n v="0"/>
    <n v="0"/>
    <n v="174.5"/>
    <n v="24.928571428571427"/>
    <x v="0"/>
    <x v="9"/>
    <x v="3"/>
    <x v="0"/>
  </r>
  <r>
    <s v="808259170204"/>
    <n v="808259"/>
    <s v="SHRI KRISHNA TRADERS"/>
    <n v="170204"/>
    <s v="GOYAL BUILDING MATERIAL"/>
    <n v="52.5"/>
    <n v="38"/>
    <n v="17.5"/>
    <n v="7"/>
    <n v="0"/>
    <n v="0"/>
    <n v="0"/>
    <n v="115"/>
    <n v="16.428571428571427"/>
    <x v="2"/>
    <x v="9"/>
    <x v="3"/>
    <x v="0"/>
  </r>
  <r>
    <s v="808791170204"/>
    <n v="808791"/>
    <s v="HEMANT TRADING COMPANY"/>
    <n v="170204"/>
    <s v="GOYAL BUILDING MATERIAL"/>
    <n v="0"/>
    <n v="0"/>
    <n v="0"/>
    <n v="0"/>
    <n v="0"/>
    <n v="42"/>
    <n v="0"/>
    <n v="42"/>
    <n v="6"/>
    <x v="1"/>
    <x v="9"/>
    <x v="3"/>
    <x v="0"/>
  </r>
  <r>
    <s v="809580170204"/>
    <n v="809580"/>
    <s v="TANU BUILDING MATERIAL"/>
    <n v="170204"/>
    <s v="GOYAL BUILDING MATERIAL"/>
    <n v="0"/>
    <n v="0"/>
    <n v="212"/>
    <n v="67"/>
    <n v="0"/>
    <n v="0"/>
    <n v="0"/>
    <n v="279"/>
    <n v="39.857142857142854"/>
    <x v="4"/>
    <x v="9"/>
    <x v="3"/>
    <x v="0"/>
  </r>
  <r>
    <s v="811032170204"/>
    <n v="811032"/>
    <s v="ABDUL BUILDING MATERIALS"/>
    <n v="170204"/>
    <s v="GOYAL BUILDING MATERIAL"/>
    <n v="21"/>
    <n v="70"/>
    <n v="112"/>
    <n v="154"/>
    <n v="0"/>
    <n v="20"/>
    <n v="0"/>
    <n v="377"/>
    <n v="53.857142857142854"/>
    <x v="3"/>
    <x v="9"/>
    <x v="3"/>
    <x v="0"/>
  </r>
  <r>
    <s v="811107170204"/>
    <n v="811107"/>
    <s v="GURU KRIPA BUILDING MATERIAL"/>
    <n v="170204"/>
    <s v="GOYAL BUILDING MATERIAL"/>
    <n v="0"/>
    <n v="0"/>
    <n v="0"/>
    <n v="3"/>
    <n v="0"/>
    <n v="0"/>
    <n v="0"/>
    <n v="3"/>
    <n v="0.42857142857142855"/>
    <x v="1"/>
    <x v="9"/>
    <x v="3"/>
    <x v="0"/>
  </r>
  <r>
    <s v="811324170204"/>
    <n v="811324"/>
    <s v="SAINI BUILDING MATERIAL"/>
    <n v="170204"/>
    <s v="GOYAL BUILDING MATERIAL"/>
    <n v="17.5"/>
    <n v="62.5"/>
    <n v="144"/>
    <n v="30"/>
    <n v="0"/>
    <n v="17.5"/>
    <n v="0"/>
    <n v="271.5"/>
    <n v="38.785714285714285"/>
    <x v="4"/>
    <x v="9"/>
    <x v="3"/>
    <x v="0"/>
  </r>
  <r>
    <s v="812066170204"/>
    <n v="812066"/>
    <s v="SAINI BUILDING MATERIAL"/>
    <n v="170204"/>
    <s v="GOYAL BUILDING MATERIAL"/>
    <n v="0"/>
    <n v="0"/>
    <n v="0"/>
    <n v="0"/>
    <n v="0"/>
    <n v="15"/>
    <n v="0"/>
    <n v="15"/>
    <n v="2.1428571428571428"/>
    <x v="1"/>
    <x v="9"/>
    <x v="3"/>
    <x v="0"/>
  </r>
  <r>
    <s v="813054170204"/>
    <n v="813054"/>
    <s v="PRINCE TRADING COMPANY"/>
    <n v="170204"/>
    <s v="GOYAL BUILDING MATERIAL"/>
    <n v="115.5"/>
    <n v="68"/>
    <n v="35"/>
    <n v="0"/>
    <n v="0"/>
    <n v="37.5"/>
    <n v="0"/>
    <n v="256"/>
    <n v="36.571428571428569"/>
    <x v="4"/>
    <x v="9"/>
    <x v="3"/>
    <x v="0"/>
  </r>
  <r>
    <s v="813541170204"/>
    <n v="813541"/>
    <s v="SHREE SHYAM TRADERS"/>
    <n v="170204"/>
    <s v="GOYAL BUILDING MATERIAL"/>
    <n v="56"/>
    <n v="0"/>
    <n v="0"/>
    <n v="0"/>
    <n v="0"/>
    <n v="0"/>
    <n v="0"/>
    <n v="56"/>
    <n v="8"/>
    <x v="1"/>
    <x v="9"/>
    <x v="3"/>
    <x v="0"/>
  </r>
  <r>
    <s v="813763170204"/>
    <n v="813763"/>
    <s v="GURU KRIPA MINESH TRADERS"/>
    <n v="170204"/>
    <s v="GOYAL BUILDING MATERIAL"/>
    <n v="0"/>
    <n v="0"/>
    <n v="0"/>
    <n v="0"/>
    <n v="0"/>
    <n v="20"/>
    <n v="0"/>
    <n v="20"/>
    <n v="2.8571428571428572"/>
    <x v="1"/>
    <x v="9"/>
    <x v="3"/>
    <x v="0"/>
  </r>
  <r>
    <s v="813765170204"/>
    <n v="813765"/>
    <s v="GANPATI BUILDING MATERIAL"/>
    <n v="170204"/>
    <s v="GOYAL BUILDING MATERIAL"/>
    <n v="126"/>
    <n v="268"/>
    <n v="171"/>
    <n v="130.5"/>
    <n v="0"/>
    <n v="107"/>
    <n v="140"/>
    <n v="942.5"/>
    <n v="134.64285714285714"/>
    <x v="3"/>
    <x v="9"/>
    <x v="3"/>
    <x v="0"/>
  </r>
  <r>
    <s v="813847170204"/>
    <n v="813847"/>
    <s v="RAJ RAJESHWARI PAINT HOUSE"/>
    <n v="170204"/>
    <s v="GOYAL BUILDING MATERIAL"/>
    <n v="100.5"/>
    <n v="32.5"/>
    <n v="0"/>
    <n v="40"/>
    <n v="0"/>
    <n v="17.5"/>
    <n v="0"/>
    <n v="190.5"/>
    <n v="27.214285714285715"/>
    <x v="0"/>
    <x v="9"/>
    <x v="3"/>
    <x v="0"/>
  </r>
  <r>
    <s v="814482170204"/>
    <n v="814482"/>
    <s v="BISHANLAL KHAD BEEJ BHANDAR"/>
    <n v="170204"/>
    <s v="GOYAL BUILDING MATERIAL"/>
    <n v="0"/>
    <n v="55"/>
    <n v="36.5"/>
    <n v="57"/>
    <n v="50"/>
    <n v="55"/>
    <n v="0"/>
    <n v="253.5"/>
    <n v="36.214285714285715"/>
    <x v="4"/>
    <x v="9"/>
    <x v="3"/>
    <x v="0"/>
  </r>
  <r>
    <s v="814524170204"/>
    <n v="814524"/>
    <s v="NEW AMAN BUILDING MATERIAL"/>
    <n v="170204"/>
    <s v="GOYAL BUILDING MATERIAL"/>
    <n v="0"/>
    <n v="0"/>
    <n v="0"/>
    <n v="2"/>
    <n v="0"/>
    <n v="0"/>
    <n v="0"/>
    <n v="2"/>
    <n v="0.2857142857142857"/>
    <x v="1"/>
    <x v="9"/>
    <x v="3"/>
    <x v="0"/>
  </r>
  <r>
    <s v="815256170204"/>
    <n v="815256"/>
    <s v="KUMHER BUILDING MATERIAL"/>
    <n v="170204"/>
    <s v="GOYAL BUILDING MATERIAL"/>
    <n v="0"/>
    <n v="0"/>
    <n v="42"/>
    <n v="260"/>
    <n v="50"/>
    <n v="102.5"/>
    <n v="35"/>
    <n v="489.5"/>
    <n v="69.928571428571431"/>
    <x v="3"/>
    <x v="9"/>
    <x v="3"/>
    <x v="0"/>
  </r>
  <r>
    <s v="815420170204"/>
    <n v="815420"/>
    <s v="GAYATRI BUILDING MATERIAL"/>
    <n v="170204"/>
    <s v="GOYAL BUILDING MATERIAL"/>
    <n v="0"/>
    <n v="0"/>
    <n v="0"/>
    <n v="70"/>
    <n v="20"/>
    <n v="99"/>
    <n v="115"/>
    <n v="304"/>
    <n v="43.428571428571431"/>
    <x v="5"/>
    <x v="9"/>
    <x v="3"/>
    <x v="0"/>
  </r>
  <r>
    <s v="815424170204"/>
    <n v="815424"/>
    <s v="GURUJI ENTERPRISE"/>
    <n v="170204"/>
    <s v="GOYAL BUILDING MATERIAL"/>
    <n v="0"/>
    <n v="0"/>
    <n v="0"/>
    <n v="97"/>
    <n v="20"/>
    <n v="44"/>
    <n v="0"/>
    <n v="161"/>
    <n v="23"/>
    <x v="0"/>
    <x v="9"/>
    <x v="3"/>
    <x v="0"/>
  </r>
  <r>
    <s v="815428170204"/>
    <n v="815428"/>
    <s v="RAJA BUILDING MATERIAL"/>
    <n v="170204"/>
    <s v="GOYAL BUILDING MATERIAL"/>
    <n v="0"/>
    <n v="0"/>
    <n v="0"/>
    <n v="129"/>
    <n v="40"/>
    <n v="27.5"/>
    <n v="0"/>
    <n v="196.5"/>
    <n v="28.071428571428573"/>
    <x v="0"/>
    <x v="9"/>
    <x v="3"/>
    <x v="0"/>
  </r>
  <r>
    <s v="815429170204"/>
    <n v="815429"/>
    <s v="AZAD BUILDING MATERIAL"/>
    <n v="170204"/>
    <s v="GOYAL BUILDING MATERIAL"/>
    <n v="0"/>
    <n v="0"/>
    <n v="0"/>
    <n v="110"/>
    <n v="20"/>
    <n v="90"/>
    <n v="0"/>
    <n v="220"/>
    <n v="31.428571428571427"/>
    <x v="4"/>
    <x v="9"/>
    <x v="3"/>
    <x v="0"/>
  </r>
  <r>
    <s v="815430170204"/>
    <n v="815430"/>
    <s v="AAKASH TRADING COMPANY"/>
    <n v="170204"/>
    <s v="GOYAL BUILDING MATERIAL"/>
    <n v="0"/>
    <n v="0"/>
    <n v="0"/>
    <n v="158"/>
    <n v="41"/>
    <n v="188"/>
    <n v="0"/>
    <n v="387"/>
    <n v="55.285714285714285"/>
    <x v="3"/>
    <x v="9"/>
    <x v="3"/>
    <x v="0"/>
  </r>
  <r>
    <s v="815474170204"/>
    <n v="815474"/>
    <s v="GGC BUILDING MATERIAL"/>
    <n v="170204"/>
    <s v="GOYAL BUILDING MATERIAL"/>
    <n v="0"/>
    <n v="0"/>
    <n v="0"/>
    <n v="57"/>
    <n v="15"/>
    <n v="109"/>
    <n v="35"/>
    <n v="216"/>
    <n v="30.857142857142858"/>
    <x v="4"/>
    <x v="9"/>
    <x v="3"/>
    <x v="0"/>
  </r>
  <r>
    <s v="815985170204"/>
    <n v="815985"/>
    <s v="GARG BUILDING MATERIAL"/>
    <n v="170204"/>
    <s v="GOYAL BUILDING MATERIAL"/>
    <n v="0"/>
    <n v="0"/>
    <n v="0"/>
    <n v="0"/>
    <n v="0"/>
    <n v="23"/>
    <n v="34"/>
    <n v="57"/>
    <n v="8.1428571428571423"/>
    <x v="1"/>
    <x v="9"/>
    <x v="3"/>
    <x v="0"/>
  </r>
  <r>
    <s v="815986170204"/>
    <n v="815986"/>
    <s v="VIKRAM TRADING COMPANY"/>
    <n v="170204"/>
    <s v="GOYAL BUILDING MATERIAL"/>
    <n v="0"/>
    <n v="0"/>
    <n v="0"/>
    <n v="0"/>
    <n v="0"/>
    <n v="50"/>
    <n v="0"/>
    <n v="50"/>
    <n v="7.1428571428571432"/>
    <x v="1"/>
    <x v="9"/>
    <x v="3"/>
    <x v="0"/>
  </r>
  <r>
    <s v="816038170204"/>
    <n v="816038"/>
    <s v="MADHAV TRADERS"/>
    <n v="170204"/>
    <s v="GOYAL BUILDING MATERIAL"/>
    <n v="0"/>
    <n v="0"/>
    <n v="0"/>
    <n v="0"/>
    <n v="0"/>
    <n v="97.5"/>
    <n v="35"/>
    <n v="132.5"/>
    <n v="18.928571428571427"/>
    <x v="2"/>
    <x v="9"/>
    <x v="3"/>
    <x v="0"/>
  </r>
  <r>
    <s v="808269170363"/>
    <n v="808269"/>
    <s v="J P TRADERS"/>
    <n v="170363"/>
    <s v="GOLDEN TRADERS"/>
    <n v="0"/>
    <n v="35"/>
    <n v="55"/>
    <n v="14"/>
    <n v="15"/>
    <n v="0"/>
    <n v="17.5"/>
    <n v="136.5"/>
    <n v="19.5"/>
    <x v="2"/>
    <x v="9"/>
    <x v="3"/>
    <x v="0"/>
  </r>
  <r>
    <s v="808789170363"/>
    <n v="808789"/>
    <s v="SURESH TRADING COMPANY"/>
    <n v="170363"/>
    <s v="GOLDEN TRADERS"/>
    <n v="42"/>
    <n v="40"/>
    <n v="102"/>
    <n v="0"/>
    <n v="85"/>
    <n v="18.5"/>
    <n v="67.5"/>
    <n v="355"/>
    <n v="50.714285714285715"/>
    <x v="3"/>
    <x v="9"/>
    <x v="3"/>
    <x v="0"/>
  </r>
  <r>
    <s v="811924170363"/>
    <n v="811924"/>
    <s v="KHAN BUILDING MATERIAL"/>
    <n v="170363"/>
    <s v="GOLDEN TRADERS"/>
    <n v="45"/>
    <n v="75"/>
    <n v="257"/>
    <n v="21"/>
    <n v="60"/>
    <n v="0"/>
    <n v="60"/>
    <n v="518"/>
    <n v="74"/>
    <x v="3"/>
    <x v="9"/>
    <x v="3"/>
    <x v="0"/>
  </r>
  <r>
    <s v="812684170363"/>
    <n v="812684"/>
    <s v="KAILASH CEMENT AGENCY"/>
    <n v="170363"/>
    <s v="GOLDEN TRADERS"/>
    <n v="0"/>
    <n v="15"/>
    <n v="20"/>
    <n v="0"/>
    <n v="15"/>
    <n v="0"/>
    <n v="0"/>
    <n v="50"/>
    <n v="7.1428571428571432"/>
    <x v="1"/>
    <x v="9"/>
    <x v="3"/>
    <x v="0"/>
  </r>
  <r>
    <s v="813213170363"/>
    <n v="813213"/>
    <s v="SONAM ENTERPRISES"/>
    <n v="170363"/>
    <s v="GOLDEN TRADERS"/>
    <n v="0"/>
    <n v="196.5"/>
    <n v="181"/>
    <n v="0"/>
    <n v="162"/>
    <n v="0"/>
    <n v="105"/>
    <n v="644.5"/>
    <n v="92.071428571428569"/>
    <x v="3"/>
    <x v="9"/>
    <x v="3"/>
    <x v="0"/>
  </r>
  <r>
    <s v="814388170363"/>
    <n v="814388"/>
    <s v="ALFEJ TRADERS"/>
    <n v="170363"/>
    <s v="GOLDEN TRADERS"/>
    <n v="25"/>
    <n v="30"/>
    <n v="0"/>
    <n v="0"/>
    <n v="0"/>
    <n v="0"/>
    <n v="0"/>
    <n v="55"/>
    <n v="7.8571428571428568"/>
    <x v="1"/>
    <x v="9"/>
    <x v="3"/>
    <x v="0"/>
  </r>
  <r>
    <s v="815210170363"/>
    <n v="815210"/>
    <s v="AFSAR BUILDING MATERIAL"/>
    <n v="170363"/>
    <s v="GOLDEN TRADERS"/>
    <n v="0"/>
    <n v="0"/>
    <n v="35"/>
    <n v="0"/>
    <n v="27"/>
    <n v="0"/>
    <n v="10"/>
    <n v="72"/>
    <n v="10.285714285714286"/>
    <x v="2"/>
    <x v="9"/>
    <x v="3"/>
    <x v="0"/>
  </r>
  <r>
    <s v="803148171226"/>
    <n v="803148"/>
    <s v="FARIYAD TRADERS"/>
    <n v="171226"/>
    <s v="SATYA TRADERS"/>
    <n v="112"/>
    <n v="183"/>
    <n v="308"/>
    <n v="59"/>
    <n v="87"/>
    <n v="0"/>
    <n v="70"/>
    <n v="819"/>
    <n v="117"/>
    <x v="3"/>
    <x v="9"/>
    <x v="3"/>
    <x v="0"/>
  </r>
  <r>
    <s v="803201171226"/>
    <n v="803201"/>
    <s v="KALYANI TRADERS"/>
    <n v="171226"/>
    <s v="SATYA TRADERS"/>
    <n v="20"/>
    <n v="20"/>
    <n v="86"/>
    <n v="10"/>
    <n v="14"/>
    <n v="10"/>
    <n v="0"/>
    <n v="160"/>
    <n v="22.857142857142858"/>
    <x v="0"/>
    <x v="9"/>
    <x v="3"/>
    <x v="0"/>
  </r>
  <r>
    <s v="806841171226"/>
    <n v="806841"/>
    <s v="VISHNU TRADERS"/>
    <n v="171226"/>
    <s v="SATYA TRADERS"/>
    <n v="20"/>
    <n v="67"/>
    <n v="126"/>
    <n v="25"/>
    <n v="0"/>
    <n v="25"/>
    <n v="0"/>
    <n v="263"/>
    <n v="37.571428571428569"/>
    <x v="4"/>
    <x v="9"/>
    <x v="3"/>
    <x v="0"/>
  </r>
  <r>
    <s v="812738171226"/>
    <n v="812738"/>
    <s v="DEV BUILDING MATERIAL"/>
    <n v="171226"/>
    <s v="SATYA TRADERS"/>
    <n v="122.1"/>
    <n v="75"/>
    <n v="142"/>
    <n v="15"/>
    <n v="45"/>
    <n v="0"/>
    <n v="25"/>
    <n v="424.1"/>
    <n v="60.585714285714289"/>
    <x v="3"/>
    <x v="9"/>
    <x v="3"/>
    <x v="0"/>
  </r>
  <r>
    <s v="813217171226"/>
    <n v="813217"/>
    <s v="BAJRANG BALI BUILDING MATERIAL"/>
    <n v="171226"/>
    <s v="SATYA TRADERS"/>
    <n v="0"/>
    <n v="52"/>
    <n v="17.5"/>
    <n v="0"/>
    <n v="25"/>
    <n v="0"/>
    <n v="10"/>
    <n v="104.5"/>
    <n v="14.928571428571429"/>
    <x v="2"/>
    <x v="9"/>
    <x v="3"/>
    <x v="0"/>
  </r>
  <r>
    <s v="815218171226"/>
    <n v="815218"/>
    <s v="HALDHAR KISHAN SEVA KENDRA"/>
    <n v="171226"/>
    <s v="SATYA TRADERS"/>
    <n v="0"/>
    <n v="0"/>
    <n v="59.5"/>
    <n v="45"/>
    <n v="20"/>
    <n v="0"/>
    <n v="0"/>
    <n v="124.5"/>
    <n v="17.785714285714285"/>
    <x v="2"/>
    <x v="9"/>
    <x v="3"/>
    <x v="0"/>
  </r>
  <r>
    <s v="814095172086"/>
    <n v="814095"/>
    <s v="JYOTI IRONS &amp; BUILDING MATERIA"/>
    <n v="172086"/>
    <s v="MAHESH TRADERS"/>
    <n v="0"/>
    <n v="0"/>
    <n v="0"/>
    <n v="15"/>
    <n v="0"/>
    <n v="0"/>
    <n v="0"/>
    <n v="15"/>
    <n v="2.1428571428571428"/>
    <x v="1"/>
    <x v="9"/>
    <x v="3"/>
    <x v="0"/>
  </r>
  <r>
    <s v="814139172097"/>
    <n v="814139"/>
    <s v="SHUBHAM KHAD BEEJ BHANDAR"/>
    <n v="172097"/>
    <s v="BANSAL TRADING COMPANY"/>
    <n v="45"/>
    <n v="30"/>
    <n v="70"/>
    <n v="80"/>
    <n v="80"/>
    <n v="10"/>
    <n v="40"/>
    <n v="355"/>
    <n v="50.714285714285715"/>
    <x v="3"/>
    <x v="9"/>
    <x v="3"/>
    <x v="0"/>
  </r>
  <r>
    <s v="814095172702"/>
    <n v="814095"/>
    <s v="JYOTI IRONS &amp; BUILDING MATERIA"/>
    <n v="172702"/>
    <s v="GOYAL ENTERPRISES"/>
    <n v="70"/>
    <n v="0"/>
    <n v="0"/>
    <n v="20"/>
    <n v="0"/>
    <n v="0"/>
    <n v="0"/>
    <n v="90"/>
    <n v="12.857142857142858"/>
    <x v="2"/>
    <x v="9"/>
    <x v="3"/>
    <x v="0"/>
  </r>
  <r>
    <s v="815930172702"/>
    <n v="815930"/>
    <s v="KISAN SEWA KENDRA"/>
    <n v="172702"/>
    <s v="GOYAL ENTERPRISES"/>
    <n v="0"/>
    <n v="0"/>
    <n v="0"/>
    <n v="0"/>
    <n v="42"/>
    <n v="15"/>
    <n v="15"/>
    <n v="72"/>
    <n v="10.285714285714286"/>
    <x v="2"/>
    <x v="9"/>
    <x v="3"/>
    <x v="0"/>
  </r>
  <r>
    <s v="813541174008"/>
    <n v="813541"/>
    <s v="SHREE SHYAM TRADERS"/>
    <n v="174008"/>
    <s v="SHARMA TRADERS"/>
    <n v="35"/>
    <n v="10"/>
    <n v="192.5"/>
    <n v="100"/>
    <n v="0"/>
    <n v="0"/>
    <n v="0"/>
    <n v="337.5"/>
    <n v="48.214285714285715"/>
    <x v="5"/>
    <x v="9"/>
    <x v="3"/>
    <x v="0"/>
  </r>
  <r>
    <s v="814723178386"/>
    <n v="814723"/>
    <s v="VIKAS CONSTRUCTION"/>
    <n v="178386"/>
    <s v="SANTOSHI BUILDING MATERIAL SUP"/>
    <n v="65"/>
    <n v="110"/>
    <n v="100"/>
    <n v="105"/>
    <n v="35"/>
    <n v="67"/>
    <n v="60"/>
    <n v="542"/>
    <n v="77.428571428571431"/>
    <x v="3"/>
    <x v="9"/>
    <x v="3"/>
    <x v="0"/>
  </r>
  <r>
    <s v="812687202142"/>
    <n v="812687"/>
    <s v="KAILASH KHAD BEEJ BHANDAR"/>
    <n v="202142"/>
    <s v="PRAHALAD KUMAR LABOUR SUPPLIER"/>
    <n v="0"/>
    <n v="35"/>
    <n v="122.5"/>
    <n v="90"/>
    <n v="20"/>
    <n v="25"/>
    <n v="40"/>
    <n v="332.5"/>
    <n v="47.5"/>
    <x v="5"/>
    <x v="9"/>
    <x v="3"/>
    <x v="0"/>
  </r>
  <r>
    <s v="815123202142"/>
    <n v="815123"/>
    <s v="SHRI GANESH TRADERS"/>
    <n v="202142"/>
    <s v="PRAHALAD KUMAR LABOUR SUPPLIER"/>
    <n v="0"/>
    <n v="0"/>
    <n v="72.5"/>
    <n v="70"/>
    <n v="15"/>
    <n v="30"/>
    <n v="30"/>
    <n v="217.5"/>
    <n v="31.071428571428573"/>
    <x v="4"/>
    <x v="9"/>
    <x v="3"/>
    <x v="0"/>
  </r>
  <r>
    <s v="812755203811"/>
    <n v="812755"/>
    <s v="DEV NARAYAN BUILDING MATERIAL"/>
    <n v="203811"/>
    <s v="RAMPRASAD FERTILIZERS"/>
    <n v="55"/>
    <n v="0"/>
    <n v="0"/>
    <n v="7"/>
    <n v="0"/>
    <n v="0"/>
    <n v="0"/>
    <n v="62"/>
    <n v="8.8571428571428577"/>
    <x v="1"/>
    <x v="9"/>
    <x v="3"/>
    <x v="0"/>
  </r>
  <r>
    <s v="814494205192"/>
    <n v="814494"/>
    <s v="KASANA BUILDING MATERIAL"/>
    <n v="205192"/>
    <s v="KRISHNA TRADERS"/>
    <n v="35"/>
    <n v="25"/>
    <n v="105"/>
    <n v="60"/>
    <n v="0"/>
    <n v="0"/>
    <n v="0"/>
    <n v="225"/>
    <n v="32.142857142857146"/>
    <x v="4"/>
    <x v="9"/>
    <x v="3"/>
    <x v="0"/>
  </r>
  <r>
    <s v="806099208033"/>
    <n v="806099"/>
    <s v="PRIYA TRADERS"/>
    <n v="208033"/>
    <s v="ANIL ENTERPRISES"/>
    <n v="70"/>
    <n v="57"/>
    <n v="10"/>
    <n v="0"/>
    <n v="0"/>
    <n v="0"/>
    <n v="0"/>
    <n v="137"/>
    <n v="19.571428571428573"/>
    <x v="2"/>
    <x v="9"/>
    <x v="3"/>
    <x v="0"/>
  </r>
  <r>
    <s v="814094208033"/>
    <n v="814094"/>
    <s v="OM TRADERS"/>
    <n v="208033"/>
    <s v="ANIL ENTERPRISES"/>
    <n v="10"/>
    <n v="30"/>
    <n v="127"/>
    <n v="75"/>
    <n v="0"/>
    <n v="16"/>
    <n v="10"/>
    <n v="268"/>
    <n v="38.285714285714285"/>
    <x v="4"/>
    <x v="9"/>
    <x v="3"/>
    <x v="0"/>
  </r>
  <r>
    <s v="803201170204"/>
    <n v="803201"/>
    <s v="KALYANI TRADERS"/>
    <n v="170204"/>
    <s v="GOYAL BUILDING MATERIAL"/>
    <n v="0"/>
    <n v="0"/>
    <n v="0"/>
    <n v="0"/>
    <n v="0"/>
    <n v="0"/>
    <n v="15"/>
    <n v="15"/>
    <n v="2.1428571428571428"/>
    <x v="1"/>
    <x v="9"/>
    <x v="3"/>
    <x v="0"/>
  </r>
  <r>
    <s v="815218170204"/>
    <n v="815218"/>
    <s v="HALDHAR KISHAN SEVA KENDRA"/>
    <n v="170204"/>
    <s v="GOYAL BUILDING MATERIAL"/>
    <n v="0"/>
    <n v="0"/>
    <n v="0"/>
    <n v="0"/>
    <n v="0"/>
    <n v="0"/>
    <n v="20"/>
    <n v="20"/>
    <n v="2.8571428571428572"/>
    <x v="1"/>
    <x v="9"/>
    <x v="3"/>
    <x v="0"/>
  </r>
  <r>
    <s v="816574170149"/>
    <n v="816574"/>
    <s v="JAI GIRIRAJ DHARAN TRADERS"/>
    <n v="170149"/>
    <s v="ASHOK TRADING  COMPANY"/>
    <n v="0"/>
    <n v="0"/>
    <n v="0"/>
    <n v="0"/>
    <n v="0"/>
    <n v="0"/>
    <n v="25"/>
    <n v="25"/>
    <n v="3.5714285714285716"/>
    <x v="1"/>
    <x v="9"/>
    <x v="3"/>
    <x v="0"/>
  </r>
  <r>
    <s v="816575201741"/>
    <n v="816575"/>
    <s v="RADHA RANI BUILDING MATERIAL"/>
    <n v="201741"/>
    <s v="AGARWAL BUILDING MATERIAL"/>
    <n v="0"/>
    <n v="0"/>
    <n v="0"/>
    <n v="0"/>
    <n v="0"/>
    <n v="0"/>
    <n v="101.5"/>
    <n v="101.5"/>
    <n v="14.5"/>
    <x v="2"/>
    <x v="9"/>
    <x v="3"/>
    <x v="0"/>
  </r>
  <r>
    <s v="803594119029"/>
    <n v="803594"/>
    <s v="KUMAWAT CEMENT AGENCY"/>
    <n v="119029"/>
    <s v="LALLAMAL KANHYALAL &amp; SONS"/>
    <n v="16.600000000000001"/>
    <n v="42.5"/>
    <n v="73"/>
    <n v="25"/>
    <n v="32"/>
    <n v="35"/>
    <n v="35"/>
    <n v="259.10000000000002"/>
    <n v="37.01428571428572"/>
    <x v="4"/>
    <x v="10"/>
    <x v="4"/>
    <x v="1"/>
  </r>
  <r>
    <s v="803755119029"/>
    <n v="803755"/>
    <s v="AGARWAL TRADERS"/>
    <n v="119029"/>
    <s v="LALLAMAL KANHYALAL &amp; SONS"/>
    <n v="5"/>
    <n v="0"/>
    <n v="0"/>
    <n v="0"/>
    <n v="15"/>
    <n v="5"/>
    <n v="0"/>
    <n v="25"/>
    <n v="3.5714285714285716"/>
    <x v="1"/>
    <x v="10"/>
    <x v="4"/>
    <x v="1"/>
  </r>
  <r>
    <s v="804832119029"/>
    <n v="804832"/>
    <s v="CHAMUNDA STONE"/>
    <n v="119029"/>
    <s v="LALLAMAL KANHYALAL &amp; SONS"/>
    <n v="10"/>
    <n v="0"/>
    <n v="10"/>
    <n v="12.5"/>
    <n v="10"/>
    <n v="0"/>
    <n v="0"/>
    <n v="42.5"/>
    <n v="6.0714285714285712"/>
    <x v="1"/>
    <x v="10"/>
    <x v="4"/>
    <x v="1"/>
  </r>
  <r>
    <s v="807915119029"/>
    <n v="807915"/>
    <s v="SHIKHAR TRADERS"/>
    <n v="119029"/>
    <s v="LALLAMAL KANHYALAL &amp; SONS"/>
    <n v="22.5"/>
    <n v="42.5"/>
    <n v="50"/>
    <n v="38.75"/>
    <n v="63"/>
    <n v="35"/>
    <n v="15"/>
    <n v="266.75"/>
    <n v="38.107142857142854"/>
    <x v="4"/>
    <x v="10"/>
    <x v="4"/>
    <x v="1"/>
  </r>
  <r>
    <s v="809471119029"/>
    <n v="809471"/>
    <s v="ANKUSH RATHI"/>
    <n v="119029"/>
    <s v="LALLAMAL KANHYALAL &amp; SONS"/>
    <n v="25"/>
    <n v="0"/>
    <n v="0"/>
    <n v="0"/>
    <n v="25"/>
    <n v="19.5"/>
    <n v="10"/>
    <n v="79.5"/>
    <n v="11.357142857142858"/>
    <x v="2"/>
    <x v="10"/>
    <x v="4"/>
    <x v="1"/>
  </r>
  <r>
    <s v="809476119029"/>
    <n v="809476"/>
    <s v="ANOOP KUMAR RATHI"/>
    <n v="119029"/>
    <s v="LALLAMAL KANHYALAL &amp; SONS"/>
    <n v="57.5"/>
    <n v="15"/>
    <n v="53.5"/>
    <n v="80"/>
    <n v="0"/>
    <n v="25"/>
    <n v="0"/>
    <n v="231"/>
    <n v="33"/>
    <x v="4"/>
    <x v="10"/>
    <x v="4"/>
    <x v="1"/>
  </r>
  <r>
    <s v="809735119029"/>
    <n v="809735"/>
    <s v="CHANCHAL KACHAWA"/>
    <n v="119029"/>
    <s v="LALLAMAL KANHYALAL &amp; SONS"/>
    <n v="65.75"/>
    <n v="75"/>
    <n v="70"/>
    <n v="62.25"/>
    <n v="99"/>
    <n v="116.5"/>
    <n v="4.5"/>
    <n v="493"/>
    <n v="70.428571428571431"/>
    <x v="3"/>
    <x v="10"/>
    <x v="4"/>
    <x v="1"/>
  </r>
  <r>
    <s v="809892119029"/>
    <n v="809892"/>
    <s v="SHUBHAM TRADERS"/>
    <n v="119029"/>
    <s v="LALLAMAL KANHYALAL &amp; SONS"/>
    <n v="10"/>
    <n v="5"/>
    <n v="0"/>
    <n v="40"/>
    <n v="0"/>
    <n v="15"/>
    <n v="0"/>
    <n v="70"/>
    <n v="10"/>
    <x v="2"/>
    <x v="10"/>
    <x v="4"/>
    <x v="1"/>
  </r>
  <r>
    <s v="810094119029"/>
    <n v="810094"/>
    <s v="ROOPANGARIYA BROTHERS"/>
    <n v="119029"/>
    <s v="LALLAMAL KANHYALAL &amp; SONS"/>
    <n v="47.5"/>
    <n v="35"/>
    <n v="69"/>
    <n v="39.5"/>
    <n v="18"/>
    <n v="45"/>
    <n v="15"/>
    <n v="269"/>
    <n v="38.428571428571431"/>
    <x v="4"/>
    <x v="10"/>
    <x v="4"/>
    <x v="1"/>
  </r>
  <r>
    <s v="810913119029"/>
    <n v="810913"/>
    <s v="MOHAN LAL"/>
    <n v="119029"/>
    <s v="LALLAMAL KANHYALAL &amp; SONS"/>
    <n v="20"/>
    <n v="0"/>
    <n v="0"/>
    <n v="12"/>
    <n v="0"/>
    <n v="15"/>
    <n v="0"/>
    <n v="47"/>
    <n v="6.7142857142857144"/>
    <x v="1"/>
    <x v="10"/>
    <x v="4"/>
    <x v="1"/>
  </r>
  <r>
    <s v="811693119029"/>
    <n v="811693"/>
    <s v="SANDEEP"/>
    <n v="119029"/>
    <s v="LALLAMAL KANHYALAL &amp; SONS"/>
    <n v="20"/>
    <n v="32.5"/>
    <n v="0"/>
    <n v="19"/>
    <n v="20"/>
    <n v="25"/>
    <n v="10"/>
    <n v="126.5"/>
    <n v="18.071428571428573"/>
    <x v="2"/>
    <x v="10"/>
    <x v="4"/>
    <x v="1"/>
  </r>
  <r>
    <s v="812569119029"/>
    <n v="812569"/>
    <s v="HARSHITA ENTERPRSES"/>
    <n v="119029"/>
    <s v="LALLAMAL KANHYALAL &amp; SONS"/>
    <n v="167"/>
    <n v="80"/>
    <n v="155"/>
    <n v="111"/>
    <n v="90"/>
    <n v="184.5"/>
    <n v="74.5"/>
    <n v="862"/>
    <n v="123.14285714285714"/>
    <x v="3"/>
    <x v="10"/>
    <x v="4"/>
    <x v="1"/>
  </r>
  <r>
    <s v="813676119029"/>
    <n v="813676"/>
    <s v="SHUBHAM HARDWARES"/>
    <n v="119029"/>
    <s v="LALLAMAL KANHYALAL &amp; SONS"/>
    <n v="15"/>
    <n v="5"/>
    <n v="0"/>
    <n v="0"/>
    <n v="0"/>
    <n v="0"/>
    <n v="0"/>
    <n v="20"/>
    <n v="2.8571428571428572"/>
    <x v="1"/>
    <x v="10"/>
    <x v="4"/>
    <x v="1"/>
  </r>
  <r>
    <s v="801867119042"/>
    <n v="801867"/>
    <s v="KRISHNA ENTERPRISES"/>
    <n v="119042"/>
    <s v="SARAS ENTERPRISES"/>
    <n v="30"/>
    <n v="10"/>
    <n v="39"/>
    <n v="10"/>
    <n v="25"/>
    <n v="20"/>
    <n v="0"/>
    <n v="134"/>
    <n v="19.142857142857142"/>
    <x v="2"/>
    <x v="10"/>
    <x v="4"/>
    <x v="1"/>
  </r>
  <r>
    <s v="801868119042"/>
    <n v="801868"/>
    <s v="SURAJ TRADERS"/>
    <n v="119042"/>
    <s v="SARAS ENTERPRISES"/>
    <n v="30"/>
    <n v="25"/>
    <n v="30"/>
    <n v="45"/>
    <n v="40"/>
    <n v="47.5"/>
    <n v="25"/>
    <n v="242.5"/>
    <n v="34.642857142857146"/>
    <x v="4"/>
    <x v="10"/>
    <x v="4"/>
    <x v="1"/>
  </r>
  <r>
    <s v="801869119042"/>
    <n v="801869"/>
    <s v="LALCHAND PRAJAPATI MATERIALS S"/>
    <n v="119042"/>
    <s v="SARAS ENTERPRISES"/>
    <n v="50"/>
    <n v="37"/>
    <n v="55"/>
    <n v="45"/>
    <n v="50"/>
    <n v="50"/>
    <n v="10"/>
    <n v="297"/>
    <n v="42.428571428571431"/>
    <x v="5"/>
    <x v="10"/>
    <x v="4"/>
    <x v="1"/>
  </r>
  <r>
    <s v="801871119042"/>
    <n v="801871"/>
    <s v="PUJA CEMENT SUPPLIERS"/>
    <n v="119042"/>
    <s v="SARAS ENTERPRISES"/>
    <n v="0"/>
    <n v="0"/>
    <n v="0"/>
    <n v="15"/>
    <n v="25"/>
    <n v="20"/>
    <n v="10"/>
    <n v="70"/>
    <n v="10"/>
    <x v="2"/>
    <x v="10"/>
    <x v="4"/>
    <x v="1"/>
  </r>
  <r>
    <s v="806246119042"/>
    <n v="806246"/>
    <s v="VISHAL BUILDING MATERIAL"/>
    <n v="119042"/>
    <s v="SARAS ENTERPRISES"/>
    <n v="52"/>
    <n v="0"/>
    <n v="35"/>
    <n v="45"/>
    <n v="27.5"/>
    <n v="25"/>
    <n v="0"/>
    <n v="184.5"/>
    <n v="26.357142857142858"/>
    <x v="0"/>
    <x v="10"/>
    <x v="4"/>
    <x v="1"/>
  </r>
  <r>
    <s v="808391119042"/>
    <n v="808391"/>
    <s v="KUMAWAT BUILDING MATERIALS SUP"/>
    <n v="119042"/>
    <s v="SARAS ENTERPRISES"/>
    <n v="10"/>
    <n v="0"/>
    <n v="0"/>
    <n v="0"/>
    <n v="0"/>
    <n v="0"/>
    <n v="0"/>
    <n v="10"/>
    <n v="1.4285714285714286"/>
    <x v="1"/>
    <x v="10"/>
    <x v="4"/>
    <x v="1"/>
  </r>
  <r>
    <s v="808857119042"/>
    <n v="808857"/>
    <s v="VISHNU ASBESTOS CEMENT PRODUCT"/>
    <n v="119042"/>
    <s v="SARAS ENTERPRISES"/>
    <n v="0"/>
    <n v="0"/>
    <n v="10"/>
    <n v="10"/>
    <n v="35"/>
    <n v="47.5"/>
    <n v="25"/>
    <n v="127.5"/>
    <n v="18.214285714285715"/>
    <x v="2"/>
    <x v="10"/>
    <x v="4"/>
    <x v="1"/>
  </r>
  <r>
    <s v="809413119042"/>
    <n v="809413"/>
    <s v="BHATI CEMENT SUPPLIERS"/>
    <n v="119042"/>
    <s v="SARAS ENTERPRISES"/>
    <n v="20"/>
    <n v="20"/>
    <n v="15"/>
    <n v="40"/>
    <n v="23"/>
    <n v="21"/>
    <n v="10"/>
    <n v="149"/>
    <n v="21.285714285714285"/>
    <x v="0"/>
    <x v="10"/>
    <x v="4"/>
    <x v="1"/>
  </r>
  <r>
    <s v="813096119042"/>
    <n v="813096"/>
    <s v="SHREE KRISHNA CEMENT AGENCY"/>
    <n v="119042"/>
    <s v="SARAS ENTERPRISES"/>
    <n v="0"/>
    <n v="15"/>
    <n v="5"/>
    <n v="0"/>
    <n v="0"/>
    <n v="0"/>
    <n v="0"/>
    <n v="20"/>
    <n v="2.8571428571428572"/>
    <x v="1"/>
    <x v="10"/>
    <x v="4"/>
    <x v="1"/>
  </r>
  <r>
    <s v="813120119042"/>
    <n v="813120"/>
    <s v="ARYAN CEMENT SUPPLIER"/>
    <n v="119042"/>
    <s v="SARAS ENTERPRISES"/>
    <n v="10"/>
    <n v="0"/>
    <n v="10"/>
    <n v="25"/>
    <n v="10"/>
    <n v="20"/>
    <n v="7"/>
    <n v="82"/>
    <n v="11.714285714285714"/>
    <x v="2"/>
    <x v="10"/>
    <x v="4"/>
    <x v="1"/>
  </r>
  <r>
    <s v="813158119042"/>
    <n v="813158"/>
    <s v="JYOTI CEMENT UDHYOG"/>
    <n v="119042"/>
    <s v="SARAS ENTERPRISES"/>
    <n v="10"/>
    <n v="15"/>
    <n v="0"/>
    <n v="0"/>
    <n v="0"/>
    <n v="0"/>
    <n v="0"/>
    <n v="25"/>
    <n v="3.5714285714285716"/>
    <x v="1"/>
    <x v="10"/>
    <x v="4"/>
    <x v="1"/>
  </r>
  <r>
    <s v="804773119179"/>
    <n v="804773"/>
    <s v="JAI SHREE NATH STONE &amp; BUILDIN"/>
    <n v="119179"/>
    <s v="KUMAWAT BUILDING MATERIALS"/>
    <n v="10"/>
    <n v="0"/>
    <n v="15"/>
    <n v="10"/>
    <n v="0"/>
    <n v="0"/>
    <n v="0"/>
    <n v="35"/>
    <n v="5"/>
    <x v="1"/>
    <x v="10"/>
    <x v="4"/>
    <x v="1"/>
  </r>
  <r>
    <s v="804774119179"/>
    <n v="804774"/>
    <s v="GAHLOT BUILDING MATERIAL SUPPL"/>
    <n v="119179"/>
    <s v="KUMAWAT BUILDING MATERIALS"/>
    <n v="28"/>
    <n v="0"/>
    <n v="15"/>
    <n v="35"/>
    <n v="17"/>
    <n v="22.5"/>
    <n v="30"/>
    <n v="147.5"/>
    <n v="21.071428571428573"/>
    <x v="0"/>
    <x v="10"/>
    <x v="4"/>
    <x v="1"/>
  </r>
  <r>
    <s v="806142119179"/>
    <n v="806142"/>
    <s v="MANISH STONE SUPPLIERS"/>
    <n v="119179"/>
    <s v="KUMAWAT BUILDING MATERIALS"/>
    <n v="5"/>
    <n v="10"/>
    <n v="0"/>
    <n v="5"/>
    <n v="24.5"/>
    <n v="17.5"/>
    <n v="7.5"/>
    <n v="69.5"/>
    <n v="9.9285714285714288"/>
    <x v="1"/>
    <x v="10"/>
    <x v="4"/>
    <x v="1"/>
  </r>
  <r>
    <s v="810914119179"/>
    <n v="810914"/>
    <s v="RAHUL STONE"/>
    <n v="119179"/>
    <s v="KUMAWAT BUILDING MATERIALS"/>
    <n v="10"/>
    <n v="0"/>
    <n v="15"/>
    <n v="25"/>
    <n v="5"/>
    <n v="15.5"/>
    <n v="7.5"/>
    <n v="78"/>
    <n v="11.142857142857142"/>
    <x v="2"/>
    <x v="10"/>
    <x v="4"/>
    <x v="1"/>
  </r>
  <r>
    <s v="802164119208"/>
    <n v="802164"/>
    <s v="SHYORAM MALI"/>
    <n v="119208"/>
    <s v="SURAJMAL TANSUKH RAI"/>
    <n v="95"/>
    <n v="70"/>
    <n v="114"/>
    <n v="167"/>
    <n v="0"/>
    <n v="105"/>
    <n v="0"/>
    <n v="551"/>
    <n v="78.714285714285708"/>
    <x v="3"/>
    <x v="10"/>
    <x v="4"/>
    <x v="1"/>
  </r>
  <r>
    <s v="804431119208"/>
    <n v="804431"/>
    <s v="JAIN ENTERPRISES"/>
    <n v="119208"/>
    <s v="SURAJMAL TANSUKH RAI"/>
    <n v="375.6"/>
    <n v="250.75"/>
    <n v="266"/>
    <n v="378.5"/>
    <n v="300.5"/>
    <n v="294.25"/>
    <n v="185.2"/>
    <n v="2050.7999999999997"/>
    <n v="292.97142857142853"/>
    <x v="3"/>
    <x v="10"/>
    <x v="4"/>
    <x v="1"/>
  </r>
  <r>
    <s v="805149119208"/>
    <n v="805149"/>
    <s v="KUMAWAT TRADERS"/>
    <n v="119208"/>
    <s v="SURAJMAL TANSUKH RAI"/>
    <n v="44"/>
    <n v="0"/>
    <n v="112"/>
    <n v="0"/>
    <n v="0"/>
    <n v="0"/>
    <n v="0"/>
    <n v="156"/>
    <n v="22.285714285714285"/>
    <x v="0"/>
    <x v="10"/>
    <x v="4"/>
    <x v="1"/>
  </r>
  <r>
    <s v="806782119208"/>
    <n v="806782"/>
    <s v="MAHENDRA SINGH"/>
    <n v="119208"/>
    <s v="SURAJMAL TANSUKH RAI"/>
    <n v="45"/>
    <n v="134"/>
    <n v="20"/>
    <n v="0"/>
    <n v="0"/>
    <n v="0"/>
    <n v="0"/>
    <n v="199"/>
    <n v="28.428571428571427"/>
    <x v="0"/>
    <x v="10"/>
    <x v="4"/>
    <x v="1"/>
  </r>
  <r>
    <s v="807303119208"/>
    <n v="807303"/>
    <s v="CHORDIA CEMENT AGENCY"/>
    <n v="119208"/>
    <s v="SURAJMAL TANSUKH RAI"/>
    <n v="124"/>
    <n v="125"/>
    <n v="180"/>
    <n v="232"/>
    <n v="279"/>
    <n v="170"/>
    <n v="86"/>
    <n v="1196"/>
    <n v="170.85714285714286"/>
    <x v="3"/>
    <x v="10"/>
    <x v="4"/>
    <x v="1"/>
  </r>
  <r>
    <s v="807778119208"/>
    <n v="807778"/>
    <s v="LAL CHAND KHATEEK"/>
    <n v="119208"/>
    <s v="SURAJMAL TANSUKH RAI"/>
    <n v="0"/>
    <n v="0"/>
    <n v="0"/>
    <n v="10"/>
    <n v="0"/>
    <n v="0"/>
    <n v="0"/>
    <n v="10"/>
    <n v="1.4285714285714286"/>
    <x v="1"/>
    <x v="10"/>
    <x v="4"/>
    <x v="1"/>
  </r>
  <r>
    <s v="808133119208"/>
    <n v="808133"/>
    <s v="GOPAL JAT"/>
    <n v="119208"/>
    <s v="SURAJMAL TANSUKH RAI"/>
    <n v="55"/>
    <n v="0"/>
    <n v="134"/>
    <n v="152"/>
    <n v="117"/>
    <n v="0"/>
    <n v="112"/>
    <n v="570"/>
    <n v="81.428571428571431"/>
    <x v="3"/>
    <x v="10"/>
    <x v="4"/>
    <x v="1"/>
  </r>
  <r>
    <s v="808155119208"/>
    <n v="808155"/>
    <s v="GOKUL RAM JAT"/>
    <n v="119208"/>
    <s v="SURAJMAL TANSUKH RAI"/>
    <n v="202"/>
    <n v="0"/>
    <n v="15"/>
    <n v="7.5"/>
    <n v="127.5"/>
    <n v="0"/>
    <n v="144.5"/>
    <n v="496.5"/>
    <n v="70.928571428571431"/>
    <x v="3"/>
    <x v="10"/>
    <x v="4"/>
    <x v="1"/>
  </r>
  <r>
    <s v="808434119208"/>
    <n v="808434"/>
    <s v="PRAKASH CHAND CHHAJER"/>
    <n v="119208"/>
    <s v="SURAJMAL TANSUKH RAI"/>
    <n v="15"/>
    <n v="85"/>
    <n v="10"/>
    <n v="246"/>
    <n v="169"/>
    <n v="134"/>
    <n v="124.5"/>
    <n v="783.5"/>
    <n v="111.92857142857143"/>
    <x v="3"/>
    <x v="10"/>
    <x v="4"/>
    <x v="1"/>
  </r>
  <r>
    <s v="808471119208"/>
    <n v="808471"/>
    <s v="MOHAN LAL"/>
    <n v="119208"/>
    <s v="SURAJMAL TANSUKH RAI"/>
    <n v="0"/>
    <n v="125"/>
    <n v="0"/>
    <n v="122"/>
    <n v="0"/>
    <n v="0"/>
    <n v="45"/>
    <n v="292"/>
    <n v="41.714285714285715"/>
    <x v="5"/>
    <x v="10"/>
    <x v="4"/>
    <x v="1"/>
  </r>
  <r>
    <s v="808795119208"/>
    <n v="808795"/>
    <s v="SADDAM"/>
    <n v="119208"/>
    <s v="SURAJMAL TANSUKH RAI"/>
    <n v="45"/>
    <n v="0"/>
    <n v="0"/>
    <n v="0"/>
    <n v="127.5"/>
    <n v="0"/>
    <n v="0"/>
    <n v="172.5"/>
    <n v="24.642857142857142"/>
    <x v="0"/>
    <x v="10"/>
    <x v="4"/>
    <x v="1"/>
  </r>
  <r>
    <s v="808858119208"/>
    <n v="808858"/>
    <s v="GAJENDRA STONE AND BUILDING MA"/>
    <n v="119208"/>
    <s v="SURAJMAL TANSUKH RAI"/>
    <n v="80"/>
    <n v="0"/>
    <n v="161"/>
    <n v="2.5"/>
    <n v="0"/>
    <n v="0"/>
    <n v="0"/>
    <n v="243.5"/>
    <n v="34.785714285714285"/>
    <x v="4"/>
    <x v="10"/>
    <x v="4"/>
    <x v="1"/>
  </r>
  <r>
    <s v="809183119208"/>
    <n v="809183"/>
    <s v="MOHAMMAD IMRAN"/>
    <n v="119208"/>
    <s v="SURAJMAL TANSUKH RAI"/>
    <n v="80"/>
    <n v="35"/>
    <n v="159.5"/>
    <n v="70"/>
    <n v="79"/>
    <n v="113"/>
    <n v="35"/>
    <n v="571.5"/>
    <n v="81.642857142857139"/>
    <x v="3"/>
    <x v="10"/>
    <x v="4"/>
    <x v="1"/>
  </r>
  <r>
    <s v="809184119208"/>
    <n v="809184"/>
    <s v="VIMAL KIRANA &amp; GENERAL STORE"/>
    <n v="119208"/>
    <s v="SURAJMAL TANSUKH RAI"/>
    <n v="35"/>
    <n v="0"/>
    <n v="157.5"/>
    <n v="0"/>
    <n v="0"/>
    <n v="0"/>
    <n v="0"/>
    <n v="192.5"/>
    <n v="27.5"/>
    <x v="0"/>
    <x v="10"/>
    <x v="4"/>
    <x v="1"/>
  </r>
  <r>
    <s v="810685119208"/>
    <n v="810685"/>
    <s v="VISHRAM LAL MALI"/>
    <n v="119208"/>
    <s v="SURAJMAL TANSUKH RAI"/>
    <n v="45"/>
    <n v="186"/>
    <n v="0"/>
    <n v="111.5"/>
    <n v="45"/>
    <n v="45"/>
    <n v="0"/>
    <n v="432.5"/>
    <n v="61.785714285714285"/>
    <x v="3"/>
    <x v="10"/>
    <x v="4"/>
    <x v="1"/>
  </r>
  <r>
    <s v="811799119208"/>
    <n v="811799"/>
    <s v="MANVENDRA SINGH RATHORE"/>
    <n v="119208"/>
    <s v="SURAJMAL TANSUKH RAI"/>
    <n v="115"/>
    <n v="0"/>
    <n v="10"/>
    <n v="0"/>
    <n v="44"/>
    <n v="74"/>
    <n v="0"/>
    <n v="243"/>
    <n v="34.714285714285715"/>
    <x v="4"/>
    <x v="10"/>
    <x v="4"/>
    <x v="1"/>
  </r>
  <r>
    <s v="811800119208"/>
    <n v="811800"/>
    <s v="GHANSHYAM SINGH"/>
    <n v="119208"/>
    <s v="SURAJMAL TANSUKH RAI"/>
    <n v="49.5"/>
    <n v="50"/>
    <n v="15"/>
    <n v="16"/>
    <n v="0"/>
    <n v="0"/>
    <n v="10"/>
    <n v="140.5"/>
    <n v="20.071428571428573"/>
    <x v="0"/>
    <x v="10"/>
    <x v="4"/>
    <x v="1"/>
  </r>
  <r>
    <s v="812301119208"/>
    <n v="812301"/>
    <s v="MUKESH CHOUDHARY"/>
    <n v="119208"/>
    <s v="SURAJMAL TANSUKH RAI"/>
    <n v="102"/>
    <n v="0"/>
    <n v="0"/>
    <n v="0"/>
    <n v="0"/>
    <n v="0"/>
    <n v="0"/>
    <n v="102"/>
    <n v="14.571428571428571"/>
    <x v="2"/>
    <x v="10"/>
    <x v="4"/>
    <x v="1"/>
  </r>
  <r>
    <s v="814040119208"/>
    <n v="814040"/>
    <s v="KUMAWAT TRADERS"/>
    <n v="119208"/>
    <s v="SURAJMAL TANSUKH RAI"/>
    <n v="44"/>
    <n v="0"/>
    <n v="124"/>
    <n v="0"/>
    <n v="0"/>
    <n v="129.5"/>
    <n v="0"/>
    <n v="297.5"/>
    <n v="42.5"/>
    <x v="5"/>
    <x v="10"/>
    <x v="4"/>
    <x v="1"/>
  </r>
  <r>
    <s v="814259119208"/>
    <n v="814259"/>
    <s v="RAJENDRA GUSAIWAL"/>
    <n v="119208"/>
    <s v="SURAJMAL TANSUKH RAI"/>
    <n v="30"/>
    <n v="15"/>
    <n v="142"/>
    <n v="0"/>
    <n v="0"/>
    <n v="0"/>
    <n v="0"/>
    <n v="187"/>
    <n v="26.714285714285715"/>
    <x v="0"/>
    <x v="10"/>
    <x v="4"/>
    <x v="1"/>
  </r>
  <r>
    <s v="814871119208"/>
    <n v="814871"/>
    <s v="TEJU RAM GURJAR"/>
    <n v="119208"/>
    <s v="SURAJMAL TANSUKH RAI"/>
    <n v="0"/>
    <n v="10"/>
    <n v="135"/>
    <n v="25"/>
    <n v="15"/>
    <n v="0"/>
    <n v="0"/>
    <n v="185"/>
    <n v="26.428571428571427"/>
    <x v="0"/>
    <x v="10"/>
    <x v="4"/>
    <x v="1"/>
  </r>
  <r>
    <s v="815022119208"/>
    <n v="815022"/>
    <s v="SHRI GIRIRAJ ENTERPRISES"/>
    <n v="119208"/>
    <s v="SURAJMAL TANSUKH RAI"/>
    <n v="0"/>
    <n v="150"/>
    <n v="10"/>
    <n v="67.5"/>
    <n v="10.5"/>
    <n v="10"/>
    <n v="20"/>
    <n v="268"/>
    <n v="38.285714285714285"/>
    <x v="4"/>
    <x v="10"/>
    <x v="4"/>
    <x v="1"/>
  </r>
  <r>
    <s v="815088119208"/>
    <n v="815088"/>
    <s v="RANJEET SINGH JAKHAD"/>
    <n v="119208"/>
    <s v="SURAJMAL TANSUKH RAI"/>
    <n v="0"/>
    <n v="0"/>
    <n v="15"/>
    <n v="2.5"/>
    <n v="15"/>
    <n v="0"/>
    <n v="0"/>
    <n v="32.5"/>
    <n v="4.6428571428571432"/>
    <x v="1"/>
    <x v="10"/>
    <x v="4"/>
    <x v="1"/>
  </r>
  <r>
    <s v="815151119208"/>
    <n v="815151"/>
    <s v="PRADEEP CHOUDHARY"/>
    <n v="119208"/>
    <s v="SURAJMAL TANSUKH RAI"/>
    <n v="0"/>
    <n v="0"/>
    <n v="15"/>
    <n v="171"/>
    <n v="22.5"/>
    <n v="0"/>
    <n v="0"/>
    <n v="208.5"/>
    <n v="29.785714285714285"/>
    <x v="0"/>
    <x v="10"/>
    <x v="4"/>
    <x v="1"/>
  </r>
  <r>
    <s v="816096119208"/>
    <n v="816096"/>
    <s v="PRAKASH STEEL"/>
    <n v="119208"/>
    <s v="SURAJMAL TANSUKH RAI"/>
    <n v="0"/>
    <n v="0"/>
    <n v="0"/>
    <n v="0"/>
    <n v="0"/>
    <n v="144"/>
    <n v="0"/>
    <n v="144"/>
    <n v="20.571428571428573"/>
    <x v="0"/>
    <x v="10"/>
    <x v="4"/>
    <x v="1"/>
  </r>
  <r>
    <s v="816098119208"/>
    <n v="816098"/>
    <s v="SUNITA"/>
    <n v="119208"/>
    <s v="SURAJMAL TANSUKH RAI"/>
    <n v="0"/>
    <n v="0"/>
    <n v="0"/>
    <n v="0"/>
    <n v="0"/>
    <n v="124"/>
    <n v="74.5"/>
    <n v="198.5"/>
    <n v="28.357142857142858"/>
    <x v="0"/>
    <x v="10"/>
    <x v="4"/>
    <x v="1"/>
  </r>
  <r>
    <s v="809044119221"/>
    <n v="809044"/>
    <s v="SHRINATH SANITARY AND HARDWARE"/>
    <n v="119221"/>
    <s v="AKSHAY TRADERS"/>
    <n v="68.5"/>
    <n v="27.5"/>
    <n v="110.75"/>
    <n v="170.25"/>
    <n v="165"/>
    <n v="58"/>
    <n v="85"/>
    <n v="685"/>
    <n v="97.857142857142861"/>
    <x v="3"/>
    <x v="10"/>
    <x v="4"/>
    <x v="1"/>
  </r>
  <r>
    <s v="806141119222"/>
    <n v="806141"/>
    <s v="HARCHAND TRADERS"/>
    <n v="119222"/>
    <s v="MITHU LAL ROOP CHAND"/>
    <n v="82.75"/>
    <n v="80"/>
    <n v="128"/>
    <n v="147.5"/>
    <n v="31"/>
    <n v="83.5"/>
    <n v="60"/>
    <n v="612.75"/>
    <n v="87.535714285714292"/>
    <x v="3"/>
    <x v="10"/>
    <x v="4"/>
    <x v="1"/>
  </r>
  <r>
    <s v="807777119222"/>
    <n v="807777"/>
    <s v="RAJARAM SAMARIYA"/>
    <n v="119222"/>
    <s v="MITHU LAL ROOP CHAND"/>
    <n v="30"/>
    <n v="64"/>
    <n v="29.5"/>
    <n v="130"/>
    <n v="20"/>
    <n v="113.5"/>
    <n v="65"/>
    <n v="452"/>
    <n v="64.571428571428569"/>
    <x v="3"/>
    <x v="10"/>
    <x v="4"/>
    <x v="1"/>
  </r>
  <r>
    <s v="808103119222"/>
    <n v="808103"/>
    <s v="JAI KISHAN KHINCHI"/>
    <n v="119222"/>
    <s v="MITHU LAL ROOP CHAND"/>
    <n v="5"/>
    <n v="30"/>
    <n v="30"/>
    <n v="27.5"/>
    <n v="15"/>
    <n v="15"/>
    <n v="12.5"/>
    <n v="135"/>
    <n v="19.285714285714285"/>
    <x v="2"/>
    <x v="10"/>
    <x v="4"/>
    <x v="1"/>
  </r>
  <r>
    <s v="810182140829"/>
    <n v="810182"/>
    <s v="SHREE YADAIN BUILDERS"/>
    <n v="140829"/>
    <s v="SHREE YADEN BUILDING MATERIAL"/>
    <n v="62.5"/>
    <n v="110"/>
    <n v="54.5"/>
    <n v="100"/>
    <n v="15"/>
    <n v="70"/>
    <n v="60"/>
    <n v="472"/>
    <n v="67.428571428571431"/>
    <x v="3"/>
    <x v="10"/>
    <x v="4"/>
    <x v="1"/>
  </r>
  <r>
    <s v="814705140829"/>
    <n v="814705"/>
    <s v="RAGHUVEER CONSTRUCTION COMPANY"/>
    <n v="140829"/>
    <s v="SHREE YADEN BUILDING MATERIAL"/>
    <n v="10"/>
    <n v="0"/>
    <n v="15"/>
    <n v="0"/>
    <n v="0"/>
    <n v="0"/>
    <n v="0"/>
    <n v="25"/>
    <n v="3.5714285714285716"/>
    <x v="1"/>
    <x v="10"/>
    <x v="4"/>
    <x v="1"/>
  </r>
  <r>
    <s v="814639144750"/>
    <n v="814639"/>
    <s v="VIKRAM ACHARYA"/>
    <n v="144750"/>
    <s v="ACHARYA TRADERS"/>
    <n v="34"/>
    <n v="10"/>
    <n v="5"/>
    <n v="28.95"/>
    <n v="20"/>
    <n v="22.5"/>
    <n v="17.5"/>
    <n v="137.94999999999999"/>
    <n v="19.707142857142856"/>
    <x v="2"/>
    <x v="10"/>
    <x v="4"/>
    <x v="1"/>
  </r>
  <r>
    <s v="815621144848"/>
    <n v="815621"/>
    <s v="PRATEEK KAKANI"/>
    <n v="144848"/>
    <s v="JAI SHRI TRADING"/>
    <n v="0"/>
    <n v="0"/>
    <n v="0"/>
    <n v="10"/>
    <n v="10"/>
    <n v="12.5"/>
    <n v="2"/>
    <n v="34.5"/>
    <n v="4.9285714285714288"/>
    <x v="1"/>
    <x v="10"/>
    <x v="4"/>
    <x v="1"/>
  </r>
  <r>
    <s v="812737170614"/>
    <n v="812737"/>
    <s v="PRITI CHOUDHARY"/>
    <n v="170614"/>
    <s v="HARIKARAN CHAUDHARY"/>
    <n v="90.25"/>
    <n v="40"/>
    <n v="90"/>
    <n v="125"/>
    <n v="35"/>
    <n v="40"/>
    <n v="70"/>
    <n v="490.25"/>
    <n v="70.035714285714292"/>
    <x v="3"/>
    <x v="10"/>
    <x v="4"/>
    <x v="1"/>
  </r>
  <r>
    <s v="813815170614"/>
    <n v="813815"/>
    <s v="NITU CHOUDHARY"/>
    <n v="170614"/>
    <s v="HARIKARAN CHAUDHARY"/>
    <n v="120"/>
    <n v="130"/>
    <n v="105"/>
    <n v="75"/>
    <n v="75"/>
    <n v="95"/>
    <n v="50"/>
    <n v="650"/>
    <n v="92.857142857142861"/>
    <x v="3"/>
    <x v="10"/>
    <x v="4"/>
    <x v="1"/>
  </r>
  <r>
    <s v="801764170692"/>
    <n v="801764"/>
    <s v="NIHAL CHAND SRISRIMAL"/>
    <n v="170692"/>
    <s v="JAIN TRADERS"/>
    <n v="66"/>
    <n v="97.5"/>
    <n v="80"/>
    <n v="65.5"/>
    <n v="48.65"/>
    <n v="43"/>
    <n v="20"/>
    <n v="420.65"/>
    <n v="60.092857142857142"/>
    <x v="3"/>
    <x v="10"/>
    <x v="4"/>
    <x v="1"/>
  </r>
  <r>
    <s v="806517170692"/>
    <n v="806517"/>
    <s v="GANPAT LAL LOHAR"/>
    <n v="170692"/>
    <s v="JAIN TRADERS"/>
    <n v="80"/>
    <n v="50"/>
    <n v="80"/>
    <n v="77.5"/>
    <n v="25.5"/>
    <n v="50"/>
    <n v="16"/>
    <n v="379"/>
    <n v="54.142857142857146"/>
    <x v="3"/>
    <x v="10"/>
    <x v="4"/>
    <x v="1"/>
  </r>
  <r>
    <s v="815671171063"/>
    <n v="815671"/>
    <s v="BHAWANA TRADERS"/>
    <n v="171063"/>
    <s v="NEHA ENTERPRISES"/>
    <n v="0"/>
    <n v="0"/>
    <n v="0"/>
    <n v="2"/>
    <n v="10"/>
    <n v="30"/>
    <n v="12.5"/>
    <n v="54.5"/>
    <n v="7.7857142857142856"/>
    <x v="1"/>
    <x v="10"/>
    <x v="4"/>
    <x v="1"/>
  </r>
  <r>
    <s v="808289171662"/>
    <n v="808289"/>
    <s v="SHRI NAKODA HARDWARE"/>
    <n v="171662"/>
    <s v="CHHABRA STONES"/>
    <n v="65"/>
    <n v="10"/>
    <n v="40"/>
    <n v="53"/>
    <n v="62.5"/>
    <n v="28.5"/>
    <n v="35"/>
    <n v="294"/>
    <n v="42"/>
    <x v="5"/>
    <x v="10"/>
    <x v="4"/>
    <x v="1"/>
  </r>
  <r>
    <s v="808346171662"/>
    <n v="808346"/>
    <s v="GOVIND KHINCHI"/>
    <n v="171662"/>
    <s v="CHHABRA STONES"/>
    <n v="55"/>
    <n v="25"/>
    <n v="69"/>
    <n v="65"/>
    <n v="59.65"/>
    <n v="60"/>
    <n v="71.45"/>
    <n v="405.09999999999997"/>
    <n v="57.871428571428567"/>
    <x v="3"/>
    <x v="10"/>
    <x v="4"/>
    <x v="1"/>
  </r>
  <r>
    <s v="808347171662"/>
    <n v="808347"/>
    <s v="JANKI THARWANI"/>
    <n v="171662"/>
    <s v="CHHABRA STONES"/>
    <n v="56"/>
    <n v="70"/>
    <n v="40"/>
    <n v="60.5"/>
    <n v="30"/>
    <n v="32.5"/>
    <n v="0"/>
    <n v="289"/>
    <n v="41.285714285714285"/>
    <x v="5"/>
    <x v="10"/>
    <x v="4"/>
    <x v="1"/>
  </r>
  <r>
    <s v="809617171662"/>
    <n v="809617"/>
    <s v="JEEV RAJ"/>
    <n v="171662"/>
    <s v="CHHABRA STONES"/>
    <n v="25"/>
    <n v="0"/>
    <n v="35"/>
    <n v="30"/>
    <n v="7.5"/>
    <n v="15"/>
    <n v="0"/>
    <n v="112.5"/>
    <n v="16.071428571428573"/>
    <x v="2"/>
    <x v="10"/>
    <x v="4"/>
    <x v="1"/>
  </r>
  <r>
    <s v="809893171662"/>
    <n v="809893"/>
    <s v="SAMEER TRADERS"/>
    <n v="171662"/>
    <s v="CHHABRA STONES"/>
    <n v="110"/>
    <n v="60"/>
    <n v="85"/>
    <n v="65.5"/>
    <n v="40"/>
    <n v="77.5"/>
    <n v="32.5"/>
    <n v="470.5"/>
    <n v="67.214285714285708"/>
    <x v="3"/>
    <x v="10"/>
    <x v="4"/>
    <x v="1"/>
  </r>
  <r>
    <s v="812333171662"/>
    <n v="812333"/>
    <s v="DEVARAM GURJAR"/>
    <n v="171662"/>
    <s v="CHHABRA STONES"/>
    <n v="0"/>
    <n v="0"/>
    <n v="5"/>
    <n v="7.5"/>
    <n v="0"/>
    <n v="0"/>
    <n v="0"/>
    <n v="12.5"/>
    <n v="1.7857142857142858"/>
    <x v="1"/>
    <x v="10"/>
    <x v="4"/>
    <x v="1"/>
  </r>
  <r>
    <s v="812850171662"/>
    <n v="812850"/>
    <s v="TARVINDER KAUR"/>
    <n v="171662"/>
    <s v="CHHABRA STONES"/>
    <n v="100.75"/>
    <n v="96.5"/>
    <n v="123.45"/>
    <n v="110.75"/>
    <n v="87.75"/>
    <n v="97.5"/>
    <n v="52.5"/>
    <n v="669.2"/>
    <n v="95.600000000000009"/>
    <x v="3"/>
    <x v="10"/>
    <x v="4"/>
    <x v="1"/>
  </r>
  <r>
    <s v="812900171662"/>
    <n v="812900"/>
    <s v="SUNITA VAISHNAV"/>
    <n v="171662"/>
    <s v="CHHABRA STONES"/>
    <n v="83.9"/>
    <n v="70"/>
    <n v="105"/>
    <n v="54.5"/>
    <n v="82.5"/>
    <n v="57.5"/>
    <n v="30"/>
    <n v="483.4"/>
    <n v="69.05714285714285"/>
    <x v="3"/>
    <x v="10"/>
    <x v="4"/>
    <x v="1"/>
  </r>
  <r>
    <s v="813347171662"/>
    <n v="813347"/>
    <s v="MANJIT SINGH TUTEJA"/>
    <n v="171662"/>
    <s v="CHHABRA STONES"/>
    <n v="49.1"/>
    <n v="55"/>
    <n v="61"/>
    <n v="62"/>
    <n v="22.5"/>
    <n v="45"/>
    <n v="30"/>
    <n v="324.60000000000002"/>
    <n v="46.371428571428574"/>
    <x v="5"/>
    <x v="10"/>
    <x v="4"/>
    <x v="1"/>
  </r>
  <r>
    <s v="814055171662"/>
    <n v="814055"/>
    <s v="DILIP KUMAR LALWANI"/>
    <n v="171662"/>
    <s v="CHHABRA STONES"/>
    <n v="8"/>
    <n v="10"/>
    <n v="10"/>
    <n v="0"/>
    <n v="0"/>
    <n v="0"/>
    <n v="0"/>
    <n v="28"/>
    <n v="4"/>
    <x v="1"/>
    <x v="10"/>
    <x v="4"/>
    <x v="1"/>
  </r>
  <r>
    <s v="814668171662"/>
    <n v="814668"/>
    <s v="PRAKASH BHAGTANI"/>
    <n v="171662"/>
    <s v="CHHABRA STONES"/>
    <n v="0"/>
    <n v="0"/>
    <n v="10"/>
    <n v="0"/>
    <n v="0"/>
    <n v="0"/>
    <n v="0"/>
    <n v="10"/>
    <n v="1.4285714285714286"/>
    <x v="1"/>
    <x v="10"/>
    <x v="4"/>
    <x v="1"/>
  </r>
  <r>
    <s v="815601171662"/>
    <n v="815601"/>
    <s v="MADHURAM"/>
    <n v="171662"/>
    <s v="CHHABRA STONES"/>
    <n v="0"/>
    <n v="0"/>
    <n v="0"/>
    <n v="37"/>
    <n v="17.5"/>
    <n v="50"/>
    <n v="0"/>
    <n v="104.5"/>
    <n v="14.928571428571429"/>
    <x v="2"/>
    <x v="10"/>
    <x v="4"/>
    <x v="1"/>
  </r>
  <r>
    <s v="815900171662"/>
    <n v="815900"/>
    <s v="RINKU STONE"/>
    <n v="171662"/>
    <s v="CHHABRA STONES"/>
    <n v="0"/>
    <n v="0"/>
    <n v="0"/>
    <n v="0"/>
    <n v="15"/>
    <n v="20"/>
    <n v="18"/>
    <n v="53"/>
    <n v="7.5714285714285712"/>
    <x v="1"/>
    <x v="10"/>
    <x v="4"/>
    <x v="1"/>
  </r>
  <r>
    <s v="815901171662"/>
    <n v="815901"/>
    <s v="SANDEEP TANK"/>
    <n v="171662"/>
    <s v="CHHABRA STONES"/>
    <n v="0"/>
    <n v="0"/>
    <n v="0"/>
    <n v="0"/>
    <n v="15"/>
    <n v="22.5"/>
    <n v="19.45"/>
    <n v="56.95"/>
    <n v="8.1357142857142861"/>
    <x v="1"/>
    <x v="10"/>
    <x v="4"/>
    <x v="1"/>
  </r>
  <r>
    <s v="816097171662"/>
    <n v="816097"/>
    <s v="VIVEK AGRAWAL"/>
    <n v="171662"/>
    <s v="CHHABRA STONES"/>
    <n v="0"/>
    <n v="0"/>
    <n v="0"/>
    <n v="0"/>
    <n v="20"/>
    <n v="37.5"/>
    <n v="0"/>
    <n v="57.5"/>
    <n v="8.2142857142857135"/>
    <x v="1"/>
    <x v="10"/>
    <x v="4"/>
    <x v="1"/>
  </r>
  <r>
    <s v="811244178768"/>
    <n v="811244"/>
    <s v="MOHAN SINGH"/>
    <n v="178768"/>
    <s v="JAI BAJRANG CEMENT AGENCIES"/>
    <n v="0"/>
    <n v="15"/>
    <n v="0"/>
    <n v="41"/>
    <n v="0"/>
    <n v="35"/>
    <n v="0"/>
    <n v="91"/>
    <n v="13"/>
    <x v="2"/>
    <x v="10"/>
    <x v="4"/>
    <x v="1"/>
  </r>
  <r>
    <s v="811405178768"/>
    <n v="811405"/>
    <s v="KANCHAN DEVI"/>
    <n v="178768"/>
    <s v="JAI BAJRANG CEMENT AGENCIES"/>
    <n v="100"/>
    <n v="80"/>
    <n v="170"/>
    <n v="89.5"/>
    <n v="39"/>
    <n v="93.8"/>
    <n v="0"/>
    <n v="572.29999999999995"/>
    <n v="81.757142857142853"/>
    <x v="3"/>
    <x v="10"/>
    <x v="4"/>
    <x v="1"/>
  </r>
  <r>
    <s v="813157202713"/>
    <n v="813157"/>
    <s v="JAI BAJRANG CEMENT"/>
    <n v="202713"/>
    <s v="DADHICH STONE SUPPLIERS"/>
    <n v="0"/>
    <n v="0"/>
    <n v="10"/>
    <n v="3"/>
    <n v="0"/>
    <n v="0"/>
    <n v="0"/>
    <n v="13"/>
    <n v="1.8571428571428572"/>
    <x v="1"/>
    <x v="10"/>
    <x v="4"/>
    <x v="1"/>
  </r>
  <r>
    <s v="813788202713"/>
    <n v="813788"/>
    <s v="NEHA TRIPATHI"/>
    <n v="202713"/>
    <s v="DADHICH STONE SUPPLIERS"/>
    <n v="28"/>
    <n v="51"/>
    <n v="15"/>
    <n v="61.5"/>
    <n v="58.5"/>
    <n v="50"/>
    <n v="23.55"/>
    <n v="287.55"/>
    <n v="41.078571428571429"/>
    <x v="5"/>
    <x v="10"/>
    <x v="4"/>
    <x v="1"/>
  </r>
  <r>
    <s v="813788207773"/>
    <n v="813788"/>
    <s v="NEHA TRIPATHI"/>
    <n v="207773"/>
    <s v="DADHICH CEMENT SUPPLIERS"/>
    <n v="0"/>
    <n v="0"/>
    <n v="0"/>
    <n v="10"/>
    <n v="10"/>
    <n v="0"/>
    <n v="0"/>
    <n v="20"/>
    <n v="2.8571428571428572"/>
    <x v="1"/>
    <x v="10"/>
    <x v="4"/>
    <x v="1"/>
  </r>
  <r>
    <s v="815051208074"/>
    <n v="815051"/>
    <s v="ANIL KUMAR TAK"/>
    <n v="208074"/>
    <s v="SWASTIK STEEL TRADERS"/>
    <n v="0"/>
    <n v="0"/>
    <n v="208"/>
    <n v="262"/>
    <n v="154.5"/>
    <n v="110"/>
    <n v="41"/>
    <n v="775.5"/>
    <n v="110.78571428571429"/>
    <x v="3"/>
    <x v="10"/>
    <x v="4"/>
    <x v="1"/>
  </r>
  <r>
    <s v="815052208074"/>
    <n v="815052"/>
    <s v="KARANVEER"/>
    <n v="208074"/>
    <s v="SWASTIK STEEL TRADERS"/>
    <n v="0"/>
    <n v="0"/>
    <n v="23"/>
    <n v="10"/>
    <n v="20"/>
    <n v="20"/>
    <n v="40"/>
    <n v="113"/>
    <n v="16.142857142857142"/>
    <x v="2"/>
    <x v="10"/>
    <x v="4"/>
    <x v="1"/>
  </r>
  <r>
    <s v="815064208074"/>
    <n v="815064"/>
    <s v="U K TRADERS"/>
    <n v="208074"/>
    <s v="SWASTIK STEEL TRADERS"/>
    <n v="0"/>
    <n v="0"/>
    <n v="75"/>
    <n v="52.5"/>
    <n v="35"/>
    <n v="65"/>
    <n v="55"/>
    <n v="282.5"/>
    <n v="40.357142857142854"/>
    <x v="5"/>
    <x v="10"/>
    <x v="4"/>
    <x v="1"/>
  </r>
  <r>
    <s v="815066208074"/>
    <n v="815066"/>
    <s v="GURUJI CEMENT SUPPLIERS"/>
    <n v="208074"/>
    <s v="SWASTIK STEEL TRADERS"/>
    <n v="0"/>
    <n v="0"/>
    <n v="0"/>
    <n v="0"/>
    <n v="10"/>
    <n v="10"/>
    <n v="0"/>
    <n v="20"/>
    <n v="2.8571428571428572"/>
    <x v="1"/>
    <x v="10"/>
    <x v="4"/>
    <x v="1"/>
  </r>
  <r>
    <s v="815067208074"/>
    <n v="815067"/>
    <s v="NEW HIND TRADERS"/>
    <n v="208074"/>
    <s v="SWASTIK STEEL TRADERS"/>
    <n v="0"/>
    <n v="0"/>
    <n v="10"/>
    <n v="35"/>
    <n v="20"/>
    <n v="20"/>
    <n v="0"/>
    <n v="85"/>
    <n v="12.142857142857142"/>
    <x v="2"/>
    <x v="10"/>
    <x v="4"/>
    <x v="1"/>
  </r>
  <r>
    <s v="815068208074"/>
    <n v="815068"/>
    <s v="MOHMMAD ALI GOURI"/>
    <n v="208074"/>
    <s v="SWASTIK STEEL TRADERS"/>
    <n v="0"/>
    <n v="0"/>
    <n v="20"/>
    <n v="47.5"/>
    <n v="26"/>
    <n v="20"/>
    <n v="18"/>
    <n v="131.5"/>
    <n v="18.785714285714285"/>
    <x v="2"/>
    <x v="10"/>
    <x v="4"/>
    <x v="1"/>
  </r>
  <r>
    <s v="815936208074"/>
    <n v="815936"/>
    <s v="DINESH SINGH CHOUHAN"/>
    <n v="208074"/>
    <s v="SWASTIK STEEL TRADERS"/>
    <n v="0"/>
    <n v="0"/>
    <n v="0"/>
    <n v="0"/>
    <n v="50"/>
    <n v="55"/>
    <n v="10"/>
    <n v="115"/>
    <n v="16.428571428571427"/>
    <x v="2"/>
    <x v="10"/>
    <x v="4"/>
    <x v="1"/>
  </r>
  <r>
    <s v="816021208074"/>
    <n v="816021"/>
    <s v="YARANA CEMENT SUPPLIER"/>
    <n v="208074"/>
    <s v="SWASTIK STEEL TRADERS"/>
    <n v="0"/>
    <n v="0"/>
    <n v="0"/>
    <n v="0"/>
    <n v="25"/>
    <n v="35"/>
    <n v="25"/>
    <n v="85"/>
    <n v="12.142857142857142"/>
    <x v="2"/>
    <x v="10"/>
    <x v="4"/>
    <x v="1"/>
  </r>
  <r>
    <s v="816022208074"/>
    <n v="816022"/>
    <s v="LAXMI NARAYANA"/>
    <n v="208074"/>
    <s v="SWASTIK STEEL TRADERS"/>
    <n v="0"/>
    <n v="0"/>
    <n v="0"/>
    <n v="0"/>
    <n v="10"/>
    <n v="15"/>
    <n v="10"/>
    <n v="35"/>
    <n v="5"/>
    <x v="1"/>
    <x v="10"/>
    <x v="4"/>
    <x v="1"/>
  </r>
  <r>
    <s v="816469208074"/>
    <n v="816469"/>
    <s v="NAKODA HARDWARE AND SANITARY"/>
    <n v="208074"/>
    <s v="SWASTIK STEEL TRADERS"/>
    <n v="0"/>
    <n v="0"/>
    <n v="0"/>
    <n v="0"/>
    <n v="0"/>
    <n v="12.5"/>
    <n v="10"/>
    <n v="22.5"/>
    <n v="3.2142857142857144"/>
    <x v="1"/>
    <x v="10"/>
    <x v="4"/>
    <x v="1"/>
  </r>
  <r>
    <s v="816471208074"/>
    <n v="816471"/>
    <s v="RAVINDRA SINGH RAWAT"/>
    <n v="208074"/>
    <s v="SWASTIK STEEL TRADERS"/>
    <n v="0"/>
    <n v="0"/>
    <n v="0"/>
    <n v="0"/>
    <n v="0"/>
    <n v="17.5"/>
    <n v="40"/>
    <n v="57.5"/>
    <n v="8.2142857142857135"/>
    <x v="1"/>
    <x v="10"/>
    <x v="4"/>
    <x v="1"/>
  </r>
  <r>
    <s v="816301205686"/>
    <n v="816301"/>
    <s v="KARTIK MOJAIC TILES"/>
    <n v="205686"/>
    <s v="OM PRAKASH RAWAT"/>
    <n v="0"/>
    <n v="0"/>
    <n v="0"/>
    <n v="0"/>
    <n v="0"/>
    <n v="12.5"/>
    <n v="53"/>
    <n v="65.5"/>
    <n v="9.3571428571428577"/>
    <x v="1"/>
    <x v="10"/>
    <x v="4"/>
    <x v="1"/>
  </r>
  <r>
    <s v="808471119029"/>
    <n v="808471"/>
    <s v="MOHAN LAL"/>
    <n v="119029"/>
    <s v="LALLAMAL KANHYALAL &amp; SONS"/>
    <n v="0"/>
    <n v="0"/>
    <n v="0"/>
    <n v="0"/>
    <n v="0"/>
    <n v="0"/>
    <n v="10"/>
    <n v="10"/>
    <n v="1.4285714285714286"/>
    <x v="1"/>
    <x v="10"/>
    <x v="4"/>
    <x v="1"/>
  </r>
  <r>
    <s v="804966143530"/>
    <n v="804966"/>
    <s v="RAMNIWAS LAHOTI CEMENT AGENCY"/>
    <n v="143530"/>
    <s v="BHATI CEMENT AGENCY"/>
    <n v="30"/>
    <n v="40"/>
    <n v="55"/>
    <n v="50"/>
    <n v="10"/>
    <n v="20"/>
    <n v="10"/>
    <n v="215"/>
    <n v="30.714285714285715"/>
    <x v="4"/>
    <x v="11"/>
    <x v="4"/>
    <x v="1"/>
  </r>
  <r>
    <s v="814332143530"/>
    <n v="814332"/>
    <s v="BHATI TRADERS &amp; HARDWARE"/>
    <n v="143530"/>
    <s v="BHATI CEMENT AGENCY"/>
    <n v="52"/>
    <n v="95"/>
    <n v="85"/>
    <n v="105"/>
    <n v="61"/>
    <n v="50"/>
    <n v="25"/>
    <n v="473"/>
    <n v="67.571428571428569"/>
    <x v="3"/>
    <x v="11"/>
    <x v="4"/>
    <x v="1"/>
  </r>
  <r>
    <s v="815838143530"/>
    <n v="815838"/>
    <s v="BHOMIYA JI CEMENT SUPPLIER"/>
    <n v="143530"/>
    <s v="BHATI CEMENT AGENCY"/>
    <n v="0"/>
    <n v="0"/>
    <n v="0"/>
    <n v="0"/>
    <n v="35"/>
    <n v="0"/>
    <n v="15"/>
    <n v="50"/>
    <n v="7.1428571428571432"/>
    <x v="1"/>
    <x v="11"/>
    <x v="4"/>
    <x v="1"/>
  </r>
  <r>
    <s v="807140170228"/>
    <n v="807140"/>
    <s v="VEER TEJA HARDWARE AND CEMENT"/>
    <n v="170228"/>
    <s v="SHRI RAM TRADERS"/>
    <n v="0"/>
    <n v="0"/>
    <n v="0"/>
    <n v="11"/>
    <n v="0"/>
    <n v="20"/>
    <n v="0"/>
    <n v="31"/>
    <n v="4.4285714285714288"/>
    <x v="1"/>
    <x v="11"/>
    <x v="4"/>
    <x v="1"/>
  </r>
  <r>
    <s v="814068170228"/>
    <n v="814068"/>
    <s v="BASANT KUMAR SHARMA"/>
    <n v="170228"/>
    <s v="SHRI RAM TRADERS"/>
    <n v="60"/>
    <n v="30"/>
    <n v="96"/>
    <n v="117"/>
    <n v="30"/>
    <n v="90"/>
    <n v="0"/>
    <n v="423"/>
    <n v="60.428571428571431"/>
    <x v="3"/>
    <x v="11"/>
    <x v="4"/>
    <x v="1"/>
  </r>
  <r>
    <s v="814655170228"/>
    <n v="814655"/>
    <s v="JAI BHERUNATH BUILDING MATERIA"/>
    <n v="170228"/>
    <s v="SHRI RAM TRADERS"/>
    <n v="0"/>
    <n v="0"/>
    <n v="0"/>
    <n v="10"/>
    <n v="10"/>
    <n v="0"/>
    <n v="0"/>
    <n v="20"/>
    <n v="2.8571428571428572"/>
    <x v="1"/>
    <x v="11"/>
    <x v="4"/>
    <x v="1"/>
  </r>
  <r>
    <s v="812654172299"/>
    <n v="812654"/>
    <s v="SOLANKI ENTERPRISES"/>
    <n v="172299"/>
    <s v="SAFALATA BUILDING MATERIAL"/>
    <n v="73"/>
    <n v="89"/>
    <n v="61.5"/>
    <n v="0"/>
    <n v="0"/>
    <n v="0"/>
    <n v="0"/>
    <n v="223.5"/>
    <n v="31.928571428571427"/>
    <x v="4"/>
    <x v="11"/>
    <x v="4"/>
    <x v="1"/>
  </r>
  <r>
    <s v="812346173100"/>
    <n v="812346"/>
    <s v="SHORYA INDUSTRIES"/>
    <n v="173100"/>
    <s v="BANSHI LAL BHATI AND SONS"/>
    <n v="50"/>
    <n v="0"/>
    <n v="0"/>
    <n v="55"/>
    <n v="0"/>
    <n v="0"/>
    <n v="15"/>
    <n v="120"/>
    <n v="17.142857142857142"/>
    <x v="2"/>
    <x v="11"/>
    <x v="4"/>
    <x v="1"/>
  </r>
  <r>
    <s v="808390176457"/>
    <n v="808390"/>
    <s v="SHIVNATH  DHANI BUILDING MATER"/>
    <n v="176457"/>
    <s v="RAMA BUILDING MATERIALS"/>
    <n v="0"/>
    <n v="0"/>
    <n v="0"/>
    <n v="15"/>
    <n v="0"/>
    <n v="0"/>
    <n v="0"/>
    <n v="15"/>
    <n v="2.1428571428571428"/>
    <x v="1"/>
    <x v="11"/>
    <x v="4"/>
    <x v="1"/>
  </r>
  <r>
    <s v="807377176870"/>
    <n v="807377"/>
    <s v="PRAJAPATI BUILDING MATERIAL"/>
    <n v="176870"/>
    <s v="KHANDELWAL CEMENT AGENCY"/>
    <n v="0"/>
    <n v="53"/>
    <n v="20"/>
    <n v="45"/>
    <n v="45"/>
    <n v="27.25"/>
    <n v="30"/>
    <n v="220.25"/>
    <n v="31.464285714285715"/>
    <x v="4"/>
    <x v="11"/>
    <x v="4"/>
    <x v="1"/>
  </r>
  <r>
    <s v="810348176870"/>
    <n v="810348"/>
    <s v="SOLANKI CEMENT SUPPLIERS"/>
    <n v="176870"/>
    <s v="KHANDELWAL CEMENT AGENCY"/>
    <n v="0"/>
    <n v="0"/>
    <n v="0"/>
    <n v="10"/>
    <n v="0"/>
    <n v="0"/>
    <n v="0"/>
    <n v="10"/>
    <n v="1.4285714285714286"/>
    <x v="1"/>
    <x v="11"/>
    <x v="4"/>
    <x v="1"/>
  </r>
  <r>
    <s v="814067176870"/>
    <n v="814067"/>
    <s v="BALAJI CEMENT SUPPLIERS"/>
    <n v="176870"/>
    <s v="KHANDELWAL CEMENT AGENCY"/>
    <n v="11"/>
    <n v="45"/>
    <n v="30"/>
    <n v="20"/>
    <n v="30"/>
    <n v="25"/>
    <n v="10"/>
    <n v="171"/>
    <n v="24.428571428571427"/>
    <x v="0"/>
    <x v="11"/>
    <x v="4"/>
    <x v="1"/>
  </r>
  <r>
    <s v="814069176870"/>
    <n v="814069"/>
    <s v="TEJA BUILDING MATERIAL"/>
    <n v="176870"/>
    <s v="KHANDELWAL CEMENT AGENCY"/>
    <n v="100"/>
    <n v="100"/>
    <n v="35"/>
    <n v="60"/>
    <n v="25"/>
    <n v="47.5"/>
    <n v="10"/>
    <n v="377.5"/>
    <n v="53.928571428571431"/>
    <x v="3"/>
    <x v="11"/>
    <x v="4"/>
    <x v="1"/>
  </r>
  <r>
    <s v="815102176870"/>
    <n v="815102"/>
    <s v="MAHADEV STONE SUPPLIER"/>
    <n v="176870"/>
    <s v="KHANDELWAL CEMENT AGENCY"/>
    <n v="0"/>
    <n v="0"/>
    <n v="30"/>
    <n v="55"/>
    <n v="0"/>
    <n v="38"/>
    <n v="20"/>
    <n v="143"/>
    <n v="20.428571428571427"/>
    <x v="0"/>
    <x v="11"/>
    <x v="4"/>
    <x v="1"/>
  </r>
  <r>
    <s v="809578177016"/>
    <n v="809578"/>
    <s v="JETHARAM SWAMI"/>
    <n v="177016"/>
    <s v="KHANDELWAL STONE"/>
    <n v="54"/>
    <n v="40"/>
    <n v="53"/>
    <n v="70"/>
    <n v="28"/>
    <n v="46"/>
    <n v="45"/>
    <n v="336"/>
    <n v="48"/>
    <x v="5"/>
    <x v="11"/>
    <x v="4"/>
    <x v="1"/>
  </r>
  <r>
    <s v="810533178724"/>
    <n v="810533"/>
    <s v="NAGNECHYA CEMENT SUPPLIERS"/>
    <n v="178724"/>
    <s v="NEELKANTH MAHADEV ENTERPRISES"/>
    <n v="0"/>
    <n v="0"/>
    <n v="19"/>
    <n v="40"/>
    <n v="0"/>
    <n v="0"/>
    <n v="0"/>
    <n v="59"/>
    <n v="8.4285714285714288"/>
    <x v="1"/>
    <x v="11"/>
    <x v="4"/>
    <x v="1"/>
  </r>
  <r>
    <s v="810958179877"/>
    <n v="810958"/>
    <s v="BALAJI TRADING COMPANY"/>
    <n v="179877"/>
    <s v="HANUMANGARH  INT SUPPLIERS"/>
    <n v="55.5"/>
    <n v="20"/>
    <n v="62"/>
    <n v="62.5"/>
    <n v="47.5"/>
    <n v="52.5"/>
    <n v="52.5"/>
    <n v="352.5"/>
    <n v="50.357142857142854"/>
    <x v="3"/>
    <x v="11"/>
    <x v="4"/>
    <x v="1"/>
  </r>
  <r>
    <s v="811033179877"/>
    <n v="811033"/>
    <s v="VEER TEJA BUILDING MATERIAL"/>
    <n v="179877"/>
    <s v="HANUMANGARH  INT SUPPLIERS"/>
    <n v="0"/>
    <n v="25"/>
    <n v="0"/>
    <n v="0"/>
    <n v="0"/>
    <n v="0"/>
    <n v="0"/>
    <n v="25"/>
    <n v="3.5714285714285716"/>
    <x v="1"/>
    <x v="11"/>
    <x v="4"/>
    <x v="1"/>
  </r>
  <r>
    <s v="811089179877"/>
    <n v="811089"/>
    <s v="HANUMANGARH INT SUPPLIERS"/>
    <n v="179877"/>
    <s v="HANUMANGARH  INT SUPPLIERS"/>
    <n v="71.95"/>
    <n v="66"/>
    <n v="95"/>
    <n v="73.55"/>
    <n v="88.5"/>
    <n v="113"/>
    <n v="134"/>
    <n v="642"/>
    <n v="91.714285714285708"/>
    <x v="3"/>
    <x v="11"/>
    <x v="4"/>
    <x v="1"/>
  </r>
  <r>
    <s v="811910179877"/>
    <n v="811910"/>
    <s v="BALAJI CONSTRUCTION COMPANY"/>
    <n v="179877"/>
    <s v="HANUMANGARH  INT SUPPLIERS"/>
    <n v="28"/>
    <n v="12"/>
    <n v="0"/>
    <n v="10"/>
    <n v="12"/>
    <n v="7.5"/>
    <n v="30"/>
    <n v="99.5"/>
    <n v="14.214285714285714"/>
    <x v="2"/>
    <x v="11"/>
    <x v="4"/>
    <x v="1"/>
  </r>
  <r>
    <s v="812561179877"/>
    <n v="812561"/>
    <s v="LAXMI BUILDING MATERIAL"/>
    <n v="179877"/>
    <s v="HANUMANGARH  INT SUPPLIERS"/>
    <n v="36.5"/>
    <n v="42"/>
    <n v="50"/>
    <n v="62.5"/>
    <n v="37.5"/>
    <n v="50"/>
    <n v="22.5"/>
    <n v="301"/>
    <n v="43"/>
    <x v="5"/>
    <x v="11"/>
    <x v="4"/>
    <x v="1"/>
  </r>
  <r>
    <s v="813656179877"/>
    <n v="813656"/>
    <s v="SHREE BALAJI BUILDING MATERIAL"/>
    <n v="179877"/>
    <s v="HANUMANGARH  INT SUPPLIERS"/>
    <n v="0"/>
    <n v="0"/>
    <n v="10"/>
    <n v="10"/>
    <n v="10"/>
    <n v="10"/>
    <n v="10"/>
    <n v="50"/>
    <n v="7.1428571428571432"/>
    <x v="1"/>
    <x v="11"/>
    <x v="4"/>
    <x v="1"/>
  </r>
  <r>
    <s v="805984203455"/>
    <n v="805984"/>
    <s v="SUFI TRADING COMPANY"/>
    <n v="203455"/>
    <s v="NARAYAN TRADERS"/>
    <n v="20"/>
    <n v="0"/>
    <n v="32.5"/>
    <n v="10"/>
    <n v="10"/>
    <n v="15"/>
    <n v="40"/>
    <n v="127.5"/>
    <n v="18.214285714285715"/>
    <x v="2"/>
    <x v="11"/>
    <x v="4"/>
    <x v="1"/>
  </r>
  <r>
    <s v="814330203455"/>
    <n v="814330"/>
    <s v="JAY SHREE HARDWARE"/>
    <n v="203455"/>
    <s v="NARAYAN TRADERS"/>
    <n v="41"/>
    <n v="20"/>
    <n v="20"/>
    <n v="10"/>
    <n v="0"/>
    <n v="10"/>
    <n v="20"/>
    <n v="121"/>
    <n v="17.285714285714285"/>
    <x v="2"/>
    <x v="11"/>
    <x v="4"/>
    <x v="1"/>
  </r>
  <r>
    <s v="815133203455"/>
    <n v="815133"/>
    <s v="HANUVANT INDUSTRIES"/>
    <n v="203455"/>
    <s v="NARAYAN TRADERS"/>
    <n v="0"/>
    <n v="0"/>
    <n v="60.5"/>
    <n v="113"/>
    <n v="50"/>
    <n v="60"/>
    <n v="65"/>
    <n v="348.5"/>
    <n v="49.785714285714285"/>
    <x v="5"/>
    <x v="11"/>
    <x v="4"/>
    <x v="1"/>
  </r>
  <r>
    <s v="814386205372"/>
    <n v="814386"/>
    <s v="SINDHAL BUILDING MATERIAL"/>
    <n v="205372"/>
    <s v="CHOUHAN BUILDING MATERIAL"/>
    <n v="20"/>
    <n v="34"/>
    <n v="45"/>
    <n v="20"/>
    <n v="30"/>
    <n v="40"/>
    <n v="0"/>
    <n v="189"/>
    <n v="27"/>
    <x v="0"/>
    <x v="11"/>
    <x v="4"/>
    <x v="1"/>
  </r>
  <r>
    <s v="803721206102"/>
    <n v="803721"/>
    <s v="GAJANAD CEMENT SUPPLIERS"/>
    <n v="206102"/>
    <s v="BABA RAMDEV CEMENT SUPPLIER"/>
    <n v="131"/>
    <n v="81"/>
    <n v="116"/>
    <n v="100"/>
    <n v="10"/>
    <n v="40"/>
    <n v="45"/>
    <n v="523"/>
    <n v="74.714285714285708"/>
    <x v="3"/>
    <x v="11"/>
    <x v="4"/>
    <x v="1"/>
  </r>
  <r>
    <s v="808292206102"/>
    <n v="808292"/>
    <s v="ONKAR SINGH"/>
    <n v="206102"/>
    <s v="BABA RAMDEV CEMENT SUPPLIER"/>
    <n v="0"/>
    <n v="0"/>
    <n v="0"/>
    <n v="30"/>
    <n v="65"/>
    <n v="23"/>
    <n v="6.5"/>
    <n v="124.5"/>
    <n v="17.785714285714285"/>
    <x v="2"/>
    <x v="11"/>
    <x v="4"/>
    <x v="1"/>
  </r>
  <r>
    <s v="813806206980"/>
    <n v="813806"/>
    <s v="SHREE BALAJI BUILDING MATERIAL"/>
    <n v="206980"/>
    <s v="SHREE KARNI ENTERPRISES"/>
    <n v="0"/>
    <n v="0"/>
    <n v="10"/>
    <n v="0"/>
    <n v="0"/>
    <n v="0"/>
    <n v="0"/>
    <n v="10"/>
    <n v="1.4285714285714286"/>
    <x v="1"/>
    <x v="11"/>
    <x v="4"/>
    <x v="1"/>
  </r>
  <r>
    <s v="814655206980"/>
    <n v="814655"/>
    <s v="JAI BHERUNATH BUILDING MATERIA"/>
    <n v="206980"/>
    <s v="SHREE KARNI ENTERPRISES"/>
    <n v="20"/>
    <n v="0"/>
    <n v="10"/>
    <n v="0"/>
    <n v="0"/>
    <n v="0"/>
    <n v="0"/>
    <n v="30"/>
    <n v="4.2857142857142856"/>
    <x v="1"/>
    <x v="11"/>
    <x v="4"/>
    <x v="1"/>
  </r>
  <r>
    <s v="815839207379"/>
    <n v="815839"/>
    <s v="JAGDAMBA BUILDING MATERIALS"/>
    <n v="207379"/>
    <s v="BABA RAMDEV BUILDING MATERIAL"/>
    <n v="0"/>
    <n v="0"/>
    <n v="0"/>
    <n v="0"/>
    <n v="40"/>
    <n v="25"/>
    <n v="15"/>
    <n v="80"/>
    <n v="11.428571428571429"/>
    <x v="2"/>
    <x v="11"/>
    <x v="4"/>
    <x v="1"/>
  </r>
  <r>
    <s v="808639208809"/>
    <n v="808639"/>
    <s v="MAHADEV SAND STONE"/>
    <n v="208809"/>
    <s v="MAHADEV SALES"/>
    <n v="0"/>
    <n v="0"/>
    <n v="0"/>
    <n v="30"/>
    <n v="50"/>
    <n v="59.5"/>
    <n v="30"/>
    <n v="169.5"/>
    <n v="24.214285714285715"/>
    <x v="0"/>
    <x v="11"/>
    <x v="4"/>
    <x v="1"/>
  </r>
  <r>
    <s v="815935208809"/>
    <n v="815935"/>
    <s v="JASNATH BUILDING MATERIALS"/>
    <n v="208809"/>
    <s v="MAHADEV SALES"/>
    <n v="0"/>
    <n v="0"/>
    <n v="0"/>
    <n v="0"/>
    <n v="135"/>
    <n v="130.5"/>
    <n v="30"/>
    <n v="295.5"/>
    <n v="42.214285714285715"/>
    <x v="5"/>
    <x v="11"/>
    <x v="4"/>
    <x v="1"/>
  </r>
  <r>
    <s v="814068176870"/>
    <n v="814068"/>
    <s v="BASANT KUMAR SHARMA"/>
    <n v="176870"/>
    <s v="KHANDELWAL CEMENT AGENCY"/>
    <n v="0"/>
    <n v="0"/>
    <n v="0"/>
    <n v="0"/>
    <n v="0"/>
    <n v="0"/>
    <n v="10"/>
    <n v="10"/>
    <n v="1.4285714285714286"/>
    <x v="1"/>
    <x v="11"/>
    <x v="4"/>
    <x v="1"/>
  </r>
  <r>
    <s v="815202179877"/>
    <n v="815202"/>
    <s v="MAA JAGDAMBA BUILDING MATERIAL"/>
    <n v="179877"/>
    <s v="HANUMANGARH  INT SUPPLIERS"/>
    <n v="0"/>
    <n v="0"/>
    <n v="0"/>
    <n v="0"/>
    <n v="0"/>
    <n v="0"/>
    <n v="10"/>
    <n v="10"/>
    <n v="1.4285714285714286"/>
    <x v="1"/>
    <x v="11"/>
    <x v="4"/>
    <x v="1"/>
  </r>
  <r>
    <s v="802870119034"/>
    <n v="802870"/>
    <s v="RAJ AGENCIES"/>
    <n v="119034"/>
    <s v="SOGANI AGENCIES"/>
    <n v="7.5"/>
    <n v="0"/>
    <n v="0"/>
    <n v="37.5"/>
    <n v="0"/>
    <n v="0"/>
    <n v="0"/>
    <n v="45"/>
    <n v="6.4285714285714288"/>
    <x v="1"/>
    <x v="12"/>
    <x v="4"/>
    <x v="1"/>
  </r>
  <r>
    <s v="803983119034"/>
    <n v="803983"/>
    <s v="DEV BUILDING MATERIAL SUPPLIER"/>
    <n v="119034"/>
    <s v="SOGANI AGENCIES"/>
    <n v="60"/>
    <n v="30"/>
    <n v="67.5"/>
    <n v="51.5"/>
    <n v="20"/>
    <n v="10"/>
    <n v="20"/>
    <n v="259"/>
    <n v="37"/>
    <x v="4"/>
    <x v="12"/>
    <x v="4"/>
    <x v="1"/>
  </r>
  <r>
    <s v="804251119034"/>
    <n v="804251"/>
    <s v="SHRI GURU KRIPA BUILDING MATER"/>
    <n v="119034"/>
    <s v="SOGANI AGENCIES"/>
    <n v="54"/>
    <n v="89.5"/>
    <n v="70"/>
    <n v="50"/>
    <n v="42"/>
    <n v="20"/>
    <n v="17.5"/>
    <n v="343"/>
    <n v="49"/>
    <x v="5"/>
    <x v="12"/>
    <x v="4"/>
    <x v="1"/>
  </r>
  <r>
    <s v="806969119034"/>
    <n v="806969"/>
    <s v="LALA RAM BEEJ BHANDAR"/>
    <n v="119034"/>
    <s v="SOGANI AGENCIES"/>
    <n v="15"/>
    <n v="0"/>
    <n v="0"/>
    <n v="0"/>
    <n v="0"/>
    <n v="0"/>
    <n v="0"/>
    <n v="15"/>
    <n v="2.1428571428571428"/>
    <x v="1"/>
    <x v="12"/>
    <x v="4"/>
    <x v="1"/>
  </r>
  <r>
    <s v="808348119034"/>
    <n v="808348"/>
    <s v="MUSKAN BUILDING MATERIAL SUPPL"/>
    <n v="119034"/>
    <s v="SOGANI AGENCIES"/>
    <n v="20"/>
    <n v="50"/>
    <n v="32"/>
    <n v="48"/>
    <n v="40"/>
    <n v="32.5"/>
    <n v="0"/>
    <n v="222.5"/>
    <n v="31.785714285714285"/>
    <x v="4"/>
    <x v="12"/>
    <x v="4"/>
    <x v="1"/>
  </r>
  <r>
    <s v="811185119034"/>
    <n v="811185"/>
    <s v="SHREE ARIHANT TRADING COMPANY"/>
    <n v="119034"/>
    <s v="SOGANI AGENCIES"/>
    <n v="35"/>
    <n v="29.5"/>
    <n v="0"/>
    <n v="0"/>
    <n v="0"/>
    <n v="5"/>
    <n v="0"/>
    <n v="69.5"/>
    <n v="9.9285714285714288"/>
    <x v="1"/>
    <x v="12"/>
    <x v="4"/>
    <x v="1"/>
  </r>
  <r>
    <s v="811534119034"/>
    <n v="811534"/>
    <s v="AJAY KUMAR SHARMA"/>
    <n v="119034"/>
    <s v="SOGANI AGENCIES"/>
    <n v="10"/>
    <n v="35"/>
    <n v="37.5"/>
    <n v="10.5"/>
    <n v="16.55"/>
    <n v="0"/>
    <n v="0"/>
    <n v="109.55"/>
    <n v="15.65"/>
    <x v="2"/>
    <x v="12"/>
    <x v="4"/>
    <x v="1"/>
  </r>
  <r>
    <s v="812859119034"/>
    <n v="812859"/>
    <s v="RAMKHILADI GURJAR"/>
    <n v="119034"/>
    <s v="SOGANI AGENCIES"/>
    <n v="25"/>
    <n v="57.5"/>
    <n v="15"/>
    <n v="40"/>
    <n v="10"/>
    <n v="10"/>
    <n v="9.5"/>
    <n v="167"/>
    <n v="23.857142857142858"/>
    <x v="0"/>
    <x v="12"/>
    <x v="4"/>
    <x v="1"/>
  </r>
  <r>
    <s v="809121141177"/>
    <n v="809121"/>
    <s v="HARISH TRADING COMPANY"/>
    <n v="141177"/>
    <s v="MANISH TRADING COMPANY"/>
    <n v="0"/>
    <n v="0"/>
    <n v="20"/>
    <n v="20"/>
    <n v="10"/>
    <n v="0"/>
    <n v="16"/>
    <n v="66"/>
    <n v="9.4285714285714288"/>
    <x v="1"/>
    <x v="12"/>
    <x v="4"/>
    <x v="1"/>
  </r>
  <r>
    <s v="804176141674"/>
    <n v="804176"/>
    <s v="ARAWALI CEMENT AGENCY"/>
    <n v="141674"/>
    <s v="ARAVALI BUILDING MATERIAL SUPP"/>
    <n v="87.4"/>
    <n v="70.5"/>
    <n v="94.65"/>
    <n v="99.35"/>
    <n v="44.2"/>
    <n v="102"/>
    <n v="42.5"/>
    <n v="540.59999999999991"/>
    <n v="77.228571428571414"/>
    <x v="3"/>
    <x v="12"/>
    <x v="4"/>
    <x v="1"/>
  </r>
  <r>
    <s v="812866141674"/>
    <n v="812866"/>
    <s v="FOJMAL DHABAI"/>
    <n v="141674"/>
    <s v="ARAVALI BUILDING MATERIAL SUPP"/>
    <n v="8"/>
    <n v="0"/>
    <n v="8"/>
    <n v="0"/>
    <n v="0"/>
    <n v="22.5"/>
    <n v="15"/>
    <n v="53.5"/>
    <n v="7.6428571428571432"/>
    <x v="1"/>
    <x v="12"/>
    <x v="4"/>
    <x v="1"/>
  </r>
  <r>
    <s v="812971142353"/>
    <n v="812971"/>
    <s v="SUNIL KUMAWAT"/>
    <n v="142353"/>
    <s v="SUNIL BUILDING MATERIAL"/>
    <n v="45"/>
    <n v="35"/>
    <n v="25"/>
    <n v="0"/>
    <n v="35"/>
    <n v="22"/>
    <n v="0"/>
    <n v="162"/>
    <n v="23.142857142857142"/>
    <x v="0"/>
    <x v="12"/>
    <x v="4"/>
    <x v="1"/>
  </r>
  <r>
    <s v="811360170013"/>
    <n v="811360"/>
    <s v="SHIKHAR CHAND JAIN"/>
    <n v="170013"/>
    <s v="PADAM CHAND AND BROTHERS"/>
    <n v="15"/>
    <n v="25"/>
    <n v="0"/>
    <n v="73.5"/>
    <n v="47.5"/>
    <n v="59"/>
    <n v="15"/>
    <n v="235"/>
    <n v="33.571428571428569"/>
    <x v="4"/>
    <x v="12"/>
    <x v="4"/>
    <x v="1"/>
  </r>
  <r>
    <s v="811584170013"/>
    <n v="811584"/>
    <s v="MANISHA TRADERS"/>
    <n v="170013"/>
    <s v="PADAM CHAND AND BROTHERS"/>
    <n v="7.5"/>
    <n v="20"/>
    <n v="52.5"/>
    <n v="54"/>
    <n v="3.5"/>
    <n v="6"/>
    <n v="0"/>
    <n v="143.5"/>
    <n v="20.5"/>
    <x v="0"/>
    <x v="12"/>
    <x v="4"/>
    <x v="1"/>
  </r>
  <r>
    <s v="811629170013"/>
    <n v="811629"/>
    <s v="HARI NARAYAN SHARMA"/>
    <n v="170013"/>
    <s v="PADAM CHAND AND BROTHERS"/>
    <n v="25"/>
    <n v="0"/>
    <n v="20"/>
    <n v="25"/>
    <n v="0"/>
    <n v="11"/>
    <n v="0"/>
    <n v="81"/>
    <n v="11.571428571428571"/>
    <x v="2"/>
    <x v="12"/>
    <x v="4"/>
    <x v="1"/>
  </r>
  <r>
    <s v="805911170115"/>
    <n v="805911"/>
    <s v="JAGDAMBA TRADERS"/>
    <n v="170115"/>
    <s v="YADAV BUILDING MATERIAL"/>
    <n v="35"/>
    <n v="35"/>
    <n v="35"/>
    <n v="35"/>
    <n v="0"/>
    <n v="0"/>
    <n v="0"/>
    <n v="140"/>
    <n v="20"/>
    <x v="0"/>
    <x v="12"/>
    <x v="4"/>
    <x v="1"/>
  </r>
  <r>
    <s v="809121170115"/>
    <n v="809121"/>
    <s v="HARISH TRADING COMPANY"/>
    <n v="170115"/>
    <s v="YADAV BUILDING MATERIAL"/>
    <n v="0"/>
    <n v="0"/>
    <n v="0"/>
    <n v="0"/>
    <n v="0"/>
    <n v="13"/>
    <n v="0"/>
    <n v="13"/>
    <n v="1.8571428571428572"/>
    <x v="1"/>
    <x v="12"/>
    <x v="4"/>
    <x v="1"/>
  </r>
  <r>
    <s v="812472170115"/>
    <n v="812472"/>
    <s v="RAJENDER CHOUDHARY"/>
    <n v="170115"/>
    <s v="YADAV BUILDING MATERIAL"/>
    <n v="0"/>
    <n v="0"/>
    <n v="0"/>
    <n v="0"/>
    <n v="20"/>
    <n v="0"/>
    <n v="20"/>
    <n v="40"/>
    <n v="5.7142857142857144"/>
    <x v="1"/>
    <x v="12"/>
    <x v="4"/>
    <x v="1"/>
  </r>
  <r>
    <s v="816483170115"/>
    <n v="816483"/>
    <s v="RAHUL CONSTRUCTION"/>
    <n v="170115"/>
    <s v="YADAV BUILDING MATERIAL"/>
    <n v="0"/>
    <n v="0"/>
    <n v="0"/>
    <n v="0"/>
    <n v="0"/>
    <n v="35"/>
    <n v="0"/>
    <n v="35"/>
    <n v="5"/>
    <x v="1"/>
    <x v="12"/>
    <x v="4"/>
    <x v="1"/>
  </r>
  <r>
    <s v="815668170325"/>
    <n v="815668"/>
    <s v="NARESH KUMAR KALWAR"/>
    <n v="170325"/>
    <s v="MANOJ TRADERS"/>
    <n v="0"/>
    <n v="0"/>
    <n v="0"/>
    <n v="30"/>
    <n v="15"/>
    <n v="15"/>
    <n v="0"/>
    <n v="60"/>
    <n v="8.5714285714285712"/>
    <x v="1"/>
    <x v="12"/>
    <x v="4"/>
    <x v="1"/>
  </r>
  <r>
    <s v="806395170550"/>
    <n v="806395"/>
    <s v="SHREE JALDEVI CONSTRUCTION &amp; C"/>
    <n v="170550"/>
    <s v="SHIV TRADERS"/>
    <n v="0"/>
    <n v="15"/>
    <n v="50"/>
    <n v="30"/>
    <n v="20"/>
    <n v="0"/>
    <n v="0"/>
    <n v="115"/>
    <n v="16.428571428571427"/>
    <x v="2"/>
    <x v="12"/>
    <x v="4"/>
    <x v="1"/>
  </r>
  <r>
    <s v="811582170550"/>
    <n v="811582"/>
    <s v="MOHAN LAL"/>
    <n v="170550"/>
    <s v="SHIV TRADERS"/>
    <n v="30"/>
    <n v="20"/>
    <n v="45"/>
    <n v="10"/>
    <n v="27.5"/>
    <n v="35"/>
    <n v="25"/>
    <n v="192.5"/>
    <n v="27.5"/>
    <x v="0"/>
    <x v="12"/>
    <x v="4"/>
    <x v="1"/>
  </r>
  <r>
    <s v="811771170550"/>
    <n v="811771"/>
    <s v="SHARMA SANITARY &amp; BUILDING MAT"/>
    <n v="170550"/>
    <s v="SHIV TRADERS"/>
    <n v="0"/>
    <n v="80"/>
    <n v="46"/>
    <n v="10.5"/>
    <n v="32.5"/>
    <n v="15"/>
    <n v="10"/>
    <n v="194"/>
    <n v="27.714285714285715"/>
    <x v="0"/>
    <x v="12"/>
    <x v="4"/>
    <x v="1"/>
  </r>
  <r>
    <s v="815597170550"/>
    <n v="815597"/>
    <s v="SHIV ENTERPRISES"/>
    <n v="170550"/>
    <s v="SHIV TRADERS"/>
    <n v="0"/>
    <n v="0"/>
    <n v="0"/>
    <n v="36"/>
    <n v="78"/>
    <n v="70"/>
    <n v="35"/>
    <n v="219"/>
    <n v="31.285714285714285"/>
    <x v="4"/>
    <x v="12"/>
    <x v="4"/>
    <x v="1"/>
  </r>
  <r>
    <s v="811184201090"/>
    <n v="811184"/>
    <s v="BAJRANG LAL JAT"/>
    <n v="201090"/>
    <s v="SHANKAR LAL CONSTRUCTION CO"/>
    <n v="16"/>
    <n v="0"/>
    <n v="0"/>
    <n v="0"/>
    <n v="0"/>
    <n v="0"/>
    <n v="0"/>
    <n v="16"/>
    <n v="2.2857142857142856"/>
    <x v="1"/>
    <x v="12"/>
    <x v="4"/>
    <x v="1"/>
  </r>
  <r>
    <s v="811523201117"/>
    <n v="811523"/>
    <s v="PIYUSH ANUJ"/>
    <n v="201117"/>
    <s v="LOKESH ROOFING'S"/>
    <n v="42.65"/>
    <n v="40"/>
    <n v="45.8"/>
    <n v="79.45"/>
    <n v="55.3"/>
    <n v="59.25"/>
    <n v="13.75"/>
    <n v="336.2"/>
    <n v="48.028571428571425"/>
    <x v="5"/>
    <x v="12"/>
    <x v="4"/>
    <x v="1"/>
  </r>
  <r>
    <s v="811585202288"/>
    <n v="811585"/>
    <s v="RAM NIWAS SISODIYA"/>
    <n v="202288"/>
    <s v="DEEPAK TRADING COMPANY"/>
    <n v="48.5"/>
    <n v="15"/>
    <n v="0"/>
    <n v="19"/>
    <n v="15"/>
    <n v="7.5"/>
    <n v="12.5"/>
    <n v="117.5"/>
    <n v="16.785714285714285"/>
    <x v="2"/>
    <x v="12"/>
    <x v="4"/>
    <x v="1"/>
  </r>
  <r>
    <s v="812812202288"/>
    <n v="812812"/>
    <s v="JITENDRA SINGH RATHORE"/>
    <n v="202288"/>
    <s v="DEEPAK TRADING COMPANY"/>
    <n v="20"/>
    <n v="10"/>
    <n v="30"/>
    <n v="20"/>
    <n v="0"/>
    <n v="14"/>
    <n v="12.5"/>
    <n v="106.5"/>
    <n v="15.214285714285714"/>
    <x v="2"/>
    <x v="12"/>
    <x v="4"/>
    <x v="1"/>
  </r>
  <r>
    <s v="813290202288"/>
    <n v="813290"/>
    <s v="MEHEBUB KHAN"/>
    <n v="202288"/>
    <s v="DEEPAK TRADING COMPANY"/>
    <n v="10"/>
    <n v="15"/>
    <n v="20"/>
    <n v="0"/>
    <n v="0"/>
    <n v="0"/>
    <n v="0"/>
    <n v="45"/>
    <n v="6.4285714285714288"/>
    <x v="1"/>
    <x v="12"/>
    <x v="4"/>
    <x v="1"/>
  </r>
  <r>
    <s v="802105209002"/>
    <n v="802105"/>
    <s v="GOYAL CONTRACTER &amp; SUPPLIARS"/>
    <n v="209002"/>
    <s v="GUPTA CEMENT AGENCY"/>
    <n v="0"/>
    <n v="0"/>
    <n v="0"/>
    <n v="0"/>
    <n v="30"/>
    <n v="105"/>
    <n v="35"/>
    <n v="170"/>
    <n v="24.285714285714285"/>
    <x v="0"/>
    <x v="12"/>
    <x v="4"/>
    <x v="1"/>
  </r>
  <r>
    <s v="811628202288"/>
    <n v="811628"/>
    <s v="DASHRATH LAL SVAMI"/>
    <n v="202288"/>
    <s v="DEEPAK TRADING COMPANY"/>
    <n v="0"/>
    <n v="0"/>
    <n v="0"/>
    <n v="0"/>
    <n v="0"/>
    <n v="0"/>
    <n v="10"/>
    <n v="10"/>
    <n v="1.4285714285714286"/>
    <x v="1"/>
    <x v="12"/>
    <x v="4"/>
    <x v="1"/>
  </r>
  <r>
    <s v="816627209563"/>
    <n v="816627"/>
    <s v="A B SALES CORPORATION"/>
    <n v="209563"/>
    <s v="GOYAL ENTERPRISES"/>
    <n v="0"/>
    <n v="0"/>
    <n v="0"/>
    <n v="0"/>
    <n v="0"/>
    <n v="0"/>
    <n v="26.15"/>
    <n v="26.15"/>
    <n v="3.7357142857142853"/>
    <x v="1"/>
    <x v="12"/>
    <x v="4"/>
    <x v="1"/>
  </r>
  <r>
    <s v="810920119109"/>
    <n v="810920"/>
    <s v="RAMLAL PRAJAPAT"/>
    <n v="119109"/>
    <s v="MAHENDRA KUMAR TEJARAM PRAJAPA"/>
    <n v="25"/>
    <n v="0"/>
    <n v="0"/>
    <n v="35"/>
    <n v="0"/>
    <n v="0"/>
    <n v="25"/>
    <n v="85"/>
    <n v="12.142857142857142"/>
    <x v="2"/>
    <x v="13"/>
    <x v="5"/>
    <x v="1"/>
  </r>
  <r>
    <s v="809338119117"/>
    <n v="809338"/>
    <s v="DEEPA RAM PATA RAM"/>
    <n v="119117"/>
    <s v="RAHMATULLA CEMENT AGENCY"/>
    <n v="65"/>
    <n v="60"/>
    <n v="135"/>
    <n v="110"/>
    <n v="140"/>
    <n v="57.5"/>
    <n v="20"/>
    <n v="587.5"/>
    <n v="83.928571428571431"/>
    <x v="3"/>
    <x v="13"/>
    <x v="5"/>
    <x v="1"/>
  </r>
  <r>
    <s v="809459119117"/>
    <n v="809459"/>
    <s v="AAI MATA CEMENT SUPPLIERS"/>
    <n v="119117"/>
    <s v="RAHMATULLA CEMENT AGENCY"/>
    <n v="15"/>
    <n v="0"/>
    <n v="15"/>
    <n v="0"/>
    <n v="0"/>
    <n v="0"/>
    <n v="0"/>
    <n v="30"/>
    <n v="4.2857142857142856"/>
    <x v="1"/>
    <x v="13"/>
    <x v="5"/>
    <x v="1"/>
  </r>
  <r>
    <s v="812700119117"/>
    <n v="812700"/>
    <s v="SHREE DEVAL TRADERS"/>
    <n v="119117"/>
    <s v="RAHMATULLA CEMENT AGENCY"/>
    <n v="40"/>
    <n v="10"/>
    <n v="40"/>
    <n v="80"/>
    <n v="155"/>
    <n v="71"/>
    <n v="10"/>
    <n v="406"/>
    <n v="58"/>
    <x v="3"/>
    <x v="13"/>
    <x v="5"/>
    <x v="1"/>
  </r>
  <r>
    <s v="806230146861"/>
    <n v="806230"/>
    <s v="SHRI VINAYAK WOOD TRADERS"/>
    <n v="146861"/>
    <s v="BALAJI CEMENT AGENCY"/>
    <n v="75"/>
    <n v="65"/>
    <n v="80"/>
    <n v="110"/>
    <n v="0"/>
    <n v="0"/>
    <n v="0"/>
    <n v="330"/>
    <n v="47.142857142857146"/>
    <x v="5"/>
    <x v="13"/>
    <x v="5"/>
    <x v="1"/>
  </r>
  <r>
    <s v="806233146861"/>
    <n v="806233"/>
    <s v="RAWATA RAM"/>
    <n v="146861"/>
    <s v="BALAJI CEMENT AGENCY"/>
    <n v="0"/>
    <n v="10"/>
    <n v="10"/>
    <n v="0"/>
    <n v="0"/>
    <n v="0"/>
    <n v="0"/>
    <n v="20"/>
    <n v="2.8571428571428572"/>
    <x v="1"/>
    <x v="13"/>
    <x v="5"/>
    <x v="1"/>
  </r>
  <r>
    <s v="812505146861"/>
    <n v="812505"/>
    <s v="RAJESHWAR CEMENT SUPPLIER"/>
    <n v="146861"/>
    <s v="BALAJI CEMENT AGENCY"/>
    <n v="70"/>
    <n v="75"/>
    <n v="110"/>
    <n v="80"/>
    <n v="0"/>
    <n v="0"/>
    <n v="0"/>
    <n v="335"/>
    <n v="47.857142857142854"/>
    <x v="5"/>
    <x v="13"/>
    <x v="5"/>
    <x v="1"/>
  </r>
  <r>
    <s v="814690146861"/>
    <n v="814690"/>
    <s v="DAYA RAM"/>
    <n v="146861"/>
    <s v="BALAJI CEMENT AGENCY"/>
    <n v="40"/>
    <n v="10"/>
    <n v="20"/>
    <n v="5"/>
    <n v="0"/>
    <n v="0"/>
    <n v="0"/>
    <n v="75"/>
    <n v="10.714285714285714"/>
    <x v="2"/>
    <x v="13"/>
    <x v="5"/>
    <x v="1"/>
  </r>
  <r>
    <s v="809219176833"/>
    <n v="809219"/>
    <s v="DUNGAR MAL"/>
    <n v="176833"/>
    <s v="NAKORA CEMENT SUPPLIERS"/>
    <n v="80"/>
    <n v="40"/>
    <n v="80"/>
    <n v="50"/>
    <n v="50"/>
    <n v="16"/>
    <n v="10"/>
    <n v="326"/>
    <n v="46.571428571428569"/>
    <x v="5"/>
    <x v="13"/>
    <x v="5"/>
    <x v="1"/>
  </r>
  <r>
    <s v="810225176833"/>
    <n v="810225"/>
    <s v="JAI SANTOSHI ENTERPRISES"/>
    <n v="176833"/>
    <s v="NAKORA CEMENT SUPPLIERS"/>
    <n v="80"/>
    <n v="100"/>
    <n v="50"/>
    <n v="15"/>
    <n v="60"/>
    <n v="45"/>
    <n v="35"/>
    <n v="385"/>
    <n v="55"/>
    <x v="3"/>
    <x v="13"/>
    <x v="5"/>
    <x v="1"/>
  </r>
  <r>
    <s v="810513176833"/>
    <n v="810513"/>
    <s v="HANUMAN RAM"/>
    <n v="176833"/>
    <s v="NAKORA CEMENT SUPPLIERS"/>
    <n v="60"/>
    <n v="120"/>
    <n v="85"/>
    <n v="70"/>
    <n v="105"/>
    <n v="45"/>
    <n v="65"/>
    <n v="550"/>
    <n v="78.571428571428569"/>
    <x v="3"/>
    <x v="13"/>
    <x v="5"/>
    <x v="1"/>
  </r>
  <r>
    <s v="811189176833"/>
    <n v="811189"/>
    <s v="JAY RAM S/O RANA RAM"/>
    <n v="176833"/>
    <s v="NAKORA CEMENT SUPPLIERS"/>
    <n v="170"/>
    <n v="177"/>
    <n v="152"/>
    <n v="65"/>
    <n v="135"/>
    <n v="42"/>
    <n v="81"/>
    <n v="822"/>
    <n v="117.42857142857143"/>
    <x v="3"/>
    <x v="13"/>
    <x v="5"/>
    <x v="1"/>
  </r>
  <r>
    <s v="811328176833"/>
    <n v="811328"/>
    <s v="HEM DAN CHARAN"/>
    <n v="176833"/>
    <s v="NAKORA CEMENT SUPPLIERS"/>
    <n v="55"/>
    <n v="55"/>
    <n v="95"/>
    <n v="40"/>
    <n v="70"/>
    <n v="30"/>
    <n v="25"/>
    <n v="370"/>
    <n v="52.857142857142854"/>
    <x v="3"/>
    <x v="13"/>
    <x v="5"/>
    <x v="1"/>
  </r>
  <r>
    <s v="811420176833"/>
    <n v="811420"/>
    <s v="SANTOSH KUMAR"/>
    <n v="176833"/>
    <s v="NAKORA CEMENT SUPPLIERS"/>
    <n v="78"/>
    <n v="54"/>
    <n v="60"/>
    <n v="20"/>
    <n v="60"/>
    <n v="25"/>
    <n v="40"/>
    <n v="337"/>
    <n v="48.142857142857146"/>
    <x v="5"/>
    <x v="13"/>
    <x v="5"/>
    <x v="1"/>
  </r>
  <r>
    <s v="812624176833"/>
    <n v="812624"/>
    <s v="SANJAY KUMAR HASTIMAL"/>
    <n v="176833"/>
    <s v="NAKORA CEMENT SUPPLIERS"/>
    <n v="70"/>
    <n v="105"/>
    <n v="60"/>
    <n v="0"/>
    <n v="35"/>
    <n v="35"/>
    <n v="20"/>
    <n v="325"/>
    <n v="46.428571428571431"/>
    <x v="5"/>
    <x v="13"/>
    <x v="5"/>
    <x v="1"/>
  </r>
  <r>
    <s v="812626176833"/>
    <n v="812626"/>
    <s v="SARDAR SINGH"/>
    <n v="176833"/>
    <s v="NAKORA CEMENT SUPPLIERS"/>
    <n v="10"/>
    <n v="0"/>
    <n v="0"/>
    <n v="20"/>
    <n v="0"/>
    <n v="0"/>
    <n v="0"/>
    <n v="30"/>
    <n v="4.2857142857142856"/>
    <x v="1"/>
    <x v="13"/>
    <x v="5"/>
    <x v="1"/>
  </r>
  <r>
    <s v="815155176833"/>
    <n v="815155"/>
    <s v="ARIHANT JAIN"/>
    <n v="176833"/>
    <s v="NAKORA CEMENT SUPPLIERS"/>
    <n v="0"/>
    <n v="0"/>
    <n v="110"/>
    <n v="20"/>
    <n v="35"/>
    <n v="7"/>
    <n v="25"/>
    <n v="197"/>
    <n v="28.142857142857142"/>
    <x v="0"/>
    <x v="13"/>
    <x v="5"/>
    <x v="1"/>
  </r>
  <r>
    <s v="810899177295"/>
    <n v="810899"/>
    <s v="KISHANA RAM GODARA"/>
    <n v="177295"/>
    <s v="ROHIT TRADERS"/>
    <n v="0"/>
    <n v="147"/>
    <n v="234"/>
    <n v="65"/>
    <n v="90"/>
    <n v="35.5"/>
    <n v="30"/>
    <n v="601.5"/>
    <n v="85.928571428571431"/>
    <x v="3"/>
    <x v="13"/>
    <x v="5"/>
    <x v="1"/>
  </r>
  <r>
    <s v="810901177295"/>
    <n v="810901"/>
    <s v="SATTA RAM SAU"/>
    <n v="177295"/>
    <s v="ROHIT TRADERS"/>
    <n v="160"/>
    <n v="227.5"/>
    <n v="170"/>
    <n v="65"/>
    <n v="200"/>
    <n v="20"/>
    <n v="90"/>
    <n v="932.5"/>
    <n v="133.21428571428572"/>
    <x v="3"/>
    <x v="13"/>
    <x v="5"/>
    <x v="1"/>
  </r>
  <r>
    <s v="810902177295"/>
    <n v="810902"/>
    <s v="SAD RAM"/>
    <n v="177295"/>
    <s v="ROHIT TRADERS"/>
    <n v="10"/>
    <n v="130"/>
    <n v="150"/>
    <n v="55"/>
    <n v="105"/>
    <n v="40"/>
    <n v="60"/>
    <n v="550"/>
    <n v="78.571428571428569"/>
    <x v="3"/>
    <x v="13"/>
    <x v="5"/>
    <x v="1"/>
  </r>
  <r>
    <s v="810951177295"/>
    <n v="810951"/>
    <s v="MANOHAR LAL"/>
    <n v="177295"/>
    <s v="ROHIT TRADERS"/>
    <n v="182"/>
    <n v="310"/>
    <n v="335"/>
    <n v="136"/>
    <n v="233.5"/>
    <n v="82"/>
    <n v="213.5"/>
    <n v="1492"/>
    <n v="213.14285714285714"/>
    <x v="3"/>
    <x v="13"/>
    <x v="5"/>
    <x v="1"/>
  </r>
  <r>
    <s v="811329177595"/>
    <n v="811329"/>
    <s v="DALPAT SINGH"/>
    <n v="177595"/>
    <s v="SHAH MITHA LAL SOHAN RAJ"/>
    <n v="0"/>
    <n v="0"/>
    <n v="0"/>
    <n v="0"/>
    <n v="30"/>
    <n v="0"/>
    <n v="0"/>
    <n v="30"/>
    <n v="4.2857142857142856"/>
    <x v="1"/>
    <x v="13"/>
    <x v="5"/>
    <x v="1"/>
  </r>
  <r>
    <s v="814692177595"/>
    <n v="814692"/>
    <s v="RAMDEV ELECTRIC ELECTRONIC &amp; H"/>
    <n v="177595"/>
    <s v="SHAH MITHA LAL SOHAN RAJ"/>
    <n v="0"/>
    <n v="25"/>
    <n v="0"/>
    <n v="0"/>
    <n v="40"/>
    <n v="0"/>
    <n v="20"/>
    <n v="85"/>
    <n v="12.142857142857142"/>
    <x v="2"/>
    <x v="13"/>
    <x v="5"/>
    <x v="1"/>
  </r>
  <r>
    <s v="813314177982"/>
    <n v="813314"/>
    <s v="HAYAT KHAN"/>
    <n v="177982"/>
    <s v="RACHANA CEMENT AGENCY"/>
    <n v="30"/>
    <n v="0"/>
    <n v="0"/>
    <n v="0"/>
    <n v="0"/>
    <n v="0"/>
    <n v="35"/>
    <n v="65"/>
    <n v="9.2857142857142865"/>
    <x v="1"/>
    <x v="13"/>
    <x v="5"/>
    <x v="1"/>
  </r>
  <r>
    <s v="811777178031"/>
    <n v="811777"/>
    <s v="BALA RAM S/O GOMARAM GORA"/>
    <n v="178031"/>
    <s v="JAIN TRADERS"/>
    <n v="100"/>
    <n v="25"/>
    <n v="35"/>
    <n v="55"/>
    <n v="98"/>
    <n v="20"/>
    <n v="60"/>
    <n v="393"/>
    <n v="56.142857142857146"/>
    <x v="3"/>
    <x v="13"/>
    <x v="5"/>
    <x v="1"/>
  </r>
  <r>
    <s v="813799178031"/>
    <n v="813799"/>
    <s v="PARASMAL S/O HARDASMAL"/>
    <n v="178031"/>
    <s v="JAIN TRADERS"/>
    <n v="90"/>
    <n v="0"/>
    <n v="172"/>
    <n v="70"/>
    <n v="144"/>
    <n v="10"/>
    <n v="135"/>
    <n v="621"/>
    <n v="88.714285714285708"/>
    <x v="3"/>
    <x v="13"/>
    <x v="5"/>
    <x v="1"/>
  </r>
  <r>
    <s v="811256179879"/>
    <n v="811256"/>
    <s v="DURGA RAM"/>
    <n v="179879"/>
    <s v="JITENDRA &amp; COMPANY"/>
    <n v="0"/>
    <n v="35"/>
    <n v="49"/>
    <n v="9"/>
    <n v="41"/>
    <n v="0"/>
    <n v="0"/>
    <n v="134"/>
    <n v="19.142857142857142"/>
    <x v="2"/>
    <x v="13"/>
    <x v="5"/>
    <x v="1"/>
  </r>
  <r>
    <s v="811489179879"/>
    <n v="811489"/>
    <s v="RAJENDRA KUMAR CHAMPALAL JAIN"/>
    <n v="179879"/>
    <s v="JITENDRA &amp; COMPANY"/>
    <n v="0"/>
    <n v="15"/>
    <n v="10"/>
    <n v="0"/>
    <n v="0"/>
    <n v="0"/>
    <n v="0"/>
    <n v="25"/>
    <n v="3.5714285714285716"/>
    <x v="1"/>
    <x v="13"/>
    <x v="5"/>
    <x v="1"/>
  </r>
  <r>
    <s v="811778179879"/>
    <n v="811778"/>
    <s v="CHETAN RAM S/O HUKMA RAM"/>
    <n v="179879"/>
    <s v="JITENDRA &amp; COMPANY"/>
    <n v="35"/>
    <n v="15"/>
    <n v="40"/>
    <n v="0"/>
    <n v="39"/>
    <n v="0"/>
    <n v="0"/>
    <n v="129"/>
    <n v="18.428571428571427"/>
    <x v="2"/>
    <x v="13"/>
    <x v="5"/>
    <x v="1"/>
  </r>
  <r>
    <s v="811419201578"/>
    <n v="811419"/>
    <s v="SUMAR KHAN"/>
    <n v="201578"/>
    <s v="RATHORE SUPPLIER &amp; CONSTRUCTIO"/>
    <n v="0"/>
    <n v="0"/>
    <n v="25"/>
    <n v="0"/>
    <n v="0"/>
    <n v="0"/>
    <n v="0"/>
    <n v="25"/>
    <n v="3.5714285714285716"/>
    <x v="1"/>
    <x v="13"/>
    <x v="5"/>
    <x v="1"/>
  </r>
  <r>
    <s v="813570202850"/>
    <n v="813570"/>
    <s v="HARIRAM S/O BHIYAJI"/>
    <n v="202850"/>
    <s v="SAMRATHAL BUILDING MATERIAL"/>
    <n v="161"/>
    <n v="85"/>
    <n v="145"/>
    <n v="130"/>
    <n v="145"/>
    <n v="105"/>
    <n v="64"/>
    <n v="835"/>
    <n v="119.28571428571429"/>
    <x v="3"/>
    <x v="13"/>
    <x v="5"/>
    <x v="1"/>
  </r>
  <r>
    <s v="813724202850"/>
    <n v="813724"/>
    <s v="JK TRADING COMPANY"/>
    <n v="202850"/>
    <s v="SAMRATHAL BUILDING MATERIAL"/>
    <n v="10"/>
    <n v="0"/>
    <n v="0"/>
    <n v="25"/>
    <n v="25"/>
    <n v="0"/>
    <n v="0"/>
    <n v="60"/>
    <n v="8.5714285714285712"/>
    <x v="1"/>
    <x v="13"/>
    <x v="5"/>
    <x v="1"/>
  </r>
  <r>
    <s v="814079202850"/>
    <n v="814079"/>
    <s v="BHARAMAL RAM CHOUDHARY"/>
    <n v="202850"/>
    <s v="SAMRATHAL BUILDING MATERIAL"/>
    <n v="98"/>
    <n v="55"/>
    <n v="32"/>
    <n v="0"/>
    <n v="110"/>
    <n v="70"/>
    <n v="65"/>
    <n v="430"/>
    <n v="61.428571428571431"/>
    <x v="3"/>
    <x v="13"/>
    <x v="5"/>
    <x v="1"/>
  </r>
  <r>
    <s v="814115202850"/>
    <n v="814115"/>
    <s v="KISHNA RAM"/>
    <n v="202850"/>
    <s v="SAMRATHAL BUILDING MATERIAL"/>
    <n v="100"/>
    <n v="15"/>
    <n v="70"/>
    <n v="25"/>
    <n v="110"/>
    <n v="45"/>
    <n v="0"/>
    <n v="365"/>
    <n v="52.142857142857146"/>
    <x v="3"/>
    <x v="13"/>
    <x v="5"/>
    <x v="1"/>
  </r>
  <r>
    <s v="815030202850"/>
    <n v="815030"/>
    <s v="SAVAND CEMENT AGENCY"/>
    <n v="202850"/>
    <s v="SAMRATHAL BUILDING MATERIAL"/>
    <n v="0"/>
    <n v="60"/>
    <n v="0"/>
    <n v="0"/>
    <n v="0"/>
    <n v="0"/>
    <n v="0"/>
    <n v="60"/>
    <n v="8.5714285714285712"/>
    <x v="1"/>
    <x v="13"/>
    <x v="5"/>
    <x v="1"/>
  </r>
  <r>
    <s v="812743202852"/>
    <n v="812743"/>
    <s v="MS. SHARWAN KUMAR"/>
    <n v="202852"/>
    <s v="BALAJI GENERAL STORE"/>
    <n v="0"/>
    <n v="15"/>
    <n v="0"/>
    <n v="25"/>
    <n v="10"/>
    <n v="10"/>
    <n v="0"/>
    <n v="60"/>
    <n v="8.5714285714285712"/>
    <x v="1"/>
    <x v="13"/>
    <x v="5"/>
    <x v="1"/>
  </r>
  <r>
    <s v="812860202852"/>
    <n v="812860"/>
    <s v="SHREE BALAJI ENTERPRISE"/>
    <n v="202852"/>
    <s v="BALAJI GENERAL STORE"/>
    <n v="35"/>
    <n v="0"/>
    <n v="34"/>
    <n v="20"/>
    <n v="25"/>
    <n v="20"/>
    <n v="0"/>
    <n v="134"/>
    <n v="19.142857142857142"/>
    <x v="2"/>
    <x v="13"/>
    <x v="5"/>
    <x v="1"/>
  </r>
  <r>
    <s v="811049119117"/>
    <n v="811049"/>
    <s v="HANUMAN SINGH DAIYA"/>
    <n v="119117"/>
    <s v="RAHMATULLA CEMENT AGENCY"/>
    <n v="0"/>
    <n v="0"/>
    <n v="0"/>
    <n v="0"/>
    <n v="0"/>
    <n v="35"/>
    <n v="0"/>
    <n v="35"/>
    <n v="5"/>
    <x v="1"/>
    <x v="13"/>
    <x v="5"/>
    <x v="1"/>
  </r>
  <r>
    <s v="816547209652"/>
    <n v="816547"/>
    <s v="OM GURUJI GENERAL STORE"/>
    <n v="209652"/>
    <s v="RAJRUCHI CEMENT BHANDAR"/>
    <n v="0"/>
    <n v="0"/>
    <n v="0"/>
    <n v="0"/>
    <n v="0"/>
    <n v="15"/>
    <n v="79.5"/>
    <n v="94.5"/>
    <n v="13.5"/>
    <x v="2"/>
    <x v="13"/>
    <x v="5"/>
    <x v="1"/>
  </r>
  <r>
    <s v="816566209652"/>
    <n v="816566"/>
    <s v="DINESH CEMENT SUPPLIERS"/>
    <n v="209652"/>
    <s v="RAJRUCHI CEMENT BHANDAR"/>
    <n v="0"/>
    <n v="0"/>
    <n v="0"/>
    <n v="0"/>
    <n v="0"/>
    <n v="20"/>
    <n v="50"/>
    <n v="70"/>
    <n v="10"/>
    <x v="2"/>
    <x v="13"/>
    <x v="5"/>
    <x v="1"/>
  </r>
  <r>
    <s v="816592202850"/>
    <n v="816592"/>
    <s v="CHHGAN LAL PINDEL"/>
    <n v="202850"/>
    <s v="SAMRATHAL BUILDING MATERIAL"/>
    <n v="0"/>
    <n v="0"/>
    <n v="0"/>
    <n v="0"/>
    <n v="0"/>
    <n v="30"/>
    <n v="15"/>
    <n v="45"/>
    <n v="6.4285714285714288"/>
    <x v="1"/>
    <x v="13"/>
    <x v="5"/>
    <x v="1"/>
  </r>
  <r>
    <s v="816546209652"/>
    <n v="816546"/>
    <s v="RAMDEV CEMENT SUPPLIER"/>
    <n v="209652"/>
    <s v="RAJRUCHI CEMENT BHANDAR"/>
    <n v="0"/>
    <n v="0"/>
    <n v="0"/>
    <n v="0"/>
    <n v="0"/>
    <n v="0"/>
    <n v="27"/>
    <n v="27"/>
    <n v="3.8571428571428572"/>
    <x v="1"/>
    <x v="13"/>
    <x v="5"/>
    <x v="1"/>
  </r>
  <r>
    <s v="806864175547"/>
    <n v="806864"/>
    <s v="SHRI KARNI CEMENT AGENCY"/>
    <n v="175547"/>
    <s v="S.S.BHATI ENTERPRISES"/>
    <n v="30"/>
    <n v="27"/>
    <n v="15"/>
    <n v="72"/>
    <n v="110"/>
    <n v="120"/>
    <n v="141"/>
    <n v="515"/>
    <n v="73.571428571428569"/>
    <x v="3"/>
    <x v="14"/>
    <x v="5"/>
    <x v="1"/>
  </r>
  <r>
    <s v="811425175547"/>
    <n v="811425"/>
    <s v="JAI MALINATH ENTERPRISES"/>
    <n v="175547"/>
    <s v="S.S.BHATI ENTERPRISES"/>
    <n v="166"/>
    <n v="235"/>
    <n v="211"/>
    <n v="171"/>
    <n v="402"/>
    <n v="290"/>
    <n v="190"/>
    <n v="1665"/>
    <n v="237.85714285714286"/>
    <x v="3"/>
    <x v="14"/>
    <x v="5"/>
    <x v="1"/>
  </r>
  <r>
    <s v="813782175547"/>
    <n v="813782"/>
    <s v="SHREE ROOPAL MAA CEMENT AGENCY"/>
    <n v="175547"/>
    <s v="S.S.BHATI ENTERPRISES"/>
    <n v="111"/>
    <n v="35"/>
    <n v="125"/>
    <n v="110"/>
    <n v="36"/>
    <n v="65"/>
    <n v="40"/>
    <n v="522"/>
    <n v="74.571428571428569"/>
    <x v="3"/>
    <x v="14"/>
    <x v="5"/>
    <x v="1"/>
  </r>
  <r>
    <s v="815799175547"/>
    <n v="815799"/>
    <s v="SHREE LAL BANNA CEMENT AGENCY"/>
    <n v="175547"/>
    <s v="S.S.BHATI ENTERPRISES"/>
    <n v="0"/>
    <n v="0"/>
    <n v="0"/>
    <n v="0"/>
    <n v="122"/>
    <n v="120"/>
    <n v="95"/>
    <n v="337"/>
    <n v="48.142857142857146"/>
    <x v="5"/>
    <x v="14"/>
    <x v="5"/>
    <x v="1"/>
  </r>
  <r>
    <s v="802838119038"/>
    <n v="802838"/>
    <s v="LAXMI TRADERS"/>
    <n v="119038"/>
    <s v="NAVEEN DISTRIBUTORS"/>
    <n v="110"/>
    <n v="120"/>
    <n v="29.25"/>
    <n v="221.7"/>
    <n v="70"/>
    <n v="80.25"/>
    <n v="42"/>
    <n v="673.2"/>
    <n v="96.171428571428578"/>
    <x v="3"/>
    <x v="15"/>
    <x v="5"/>
    <x v="1"/>
  </r>
  <r>
    <s v="802878119038"/>
    <n v="802878"/>
    <s v="HARI OM BUILDING MATERIAL"/>
    <n v="119038"/>
    <s v="NAVEEN DISTRIBUTORS"/>
    <n v="75"/>
    <n v="0"/>
    <n v="30"/>
    <n v="24"/>
    <n v="38.5"/>
    <n v="25"/>
    <n v="20"/>
    <n v="212.5"/>
    <n v="30.357142857142858"/>
    <x v="4"/>
    <x v="15"/>
    <x v="5"/>
    <x v="1"/>
  </r>
  <r>
    <s v="802964119038"/>
    <n v="802964"/>
    <s v="VIJAY TRADERS"/>
    <n v="119038"/>
    <s v="NAVEEN DISTRIBUTORS"/>
    <n v="210"/>
    <n v="40"/>
    <n v="64"/>
    <n v="153.5"/>
    <n v="130.5"/>
    <n v="121"/>
    <n v="33.5"/>
    <n v="752.5"/>
    <n v="107.5"/>
    <x v="3"/>
    <x v="15"/>
    <x v="5"/>
    <x v="1"/>
  </r>
  <r>
    <s v="802965119038"/>
    <n v="802965"/>
    <s v="SHIV SHAKTI TRADERS"/>
    <n v="119038"/>
    <s v="NAVEEN DISTRIBUTORS"/>
    <n v="0"/>
    <n v="0"/>
    <n v="0"/>
    <n v="0"/>
    <n v="20"/>
    <n v="10"/>
    <n v="0"/>
    <n v="30"/>
    <n v="4.2857142857142856"/>
    <x v="1"/>
    <x v="15"/>
    <x v="5"/>
    <x v="1"/>
  </r>
  <r>
    <s v="803051119038"/>
    <n v="803051"/>
    <s v="MAGHA RAM HAJARI RAM"/>
    <n v="119038"/>
    <s v="NAVEEN DISTRIBUTORS"/>
    <n v="10"/>
    <n v="20"/>
    <n v="24"/>
    <n v="20"/>
    <n v="25"/>
    <n v="10"/>
    <n v="0"/>
    <n v="109"/>
    <n v="15.571428571428571"/>
    <x v="2"/>
    <x v="15"/>
    <x v="5"/>
    <x v="1"/>
  </r>
  <r>
    <s v="803352119038"/>
    <n v="803352"/>
    <s v="BALAJI BUILDERS"/>
    <n v="119038"/>
    <s v="NAVEEN DISTRIBUTORS"/>
    <n v="0"/>
    <n v="0"/>
    <n v="0"/>
    <n v="0"/>
    <n v="11"/>
    <n v="59"/>
    <n v="0"/>
    <n v="70"/>
    <n v="10"/>
    <x v="2"/>
    <x v="15"/>
    <x v="5"/>
    <x v="1"/>
  </r>
  <r>
    <s v="803425119038"/>
    <n v="803425"/>
    <s v="JASRAJ DHANRAJ PATEL"/>
    <n v="119038"/>
    <s v="NAVEEN DISTRIBUTORS"/>
    <n v="20"/>
    <n v="30"/>
    <n v="110"/>
    <n v="0"/>
    <n v="25"/>
    <n v="33"/>
    <n v="15"/>
    <n v="233"/>
    <n v="33.285714285714285"/>
    <x v="4"/>
    <x v="15"/>
    <x v="5"/>
    <x v="1"/>
  </r>
  <r>
    <s v="803578119038"/>
    <n v="803578"/>
    <s v="SHRI BHAKTESH CEMENT AGENCY"/>
    <n v="119038"/>
    <s v="NAVEEN DISTRIBUTORS"/>
    <n v="10"/>
    <n v="0"/>
    <n v="10"/>
    <n v="10"/>
    <n v="10"/>
    <n v="15"/>
    <n v="0"/>
    <n v="55"/>
    <n v="7.8571428571428568"/>
    <x v="1"/>
    <x v="15"/>
    <x v="5"/>
    <x v="1"/>
  </r>
  <r>
    <s v="803579119038"/>
    <n v="803579"/>
    <s v="MEHODI BUILDING MATERIAL"/>
    <n v="119038"/>
    <s v="NAVEEN DISTRIBUTORS"/>
    <n v="70"/>
    <n v="60"/>
    <n v="99"/>
    <n v="85"/>
    <n v="20"/>
    <n v="35"/>
    <n v="43"/>
    <n v="412"/>
    <n v="58.857142857142854"/>
    <x v="3"/>
    <x v="15"/>
    <x v="5"/>
    <x v="1"/>
  </r>
  <r>
    <s v="803843119038"/>
    <n v="803843"/>
    <s v="SHREE KRISHNA KRISHI KENDRA"/>
    <n v="119038"/>
    <s v="NAVEEN DISTRIBUTORS"/>
    <n v="10"/>
    <n v="20"/>
    <n v="10"/>
    <n v="30"/>
    <n v="45"/>
    <n v="28"/>
    <n v="15"/>
    <n v="158"/>
    <n v="22.571428571428573"/>
    <x v="0"/>
    <x v="15"/>
    <x v="5"/>
    <x v="1"/>
  </r>
  <r>
    <s v="804023119038"/>
    <n v="804023"/>
    <s v="RATHORE BUILDING MATERIAL"/>
    <n v="119038"/>
    <s v="NAVEEN DISTRIBUTORS"/>
    <n v="20"/>
    <n v="20"/>
    <n v="13.5"/>
    <n v="0"/>
    <n v="20"/>
    <n v="13.5"/>
    <n v="0"/>
    <n v="87"/>
    <n v="12.428571428571429"/>
    <x v="2"/>
    <x v="15"/>
    <x v="5"/>
    <x v="1"/>
  </r>
  <r>
    <s v="804031119038"/>
    <n v="804031"/>
    <s v="SHANKAR TRADING COMPANY"/>
    <n v="119038"/>
    <s v="NAVEEN DISTRIBUTORS"/>
    <n v="10"/>
    <n v="10"/>
    <n v="40"/>
    <n v="0"/>
    <n v="10"/>
    <n v="10"/>
    <n v="5"/>
    <n v="85"/>
    <n v="12.142857142857142"/>
    <x v="2"/>
    <x v="15"/>
    <x v="5"/>
    <x v="1"/>
  </r>
  <r>
    <s v="804122119038"/>
    <n v="804122"/>
    <s v="RANIDHAN JASRAJ JAIN"/>
    <n v="119038"/>
    <s v="NAVEEN DISTRIBUTORS"/>
    <n v="107"/>
    <n v="35"/>
    <n v="28.5"/>
    <n v="84"/>
    <n v="54"/>
    <n v="40"/>
    <n v="0"/>
    <n v="348.5"/>
    <n v="49.785714285714285"/>
    <x v="5"/>
    <x v="15"/>
    <x v="5"/>
    <x v="1"/>
  </r>
  <r>
    <s v="804136119038"/>
    <n v="804136"/>
    <s v="NEHA KIRAN STORE"/>
    <n v="119038"/>
    <s v="NAVEEN DISTRIBUTORS"/>
    <n v="15"/>
    <n v="45"/>
    <n v="32"/>
    <n v="15"/>
    <n v="36"/>
    <n v="20"/>
    <n v="40"/>
    <n v="203"/>
    <n v="29"/>
    <x v="0"/>
    <x v="15"/>
    <x v="5"/>
    <x v="1"/>
  </r>
  <r>
    <s v="804235119038"/>
    <n v="804235"/>
    <s v="RAMA SA TRADING COMPANY"/>
    <n v="119038"/>
    <s v="NAVEEN DISTRIBUTORS"/>
    <n v="64"/>
    <n v="0"/>
    <n v="20"/>
    <n v="0"/>
    <n v="15"/>
    <n v="0"/>
    <n v="0"/>
    <n v="99"/>
    <n v="14.142857142857142"/>
    <x v="2"/>
    <x v="15"/>
    <x v="5"/>
    <x v="1"/>
  </r>
  <r>
    <s v="804313119038"/>
    <n v="804313"/>
    <s v="SHRI BALAJI SANITORY &amp; HARDWAR"/>
    <n v="119038"/>
    <s v="NAVEEN DISTRIBUTORS"/>
    <n v="0"/>
    <n v="0"/>
    <n v="0"/>
    <n v="0"/>
    <n v="0"/>
    <n v="20"/>
    <n v="0"/>
    <n v="20"/>
    <n v="2.8571428571428572"/>
    <x v="1"/>
    <x v="15"/>
    <x v="5"/>
    <x v="1"/>
  </r>
  <r>
    <s v="804485119038"/>
    <n v="804485"/>
    <s v="MAHAVEER TRADERS"/>
    <n v="119038"/>
    <s v="NAVEEN DISTRIBUTORS"/>
    <n v="122.5"/>
    <n v="0"/>
    <n v="10"/>
    <n v="70"/>
    <n v="35"/>
    <n v="50"/>
    <n v="10"/>
    <n v="297.5"/>
    <n v="42.5"/>
    <x v="5"/>
    <x v="15"/>
    <x v="5"/>
    <x v="1"/>
  </r>
  <r>
    <s v="804910119038"/>
    <n v="804910"/>
    <s v="BHAWANI TRADERS"/>
    <n v="119038"/>
    <s v="NAVEEN DISTRIBUTORS"/>
    <n v="10"/>
    <n v="40"/>
    <n v="65"/>
    <n v="70"/>
    <n v="100"/>
    <n v="123.5"/>
    <n v="40"/>
    <n v="448.5"/>
    <n v="64.071428571428569"/>
    <x v="3"/>
    <x v="15"/>
    <x v="5"/>
    <x v="1"/>
  </r>
  <r>
    <s v="804940119038"/>
    <n v="804940"/>
    <s v="SWAROOP CHAND KHIVRAJ TEWARI"/>
    <n v="119038"/>
    <s v="NAVEEN DISTRIBUTORS"/>
    <n v="70"/>
    <n v="25"/>
    <n v="40"/>
    <n v="35"/>
    <n v="0"/>
    <n v="30"/>
    <n v="15"/>
    <n v="215"/>
    <n v="30.714285714285715"/>
    <x v="4"/>
    <x v="15"/>
    <x v="5"/>
    <x v="1"/>
  </r>
  <r>
    <s v="805403119038"/>
    <n v="805403"/>
    <s v="RAJU KIRANA STORE"/>
    <n v="119038"/>
    <s v="NAVEEN DISTRIBUTORS"/>
    <n v="35"/>
    <n v="20"/>
    <n v="20"/>
    <n v="35"/>
    <n v="0"/>
    <n v="30"/>
    <n v="20"/>
    <n v="160"/>
    <n v="22.857142857142858"/>
    <x v="0"/>
    <x v="15"/>
    <x v="5"/>
    <x v="1"/>
  </r>
  <r>
    <s v="805432119038"/>
    <n v="805432"/>
    <s v="AARADHYA INDUSTRIES"/>
    <n v="119038"/>
    <s v="NAVEEN DISTRIBUTORS"/>
    <n v="0"/>
    <n v="30"/>
    <n v="15"/>
    <n v="47.75"/>
    <n v="5"/>
    <n v="72.5"/>
    <n v="10"/>
    <n v="180.25"/>
    <n v="25.75"/>
    <x v="0"/>
    <x v="15"/>
    <x v="5"/>
    <x v="1"/>
  </r>
  <r>
    <s v="805433119038"/>
    <n v="805433"/>
    <s v="JAIN BUILDING MATERIAL"/>
    <n v="119038"/>
    <s v="NAVEEN DISTRIBUTORS"/>
    <n v="70"/>
    <n v="67.5"/>
    <n v="157.5"/>
    <n v="55"/>
    <n v="64"/>
    <n v="98.5"/>
    <n v="55"/>
    <n v="567.5"/>
    <n v="81.071428571428569"/>
    <x v="3"/>
    <x v="15"/>
    <x v="5"/>
    <x v="1"/>
  </r>
  <r>
    <s v="805454119038"/>
    <n v="805454"/>
    <s v="GEHLOT AGENCIES"/>
    <n v="119038"/>
    <s v="NAVEEN DISTRIBUTORS"/>
    <n v="0"/>
    <n v="30"/>
    <n v="0"/>
    <n v="30"/>
    <n v="20"/>
    <n v="30"/>
    <n v="10"/>
    <n v="120"/>
    <n v="17.142857142857142"/>
    <x v="2"/>
    <x v="15"/>
    <x v="5"/>
    <x v="1"/>
  </r>
  <r>
    <s v="805544119038"/>
    <n v="805544"/>
    <s v="JAGDAMBA CEMENT AGENCY"/>
    <n v="119038"/>
    <s v="NAVEEN DISTRIBUTORS"/>
    <n v="0"/>
    <n v="69"/>
    <n v="114"/>
    <n v="60"/>
    <n v="75"/>
    <n v="53.5"/>
    <n v="30"/>
    <n v="401.5"/>
    <n v="57.357142857142854"/>
    <x v="3"/>
    <x v="15"/>
    <x v="5"/>
    <x v="1"/>
  </r>
  <r>
    <s v="805621119038"/>
    <n v="805621"/>
    <s v="PREM KIRANA STORE"/>
    <n v="119038"/>
    <s v="NAVEEN DISTRIBUTORS"/>
    <n v="29"/>
    <n v="30"/>
    <n v="15"/>
    <n v="20"/>
    <n v="28.5"/>
    <n v="29.5"/>
    <n v="10"/>
    <n v="162"/>
    <n v="23.142857142857142"/>
    <x v="0"/>
    <x v="15"/>
    <x v="5"/>
    <x v="1"/>
  </r>
  <r>
    <s v="805654119038"/>
    <n v="805654"/>
    <s v="HARI OM BUILDING MATERIAL"/>
    <n v="119038"/>
    <s v="NAVEEN DISTRIBUTORS"/>
    <n v="45"/>
    <n v="0"/>
    <n v="0"/>
    <n v="10"/>
    <n v="0"/>
    <n v="15"/>
    <n v="14.5"/>
    <n v="84.5"/>
    <n v="12.071428571428571"/>
    <x v="2"/>
    <x v="15"/>
    <x v="5"/>
    <x v="1"/>
  </r>
  <r>
    <s v="805677119038"/>
    <n v="805677"/>
    <s v="RAMA TRADERS"/>
    <n v="119038"/>
    <s v="NAVEEN DISTRIBUTORS"/>
    <n v="30"/>
    <n v="0"/>
    <n v="0"/>
    <n v="0"/>
    <n v="10"/>
    <n v="0"/>
    <n v="0"/>
    <n v="40"/>
    <n v="5.7142857142857144"/>
    <x v="1"/>
    <x v="15"/>
    <x v="5"/>
    <x v="1"/>
  </r>
  <r>
    <s v="805822119038"/>
    <n v="805822"/>
    <s v="SHRI CHAMUNDA MAA TRADING"/>
    <n v="119038"/>
    <s v="NAVEEN DISTRIBUTORS"/>
    <n v="69.5"/>
    <n v="65"/>
    <n v="30"/>
    <n v="20"/>
    <n v="59"/>
    <n v="32"/>
    <n v="22.5"/>
    <n v="298"/>
    <n v="42.571428571428569"/>
    <x v="5"/>
    <x v="15"/>
    <x v="5"/>
    <x v="1"/>
  </r>
  <r>
    <s v="806125119038"/>
    <n v="806125"/>
    <s v="DURGA CEMENT AGENCY"/>
    <n v="119038"/>
    <s v="NAVEEN DISTRIBUTORS"/>
    <n v="13.5"/>
    <n v="20"/>
    <n v="65"/>
    <n v="0"/>
    <n v="55"/>
    <n v="0"/>
    <n v="60"/>
    <n v="213.5"/>
    <n v="30.5"/>
    <x v="4"/>
    <x v="15"/>
    <x v="5"/>
    <x v="1"/>
  </r>
  <r>
    <s v="806155119038"/>
    <n v="806155"/>
    <s v="VIJAYLAXMI BUILDERS"/>
    <n v="119038"/>
    <s v="NAVEEN DISTRIBUTORS"/>
    <n v="10"/>
    <n v="0"/>
    <n v="5"/>
    <n v="0"/>
    <n v="0"/>
    <n v="0"/>
    <n v="0"/>
    <n v="15"/>
    <n v="2.1428571428571428"/>
    <x v="1"/>
    <x v="15"/>
    <x v="5"/>
    <x v="1"/>
  </r>
  <r>
    <s v="806156119038"/>
    <n v="806156"/>
    <s v="SHREE BALAJI CEMENT AGENCY"/>
    <n v="119038"/>
    <s v="NAVEEN DISTRIBUTORS"/>
    <n v="34"/>
    <n v="70"/>
    <n v="40"/>
    <n v="60"/>
    <n v="50"/>
    <n v="60"/>
    <n v="20"/>
    <n v="334"/>
    <n v="47.714285714285715"/>
    <x v="5"/>
    <x v="15"/>
    <x v="5"/>
    <x v="1"/>
  </r>
  <r>
    <s v="806157119038"/>
    <n v="806157"/>
    <s v="SHRI GOGADEV BUILDING  MATERIA"/>
    <n v="119038"/>
    <s v="NAVEEN DISTRIBUTORS"/>
    <n v="0"/>
    <n v="0"/>
    <n v="0"/>
    <n v="10"/>
    <n v="20"/>
    <n v="30"/>
    <n v="0"/>
    <n v="60"/>
    <n v="8.5714285714285712"/>
    <x v="1"/>
    <x v="15"/>
    <x v="5"/>
    <x v="1"/>
  </r>
  <r>
    <s v="806158119038"/>
    <n v="806158"/>
    <s v="JITENDRA BUILDING MATERIAL"/>
    <n v="119038"/>
    <s v="NAVEEN DISTRIBUTORS"/>
    <n v="55"/>
    <n v="30"/>
    <n v="77"/>
    <n v="20"/>
    <n v="105"/>
    <n v="65"/>
    <n v="14.5"/>
    <n v="366.5"/>
    <n v="52.357142857142854"/>
    <x v="3"/>
    <x v="15"/>
    <x v="5"/>
    <x v="1"/>
  </r>
  <r>
    <s v="806174119038"/>
    <n v="806174"/>
    <s v="K S BUILDING MATERIAL"/>
    <n v="119038"/>
    <s v="NAVEEN DISTRIBUTORS"/>
    <n v="60"/>
    <n v="25"/>
    <n v="0"/>
    <n v="0"/>
    <n v="35"/>
    <n v="70"/>
    <n v="10"/>
    <n v="200"/>
    <n v="28.571428571428573"/>
    <x v="0"/>
    <x v="15"/>
    <x v="5"/>
    <x v="1"/>
  </r>
  <r>
    <s v="806288119038"/>
    <n v="806288"/>
    <s v="JAMBESHWAR KIRANA &amp; CEMENT AGE"/>
    <n v="119038"/>
    <s v="NAVEEN DISTRIBUTORS"/>
    <n v="0"/>
    <n v="0"/>
    <n v="0"/>
    <n v="65"/>
    <n v="34"/>
    <n v="85"/>
    <n v="35"/>
    <n v="219"/>
    <n v="31.285714285714285"/>
    <x v="4"/>
    <x v="15"/>
    <x v="5"/>
    <x v="1"/>
  </r>
  <r>
    <s v="806400119038"/>
    <n v="806400"/>
    <s v="JAWAHARMAL CHANDANMAL KHATRI"/>
    <n v="119038"/>
    <s v="NAVEEN DISTRIBUTORS"/>
    <n v="35"/>
    <n v="0"/>
    <n v="50"/>
    <n v="15"/>
    <n v="15"/>
    <n v="10"/>
    <n v="0"/>
    <n v="125"/>
    <n v="17.857142857142858"/>
    <x v="2"/>
    <x v="15"/>
    <x v="5"/>
    <x v="1"/>
  </r>
  <r>
    <s v="806401119038"/>
    <n v="806401"/>
    <s v="LALIT CEMENT AGENCY"/>
    <n v="119038"/>
    <s v="NAVEEN DISTRIBUTORS"/>
    <n v="50"/>
    <n v="120"/>
    <n v="95"/>
    <n v="96"/>
    <n v="54"/>
    <n v="63"/>
    <n v="70"/>
    <n v="548"/>
    <n v="78.285714285714292"/>
    <x v="3"/>
    <x v="15"/>
    <x v="5"/>
    <x v="1"/>
  </r>
  <r>
    <s v="806468119038"/>
    <n v="806468"/>
    <s v="JAMBHESHWAR KIRANA STORE"/>
    <n v="119038"/>
    <s v="NAVEEN DISTRIBUTORS"/>
    <n v="30"/>
    <n v="80"/>
    <n v="30"/>
    <n v="0"/>
    <n v="0"/>
    <n v="0"/>
    <n v="0"/>
    <n v="140"/>
    <n v="20"/>
    <x v="0"/>
    <x v="15"/>
    <x v="5"/>
    <x v="1"/>
  </r>
  <r>
    <s v="806469119038"/>
    <n v="806469"/>
    <s v="SHRI BALAJI BUILDING MATERIAL"/>
    <n v="119038"/>
    <s v="NAVEEN DISTRIBUTORS"/>
    <n v="5"/>
    <n v="30"/>
    <n v="35"/>
    <n v="0"/>
    <n v="90"/>
    <n v="0"/>
    <n v="20"/>
    <n v="180"/>
    <n v="25.714285714285715"/>
    <x v="0"/>
    <x v="15"/>
    <x v="5"/>
    <x v="1"/>
  </r>
  <r>
    <s v="806474119038"/>
    <n v="806474"/>
    <s v="SHIV BHOLE SHANKAR BUILDING MA"/>
    <n v="119038"/>
    <s v="NAVEEN DISTRIBUTORS"/>
    <n v="0"/>
    <n v="0"/>
    <n v="25"/>
    <n v="60"/>
    <n v="35"/>
    <n v="31.25"/>
    <n v="0"/>
    <n v="151.25"/>
    <n v="21.607142857142858"/>
    <x v="0"/>
    <x v="15"/>
    <x v="5"/>
    <x v="1"/>
  </r>
  <r>
    <s v="806565119038"/>
    <n v="806565"/>
    <s v="CHAMPA LAL PARIHAR"/>
    <n v="119038"/>
    <s v="NAVEEN DISTRIBUTORS"/>
    <n v="30"/>
    <n v="35"/>
    <n v="15"/>
    <n v="40"/>
    <n v="24.5"/>
    <n v="32"/>
    <n v="7.5"/>
    <n v="184"/>
    <n v="26.285714285714285"/>
    <x v="0"/>
    <x v="15"/>
    <x v="5"/>
    <x v="1"/>
  </r>
  <r>
    <s v="806830119038"/>
    <n v="806830"/>
    <s v="SHREE BHOMIA JI BUILDING MATER"/>
    <n v="119038"/>
    <s v="NAVEEN DISTRIBUTORS"/>
    <n v="30"/>
    <n v="34"/>
    <n v="57"/>
    <n v="40"/>
    <n v="20"/>
    <n v="28.5"/>
    <n v="0"/>
    <n v="209.5"/>
    <n v="29.928571428571427"/>
    <x v="0"/>
    <x v="15"/>
    <x v="5"/>
    <x v="1"/>
  </r>
  <r>
    <s v="806863119038"/>
    <n v="806863"/>
    <s v="HARI TRADERS"/>
    <n v="119038"/>
    <s v="NAVEEN DISTRIBUTORS"/>
    <n v="22"/>
    <n v="25"/>
    <n v="145"/>
    <n v="117"/>
    <n v="60"/>
    <n v="120"/>
    <n v="30"/>
    <n v="519"/>
    <n v="74.142857142857139"/>
    <x v="3"/>
    <x v="15"/>
    <x v="5"/>
    <x v="1"/>
  </r>
  <r>
    <s v="807113119038"/>
    <n v="807113"/>
    <s v="BABA RAMDEV BUILDING MATERIAL"/>
    <n v="119038"/>
    <s v="NAVEEN DISTRIBUTORS"/>
    <n v="0"/>
    <n v="69.5"/>
    <n v="29.5"/>
    <n v="40"/>
    <n v="93.5"/>
    <n v="46.5"/>
    <n v="0"/>
    <n v="279"/>
    <n v="39.857142857142854"/>
    <x v="4"/>
    <x v="15"/>
    <x v="5"/>
    <x v="1"/>
  </r>
  <r>
    <s v="807577119038"/>
    <n v="807577"/>
    <s v="SHRI RAM HARDWARE AND BUILDING"/>
    <n v="119038"/>
    <s v="NAVEEN DISTRIBUTORS"/>
    <n v="47.5"/>
    <n v="11"/>
    <n v="24"/>
    <n v="64.5"/>
    <n v="11"/>
    <n v="50"/>
    <n v="0"/>
    <n v="208"/>
    <n v="29.714285714285715"/>
    <x v="0"/>
    <x v="15"/>
    <x v="5"/>
    <x v="1"/>
  </r>
  <r>
    <s v="807601119038"/>
    <n v="807601"/>
    <s v="LAXMI TRADERS"/>
    <n v="119038"/>
    <s v="NAVEEN DISTRIBUTORS"/>
    <n v="13.5"/>
    <n v="10"/>
    <n v="20"/>
    <n v="60"/>
    <n v="40"/>
    <n v="40"/>
    <n v="10"/>
    <n v="193.5"/>
    <n v="27.642857142857142"/>
    <x v="0"/>
    <x v="15"/>
    <x v="5"/>
    <x v="1"/>
  </r>
  <r>
    <s v="807609119038"/>
    <n v="807609"/>
    <s v="SHRI RAMDEV CONSTRUCTION COMPA"/>
    <n v="119038"/>
    <s v="NAVEEN DISTRIBUTORS"/>
    <n v="0"/>
    <n v="8.5"/>
    <n v="0"/>
    <n v="0"/>
    <n v="0"/>
    <n v="0"/>
    <n v="0"/>
    <n v="8.5"/>
    <n v="1.2142857142857142"/>
    <x v="1"/>
    <x v="15"/>
    <x v="5"/>
    <x v="1"/>
  </r>
  <r>
    <s v="807629119038"/>
    <n v="807629"/>
    <s v="DILIP TRADING COMPANY"/>
    <n v="119038"/>
    <s v="NAVEEN DISTRIBUTORS"/>
    <n v="12.5"/>
    <n v="0"/>
    <n v="10"/>
    <n v="33.5"/>
    <n v="0"/>
    <n v="0"/>
    <n v="0"/>
    <n v="56"/>
    <n v="8"/>
    <x v="1"/>
    <x v="15"/>
    <x v="5"/>
    <x v="1"/>
  </r>
  <r>
    <s v="807643119038"/>
    <n v="807643"/>
    <s v="VISHNU BUILDING MATERIAL"/>
    <n v="119038"/>
    <s v="NAVEEN DISTRIBUTORS"/>
    <n v="0"/>
    <n v="40"/>
    <n v="123"/>
    <n v="74.5"/>
    <n v="50"/>
    <n v="30"/>
    <n v="20"/>
    <n v="337.5"/>
    <n v="48.214285714285715"/>
    <x v="5"/>
    <x v="15"/>
    <x v="5"/>
    <x v="1"/>
  </r>
  <r>
    <s v="807648119038"/>
    <n v="807648"/>
    <s v="BALAJI KIRANA &amp; CEMENT VIKRETA"/>
    <n v="119038"/>
    <s v="NAVEEN DISTRIBUTORS"/>
    <n v="21"/>
    <n v="20"/>
    <n v="0"/>
    <n v="0"/>
    <n v="20"/>
    <n v="20"/>
    <n v="0"/>
    <n v="81"/>
    <n v="11.571428571428571"/>
    <x v="2"/>
    <x v="15"/>
    <x v="5"/>
    <x v="1"/>
  </r>
  <r>
    <s v="807680119038"/>
    <n v="807680"/>
    <s v="MAHADEV BUILDING MATERIAL"/>
    <n v="119038"/>
    <s v="NAVEEN DISTRIBUTORS"/>
    <n v="0"/>
    <n v="0"/>
    <n v="110"/>
    <n v="75"/>
    <n v="65"/>
    <n v="155"/>
    <n v="15"/>
    <n v="420"/>
    <n v="60"/>
    <x v="3"/>
    <x v="15"/>
    <x v="5"/>
    <x v="1"/>
  </r>
  <r>
    <s v="807908119038"/>
    <n v="807908"/>
    <s v="KISHAN BUILDING MATERIAL"/>
    <n v="119038"/>
    <s v="NAVEEN DISTRIBUTORS"/>
    <n v="20"/>
    <n v="20"/>
    <n v="18.5"/>
    <n v="15"/>
    <n v="20"/>
    <n v="17.5"/>
    <n v="0"/>
    <n v="111"/>
    <n v="15.857142857142858"/>
    <x v="2"/>
    <x v="15"/>
    <x v="5"/>
    <x v="1"/>
  </r>
  <r>
    <s v="807931119038"/>
    <n v="807931"/>
    <s v="ASHAPURA BUILDING MATERIAL"/>
    <n v="119038"/>
    <s v="NAVEEN DISTRIBUTORS"/>
    <n v="47.5"/>
    <n v="40"/>
    <n v="10"/>
    <n v="40"/>
    <n v="15"/>
    <n v="35"/>
    <n v="20"/>
    <n v="207.5"/>
    <n v="29.642857142857142"/>
    <x v="0"/>
    <x v="15"/>
    <x v="5"/>
    <x v="1"/>
  </r>
  <r>
    <s v="807940119038"/>
    <n v="807940"/>
    <s v="PURAN KIRANA STORE"/>
    <n v="119038"/>
    <s v="NAVEEN DISTRIBUTORS"/>
    <n v="5"/>
    <n v="0"/>
    <n v="0"/>
    <n v="0"/>
    <n v="0"/>
    <n v="0"/>
    <n v="0"/>
    <n v="5"/>
    <n v="0.7142857142857143"/>
    <x v="1"/>
    <x v="15"/>
    <x v="5"/>
    <x v="1"/>
  </r>
  <r>
    <s v="807998119038"/>
    <n v="807998"/>
    <s v="CHHAGANA RAM AND SONS"/>
    <n v="119038"/>
    <s v="NAVEEN DISTRIBUTORS"/>
    <n v="10"/>
    <n v="20"/>
    <n v="20"/>
    <n v="15"/>
    <n v="0"/>
    <n v="0"/>
    <n v="0"/>
    <n v="65"/>
    <n v="9.2857142857142865"/>
    <x v="1"/>
    <x v="15"/>
    <x v="5"/>
    <x v="1"/>
  </r>
  <r>
    <s v="808739119038"/>
    <n v="808739"/>
    <s v="JAGDAMBA ENTERPRISES"/>
    <n v="119038"/>
    <s v="NAVEEN DISTRIBUTORS"/>
    <n v="0"/>
    <n v="20"/>
    <n v="65"/>
    <n v="20"/>
    <n v="50"/>
    <n v="27"/>
    <n v="15"/>
    <n v="197"/>
    <n v="28.142857142857142"/>
    <x v="0"/>
    <x v="15"/>
    <x v="5"/>
    <x v="1"/>
  </r>
  <r>
    <s v="808749119038"/>
    <n v="808749"/>
    <s v="JAI SHREE KRISHNA"/>
    <n v="119038"/>
    <s v="NAVEEN DISTRIBUTORS"/>
    <n v="35"/>
    <n v="55"/>
    <n v="123.5"/>
    <n v="95"/>
    <n v="25"/>
    <n v="20"/>
    <n v="20"/>
    <n v="373.5"/>
    <n v="53.357142857142854"/>
    <x v="3"/>
    <x v="15"/>
    <x v="5"/>
    <x v="1"/>
  </r>
  <r>
    <s v="808823119038"/>
    <n v="808823"/>
    <s v="PREM MARBLE AND CHEAPS STORE"/>
    <n v="119038"/>
    <s v="NAVEEN DISTRIBUTORS"/>
    <n v="0"/>
    <n v="0"/>
    <n v="0"/>
    <n v="5"/>
    <n v="65"/>
    <n v="30"/>
    <n v="0"/>
    <n v="100"/>
    <n v="14.285714285714286"/>
    <x v="2"/>
    <x v="15"/>
    <x v="5"/>
    <x v="1"/>
  </r>
  <r>
    <s v="809165119038"/>
    <n v="809165"/>
    <s v="SHRI BALAJI BUILDING MATERIAL"/>
    <n v="119038"/>
    <s v="NAVEEN DISTRIBUTORS"/>
    <n v="30"/>
    <n v="40"/>
    <n v="0"/>
    <n v="20"/>
    <n v="15"/>
    <n v="15"/>
    <n v="20"/>
    <n v="140"/>
    <n v="20"/>
    <x v="0"/>
    <x v="15"/>
    <x v="5"/>
    <x v="1"/>
  </r>
  <r>
    <s v="809168119038"/>
    <n v="809168"/>
    <s v="JAGDAMBA CEMENT AGENCY"/>
    <n v="119038"/>
    <s v="NAVEEN DISTRIBUTORS"/>
    <n v="0"/>
    <n v="0"/>
    <n v="0"/>
    <n v="0"/>
    <n v="15"/>
    <n v="0"/>
    <n v="0"/>
    <n v="15"/>
    <n v="2.1428571428571428"/>
    <x v="1"/>
    <x v="15"/>
    <x v="5"/>
    <x v="1"/>
  </r>
  <r>
    <s v="809170119038"/>
    <n v="809170"/>
    <s v="BALAJI KIRANA STORE"/>
    <n v="119038"/>
    <s v="NAVEEN DISTRIBUTORS"/>
    <n v="40"/>
    <n v="0"/>
    <n v="20"/>
    <n v="10"/>
    <n v="20"/>
    <n v="20"/>
    <n v="29"/>
    <n v="139"/>
    <n v="19.857142857142858"/>
    <x v="2"/>
    <x v="15"/>
    <x v="5"/>
    <x v="1"/>
  </r>
  <r>
    <s v="809283119038"/>
    <n v="809283"/>
    <s v="DURGA CEMENT AND SANITARY"/>
    <n v="119038"/>
    <s v="NAVEEN DISTRIBUTORS"/>
    <n v="30"/>
    <n v="20"/>
    <n v="75"/>
    <n v="112.5"/>
    <n v="111.35"/>
    <n v="167.65"/>
    <n v="75"/>
    <n v="591.5"/>
    <n v="84.5"/>
    <x v="3"/>
    <x v="15"/>
    <x v="5"/>
    <x v="1"/>
  </r>
  <r>
    <s v="809622119038"/>
    <n v="809622"/>
    <s v="SHRI MEHOJI BUILDING MATERIAL"/>
    <n v="119038"/>
    <s v="NAVEEN DISTRIBUTORS"/>
    <n v="30"/>
    <n v="40"/>
    <n v="35"/>
    <n v="65"/>
    <n v="15"/>
    <n v="20"/>
    <n v="0"/>
    <n v="205"/>
    <n v="29.285714285714285"/>
    <x v="0"/>
    <x v="15"/>
    <x v="5"/>
    <x v="1"/>
  </r>
  <r>
    <s v="809984119038"/>
    <n v="809984"/>
    <s v="DUNGAR MAL JAIN"/>
    <n v="119038"/>
    <s v="NAVEEN DISTRIBUTORS"/>
    <n v="10"/>
    <n v="10"/>
    <n v="34"/>
    <n v="25"/>
    <n v="10"/>
    <n v="10"/>
    <n v="20"/>
    <n v="119"/>
    <n v="17"/>
    <x v="2"/>
    <x v="15"/>
    <x v="5"/>
    <x v="1"/>
  </r>
  <r>
    <s v="810377119038"/>
    <n v="810377"/>
    <s v="CHANDAN MAL JAIN"/>
    <n v="119038"/>
    <s v="NAVEEN DISTRIBUTORS"/>
    <n v="30"/>
    <n v="60"/>
    <n v="30"/>
    <n v="45"/>
    <n v="39"/>
    <n v="64"/>
    <n v="15"/>
    <n v="283"/>
    <n v="40.428571428571431"/>
    <x v="5"/>
    <x v="15"/>
    <x v="5"/>
    <x v="1"/>
  </r>
  <r>
    <s v="811066119038"/>
    <n v="811066"/>
    <s v="BABA RAMDEV PAINTS &amp; HARDWARE"/>
    <n v="119038"/>
    <s v="NAVEEN DISTRIBUTORS"/>
    <n v="85"/>
    <n v="0"/>
    <n v="25"/>
    <n v="30"/>
    <n v="30"/>
    <n v="20"/>
    <n v="18.5"/>
    <n v="208.5"/>
    <n v="29.785714285714285"/>
    <x v="0"/>
    <x v="15"/>
    <x v="5"/>
    <x v="1"/>
  </r>
  <r>
    <s v="811098119038"/>
    <n v="811098"/>
    <s v="GOVIND CEMENT"/>
    <n v="119038"/>
    <s v="NAVEEN DISTRIBUTORS"/>
    <n v="0"/>
    <n v="0"/>
    <n v="0"/>
    <n v="20"/>
    <n v="45"/>
    <n v="105"/>
    <n v="15"/>
    <n v="185"/>
    <n v="26.428571428571427"/>
    <x v="0"/>
    <x v="15"/>
    <x v="5"/>
    <x v="1"/>
  </r>
  <r>
    <s v="811433119038"/>
    <n v="811433"/>
    <s v="RAM MARBEL TILE &amp; HARDWARE"/>
    <n v="119038"/>
    <s v="NAVEEN DISTRIBUTORS"/>
    <n v="0"/>
    <n v="0"/>
    <n v="25"/>
    <n v="20"/>
    <n v="10"/>
    <n v="10"/>
    <n v="10"/>
    <n v="75"/>
    <n v="10.714285714285714"/>
    <x v="2"/>
    <x v="15"/>
    <x v="5"/>
    <x v="1"/>
  </r>
  <r>
    <s v="812110119038"/>
    <n v="812110"/>
    <s v="MAJISA KHAAD BEEJ BHANDAR"/>
    <n v="119038"/>
    <s v="NAVEEN DISTRIBUTORS"/>
    <n v="45"/>
    <n v="0"/>
    <n v="41"/>
    <n v="30"/>
    <n v="50"/>
    <n v="30"/>
    <n v="10"/>
    <n v="206"/>
    <n v="29.428571428571427"/>
    <x v="0"/>
    <x v="15"/>
    <x v="5"/>
    <x v="1"/>
  </r>
  <r>
    <s v="812990119038"/>
    <n v="812990"/>
    <s v="BHOOMIYA JI CEMENT AGENCY"/>
    <n v="119038"/>
    <s v="NAVEEN DISTRIBUTORS"/>
    <n v="35"/>
    <n v="0"/>
    <n v="0"/>
    <n v="0"/>
    <n v="20"/>
    <n v="0"/>
    <n v="0"/>
    <n v="55"/>
    <n v="7.8571428571428568"/>
    <x v="1"/>
    <x v="15"/>
    <x v="5"/>
    <x v="1"/>
  </r>
  <r>
    <s v="814843119038"/>
    <n v="814843"/>
    <s v="SHRI MAHALAXMI TRADERS"/>
    <n v="119038"/>
    <s v="NAVEEN DISTRIBUTORS"/>
    <n v="0"/>
    <n v="67.5"/>
    <n v="55"/>
    <n v="55"/>
    <n v="10"/>
    <n v="0"/>
    <n v="0"/>
    <n v="187.5"/>
    <n v="26.785714285714285"/>
    <x v="0"/>
    <x v="15"/>
    <x v="5"/>
    <x v="1"/>
  </r>
  <r>
    <s v="814902119038"/>
    <n v="814902"/>
    <s v="SHREE KARANI KRIPA ENTERPRISES"/>
    <n v="119038"/>
    <s v="NAVEEN DISTRIBUTORS"/>
    <n v="0"/>
    <n v="33.5"/>
    <n v="0"/>
    <n v="101"/>
    <n v="60"/>
    <n v="55"/>
    <n v="0"/>
    <n v="249.5"/>
    <n v="35.642857142857146"/>
    <x v="4"/>
    <x v="15"/>
    <x v="5"/>
    <x v="1"/>
  </r>
  <r>
    <s v="814903119038"/>
    <n v="814903"/>
    <s v="GOSAI J K SUPER CEMENT"/>
    <n v="119038"/>
    <s v="NAVEEN DISTRIBUTORS"/>
    <n v="54"/>
    <n v="105"/>
    <n v="30"/>
    <n v="24"/>
    <n v="0"/>
    <n v="25"/>
    <n v="35"/>
    <n v="273"/>
    <n v="39"/>
    <x v="4"/>
    <x v="15"/>
    <x v="5"/>
    <x v="1"/>
  </r>
  <r>
    <s v="814962119038"/>
    <n v="814962"/>
    <s v="JAGDAMBA BUILDING MATERIAL"/>
    <n v="119038"/>
    <s v="NAVEEN DISTRIBUTORS"/>
    <n v="0"/>
    <n v="0"/>
    <n v="30"/>
    <n v="31"/>
    <n v="0"/>
    <n v="0"/>
    <n v="0"/>
    <n v="61"/>
    <n v="8.7142857142857135"/>
    <x v="1"/>
    <x v="15"/>
    <x v="5"/>
    <x v="1"/>
  </r>
  <r>
    <s v="815031119038"/>
    <n v="815031"/>
    <s v="SHRI BHADARIYA RAI ENTERPRISES"/>
    <n v="119038"/>
    <s v="NAVEEN DISTRIBUTORS"/>
    <n v="0"/>
    <n v="0"/>
    <n v="10"/>
    <n v="20"/>
    <n v="25"/>
    <n v="0"/>
    <n v="0"/>
    <n v="55"/>
    <n v="7.8571428571428568"/>
    <x v="1"/>
    <x v="15"/>
    <x v="5"/>
    <x v="1"/>
  </r>
  <r>
    <s v="815845119038"/>
    <n v="815845"/>
    <s v="SHREE BALAJI ASSOCIATES"/>
    <n v="119038"/>
    <s v="NAVEEN DISTRIBUTORS"/>
    <n v="0"/>
    <n v="0"/>
    <n v="0"/>
    <n v="0"/>
    <n v="50"/>
    <n v="25"/>
    <n v="10"/>
    <n v="85"/>
    <n v="12.142857142857142"/>
    <x v="2"/>
    <x v="15"/>
    <x v="5"/>
    <x v="1"/>
  </r>
  <r>
    <s v="808890148233"/>
    <n v="808890"/>
    <s v="JAGDAMBA BUILDING MATERIAL"/>
    <n v="148233"/>
    <s v="NAGORA TRADERS"/>
    <n v="70"/>
    <n v="70"/>
    <n v="90"/>
    <n v="35"/>
    <n v="70"/>
    <n v="70"/>
    <n v="35"/>
    <n v="440"/>
    <n v="62.857142857142854"/>
    <x v="3"/>
    <x v="15"/>
    <x v="5"/>
    <x v="1"/>
  </r>
  <r>
    <s v="812999148233"/>
    <n v="812999"/>
    <s v="SHREE BALAJI CEMENT SUPPLIERS"/>
    <n v="148233"/>
    <s v="NAGORA TRADERS"/>
    <n v="0"/>
    <n v="0"/>
    <n v="60"/>
    <n v="0"/>
    <n v="35"/>
    <n v="35"/>
    <n v="0"/>
    <n v="130"/>
    <n v="18.571428571428573"/>
    <x v="2"/>
    <x v="15"/>
    <x v="5"/>
    <x v="1"/>
  </r>
  <r>
    <s v="804220170775"/>
    <n v="804220"/>
    <s v="BHATI JK CEMENT"/>
    <n v="170775"/>
    <s v="GANPAT LAL MAROTHIYA AND SONS"/>
    <n v="95"/>
    <n v="85"/>
    <n v="80"/>
    <n v="70"/>
    <n v="117"/>
    <n v="70"/>
    <n v="35"/>
    <n v="552"/>
    <n v="78.857142857142861"/>
    <x v="3"/>
    <x v="15"/>
    <x v="5"/>
    <x v="1"/>
  </r>
  <r>
    <s v="804909170775"/>
    <n v="804909"/>
    <s v="DEV INDRA SAND STONE"/>
    <n v="170775"/>
    <s v="GANPAT LAL MAROTHIYA AND SONS"/>
    <n v="10"/>
    <n v="0"/>
    <n v="0"/>
    <n v="0"/>
    <n v="0"/>
    <n v="0"/>
    <n v="0"/>
    <n v="10"/>
    <n v="1.4285714285714286"/>
    <x v="1"/>
    <x v="15"/>
    <x v="5"/>
    <x v="1"/>
  </r>
  <r>
    <s v="805921170775"/>
    <n v="805921"/>
    <s v="RAJ MARBLES"/>
    <n v="170775"/>
    <s v="GANPAT LAL MAROTHIYA AND SONS"/>
    <n v="65"/>
    <n v="65"/>
    <n v="10"/>
    <n v="38"/>
    <n v="79"/>
    <n v="55"/>
    <n v="45"/>
    <n v="357"/>
    <n v="51"/>
    <x v="3"/>
    <x v="15"/>
    <x v="5"/>
    <x v="1"/>
  </r>
  <r>
    <s v="806210170775"/>
    <n v="806210"/>
    <s v="SHRI CHAMUNDA KIRANA STORE"/>
    <n v="170775"/>
    <s v="GANPAT LAL MAROTHIYA AND SONS"/>
    <n v="0"/>
    <n v="0"/>
    <n v="15"/>
    <n v="0"/>
    <n v="15"/>
    <n v="35"/>
    <n v="45"/>
    <n v="110"/>
    <n v="15.714285714285714"/>
    <x v="2"/>
    <x v="15"/>
    <x v="5"/>
    <x v="1"/>
  </r>
  <r>
    <s v="807815170775"/>
    <n v="807815"/>
    <s v="BHAGWAN KIRANA STORE"/>
    <n v="170775"/>
    <s v="GANPAT LAL MAROTHIYA AND SONS"/>
    <n v="50"/>
    <n v="15"/>
    <n v="80"/>
    <n v="30"/>
    <n v="5"/>
    <n v="0"/>
    <n v="55"/>
    <n v="235"/>
    <n v="33.571428571428569"/>
    <x v="4"/>
    <x v="15"/>
    <x v="5"/>
    <x v="1"/>
  </r>
  <r>
    <s v="807817170775"/>
    <n v="807817"/>
    <s v="BALAJI CEMENT AGENCY"/>
    <n v="170775"/>
    <s v="GANPAT LAL MAROTHIYA AND SONS"/>
    <n v="0"/>
    <n v="15"/>
    <n v="75"/>
    <n v="0"/>
    <n v="0"/>
    <n v="0"/>
    <n v="0"/>
    <n v="90"/>
    <n v="12.857142857142858"/>
    <x v="2"/>
    <x v="15"/>
    <x v="5"/>
    <x v="1"/>
  </r>
  <r>
    <s v="807819170775"/>
    <n v="807819"/>
    <s v="GANGA ELECTRONIC HARDWARE AND"/>
    <n v="170775"/>
    <s v="GANPAT LAL MAROTHIYA AND SONS"/>
    <n v="0"/>
    <n v="45"/>
    <n v="35"/>
    <n v="25"/>
    <n v="53"/>
    <n v="0"/>
    <n v="0"/>
    <n v="158"/>
    <n v="22.571428571428573"/>
    <x v="0"/>
    <x v="15"/>
    <x v="5"/>
    <x v="1"/>
  </r>
  <r>
    <s v="808902170775"/>
    <n v="808902"/>
    <s v="TAK STONE SUPPLIERS"/>
    <n v="170775"/>
    <s v="GANPAT LAL MAROTHIYA AND SONS"/>
    <n v="0"/>
    <n v="0"/>
    <n v="0"/>
    <n v="0"/>
    <n v="45"/>
    <n v="0"/>
    <n v="10"/>
    <n v="55"/>
    <n v="7.8571428571428568"/>
    <x v="1"/>
    <x v="15"/>
    <x v="5"/>
    <x v="1"/>
  </r>
  <r>
    <s v="808903170775"/>
    <n v="808903"/>
    <s v="MAHADEV CEMENT SUPPLIERS"/>
    <n v="170775"/>
    <s v="GANPAT LAL MAROTHIYA AND SONS"/>
    <n v="0"/>
    <n v="45"/>
    <n v="20"/>
    <n v="0"/>
    <n v="0"/>
    <n v="0"/>
    <n v="0"/>
    <n v="65"/>
    <n v="9.2857142857142865"/>
    <x v="1"/>
    <x v="15"/>
    <x v="5"/>
    <x v="1"/>
  </r>
  <r>
    <s v="809280170775"/>
    <n v="809280"/>
    <s v="HAKIM AND SONS"/>
    <n v="170775"/>
    <s v="GANPAT LAL MAROTHIYA AND SONS"/>
    <n v="10"/>
    <n v="23"/>
    <n v="70"/>
    <n v="75"/>
    <n v="55"/>
    <n v="0"/>
    <n v="35"/>
    <n v="268"/>
    <n v="38.285714285714285"/>
    <x v="4"/>
    <x v="15"/>
    <x v="5"/>
    <x v="1"/>
  </r>
  <r>
    <s v="809282170775"/>
    <n v="809282"/>
    <s v="JAI MAHADEV BUILDING MATERIAL"/>
    <n v="170775"/>
    <s v="GANPAT LAL MAROTHIYA AND SONS"/>
    <n v="25"/>
    <n v="15"/>
    <n v="40"/>
    <n v="25"/>
    <n v="20"/>
    <n v="10"/>
    <n v="75"/>
    <n v="210"/>
    <n v="30"/>
    <x v="4"/>
    <x v="15"/>
    <x v="5"/>
    <x v="1"/>
  </r>
  <r>
    <s v="812552170775"/>
    <n v="812552"/>
    <s v="BHATI CEMENT AND EIT SUPPLIERS"/>
    <n v="170775"/>
    <s v="GANPAT LAL MAROTHIYA AND SONS"/>
    <n v="0"/>
    <n v="0"/>
    <n v="0"/>
    <n v="10"/>
    <n v="15"/>
    <n v="0"/>
    <n v="10"/>
    <n v="35"/>
    <n v="5"/>
    <x v="1"/>
    <x v="15"/>
    <x v="5"/>
    <x v="1"/>
  </r>
  <r>
    <s v="813031170775"/>
    <n v="813031"/>
    <s v="BHANWAR LAL UTAM CHAND"/>
    <n v="170775"/>
    <s v="GANPAT LAL MAROTHIYA AND SONS"/>
    <n v="0"/>
    <n v="0"/>
    <n v="10"/>
    <n v="90"/>
    <n v="15"/>
    <n v="15"/>
    <n v="10"/>
    <n v="140"/>
    <n v="20"/>
    <x v="0"/>
    <x v="15"/>
    <x v="5"/>
    <x v="1"/>
  </r>
  <r>
    <s v="813034170775"/>
    <n v="813034"/>
    <s v="LAXMI TAK CEMENT"/>
    <n v="170775"/>
    <s v="GANPAT LAL MAROTHIYA AND SONS"/>
    <n v="0"/>
    <n v="0"/>
    <n v="25"/>
    <n v="0"/>
    <n v="0"/>
    <n v="15"/>
    <n v="0"/>
    <n v="40"/>
    <n v="5.7142857142857144"/>
    <x v="1"/>
    <x v="15"/>
    <x v="5"/>
    <x v="1"/>
  </r>
  <r>
    <s v="814113170775"/>
    <n v="814113"/>
    <s v="BHATI ELECTRICALS"/>
    <n v="170775"/>
    <s v="GANPAT LAL MAROTHIYA AND SONS"/>
    <n v="0"/>
    <n v="0"/>
    <n v="0"/>
    <n v="15"/>
    <n v="10"/>
    <n v="30"/>
    <n v="15"/>
    <n v="70"/>
    <n v="10"/>
    <x v="2"/>
    <x v="15"/>
    <x v="5"/>
    <x v="1"/>
  </r>
  <r>
    <s v="815152170775"/>
    <n v="815152"/>
    <s v="GAURI CEMENT SUPPLIERS"/>
    <n v="170775"/>
    <s v="GANPAT LAL MAROTHIYA AND SONS"/>
    <n v="0"/>
    <n v="0"/>
    <n v="40"/>
    <n v="30"/>
    <n v="15"/>
    <n v="0"/>
    <n v="0"/>
    <n v="85"/>
    <n v="12.142857142857142"/>
    <x v="2"/>
    <x v="15"/>
    <x v="5"/>
    <x v="1"/>
  </r>
  <r>
    <s v="815277170775"/>
    <n v="815277"/>
    <s v="GOPAL CEMENT SUPPLIERS"/>
    <n v="170775"/>
    <s v="GANPAT LAL MAROTHIYA AND SONS"/>
    <n v="0"/>
    <n v="0"/>
    <n v="0"/>
    <n v="30"/>
    <n v="20"/>
    <n v="0"/>
    <n v="10"/>
    <n v="60"/>
    <n v="8.5714285714285712"/>
    <x v="1"/>
    <x v="15"/>
    <x v="5"/>
    <x v="1"/>
  </r>
  <r>
    <s v="815486170775"/>
    <n v="815486"/>
    <s v="MAHADEV CEMENT SUPPLIERS"/>
    <n v="170775"/>
    <s v="GANPAT LAL MAROTHIYA AND SONS"/>
    <n v="0"/>
    <n v="0"/>
    <n v="0"/>
    <n v="0"/>
    <n v="15"/>
    <n v="0"/>
    <n v="0"/>
    <n v="15"/>
    <n v="2.1428571428571428"/>
    <x v="1"/>
    <x v="15"/>
    <x v="5"/>
    <x v="1"/>
  </r>
  <r>
    <s v="815511170775"/>
    <n v="815511"/>
    <s v="HINDUSTAN BUILDING MATERIAL"/>
    <n v="170775"/>
    <s v="GANPAT LAL MAROTHIYA AND SONS"/>
    <n v="0"/>
    <n v="0"/>
    <n v="0"/>
    <n v="0"/>
    <n v="45"/>
    <n v="30"/>
    <n v="0"/>
    <n v="75"/>
    <n v="10.714285714285714"/>
    <x v="2"/>
    <x v="15"/>
    <x v="5"/>
    <x v="1"/>
  </r>
  <r>
    <s v="816056170775"/>
    <n v="816056"/>
    <s v="FAUJI CEMENT AGENCY"/>
    <n v="170775"/>
    <s v="GANPAT LAL MAROTHIYA AND SONS"/>
    <n v="0"/>
    <n v="0"/>
    <n v="0"/>
    <n v="0"/>
    <n v="30"/>
    <n v="45"/>
    <n v="0"/>
    <n v="75"/>
    <n v="10.714285714285714"/>
    <x v="2"/>
    <x v="15"/>
    <x v="5"/>
    <x v="1"/>
  </r>
  <r>
    <s v="807105172338"/>
    <n v="807105"/>
    <s v="VISHNU TRADING COMPANY"/>
    <n v="172338"/>
    <s v="KHILJEE BUILDING MATERIAL"/>
    <n v="60"/>
    <n v="40"/>
    <n v="30"/>
    <n v="30"/>
    <n v="10"/>
    <n v="25"/>
    <n v="10"/>
    <n v="205"/>
    <n v="29.285714285714285"/>
    <x v="0"/>
    <x v="15"/>
    <x v="5"/>
    <x v="1"/>
  </r>
  <r>
    <s v="807862172338"/>
    <n v="807862"/>
    <s v="MAHADEV HARDWARE ELECTRICALS &amp;"/>
    <n v="172338"/>
    <s v="KHILJEE BUILDING MATERIAL"/>
    <n v="46"/>
    <n v="51"/>
    <n v="40"/>
    <n v="51"/>
    <n v="35"/>
    <n v="45"/>
    <n v="45"/>
    <n v="313"/>
    <n v="44.714285714285715"/>
    <x v="5"/>
    <x v="15"/>
    <x v="5"/>
    <x v="1"/>
  </r>
  <r>
    <s v="807863172338"/>
    <n v="807863"/>
    <s v="MAA CHAMUNDA CEMENT AGENCY"/>
    <n v="172338"/>
    <s v="KHILJEE BUILDING MATERIAL"/>
    <n v="0"/>
    <n v="0"/>
    <n v="0"/>
    <n v="0"/>
    <n v="30"/>
    <n v="0"/>
    <n v="0"/>
    <n v="30"/>
    <n v="4.2857142857142856"/>
    <x v="1"/>
    <x v="15"/>
    <x v="5"/>
    <x v="1"/>
  </r>
  <r>
    <s v="807864172338"/>
    <n v="807864"/>
    <s v="SHRI MAJISA TRADING COMPANY"/>
    <n v="172338"/>
    <s v="KHILJEE BUILDING MATERIAL"/>
    <n v="61"/>
    <n v="66"/>
    <n v="36"/>
    <n v="65"/>
    <n v="35"/>
    <n v="20"/>
    <n v="35"/>
    <n v="318"/>
    <n v="45.428571428571431"/>
    <x v="5"/>
    <x v="15"/>
    <x v="5"/>
    <x v="1"/>
  </r>
  <r>
    <s v="807884172338"/>
    <n v="807884"/>
    <s v="G. R. KIRANA STORE"/>
    <n v="172338"/>
    <s v="KHILJEE BUILDING MATERIAL"/>
    <n v="16"/>
    <n v="36"/>
    <n v="61"/>
    <n v="50"/>
    <n v="0"/>
    <n v="15"/>
    <n v="35"/>
    <n v="213"/>
    <n v="30.428571428571427"/>
    <x v="4"/>
    <x v="15"/>
    <x v="5"/>
    <x v="1"/>
  </r>
  <r>
    <s v="807885172338"/>
    <n v="807885"/>
    <s v="HANUMANA RAM CHOUDHARY"/>
    <n v="172338"/>
    <s v="KHILJEE BUILDING MATERIAL"/>
    <n v="50"/>
    <n v="75"/>
    <n v="141"/>
    <n v="31"/>
    <n v="20"/>
    <n v="50"/>
    <n v="31"/>
    <n v="398"/>
    <n v="56.857142857142854"/>
    <x v="3"/>
    <x v="15"/>
    <x v="5"/>
    <x v="1"/>
  </r>
  <r>
    <s v="807886172338"/>
    <n v="807886"/>
    <s v="BHOMIYAJI TRADERS"/>
    <n v="172338"/>
    <s v="KHILJEE BUILDING MATERIAL"/>
    <n v="30"/>
    <n v="60"/>
    <n v="55"/>
    <n v="114"/>
    <n v="31"/>
    <n v="15"/>
    <n v="81"/>
    <n v="386"/>
    <n v="55.142857142857146"/>
    <x v="3"/>
    <x v="15"/>
    <x v="5"/>
    <x v="1"/>
  </r>
  <r>
    <s v="807956172338"/>
    <n v="807956"/>
    <s v="KHILJI BARTAN AND HADWARE"/>
    <n v="172338"/>
    <s v="KHILJEE BUILDING MATERIAL"/>
    <n v="91"/>
    <n v="58"/>
    <n v="135"/>
    <n v="65"/>
    <n v="50"/>
    <n v="45"/>
    <n v="15"/>
    <n v="459"/>
    <n v="65.571428571428569"/>
    <x v="3"/>
    <x v="15"/>
    <x v="5"/>
    <x v="1"/>
  </r>
  <r>
    <s v="807958172338"/>
    <n v="807958"/>
    <s v="ARVIND KIRANA &amp; GENERAL STORE"/>
    <n v="172338"/>
    <s v="KHILJEE BUILDING MATERIAL"/>
    <n v="40"/>
    <n v="10"/>
    <n v="35"/>
    <n v="45"/>
    <n v="20"/>
    <n v="35"/>
    <n v="0"/>
    <n v="185"/>
    <n v="26.428571428571427"/>
    <x v="0"/>
    <x v="15"/>
    <x v="5"/>
    <x v="1"/>
  </r>
  <r>
    <s v="808151172338"/>
    <n v="808151"/>
    <s v="SHRI KHETESHWAR BUILDING MATER"/>
    <n v="172338"/>
    <s v="KHILJEE BUILDING MATERIAL"/>
    <n v="20"/>
    <n v="30"/>
    <n v="51"/>
    <n v="20"/>
    <n v="15"/>
    <n v="15"/>
    <n v="16"/>
    <n v="167"/>
    <n v="23.857142857142858"/>
    <x v="0"/>
    <x v="15"/>
    <x v="5"/>
    <x v="1"/>
  </r>
  <r>
    <s v="813832172338"/>
    <n v="813832"/>
    <s v="VIJAY CEMENT AGENCY"/>
    <n v="172338"/>
    <s v="KHILJEE BUILDING MATERIAL"/>
    <n v="40"/>
    <n v="35"/>
    <n v="30"/>
    <n v="55"/>
    <n v="25"/>
    <n v="0"/>
    <n v="0"/>
    <n v="185"/>
    <n v="26.428571428571427"/>
    <x v="0"/>
    <x v="15"/>
    <x v="5"/>
    <x v="1"/>
  </r>
  <r>
    <s v="813928172338"/>
    <n v="813928"/>
    <s v="SHRI BAGTESH CONSTRUCTION COMP"/>
    <n v="172338"/>
    <s v="KHILJEE BUILDING MATERIAL"/>
    <n v="10"/>
    <n v="25"/>
    <n v="30"/>
    <n v="40"/>
    <n v="0"/>
    <n v="15"/>
    <n v="0"/>
    <n v="120"/>
    <n v="17.142857142857142"/>
    <x v="2"/>
    <x v="15"/>
    <x v="5"/>
    <x v="1"/>
  </r>
  <r>
    <s v="814110172338"/>
    <n v="814110"/>
    <s v="MARWAR CEMENT AGENCY"/>
    <n v="172338"/>
    <s v="KHILJEE BUILDING MATERIAL"/>
    <n v="51"/>
    <n v="35"/>
    <n v="46"/>
    <n v="15"/>
    <n v="82"/>
    <n v="35"/>
    <n v="46"/>
    <n v="310"/>
    <n v="44.285714285714285"/>
    <x v="5"/>
    <x v="15"/>
    <x v="5"/>
    <x v="1"/>
  </r>
  <r>
    <s v="815135172338"/>
    <n v="815135"/>
    <s v="HAPA DADA CEMENT AGENCY"/>
    <n v="172338"/>
    <s v="KHILJEE BUILDING MATERIAL"/>
    <n v="0"/>
    <n v="0"/>
    <n v="51"/>
    <n v="30"/>
    <n v="25.1"/>
    <n v="15"/>
    <n v="10"/>
    <n v="131.1"/>
    <n v="18.728571428571428"/>
    <x v="2"/>
    <x v="15"/>
    <x v="5"/>
    <x v="1"/>
  </r>
  <r>
    <s v="816093172338"/>
    <n v="816093"/>
    <s v="VEER TEJA MOBILE AND SANITARY"/>
    <n v="172338"/>
    <s v="KHILJEE BUILDING MATERIAL"/>
    <n v="0"/>
    <n v="0"/>
    <n v="0"/>
    <n v="0"/>
    <n v="25"/>
    <n v="71"/>
    <n v="25"/>
    <n v="121"/>
    <n v="17.285714285714285"/>
    <x v="2"/>
    <x v="15"/>
    <x v="5"/>
    <x v="1"/>
  </r>
  <r>
    <s v="807861172855"/>
    <n v="807861"/>
    <s v="RAWAL MAL RATI"/>
    <n v="172855"/>
    <s v="BALAJI CEMENT AGENCY"/>
    <n v="20"/>
    <n v="51"/>
    <n v="45"/>
    <n v="55"/>
    <n v="75"/>
    <n v="35"/>
    <n v="16"/>
    <n v="297"/>
    <n v="42.428571428571431"/>
    <x v="5"/>
    <x v="15"/>
    <x v="5"/>
    <x v="1"/>
  </r>
  <r>
    <s v="807865172855"/>
    <n v="807865"/>
    <s v="JAI KALKA HARDWARE"/>
    <n v="172855"/>
    <s v="BALAJI CEMENT AGENCY"/>
    <n v="60"/>
    <n v="0"/>
    <n v="40"/>
    <n v="20"/>
    <n v="30"/>
    <n v="30"/>
    <n v="20"/>
    <n v="200"/>
    <n v="28.571428571428573"/>
    <x v="0"/>
    <x v="15"/>
    <x v="5"/>
    <x v="1"/>
  </r>
  <r>
    <s v="812548172855"/>
    <n v="812548"/>
    <s v="OM PRAKASH"/>
    <n v="172855"/>
    <s v="BALAJI CEMENT AGENCY"/>
    <n v="31"/>
    <n v="25"/>
    <n v="50"/>
    <n v="30"/>
    <n v="30"/>
    <n v="20"/>
    <n v="20"/>
    <n v="206"/>
    <n v="29.428571428571427"/>
    <x v="0"/>
    <x v="15"/>
    <x v="5"/>
    <x v="1"/>
  </r>
  <r>
    <s v="812808172855"/>
    <n v="812808"/>
    <s v="LAXMI NARAYAN"/>
    <n v="172855"/>
    <s v="BALAJI CEMENT AGENCY"/>
    <n v="30"/>
    <n v="25"/>
    <n v="55"/>
    <n v="21"/>
    <n v="35"/>
    <n v="15"/>
    <n v="20"/>
    <n v="201"/>
    <n v="28.714285714285715"/>
    <x v="0"/>
    <x v="15"/>
    <x v="5"/>
    <x v="1"/>
  </r>
  <r>
    <s v="807647172892"/>
    <n v="807647"/>
    <s v="MAHADEV J.K. CEMENT"/>
    <n v="172892"/>
    <s v="SHRIYAADE SANITERY &amp; BUILDING"/>
    <n v="15"/>
    <n v="0"/>
    <n v="0"/>
    <n v="27"/>
    <n v="55"/>
    <n v="50"/>
    <n v="20"/>
    <n v="167"/>
    <n v="23.857142857142858"/>
    <x v="0"/>
    <x v="15"/>
    <x v="5"/>
    <x v="1"/>
  </r>
  <r>
    <s v="814886173098"/>
    <n v="814886"/>
    <s v="SHREE PABUJI TRADERS"/>
    <n v="173098"/>
    <s v="PABUJI BUILDING MATERIAL"/>
    <n v="55"/>
    <n v="65"/>
    <n v="55"/>
    <n v="20"/>
    <n v="60"/>
    <n v="20"/>
    <n v="25"/>
    <n v="300"/>
    <n v="42.857142857142854"/>
    <x v="5"/>
    <x v="15"/>
    <x v="5"/>
    <x v="1"/>
  </r>
  <r>
    <s v="806097173224"/>
    <n v="806097"/>
    <s v="VISHNU CEMENT AGENCY"/>
    <n v="173224"/>
    <s v="D.R.MARBLE &amp; SANITORY"/>
    <n v="40"/>
    <n v="55"/>
    <n v="30"/>
    <n v="40"/>
    <n v="35"/>
    <n v="25"/>
    <n v="15"/>
    <n v="240"/>
    <n v="34.285714285714285"/>
    <x v="4"/>
    <x v="15"/>
    <x v="5"/>
    <x v="1"/>
  </r>
  <r>
    <s v="807702173224"/>
    <n v="807702"/>
    <s v="MAJISA CEMENT AGENCY"/>
    <n v="173224"/>
    <s v="D.R.MARBLE &amp; SANITORY"/>
    <n v="20"/>
    <n v="90"/>
    <n v="100"/>
    <n v="42.5"/>
    <n v="38.5"/>
    <n v="37"/>
    <n v="10"/>
    <n v="338"/>
    <n v="48.285714285714285"/>
    <x v="5"/>
    <x v="15"/>
    <x v="5"/>
    <x v="1"/>
  </r>
  <r>
    <s v="808619173224"/>
    <n v="808619"/>
    <s v="SHRI PAWAN CEMENT SUPPLIERS"/>
    <n v="173224"/>
    <s v="D.R.MARBLE &amp; SANITORY"/>
    <n v="110"/>
    <n v="131"/>
    <n v="140.5"/>
    <n v="110.5"/>
    <n v="83.5"/>
    <n v="101"/>
    <n v="48.5"/>
    <n v="725"/>
    <n v="103.57142857142857"/>
    <x v="3"/>
    <x v="15"/>
    <x v="5"/>
    <x v="1"/>
  </r>
  <r>
    <s v="811621173224"/>
    <n v="811621"/>
    <s v="ATARI MEHAR KIRANA STORE"/>
    <n v="173224"/>
    <s v="D.R.MARBLE &amp; SANITORY"/>
    <n v="100"/>
    <n v="103.5"/>
    <n v="100"/>
    <n v="83.5"/>
    <n v="40"/>
    <n v="22.5"/>
    <n v="10"/>
    <n v="459.5"/>
    <n v="65.642857142857139"/>
    <x v="3"/>
    <x v="15"/>
    <x v="5"/>
    <x v="1"/>
  </r>
  <r>
    <s v="811622173224"/>
    <n v="811622"/>
    <s v="TEJAS MARBLE GRANITE"/>
    <n v="173224"/>
    <s v="D.R.MARBLE &amp; SANITORY"/>
    <n v="50"/>
    <n v="41"/>
    <n v="45"/>
    <n v="42.5"/>
    <n v="37.5"/>
    <n v="15"/>
    <n v="10"/>
    <n v="241"/>
    <n v="34.428571428571431"/>
    <x v="4"/>
    <x v="15"/>
    <x v="5"/>
    <x v="1"/>
  </r>
  <r>
    <s v="812096173224"/>
    <n v="812096"/>
    <s v="MAHADEV MARBLE AND BUILDING MA"/>
    <n v="173224"/>
    <s v="D.R.MARBLE &amp; SANITORY"/>
    <n v="120"/>
    <n v="110"/>
    <n v="104.5"/>
    <n v="101"/>
    <n v="87.5"/>
    <n v="32.5"/>
    <n v="70"/>
    <n v="625.5"/>
    <n v="89.357142857142861"/>
    <x v="3"/>
    <x v="15"/>
    <x v="5"/>
    <x v="1"/>
  </r>
  <r>
    <s v="812360173224"/>
    <n v="812360"/>
    <s v="SHREE KARNI CEMENT AGENCY"/>
    <n v="173224"/>
    <s v="D.R.MARBLE &amp; SANITORY"/>
    <n v="20"/>
    <n v="45"/>
    <n v="60"/>
    <n v="40"/>
    <n v="27.5"/>
    <n v="0"/>
    <n v="0"/>
    <n v="192.5"/>
    <n v="27.5"/>
    <x v="0"/>
    <x v="15"/>
    <x v="5"/>
    <x v="1"/>
  </r>
  <r>
    <s v="812362173224"/>
    <n v="812362"/>
    <s v="NEW BALAJI BUILDING MATERIAL &amp;"/>
    <n v="173224"/>
    <s v="D.R.MARBLE &amp; SANITORY"/>
    <n v="35"/>
    <n v="30"/>
    <n v="40"/>
    <n v="26"/>
    <n v="37.5"/>
    <n v="20"/>
    <n v="0"/>
    <n v="188.5"/>
    <n v="26.928571428571427"/>
    <x v="0"/>
    <x v="15"/>
    <x v="5"/>
    <x v="1"/>
  </r>
  <r>
    <s v="812985173224"/>
    <n v="812985"/>
    <s v="M K CEMENT AGENCY"/>
    <n v="173224"/>
    <s v="D.R.MARBLE &amp; SANITORY"/>
    <n v="25"/>
    <n v="25"/>
    <n v="35"/>
    <n v="37.5"/>
    <n v="30"/>
    <n v="15"/>
    <n v="10"/>
    <n v="177.5"/>
    <n v="25.357142857142858"/>
    <x v="0"/>
    <x v="15"/>
    <x v="5"/>
    <x v="1"/>
  </r>
  <r>
    <s v="812986173224"/>
    <n v="812986"/>
    <s v="SHREE BAJRANG BALI BUILDING MA"/>
    <n v="173224"/>
    <s v="D.R.MARBLE &amp; SANITORY"/>
    <n v="25"/>
    <n v="25"/>
    <n v="35"/>
    <n v="52.5"/>
    <n v="37.5"/>
    <n v="10"/>
    <n v="0"/>
    <n v="185"/>
    <n v="26.428571428571427"/>
    <x v="0"/>
    <x v="15"/>
    <x v="5"/>
    <x v="1"/>
  </r>
  <r>
    <s v="812992173224"/>
    <n v="812992"/>
    <s v="JAI SHREE AAI MAA SUPER MARKET"/>
    <n v="173224"/>
    <s v="D.R.MARBLE &amp; SANITORY"/>
    <n v="100"/>
    <n v="95"/>
    <n v="114.5"/>
    <n v="101"/>
    <n v="70"/>
    <n v="47.5"/>
    <n v="45"/>
    <n v="573"/>
    <n v="81.857142857142861"/>
    <x v="3"/>
    <x v="15"/>
    <x v="5"/>
    <x v="1"/>
  </r>
  <r>
    <s v="812994173224"/>
    <n v="812994"/>
    <s v="MAHADEV BUILDING MATERIAL"/>
    <n v="173224"/>
    <s v="D.R.MARBLE &amp; SANITORY"/>
    <n v="98.5"/>
    <n v="85"/>
    <n v="102.5"/>
    <n v="84.5"/>
    <n v="75"/>
    <n v="37.5"/>
    <n v="35"/>
    <n v="518"/>
    <n v="74"/>
    <x v="3"/>
    <x v="15"/>
    <x v="5"/>
    <x v="1"/>
  </r>
  <r>
    <s v="814058173224"/>
    <n v="814058"/>
    <s v="SHREE VISHNU CEMENT TILES"/>
    <n v="173224"/>
    <s v="D.R.MARBLE &amp; SANITORY"/>
    <n v="28.5"/>
    <n v="40"/>
    <n v="28.5"/>
    <n v="40"/>
    <n v="55"/>
    <n v="32.5"/>
    <n v="25"/>
    <n v="249.5"/>
    <n v="35.642857142857146"/>
    <x v="4"/>
    <x v="15"/>
    <x v="5"/>
    <x v="1"/>
  </r>
  <r>
    <s v="814280173224"/>
    <n v="814280"/>
    <s v="NEW SHREE KHETESHWAR BUILDING"/>
    <n v="173224"/>
    <s v="D.R.MARBLE &amp; SANITORY"/>
    <n v="20"/>
    <n v="30"/>
    <n v="46"/>
    <n v="36"/>
    <n v="36"/>
    <n v="47.5"/>
    <n v="15"/>
    <n v="230.5"/>
    <n v="32.928571428571431"/>
    <x v="4"/>
    <x v="15"/>
    <x v="5"/>
    <x v="1"/>
  </r>
  <r>
    <s v="814661173224"/>
    <n v="814661"/>
    <s v="JAI BHAWANI TENT HOUSE"/>
    <n v="173224"/>
    <s v="D.R.MARBLE &amp; SANITORY"/>
    <n v="20"/>
    <n v="40"/>
    <n v="35"/>
    <n v="41"/>
    <n v="30"/>
    <n v="15"/>
    <n v="15"/>
    <n v="196"/>
    <n v="28"/>
    <x v="0"/>
    <x v="15"/>
    <x v="5"/>
    <x v="1"/>
  </r>
  <r>
    <s v="814874173224"/>
    <n v="814874"/>
    <s v="SHREE BAGTESH BUILDING MATERIA"/>
    <n v="173224"/>
    <s v="D.R.MARBLE &amp; SANITORY"/>
    <n v="100"/>
    <n v="105"/>
    <n v="110"/>
    <n v="55"/>
    <n v="30"/>
    <n v="0"/>
    <n v="0"/>
    <n v="400"/>
    <n v="57.142857142857146"/>
    <x v="3"/>
    <x v="15"/>
    <x v="5"/>
    <x v="1"/>
  </r>
  <r>
    <s v="814993173224"/>
    <n v="814993"/>
    <s v="MAHAVEER BUILDING MATERIAL"/>
    <n v="173224"/>
    <s v="D.R.MARBLE &amp; SANITORY"/>
    <n v="100"/>
    <n v="146"/>
    <n v="154.5"/>
    <n v="109"/>
    <n v="132.5"/>
    <n v="93.5"/>
    <n v="70"/>
    <n v="805.5"/>
    <n v="115.07142857142857"/>
    <x v="3"/>
    <x v="15"/>
    <x v="5"/>
    <x v="1"/>
  </r>
  <r>
    <s v="815484173224"/>
    <n v="815484"/>
    <s v="JAMBHESHWAR BUILDING MATERIAL"/>
    <n v="173224"/>
    <s v="D.R.MARBLE &amp; SANITORY"/>
    <n v="0"/>
    <n v="0"/>
    <n v="0"/>
    <n v="100.5"/>
    <n v="46"/>
    <n v="0"/>
    <n v="15"/>
    <n v="161.5"/>
    <n v="23.071428571428573"/>
    <x v="0"/>
    <x v="15"/>
    <x v="5"/>
    <x v="1"/>
  </r>
  <r>
    <s v="815485173224"/>
    <n v="815485"/>
    <s v="SHREE BALAJI CEMENT AGENCY"/>
    <n v="173224"/>
    <s v="D.R.MARBLE &amp; SANITORY"/>
    <n v="0"/>
    <n v="0"/>
    <n v="0"/>
    <n v="100"/>
    <n v="70"/>
    <n v="27.5"/>
    <n v="30"/>
    <n v="227.5"/>
    <n v="32.5"/>
    <x v="4"/>
    <x v="15"/>
    <x v="5"/>
    <x v="1"/>
  </r>
  <r>
    <s v="815558173224"/>
    <n v="815558"/>
    <s v="SHREE RAMDEV BUILDING MATERIAL"/>
    <n v="173224"/>
    <s v="D.R.MARBLE &amp; SANITORY"/>
    <n v="0"/>
    <n v="0"/>
    <n v="0"/>
    <n v="0"/>
    <n v="75"/>
    <n v="47.5"/>
    <n v="0"/>
    <n v="122.5"/>
    <n v="17.5"/>
    <x v="2"/>
    <x v="15"/>
    <x v="5"/>
    <x v="1"/>
  </r>
  <r>
    <s v="815798173224"/>
    <n v="815798"/>
    <s v="SHREE SAMARATHAL CEMENT AGENCY"/>
    <n v="173224"/>
    <s v="D.R.MARBLE &amp; SANITORY"/>
    <n v="0"/>
    <n v="0"/>
    <n v="0"/>
    <n v="0"/>
    <n v="92.5"/>
    <n v="57.5"/>
    <n v="65"/>
    <n v="215"/>
    <n v="30.714285714285715"/>
    <x v="4"/>
    <x v="15"/>
    <x v="5"/>
    <x v="1"/>
  </r>
  <r>
    <s v="811350177379"/>
    <n v="811350"/>
    <s v="BENIWAL CEMENT AGENCY"/>
    <n v="177379"/>
    <s v="MANGILAL &amp; SONS"/>
    <n v="43.5"/>
    <n v="30"/>
    <n v="30"/>
    <n v="20"/>
    <n v="15"/>
    <n v="123.5"/>
    <n v="60"/>
    <n v="322"/>
    <n v="46"/>
    <x v="5"/>
    <x v="15"/>
    <x v="5"/>
    <x v="1"/>
  </r>
  <r>
    <s v="812097177379"/>
    <n v="812097"/>
    <s v="HARI DARSHAN GENERAL STORE KHI"/>
    <n v="177379"/>
    <s v="MANGILAL &amp; SONS"/>
    <n v="0"/>
    <n v="27"/>
    <n v="50"/>
    <n v="60"/>
    <n v="75"/>
    <n v="50"/>
    <n v="0"/>
    <n v="262"/>
    <n v="37.428571428571431"/>
    <x v="4"/>
    <x v="15"/>
    <x v="5"/>
    <x v="1"/>
  </r>
  <r>
    <s v="814279177379"/>
    <n v="814279"/>
    <s v="JAI AAYAL MAA CEMENT"/>
    <n v="177379"/>
    <s v="MANGILAL &amp; SONS"/>
    <n v="25"/>
    <n v="30"/>
    <n v="15"/>
    <n v="70"/>
    <n v="20"/>
    <n v="25"/>
    <n v="0"/>
    <n v="185"/>
    <n v="26.428571428571427"/>
    <x v="0"/>
    <x v="15"/>
    <x v="5"/>
    <x v="1"/>
  </r>
  <r>
    <s v="814667177379"/>
    <n v="814667"/>
    <s v="SHARDA BUILDING MATERIAL"/>
    <n v="177379"/>
    <s v="MANGILAL &amp; SONS"/>
    <n v="0"/>
    <n v="0"/>
    <n v="0"/>
    <n v="25"/>
    <n v="15"/>
    <n v="0"/>
    <n v="0"/>
    <n v="40"/>
    <n v="5.7142857142857144"/>
    <x v="1"/>
    <x v="15"/>
    <x v="5"/>
    <x v="1"/>
  </r>
  <r>
    <s v="806175178230"/>
    <n v="806175"/>
    <s v="LOONKARAN PANKAJ KUMAR SANCHET"/>
    <n v="178230"/>
    <s v="SHREE RADHEY BUILDING MATERIAL"/>
    <n v="0"/>
    <n v="0"/>
    <n v="0"/>
    <n v="0"/>
    <n v="0"/>
    <n v="10"/>
    <n v="0"/>
    <n v="10"/>
    <n v="1.4285714285714286"/>
    <x v="1"/>
    <x v="15"/>
    <x v="5"/>
    <x v="1"/>
  </r>
  <r>
    <s v="809778178230"/>
    <n v="809778"/>
    <s v="RAMDEV CEMENT SUPPLIERS"/>
    <n v="178230"/>
    <s v="SHREE RADHEY BUILDING MATERIAL"/>
    <n v="65"/>
    <n v="56"/>
    <n v="45"/>
    <n v="55"/>
    <n v="65"/>
    <n v="10"/>
    <n v="20"/>
    <n v="316"/>
    <n v="45.142857142857146"/>
    <x v="5"/>
    <x v="15"/>
    <x v="5"/>
    <x v="1"/>
  </r>
  <r>
    <s v="809983178230"/>
    <n v="809983"/>
    <s v="JAMBHESHWAR BUILDING MATERIAL"/>
    <n v="178230"/>
    <s v="SHREE RADHEY BUILDING MATERIAL"/>
    <n v="0"/>
    <n v="0"/>
    <n v="0"/>
    <n v="10"/>
    <n v="15"/>
    <n v="0"/>
    <n v="0"/>
    <n v="25"/>
    <n v="3.5714285714285716"/>
    <x v="1"/>
    <x v="15"/>
    <x v="5"/>
    <x v="1"/>
  </r>
  <r>
    <s v="811085178230"/>
    <n v="811085"/>
    <s v="SHREE BALAJI SAND STONE &amp; CUTT"/>
    <n v="178230"/>
    <s v="SHREE RADHEY BUILDING MATERIAL"/>
    <n v="10"/>
    <n v="0"/>
    <n v="0"/>
    <n v="7.5"/>
    <n v="0"/>
    <n v="0"/>
    <n v="0"/>
    <n v="17.5"/>
    <n v="2.5"/>
    <x v="1"/>
    <x v="15"/>
    <x v="5"/>
    <x v="1"/>
  </r>
  <r>
    <s v="811086178230"/>
    <n v="811086"/>
    <s v="MAHADEV CEMENT AGENCY"/>
    <n v="178230"/>
    <s v="SHREE RADHEY BUILDING MATERIAL"/>
    <n v="36"/>
    <n v="40"/>
    <n v="70"/>
    <n v="86"/>
    <n v="23.5"/>
    <n v="40"/>
    <n v="25"/>
    <n v="320.5"/>
    <n v="45.785714285714285"/>
    <x v="5"/>
    <x v="15"/>
    <x v="5"/>
    <x v="1"/>
  </r>
  <r>
    <s v="811316178230"/>
    <n v="811316"/>
    <s v="KADELA BUILDING MATERIAL"/>
    <n v="178230"/>
    <s v="SHREE RADHEY BUILDING MATERIAL"/>
    <n v="100"/>
    <n v="80"/>
    <n v="36"/>
    <n v="127.5"/>
    <n v="26"/>
    <n v="0"/>
    <n v="0"/>
    <n v="369.5"/>
    <n v="52.785714285714285"/>
    <x v="3"/>
    <x v="15"/>
    <x v="5"/>
    <x v="1"/>
  </r>
  <r>
    <s v="811349178230"/>
    <n v="811349"/>
    <s v="NEW MAHADEV CONSTRUCTION COMPA"/>
    <n v="178230"/>
    <s v="SHREE RADHEY BUILDING MATERIAL"/>
    <n v="0"/>
    <n v="0"/>
    <n v="10"/>
    <n v="10"/>
    <n v="30"/>
    <n v="35"/>
    <n v="25"/>
    <n v="110"/>
    <n v="15.714285714285714"/>
    <x v="2"/>
    <x v="15"/>
    <x v="5"/>
    <x v="1"/>
  </r>
  <r>
    <s v="811683178230"/>
    <n v="811683"/>
    <s v="MEHAR CEMENT AGENCY"/>
    <n v="178230"/>
    <s v="SHREE RADHEY BUILDING MATERIAL"/>
    <n v="80"/>
    <n v="70"/>
    <n v="75"/>
    <n v="100"/>
    <n v="60"/>
    <n v="85"/>
    <n v="30"/>
    <n v="500"/>
    <n v="71.428571428571431"/>
    <x v="3"/>
    <x v="15"/>
    <x v="5"/>
    <x v="1"/>
  </r>
  <r>
    <s v="811779178230"/>
    <n v="811779"/>
    <s v="BHAVYA CEMENT AGENCY"/>
    <n v="178230"/>
    <s v="SHREE RADHEY BUILDING MATERIAL"/>
    <n v="0"/>
    <n v="0"/>
    <n v="20"/>
    <n v="0"/>
    <n v="0"/>
    <n v="0"/>
    <n v="0"/>
    <n v="20"/>
    <n v="2.8571428571428572"/>
    <x v="1"/>
    <x v="15"/>
    <x v="5"/>
    <x v="1"/>
  </r>
  <r>
    <s v="812984178230"/>
    <n v="812984"/>
    <s v="GEDAR BUILDING MATERIAL"/>
    <n v="178230"/>
    <s v="SHREE RADHEY BUILDING MATERIAL"/>
    <n v="88.5"/>
    <n v="58.5"/>
    <n v="115"/>
    <n v="73.5"/>
    <n v="40"/>
    <n v="30"/>
    <n v="15"/>
    <n v="420.5"/>
    <n v="60.071428571428569"/>
    <x v="3"/>
    <x v="15"/>
    <x v="5"/>
    <x v="1"/>
  </r>
  <r>
    <s v="813006178230"/>
    <n v="813006"/>
    <s v="D R MARBLES"/>
    <n v="178230"/>
    <s v="SHREE RADHEY BUILDING MATERIAL"/>
    <n v="40"/>
    <n v="30.5"/>
    <n v="20"/>
    <n v="0"/>
    <n v="50"/>
    <n v="0"/>
    <n v="30"/>
    <n v="170.5"/>
    <n v="24.357142857142858"/>
    <x v="0"/>
    <x v="15"/>
    <x v="5"/>
    <x v="1"/>
  </r>
  <r>
    <s v="813787178230"/>
    <n v="813787"/>
    <s v="SHREE KARANI MARBLE"/>
    <n v="178230"/>
    <s v="SHREE RADHEY BUILDING MATERIAL"/>
    <n v="35"/>
    <n v="34.5"/>
    <n v="15"/>
    <n v="50"/>
    <n v="45"/>
    <n v="10"/>
    <n v="10"/>
    <n v="199.5"/>
    <n v="28.5"/>
    <x v="0"/>
    <x v="15"/>
    <x v="5"/>
    <x v="1"/>
  </r>
  <r>
    <s v="814047178230"/>
    <n v="814047"/>
    <s v="SHREE INATH TRADING COMPANY"/>
    <n v="178230"/>
    <s v="SHREE RADHEY BUILDING MATERIAL"/>
    <n v="30"/>
    <n v="20"/>
    <n v="30"/>
    <n v="15"/>
    <n v="0"/>
    <n v="10"/>
    <n v="0"/>
    <n v="105"/>
    <n v="15"/>
    <x v="2"/>
    <x v="15"/>
    <x v="5"/>
    <x v="1"/>
  </r>
  <r>
    <s v="814665178230"/>
    <n v="814665"/>
    <s v="BHURANI SMM TRADERS"/>
    <n v="178230"/>
    <s v="SHREE RADHEY BUILDING MATERIAL"/>
    <n v="10"/>
    <n v="0"/>
    <n v="0"/>
    <n v="0"/>
    <n v="0"/>
    <n v="0"/>
    <n v="0"/>
    <n v="10"/>
    <n v="1.4285714285714286"/>
    <x v="1"/>
    <x v="15"/>
    <x v="5"/>
    <x v="1"/>
  </r>
  <r>
    <s v="815483178230"/>
    <n v="815483"/>
    <s v="DEVI KRIPA BUILDING MATERIAL"/>
    <n v="178230"/>
    <s v="SHREE RADHEY BUILDING MATERIAL"/>
    <n v="0"/>
    <n v="0"/>
    <n v="0"/>
    <n v="27.5"/>
    <n v="69"/>
    <n v="45"/>
    <n v="20"/>
    <n v="161.5"/>
    <n v="23.071428571428573"/>
    <x v="0"/>
    <x v="15"/>
    <x v="5"/>
    <x v="1"/>
  </r>
  <r>
    <s v="815557178230"/>
    <n v="815557"/>
    <s v="NAGANARAY CEMENT AGENCY"/>
    <n v="178230"/>
    <s v="SHREE RADHEY BUILDING MATERIAL"/>
    <n v="0"/>
    <n v="0"/>
    <n v="0"/>
    <n v="55"/>
    <n v="66"/>
    <n v="40"/>
    <n v="15"/>
    <n v="176"/>
    <n v="25.142857142857142"/>
    <x v="0"/>
    <x v="15"/>
    <x v="5"/>
    <x v="1"/>
  </r>
  <r>
    <s v="811275179946"/>
    <n v="811275"/>
    <s v="PRITHVI BUILDING MATERIAL"/>
    <n v="179946"/>
    <s v="GAGAN STEEL"/>
    <n v="0"/>
    <n v="0"/>
    <n v="0"/>
    <n v="11"/>
    <n v="0"/>
    <n v="0"/>
    <n v="35"/>
    <n v="46"/>
    <n v="6.5714285714285712"/>
    <x v="1"/>
    <x v="15"/>
    <x v="5"/>
    <x v="1"/>
  </r>
  <r>
    <s v="814689204810"/>
    <n v="814689"/>
    <s v="SHRI JAY BHAWANI BUILDING MATE"/>
    <n v="204810"/>
    <s v="MAA SANTOSHI CONSTRUCTION COMP"/>
    <n v="35"/>
    <n v="0"/>
    <n v="15"/>
    <n v="9.75"/>
    <n v="35"/>
    <n v="7.5"/>
    <n v="15"/>
    <n v="117.25"/>
    <n v="16.75"/>
    <x v="2"/>
    <x v="15"/>
    <x v="5"/>
    <x v="1"/>
  </r>
  <r>
    <s v="815865205343"/>
    <n v="815865"/>
    <s v="SHARAD CEMENT &amp; ADDEN SUPPLIER"/>
    <n v="205343"/>
    <s v="ARIHANT TRADERS"/>
    <n v="0"/>
    <n v="0"/>
    <n v="0"/>
    <n v="0"/>
    <n v="104"/>
    <n v="113"/>
    <n v="43.5"/>
    <n v="260.5"/>
    <n v="37.214285714285715"/>
    <x v="4"/>
    <x v="15"/>
    <x v="5"/>
    <x v="1"/>
  </r>
  <r>
    <s v="816594205742"/>
    <n v="816594"/>
    <s v="SHREE RAM CEMENT AGENCY"/>
    <n v="205742"/>
    <s v="KISTURI TRADERS"/>
    <n v="0"/>
    <n v="0"/>
    <n v="0"/>
    <n v="0"/>
    <n v="0"/>
    <n v="0"/>
    <n v="20"/>
    <n v="20"/>
    <n v="2.8571428571428572"/>
    <x v="1"/>
    <x v="15"/>
    <x v="5"/>
    <x v="1"/>
  </r>
  <r>
    <s v="816642173224"/>
    <n v="816642"/>
    <s v="BALAJI BUILDING MATERIAL"/>
    <n v="173224"/>
    <s v="D.R.MARBLE &amp; SANITORY"/>
    <n v="0"/>
    <n v="0"/>
    <n v="0"/>
    <n v="0"/>
    <n v="0"/>
    <n v="0"/>
    <n v="65"/>
    <n v="65"/>
    <n v="9.2857142857142865"/>
    <x v="1"/>
    <x v="15"/>
    <x v="5"/>
    <x v="1"/>
  </r>
  <r>
    <s v="803990140849"/>
    <n v="803990"/>
    <s v="VISHVAKARMA BUILDING MATERIAL"/>
    <n v="140849"/>
    <s v="SAWALIYA CEMENT SUPPLIERS"/>
    <n v="40"/>
    <n v="10"/>
    <n v="75"/>
    <n v="60"/>
    <n v="10"/>
    <n v="17.5"/>
    <n v="14"/>
    <n v="226.5"/>
    <n v="32.357142857142854"/>
    <x v="4"/>
    <x v="16"/>
    <x v="6"/>
    <x v="1"/>
  </r>
  <r>
    <s v="811051173849"/>
    <n v="811051"/>
    <s v="JAI AAI MATAJI"/>
    <n v="173849"/>
    <s v="MAHADEV HARDWARE"/>
    <n v="20"/>
    <n v="0"/>
    <n v="0"/>
    <n v="10"/>
    <n v="10"/>
    <n v="0"/>
    <n v="22"/>
    <n v="62"/>
    <n v="8.8571428571428577"/>
    <x v="1"/>
    <x v="16"/>
    <x v="6"/>
    <x v="1"/>
  </r>
  <r>
    <s v="810104177947"/>
    <n v="810104"/>
    <s v="GAJANAND HARDWARE STORE"/>
    <n v="177947"/>
    <s v="BHARAT BUILDING MATERIAL"/>
    <n v="0"/>
    <n v="10"/>
    <n v="0"/>
    <n v="0"/>
    <n v="10"/>
    <n v="0"/>
    <n v="0"/>
    <n v="20"/>
    <n v="2.8571428571428572"/>
    <x v="1"/>
    <x v="16"/>
    <x v="6"/>
    <x v="1"/>
  </r>
  <r>
    <s v="811052178219"/>
    <n v="811052"/>
    <s v="DEVASI TRADING COMPANY"/>
    <n v="178219"/>
    <s v="BALAJI CEMENT COMPANY"/>
    <n v="1"/>
    <n v="0"/>
    <n v="20"/>
    <n v="0"/>
    <n v="0"/>
    <n v="0"/>
    <n v="0"/>
    <n v="21"/>
    <n v="3"/>
    <x v="1"/>
    <x v="16"/>
    <x v="6"/>
    <x v="1"/>
  </r>
  <r>
    <s v="811545178460"/>
    <n v="811545"/>
    <s v="SHREE KULETI CEMENT SUPPLIERS"/>
    <n v="178460"/>
    <s v="BHARAT KUMAR PREMJI MALI"/>
    <n v="46"/>
    <n v="45"/>
    <n v="20"/>
    <n v="37"/>
    <n v="53"/>
    <n v="15"/>
    <n v="33"/>
    <n v="249"/>
    <n v="35.571428571428569"/>
    <x v="4"/>
    <x v="16"/>
    <x v="6"/>
    <x v="1"/>
  </r>
  <r>
    <s v="815509203651"/>
    <n v="815509"/>
    <s v="GALABA RAM S/O MEGHA RAM CHOUD"/>
    <n v="203651"/>
    <s v="VINAYAK STEEL TRADERS"/>
    <n v="0"/>
    <n v="0"/>
    <n v="0"/>
    <n v="105"/>
    <n v="138"/>
    <n v="110"/>
    <n v="45"/>
    <n v="398"/>
    <n v="56.857142857142854"/>
    <x v="3"/>
    <x v="16"/>
    <x v="6"/>
    <x v="1"/>
  </r>
  <r>
    <s v="804744206066"/>
    <n v="804744"/>
    <s v="MAHALAXMI STEEL TRADERS"/>
    <n v="206066"/>
    <s v="GAJANAND CEMENT AGENCY"/>
    <n v="24"/>
    <n v="0"/>
    <n v="0"/>
    <n v="15"/>
    <n v="60"/>
    <n v="78.75"/>
    <n v="45"/>
    <n v="222.75"/>
    <n v="31.821428571428573"/>
    <x v="4"/>
    <x v="16"/>
    <x v="6"/>
    <x v="1"/>
  </r>
  <r>
    <s v="807683206066"/>
    <n v="807683"/>
    <s v="KANAK PRABHU TRADING CO"/>
    <n v="206066"/>
    <s v="GAJANAND CEMENT AGENCY"/>
    <n v="84"/>
    <n v="34"/>
    <n v="36"/>
    <n v="100"/>
    <n v="40"/>
    <n v="80"/>
    <n v="30"/>
    <n v="404"/>
    <n v="57.714285714285715"/>
    <x v="3"/>
    <x v="16"/>
    <x v="6"/>
    <x v="1"/>
  </r>
  <r>
    <s v="808575206066"/>
    <n v="808575"/>
    <s v="DHANLAXMI TRADING COMPANY"/>
    <n v="206066"/>
    <s v="GAJANAND CEMENT AGENCY"/>
    <n v="48"/>
    <n v="0"/>
    <n v="0"/>
    <n v="0"/>
    <n v="0"/>
    <n v="10"/>
    <n v="0"/>
    <n v="58"/>
    <n v="8.2857142857142865"/>
    <x v="1"/>
    <x v="16"/>
    <x v="6"/>
    <x v="1"/>
  </r>
  <r>
    <s v="811513206066"/>
    <n v="811513"/>
    <s v="SHREE DHANLAXMI TRADING COMPAN"/>
    <n v="206066"/>
    <s v="GAJANAND CEMENT AGENCY"/>
    <n v="116"/>
    <n v="61"/>
    <n v="63"/>
    <n v="134.5"/>
    <n v="115"/>
    <n v="65"/>
    <n v="44.5"/>
    <n v="599"/>
    <n v="85.571428571428569"/>
    <x v="3"/>
    <x v="16"/>
    <x v="6"/>
    <x v="1"/>
  </r>
  <r>
    <s v="813146206066"/>
    <n v="813146"/>
    <s v="SHREE ASHAPURA BUILDING MATERI"/>
    <n v="206066"/>
    <s v="GAJANAND CEMENT AGENCY"/>
    <n v="120"/>
    <n v="29"/>
    <n v="48"/>
    <n v="145"/>
    <n v="142"/>
    <n v="200"/>
    <n v="30"/>
    <n v="714"/>
    <n v="102"/>
    <x v="3"/>
    <x v="16"/>
    <x v="6"/>
    <x v="1"/>
  </r>
  <r>
    <s v="814910206066"/>
    <n v="814910"/>
    <s v="BHANWAR LAL"/>
    <n v="206066"/>
    <s v="GAJANAND CEMENT AGENCY"/>
    <n v="157"/>
    <n v="80"/>
    <n v="12"/>
    <n v="114"/>
    <n v="100"/>
    <n v="185"/>
    <n v="60"/>
    <n v="708"/>
    <n v="101.14285714285714"/>
    <x v="3"/>
    <x v="16"/>
    <x v="6"/>
    <x v="1"/>
  </r>
  <r>
    <s v="815510206066"/>
    <n v="815510"/>
    <s v="SHANTI LAL"/>
    <n v="206066"/>
    <s v="GAJANAND CEMENT AGENCY"/>
    <n v="0"/>
    <n v="0"/>
    <n v="0"/>
    <n v="80"/>
    <n v="70"/>
    <n v="73"/>
    <n v="45"/>
    <n v="268"/>
    <n v="38.285714285714285"/>
    <x v="4"/>
    <x v="16"/>
    <x v="6"/>
    <x v="1"/>
  </r>
  <r>
    <s v="805870206441"/>
    <n v="805870"/>
    <s v="SURESH KUMAR PUKHRAJ"/>
    <n v="206441"/>
    <s v="SHREE AMBIKA CEMENT COMPANY"/>
    <n v="40"/>
    <n v="20"/>
    <n v="67"/>
    <n v="60"/>
    <n v="90"/>
    <n v="59"/>
    <n v="45"/>
    <n v="381"/>
    <n v="54.428571428571431"/>
    <x v="3"/>
    <x v="16"/>
    <x v="6"/>
    <x v="1"/>
  </r>
  <r>
    <s v="813621206441"/>
    <n v="813621"/>
    <s v="DHANLAXMI CEMENT AGENCY"/>
    <n v="206441"/>
    <s v="SHREE AMBIKA CEMENT COMPANY"/>
    <n v="10"/>
    <n v="0"/>
    <n v="0"/>
    <n v="10"/>
    <n v="65"/>
    <n v="0"/>
    <n v="6.5"/>
    <n v="91.5"/>
    <n v="13.071428571428571"/>
    <x v="2"/>
    <x v="16"/>
    <x v="6"/>
    <x v="1"/>
  </r>
  <r>
    <s v="814839206441"/>
    <n v="814839"/>
    <s v="VIKRAM KUMAR PRAJAPAT"/>
    <n v="206441"/>
    <s v="SHREE AMBIKA CEMENT COMPANY"/>
    <n v="90"/>
    <n v="10"/>
    <n v="52"/>
    <n v="70"/>
    <n v="65"/>
    <n v="45"/>
    <n v="46.5"/>
    <n v="378.5"/>
    <n v="54.071428571428569"/>
    <x v="3"/>
    <x v="16"/>
    <x v="6"/>
    <x v="1"/>
  </r>
  <r>
    <s v="814901206441"/>
    <n v="814901"/>
    <s v="SURESH KUMAR HEMAJI PRAJAPAT"/>
    <n v="206441"/>
    <s v="SHREE AMBIKA CEMENT COMPANY"/>
    <n v="0"/>
    <n v="0"/>
    <n v="0"/>
    <n v="30"/>
    <n v="80"/>
    <n v="60"/>
    <n v="40"/>
    <n v="210"/>
    <n v="30"/>
    <x v="4"/>
    <x v="16"/>
    <x v="6"/>
    <x v="1"/>
  </r>
  <r>
    <s v="814805206956"/>
    <n v="814805"/>
    <s v="SHOKAT KHAN"/>
    <n v="206956"/>
    <s v="KHETESHWAR DATA CONTRACTOR"/>
    <n v="50"/>
    <n v="44"/>
    <n v="116"/>
    <n v="109.5"/>
    <n v="92.75"/>
    <n v="65"/>
    <n v="15"/>
    <n v="492.25"/>
    <n v="70.321428571428569"/>
    <x v="3"/>
    <x v="16"/>
    <x v="6"/>
    <x v="1"/>
  </r>
  <r>
    <s v="806885206441"/>
    <n v="806885"/>
    <s v="NEW RAMDEV KIRANA STORE"/>
    <n v="206441"/>
    <s v="SHREE AMBIKA CEMENT COMPANY"/>
    <n v="0"/>
    <n v="0"/>
    <n v="0"/>
    <n v="0"/>
    <n v="0"/>
    <n v="0"/>
    <n v="14"/>
    <n v="14"/>
    <n v="2"/>
    <x v="1"/>
    <x v="16"/>
    <x v="6"/>
    <x v="1"/>
  </r>
  <r>
    <s v="816427173849"/>
    <n v="816427"/>
    <s v="KHEEM SINGH"/>
    <n v="173849"/>
    <s v="MAHADEV HARDWARE"/>
    <n v="0"/>
    <n v="0"/>
    <n v="0"/>
    <n v="0"/>
    <n v="0"/>
    <n v="0"/>
    <n v="18"/>
    <n v="18"/>
    <n v="2.5714285714285716"/>
    <x v="1"/>
    <x v="16"/>
    <x v="6"/>
    <x v="1"/>
  </r>
  <r>
    <s v="801727170904"/>
    <n v="801727"/>
    <s v="RAMESH KUMAR DHAN RAJ JI"/>
    <n v="170904"/>
    <s v="ASHAPURA CEMENT SALES"/>
    <n v="0"/>
    <n v="0"/>
    <n v="0"/>
    <n v="0"/>
    <n v="0"/>
    <n v="5"/>
    <n v="0"/>
    <n v="5"/>
    <n v="0.7142857142857143"/>
    <x v="1"/>
    <x v="17"/>
    <x v="6"/>
    <x v="1"/>
  </r>
  <r>
    <s v="807258170904"/>
    <n v="807258"/>
    <s v="SHREE BALAJI CEMENT SALES"/>
    <n v="170904"/>
    <s v="ASHAPURA CEMENT SALES"/>
    <n v="16"/>
    <n v="23"/>
    <n v="20"/>
    <n v="26"/>
    <n v="39"/>
    <n v="25"/>
    <n v="11"/>
    <n v="160"/>
    <n v="22.857142857142858"/>
    <x v="0"/>
    <x v="17"/>
    <x v="6"/>
    <x v="1"/>
  </r>
  <r>
    <s v="808413170904"/>
    <n v="808413"/>
    <s v="SHREE BAJRANG HARDWARE"/>
    <n v="170904"/>
    <s v="ASHAPURA CEMENT SALES"/>
    <n v="28"/>
    <n v="48"/>
    <n v="52"/>
    <n v="89"/>
    <n v="93"/>
    <n v="65"/>
    <n v="34"/>
    <n v="409"/>
    <n v="58.428571428571431"/>
    <x v="3"/>
    <x v="17"/>
    <x v="6"/>
    <x v="1"/>
  </r>
  <r>
    <s v="809212170904"/>
    <n v="809212"/>
    <s v="SAMA RAM"/>
    <n v="170904"/>
    <s v="ASHAPURA CEMENT SALES"/>
    <n v="16"/>
    <n v="30"/>
    <n v="38"/>
    <n v="55"/>
    <n v="18"/>
    <n v="48"/>
    <n v="16"/>
    <n v="221"/>
    <n v="31.571428571428573"/>
    <x v="4"/>
    <x v="17"/>
    <x v="6"/>
    <x v="1"/>
  </r>
  <r>
    <s v="809421170904"/>
    <n v="809421"/>
    <s v="KALA RAM CHOUDHARY"/>
    <n v="170904"/>
    <s v="ASHAPURA CEMENT SALES"/>
    <n v="16"/>
    <n v="12"/>
    <n v="20"/>
    <n v="36"/>
    <n v="20"/>
    <n v="32"/>
    <n v="0"/>
    <n v="136"/>
    <n v="19.428571428571427"/>
    <x v="2"/>
    <x v="17"/>
    <x v="6"/>
    <x v="1"/>
  </r>
  <r>
    <s v="813983170904"/>
    <n v="813983"/>
    <s v="RAMESH KUMAR"/>
    <n v="170904"/>
    <s v="ASHAPURA CEMENT SALES"/>
    <n v="43"/>
    <n v="56"/>
    <n v="44"/>
    <n v="63"/>
    <n v="61"/>
    <n v="57.5"/>
    <n v="21"/>
    <n v="345.5"/>
    <n v="49.357142857142854"/>
    <x v="5"/>
    <x v="17"/>
    <x v="6"/>
    <x v="1"/>
  </r>
  <r>
    <s v="814905170904"/>
    <n v="814905"/>
    <s v="PRAVEEN CHOUDHARY"/>
    <n v="170904"/>
    <s v="ASHAPURA CEMENT SALES"/>
    <n v="88"/>
    <n v="54"/>
    <n v="54"/>
    <n v="68"/>
    <n v="71"/>
    <n v="73"/>
    <n v="37"/>
    <n v="445"/>
    <n v="63.571428571428569"/>
    <x v="3"/>
    <x v="17"/>
    <x v="6"/>
    <x v="1"/>
  </r>
  <r>
    <s v="815271170904"/>
    <n v="815271"/>
    <s v="VAGTA RAM SIRVI"/>
    <n v="170904"/>
    <s v="ASHAPURA CEMENT SALES"/>
    <n v="0"/>
    <n v="0"/>
    <n v="47"/>
    <n v="66"/>
    <n v="81.75"/>
    <n v="65"/>
    <n v="37.65"/>
    <n v="297.39999999999998"/>
    <n v="42.48571428571428"/>
    <x v="5"/>
    <x v="17"/>
    <x v="6"/>
    <x v="1"/>
  </r>
  <r>
    <s v="809279173288"/>
    <n v="809279"/>
    <s v="AAI JI CEMENT"/>
    <n v="173288"/>
    <s v="BHAGWATI STEELS"/>
    <n v="0"/>
    <n v="18"/>
    <n v="10"/>
    <n v="17.5"/>
    <n v="6"/>
    <n v="17.5"/>
    <n v="0"/>
    <n v="69"/>
    <n v="9.8571428571428577"/>
    <x v="1"/>
    <x v="17"/>
    <x v="6"/>
    <x v="1"/>
  </r>
  <r>
    <s v="811071173288"/>
    <n v="811071"/>
    <s v="MAA ASHAPURA CEMENT DEPOT"/>
    <n v="173288"/>
    <s v="BHAGWATI STEELS"/>
    <n v="0"/>
    <n v="26"/>
    <n v="16"/>
    <n v="7.5"/>
    <n v="0"/>
    <n v="18"/>
    <n v="0"/>
    <n v="67.5"/>
    <n v="9.6428571428571423"/>
    <x v="1"/>
    <x v="17"/>
    <x v="6"/>
    <x v="1"/>
  </r>
  <r>
    <s v="811214173288"/>
    <n v="811214"/>
    <s v="BHAGWATI BUILDING MATERIAL"/>
    <n v="173288"/>
    <s v="BHAGWATI STEELS"/>
    <n v="0"/>
    <n v="26"/>
    <n v="45"/>
    <n v="13"/>
    <n v="9"/>
    <n v="22"/>
    <n v="0"/>
    <n v="115"/>
    <n v="16.428571428571427"/>
    <x v="2"/>
    <x v="17"/>
    <x v="6"/>
    <x v="1"/>
  </r>
  <r>
    <s v="807259176929"/>
    <n v="807259"/>
    <s v="MAHADEV AGENCIES"/>
    <n v="176929"/>
    <s v="BHARAT TRADERS"/>
    <n v="12"/>
    <n v="0"/>
    <n v="0"/>
    <n v="40"/>
    <n v="0.5"/>
    <n v="42"/>
    <n v="8"/>
    <n v="102.5"/>
    <n v="14.642857142857142"/>
    <x v="2"/>
    <x v="17"/>
    <x v="6"/>
    <x v="1"/>
  </r>
  <r>
    <s v="809552176929"/>
    <n v="809552"/>
    <s v="PRAGATI CEMENT BHANDAR"/>
    <n v="176929"/>
    <s v="BHARAT TRADERS"/>
    <n v="89"/>
    <n v="0"/>
    <n v="35"/>
    <n v="92"/>
    <n v="99.75"/>
    <n v="127"/>
    <n v="38"/>
    <n v="480.75"/>
    <n v="68.678571428571431"/>
    <x v="3"/>
    <x v="17"/>
    <x v="6"/>
    <x v="1"/>
  </r>
  <r>
    <s v="810304176929"/>
    <n v="810304"/>
    <s v="MATESHWARI CEMENT AGENCY"/>
    <n v="176929"/>
    <s v="BHARAT TRADERS"/>
    <n v="22"/>
    <n v="0"/>
    <n v="0"/>
    <n v="0"/>
    <n v="0"/>
    <n v="0"/>
    <n v="0"/>
    <n v="22"/>
    <n v="3.1428571428571428"/>
    <x v="1"/>
    <x v="17"/>
    <x v="6"/>
    <x v="1"/>
  </r>
  <r>
    <s v="808578179928"/>
    <n v="808578"/>
    <s v="KANTI LAL"/>
    <n v="179928"/>
    <s v="BHAIRAV BUILDING MATERIAL SUPP"/>
    <n v="61"/>
    <n v="65"/>
    <n v="56.5"/>
    <n v="44.5"/>
    <n v="105.5"/>
    <n v="28"/>
    <n v="7"/>
    <n v="367.5"/>
    <n v="52.5"/>
    <x v="3"/>
    <x v="17"/>
    <x v="6"/>
    <x v="1"/>
  </r>
  <r>
    <s v="812664179928"/>
    <n v="812664"/>
    <s v="SHAKTI SINGH"/>
    <n v="179928"/>
    <s v="BHAIRAV BUILDING MATERIAL SUPP"/>
    <n v="89.5"/>
    <n v="61"/>
    <n v="66"/>
    <n v="38"/>
    <n v="56.75"/>
    <n v="10"/>
    <n v="0"/>
    <n v="321.25"/>
    <n v="45.892857142857146"/>
    <x v="5"/>
    <x v="17"/>
    <x v="6"/>
    <x v="1"/>
  </r>
  <r>
    <s v="812666179928"/>
    <n v="812666"/>
    <s v="JAI ASHAPURA MARBLE GRANITE &amp;"/>
    <n v="179928"/>
    <s v="BHAIRAV BUILDING MATERIAL SUPP"/>
    <n v="110.5"/>
    <n v="50"/>
    <n v="65.5"/>
    <n v="71.849999999999994"/>
    <n v="104"/>
    <n v="60"/>
    <n v="26"/>
    <n v="487.85"/>
    <n v="69.69285714285715"/>
    <x v="3"/>
    <x v="17"/>
    <x v="6"/>
    <x v="1"/>
  </r>
  <r>
    <s v="813192179928"/>
    <n v="813192"/>
    <s v="THANA RAM PRAJAPATI"/>
    <n v="179928"/>
    <s v="BHAIRAV BUILDING MATERIAL SUPP"/>
    <n v="47"/>
    <n v="34"/>
    <n v="29"/>
    <n v="20.5"/>
    <n v="39.5"/>
    <n v="0"/>
    <n v="25"/>
    <n v="195"/>
    <n v="27.857142857142858"/>
    <x v="0"/>
    <x v="17"/>
    <x v="6"/>
    <x v="1"/>
  </r>
  <r>
    <s v="815869179928"/>
    <n v="815869"/>
    <s v="SHARIF KHAN"/>
    <n v="179928"/>
    <s v="BHAIRAV BUILDING MATERIAL SUPP"/>
    <n v="0"/>
    <n v="0"/>
    <n v="0"/>
    <n v="0"/>
    <n v="0"/>
    <n v="42.75"/>
    <n v="45"/>
    <n v="87.75"/>
    <n v="12.535714285714286"/>
    <x v="2"/>
    <x v="17"/>
    <x v="6"/>
    <x v="1"/>
  </r>
  <r>
    <s v="815946179928"/>
    <n v="815946"/>
    <s v="PARKA RAM PATEL"/>
    <n v="179928"/>
    <s v="BHAIRAV BUILDING MATERIAL SUPP"/>
    <n v="0"/>
    <n v="0"/>
    <n v="0"/>
    <n v="0"/>
    <n v="0"/>
    <n v="31"/>
    <n v="46"/>
    <n v="77"/>
    <n v="11"/>
    <x v="2"/>
    <x v="17"/>
    <x v="6"/>
    <x v="1"/>
  </r>
  <r>
    <s v="804429201280"/>
    <n v="804429"/>
    <s v="LACKY CEMENT AGENCY"/>
    <n v="201280"/>
    <s v="SIDDHI VINAYAK CEMENT DISTRIBU"/>
    <n v="0"/>
    <n v="0"/>
    <n v="8"/>
    <n v="37"/>
    <n v="15"/>
    <n v="15"/>
    <n v="0"/>
    <n v="75"/>
    <n v="10.714285714285714"/>
    <x v="2"/>
    <x v="17"/>
    <x v="6"/>
    <x v="1"/>
  </r>
  <r>
    <s v="807704201280"/>
    <n v="807704"/>
    <s v="SANWARIYA MARBLE AND STONE"/>
    <n v="201280"/>
    <s v="SIDDHI VINAYAK CEMENT DISTRIBU"/>
    <n v="20"/>
    <n v="45"/>
    <n v="32"/>
    <n v="19.649999999999999"/>
    <n v="97"/>
    <n v="31"/>
    <n v="0"/>
    <n v="244.65"/>
    <n v="34.950000000000003"/>
    <x v="4"/>
    <x v="17"/>
    <x v="6"/>
    <x v="1"/>
  </r>
  <r>
    <s v="807826201280"/>
    <n v="807826"/>
    <s v="BHAIRAV TRADING COMPANY"/>
    <n v="201280"/>
    <s v="SIDDHI VINAYAK CEMENT DISTRIBU"/>
    <n v="0"/>
    <n v="0"/>
    <n v="12"/>
    <n v="8"/>
    <n v="0"/>
    <n v="31"/>
    <n v="0"/>
    <n v="51"/>
    <n v="7.2857142857142856"/>
    <x v="1"/>
    <x v="17"/>
    <x v="6"/>
    <x v="1"/>
  </r>
  <r>
    <s v="810894201280"/>
    <n v="810894"/>
    <s v="SHRI KHETLAJI HARDWARE"/>
    <n v="201280"/>
    <s v="SIDDHI VINAYAK CEMENT DISTRIBU"/>
    <n v="0"/>
    <n v="37"/>
    <n v="62.5"/>
    <n v="116.5"/>
    <n v="103.75"/>
    <n v="74.5"/>
    <n v="42"/>
    <n v="436.25"/>
    <n v="62.321428571428569"/>
    <x v="3"/>
    <x v="17"/>
    <x v="6"/>
    <x v="1"/>
  </r>
  <r>
    <s v="811685201280"/>
    <n v="811685"/>
    <s v="SHREE CHAMUNDA STONE"/>
    <n v="201280"/>
    <s v="SIDDHI VINAYAK CEMENT DISTRIBU"/>
    <n v="60"/>
    <n v="0"/>
    <n v="35"/>
    <n v="102.5"/>
    <n v="88"/>
    <n v="64"/>
    <n v="25"/>
    <n v="374.5"/>
    <n v="53.5"/>
    <x v="3"/>
    <x v="17"/>
    <x v="6"/>
    <x v="1"/>
  </r>
  <r>
    <s v="811735201280"/>
    <n v="811735"/>
    <s v="FARHAN AHMED"/>
    <n v="201280"/>
    <s v="SIDDHI VINAYAK CEMENT DISTRIBU"/>
    <n v="99"/>
    <n v="63"/>
    <n v="82.25"/>
    <n v="139"/>
    <n v="54"/>
    <n v="76.5"/>
    <n v="47"/>
    <n v="560.75"/>
    <n v="80.107142857142861"/>
    <x v="3"/>
    <x v="17"/>
    <x v="6"/>
    <x v="1"/>
  </r>
  <r>
    <s v="812668201280"/>
    <n v="812668"/>
    <s v="SAILANI CEMENT AGENCY"/>
    <n v="201280"/>
    <s v="SIDDHI VINAYAK CEMENT DISTRIBU"/>
    <n v="30"/>
    <n v="15"/>
    <n v="15"/>
    <n v="21"/>
    <n v="43.5"/>
    <n v="15.5"/>
    <n v="0"/>
    <n v="140"/>
    <n v="20"/>
    <x v="0"/>
    <x v="17"/>
    <x v="6"/>
    <x v="1"/>
  </r>
  <r>
    <s v="812792201280"/>
    <n v="812792"/>
    <s v="VINAYAK CEMENT AGENCY"/>
    <n v="201280"/>
    <s v="SIDDHI VINAYAK CEMENT DISTRIBU"/>
    <n v="0"/>
    <n v="0"/>
    <n v="0"/>
    <n v="102"/>
    <n v="57"/>
    <n v="107"/>
    <n v="58"/>
    <n v="324"/>
    <n v="46.285714285714285"/>
    <x v="5"/>
    <x v="17"/>
    <x v="6"/>
    <x v="1"/>
  </r>
  <r>
    <s v="812996201280"/>
    <n v="812996"/>
    <s v="MAHESH KUMAR BHIKAM CHAND CEME"/>
    <n v="201280"/>
    <s v="SIDDHI VINAYAK CEMENT DISTRIBU"/>
    <n v="72"/>
    <n v="0"/>
    <n v="31"/>
    <n v="26"/>
    <n v="2"/>
    <n v="14"/>
    <n v="0"/>
    <n v="145"/>
    <n v="20.714285714285715"/>
    <x v="0"/>
    <x v="17"/>
    <x v="6"/>
    <x v="1"/>
  </r>
  <r>
    <s v="813001201280"/>
    <n v="813001"/>
    <s v="MANROOP TARACHAND AGARWAL"/>
    <n v="201280"/>
    <s v="SIDDHI VINAYAK CEMENT DISTRIBU"/>
    <n v="45"/>
    <n v="0"/>
    <n v="84"/>
    <n v="89"/>
    <n v="22"/>
    <n v="1"/>
    <n v="0"/>
    <n v="241"/>
    <n v="34.428571428571431"/>
    <x v="4"/>
    <x v="17"/>
    <x v="6"/>
    <x v="1"/>
  </r>
  <r>
    <s v="813002201280"/>
    <n v="813002"/>
    <s v="NIKHIL CHANDANI"/>
    <n v="201280"/>
    <s v="SIDDHI VINAYAK CEMENT DISTRIBU"/>
    <n v="376.7"/>
    <n v="0"/>
    <n v="0"/>
    <n v="113"/>
    <n v="156"/>
    <n v="157"/>
    <n v="221"/>
    <n v="1023.7"/>
    <n v="146.24285714285716"/>
    <x v="3"/>
    <x v="17"/>
    <x v="6"/>
    <x v="1"/>
  </r>
  <r>
    <s v="814130201280"/>
    <n v="814130"/>
    <s v="AMIR SOHIL"/>
    <n v="201280"/>
    <s v="SIDDHI VINAYAK CEMENT DISTRIBU"/>
    <n v="150.25"/>
    <n v="55"/>
    <n v="130"/>
    <n v="110.4"/>
    <n v="96"/>
    <n v="86"/>
    <n v="40"/>
    <n v="667.65"/>
    <n v="95.378571428571419"/>
    <x v="3"/>
    <x v="17"/>
    <x v="6"/>
    <x v="1"/>
  </r>
  <r>
    <s v="814891201280"/>
    <n v="814891"/>
    <s v="SHANTI  LAL JAIN"/>
    <n v="201280"/>
    <s v="SIDDHI VINAYAK CEMENT DISTRIBU"/>
    <n v="30"/>
    <n v="25"/>
    <n v="42"/>
    <n v="51.5"/>
    <n v="54"/>
    <n v="37"/>
    <n v="30"/>
    <n v="269.5"/>
    <n v="38.5"/>
    <x v="4"/>
    <x v="17"/>
    <x v="6"/>
    <x v="1"/>
  </r>
  <r>
    <s v="801878176773"/>
    <n v="801878"/>
    <s v="CHAMUNDA CEMENT AGENCY"/>
    <n v="176773"/>
    <s v="MANIK CHAND LAKHMI CHAND"/>
    <n v="70.5"/>
    <n v="147.05000000000001"/>
    <n v="136.5"/>
    <n v="107.2"/>
    <n v="84"/>
    <n v="50.25"/>
    <n v="40.85"/>
    <n v="636.35"/>
    <n v="90.907142857142858"/>
    <x v="3"/>
    <x v="18"/>
    <x v="6"/>
    <x v="1"/>
  </r>
  <r>
    <s v="801883176773"/>
    <n v="801883"/>
    <s v="SHRI RAM TRADERS"/>
    <n v="176773"/>
    <s v="MANIK CHAND LAKHMI CHAND"/>
    <n v="90"/>
    <n v="216.5"/>
    <n v="246.5"/>
    <n v="366.5"/>
    <n v="328.25"/>
    <n v="146.25"/>
    <n v="169.1"/>
    <n v="1563.1"/>
    <n v="223.29999999999998"/>
    <x v="3"/>
    <x v="18"/>
    <x v="6"/>
    <x v="1"/>
  </r>
  <r>
    <s v="801999176773"/>
    <n v="801999"/>
    <s v="MAHENDRA TRADERS"/>
    <n v="176773"/>
    <s v="MANIK CHAND LAKHMI CHAND"/>
    <n v="138"/>
    <n v="204.5"/>
    <n v="199.05"/>
    <n v="241.1"/>
    <n v="179.5"/>
    <n v="129.15"/>
    <n v="128.65"/>
    <n v="1219.95"/>
    <n v="174.27857142857144"/>
    <x v="3"/>
    <x v="18"/>
    <x v="6"/>
    <x v="1"/>
  </r>
  <r>
    <s v="802044176773"/>
    <n v="802044"/>
    <s v="PAWAN SALES AGENCIES"/>
    <n v="176773"/>
    <s v="MANIK CHAND LAKHMI CHAND"/>
    <n v="50"/>
    <n v="80"/>
    <n v="91.5"/>
    <n v="78"/>
    <n v="42.5"/>
    <n v="25"/>
    <n v="57.5"/>
    <n v="424.5"/>
    <n v="60.642857142857146"/>
    <x v="3"/>
    <x v="18"/>
    <x v="6"/>
    <x v="1"/>
  </r>
  <r>
    <s v="802089176773"/>
    <n v="802089"/>
    <s v="RAKESH AGENCIES"/>
    <n v="176773"/>
    <s v="MANIK CHAND LAKHMI CHAND"/>
    <n v="103.9"/>
    <n v="122.5"/>
    <n v="103.5"/>
    <n v="120"/>
    <n v="135"/>
    <n v="111.55"/>
    <n v="99"/>
    <n v="795.44999999999993"/>
    <n v="113.63571428571427"/>
    <x v="3"/>
    <x v="18"/>
    <x v="6"/>
    <x v="1"/>
  </r>
  <r>
    <s v="802117176773"/>
    <n v="802117"/>
    <s v="GAYTRI TRADING COMPANY"/>
    <n v="176773"/>
    <s v="MANIK CHAND LAKHMI CHAND"/>
    <n v="165"/>
    <n v="215"/>
    <n v="225"/>
    <n v="277"/>
    <n v="208.5"/>
    <n v="175"/>
    <n v="140"/>
    <n v="1405.5"/>
    <n v="200.78571428571428"/>
    <x v="3"/>
    <x v="18"/>
    <x v="6"/>
    <x v="1"/>
  </r>
  <r>
    <s v="802913176773"/>
    <n v="802913"/>
    <s v="GAYATRI SALES"/>
    <n v="176773"/>
    <s v="MANIK CHAND LAKHMI CHAND"/>
    <n v="39.9"/>
    <n v="27.5"/>
    <n v="60"/>
    <n v="137.65"/>
    <n v="105"/>
    <n v="88.5"/>
    <n v="56"/>
    <n v="514.54999999999995"/>
    <n v="73.507142857142853"/>
    <x v="3"/>
    <x v="18"/>
    <x v="6"/>
    <x v="1"/>
  </r>
  <r>
    <s v="803351176773"/>
    <n v="803351"/>
    <s v="NAGANESHI CEMENT"/>
    <n v="176773"/>
    <s v="MANIK CHAND LAKHMI CHAND"/>
    <n v="0"/>
    <n v="15"/>
    <n v="26"/>
    <n v="17.5"/>
    <n v="0"/>
    <n v="0"/>
    <n v="10"/>
    <n v="68.5"/>
    <n v="9.7857142857142865"/>
    <x v="1"/>
    <x v="18"/>
    <x v="6"/>
    <x v="1"/>
  </r>
  <r>
    <s v="805872176773"/>
    <n v="805872"/>
    <s v="RAMDEV STONE POLISHING"/>
    <n v="176773"/>
    <s v="MANIK CHAND LAKHMI CHAND"/>
    <n v="32.5"/>
    <n v="35"/>
    <n v="60"/>
    <n v="37.5"/>
    <n v="50.25"/>
    <n v="0"/>
    <n v="0"/>
    <n v="215.25"/>
    <n v="30.75"/>
    <x v="4"/>
    <x v="18"/>
    <x v="6"/>
    <x v="1"/>
  </r>
  <r>
    <s v="807949176773"/>
    <n v="807949"/>
    <s v="VISHNU CEMENT DEPO"/>
    <n v="176773"/>
    <s v="MANIK CHAND LAKHMI CHAND"/>
    <n v="20"/>
    <n v="25"/>
    <n v="30"/>
    <n v="12.5"/>
    <n v="32.5"/>
    <n v="20"/>
    <n v="12.5"/>
    <n v="152.5"/>
    <n v="21.785714285714285"/>
    <x v="0"/>
    <x v="18"/>
    <x v="6"/>
    <x v="1"/>
  </r>
  <r>
    <s v="808693176773"/>
    <n v="808693"/>
    <s v="VARUN ENTERPRISES"/>
    <n v="176773"/>
    <s v="MANIK CHAND LAKHMI CHAND"/>
    <n v="71"/>
    <n v="87.5"/>
    <n v="314"/>
    <n v="185"/>
    <n v="284.5"/>
    <n v="172.85"/>
    <n v="162.5"/>
    <n v="1277.3499999999999"/>
    <n v="182.47857142857143"/>
    <x v="3"/>
    <x v="18"/>
    <x v="6"/>
    <x v="1"/>
  </r>
  <r>
    <s v="810843176773"/>
    <n v="810843"/>
    <s v="RAJESHWAR KIRANA STORE"/>
    <n v="176773"/>
    <s v="MANIK CHAND LAKHMI CHAND"/>
    <n v="14.5"/>
    <n v="17.5"/>
    <n v="42.5"/>
    <n v="63.5"/>
    <n v="42.25"/>
    <n v="22.5"/>
    <n v="19.5"/>
    <n v="222.25"/>
    <n v="31.75"/>
    <x v="4"/>
    <x v="18"/>
    <x v="6"/>
    <x v="1"/>
  </r>
  <r>
    <s v="811255176773"/>
    <n v="811255"/>
    <s v="SHAKTI STEEL"/>
    <n v="176773"/>
    <s v="MANIK CHAND LAKHMI CHAND"/>
    <n v="15"/>
    <n v="15"/>
    <n v="15"/>
    <n v="26.25"/>
    <n v="15"/>
    <n v="15"/>
    <n v="15"/>
    <n v="116.25"/>
    <n v="16.607142857142858"/>
    <x v="2"/>
    <x v="18"/>
    <x v="6"/>
    <x v="1"/>
  </r>
  <r>
    <s v="811625176773"/>
    <n v="811625"/>
    <s v="KAILASH KUMAR MALI S/O SHRI UK"/>
    <n v="176773"/>
    <s v="MANIK CHAND LAKHMI CHAND"/>
    <n v="45"/>
    <n v="30.25"/>
    <n v="33"/>
    <n v="49.75"/>
    <n v="27"/>
    <n v="40.9"/>
    <n v="31.5"/>
    <n v="257.39999999999998"/>
    <n v="36.771428571428565"/>
    <x v="4"/>
    <x v="18"/>
    <x v="6"/>
    <x v="1"/>
  </r>
  <r>
    <s v="812768176773"/>
    <n v="812768"/>
    <s v="SHRI BALAJI CEMENT AGENCY"/>
    <n v="176773"/>
    <s v="MANIK CHAND LAKHMI CHAND"/>
    <n v="17.5"/>
    <n v="25"/>
    <n v="28"/>
    <n v="17.5"/>
    <n v="30"/>
    <n v="7.5"/>
    <n v="0"/>
    <n v="125.5"/>
    <n v="17.928571428571427"/>
    <x v="2"/>
    <x v="18"/>
    <x v="6"/>
    <x v="1"/>
  </r>
  <r>
    <s v="813981176773"/>
    <n v="813981"/>
    <s v="SHREE STHIT KARNI TRADERS"/>
    <n v="176773"/>
    <s v="MANIK CHAND LAKHMI CHAND"/>
    <n v="30.5"/>
    <n v="25"/>
    <n v="10"/>
    <n v="15"/>
    <n v="26"/>
    <n v="22.5"/>
    <n v="17"/>
    <n v="146"/>
    <n v="20.857142857142858"/>
    <x v="0"/>
    <x v="18"/>
    <x v="6"/>
    <x v="1"/>
  </r>
  <r>
    <s v="814129176773"/>
    <n v="814129"/>
    <s v="MAJISA CONTRACTORS"/>
    <n v="176773"/>
    <s v="MANIK CHAND LAKHMI CHAND"/>
    <n v="27.5"/>
    <n v="17.2"/>
    <n v="47.5"/>
    <n v="38"/>
    <n v="32.15"/>
    <n v="0"/>
    <n v="22.5"/>
    <n v="184.85"/>
    <n v="26.407142857142855"/>
    <x v="0"/>
    <x v="18"/>
    <x v="6"/>
    <x v="1"/>
  </r>
  <r>
    <s v="814397176773"/>
    <n v="814397"/>
    <s v="SHANTI LAL SHANKAR JI PUROHIT"/>
    <n v="176773"/>
    <s v="MANIK CHAND LAKHMI CHAND"/>
    <n v="50"/>
    <n v="82.5"/>
    <n v="118"/>
    <n v="75"/>
    <n v="52.5"/>
    <n v="25"/>
    <n v="0"/>
    <n v="403"/>
    <n v="57.571428571428569"/>
    <x v="3"/>
    <x v="18"/>
    <x v="6"/>
    <x v="1"/>
  </r>
  <r>
    <s v="815993176773"/>
    <n v="815993"/>
    <s v="TOLJI CEMENT AGENCY HARDWARE &amp;"/>
    <n v="176773"/>
    <s v="MANIK CHAND LAKHMI CHAND"/>
    <n v="0"/>
    <n v="0"/>
    <n v="0"/>
    <n v="0"/>
    <n v="70"/>
    <n v="60"/>
    <n v="71.650000000000006"/>
    <n v="201.65"/>
    <n v="28.807142857142857"/>
    <x v="0"/>
    <x v="18"/>
    <x v="6"/>
    <x v="1"/>
  </r>
  <r>
    <s v="816252176773"/>
    <n v="816252"/>
    <s v="ASHAPURA HARDWARE"/>
    <n v="176773"/>
    <s v="MANIK CHAND LAKHMI CHAND"/>
    <n v="0"/>
    <n v="0"/>
    <n v="0"/>
    <n v="0"/>
    <n v="0"/>
    <n v="40"/>
    <n v="30"/>
    <n v="70"/>
    <n v="10"/>
    <x v="2"/>
    <x v="18"/>
    <x v="6"/>
    <x v="1"/>
  </r>
  <r>
    <s v="816309176773"/>
    <n v="816309"/>
    <s v="SADHI CEMENT SUPPLIERS"/>
    <n v="176773"/>
    <s v="MANIK CHAND LAKHMI CHAND"/>
    <n v="0"/>
    <n v="0"/>
    <n v="0"/>
    <n v="0"/>
    <n v="0"/>
    <n v="42"/>
    <n v="44.25"/>
    <n v="86.25"/>
    <n v="12.321428571428571"/>
    <x v="2"/>
    <x v="18"/>
    <x v="6"/>
    <x v="1"/>
  </r>
  <r>
    <s v="812909203156"/>
    <n v="812909"/>
    <s v="RANAWAT CONSTRUCTION"/>
    <n v="203156"/>
    <s v="AMBESHWAR TRADING COMPANY"/>
    <n v="10"/>
    <n v="5"/>
    <n v="0"/>
    <n v="30"/>
    <n v="12.5"/>
    <n v="47.5"/>
    <n v="52.5"/>
    <n v="157.5"/>
    <n v="22.5"/>
    <x v="0"/>
    <x v="18"/>
    <x v="6"/>
    <x v="1"/>
  </r>
  <r>
    <s v="808572205306"/>
    <n v="808572"/>
    <s v="TARUN KUMAR"/>
    <n v="205306"/>
    <s v="M J TRADERS"/>
    <n v="20"/>
    <n v="70"/>
    <n v="32.5"/>
    <n v="80"/>
    <n v="45"/>
    <n v="40"/>
    <n v="40"/>
    <n v="327.5"/>
    <n v="46.785714285714285"/>
    <x v="5"/>
    <x v="18"/>
    <x v="6"/>
    <x v="1"/>
  </r>
  <r>
    <s v="813984205306"/>
    <n v="813984"/>
    <s v="HRIDYESHPAL SINGH GURJAR"/>
    <n v="205306"/>
    <s v="M J TRADERS"/>
    <n v="0"/>
    <n v="30"/>
    <n v="12"/>
    <n v="20"/>
    <n v="40"/>
    <n v="12.5"/>
    <n v="12.5"/>
    <n v="127"/>
    <n v="18.142857142857142"/>
    <x v="2"/>
    <x v="18"/>
    <x v="6"/>
    <x v="1"/>
  </r>
  <r>
    <s v="801583119044"/>
    <n v="801583"/>
    <s v="GAUTAM CEMENT AGENCIES"/>
    <n v="119044"/>
    <s v="PANWAR TRADING CORPORATION LTD"/>
    <n v="70"/>
    <n v="0"/>
    <n v="179"/>
    <n v="65"/>
    <n v="2.5"/>
    <n v="0"/>
    <n v="0"/>
    <n v="316.5"/>
    <n v="45.214285714285715"/>
    <x v="5"/>
    <x v="19"/>
    <x v="7"/>
    <x v="1"/>
  </r>
  <r>
    <s v="801915119044"/>
    <n v="801915"/>
    <s v="MADINA BUILDERS"/>
    <n v="119044"/>
    <s v="PANWAR TRADING CORPORATION LTD"/>
    <n v="65"/>
    <n v="50"/>
    <n v="70"/>
    <n v="100"/>
    <n v="35"/>
    <n v="0"/>
    <n v="35"/>
    <n v="355"/>
    <n v="50.714285714285715"/>
    <x v="3"/>
    <x v="19"/>
    <x v="7"/>
    <x v="1"/>
  </r>
  <r>
    <s v="803952119044"/>
    <n v="803952"/>
    <s v="SHANKAR TRADING COMPANY"/>
    <n v="119044"/>
    <s v="PANWAR TRADING CORPORATION LTD"/>
    <n v="102.5"/>
    <n v="30"/>
    <n v="197"/>
    <n v="100"/>
    <n v="144.5"/>
    <n v="105"/>
    <n v="60"/>
    <n v="739"/>
    <n v="105.57142857142857"/>
    <x v="3"/>
    <x v="19"/>
    <x v="7"/>
    <x v="1"/>
  </r>
  <r>
    <s v="804106119044"/>
    <n v="804106"/>
    <s v="BHATI CEMENT SUPPLIERS"/>
    <n v="119044"/>
    <s v="PANWAR TRADING CORPORATION LTD"/>
    <n v="17.5"/>
    <n v="10"/>
    <n v="4"/>
    <n v="15"/>
    <n v="2"/>
    <n v="57.5"/>
    <n v="45"/>
    <n v="151"/>
    <n v="21.571428571428573"/>
    <x v="0"/>
    <x v="19"/>
    <x v="7"/>
    <x v="1"/>
  </r>
  <r>
    <s v="804135119044"/>
    <n v="804135"/>
    <s v="MAHALAXMI BUILDERS"/>
    <n v="119044"/>
    <s v="PANWAR TRADING CORPORATION LTD"/>
    <n v="0"/>
    <n v="0"/>
    <n v="12.5"/>
    <n v="5"/>
    <n v="32"/>
    <n v="26.25"/>
    <n v="16"/>
    <n v="91.75"/>
    <n v="13.107142857142858"/>
    <x v="2"/>
    <x v="19"/>
    <x v="7"/>
    <x v="1"/>
  </r>
  <r>
    <s v="805397119044"/>
    <n v="805397"/>
    <s v="AMBIKA TRADING COMPANY"/>
    <n v="119044"/>
    <s v="PANWAR TRADING CORPORATION LTD"/>
    <n v="20"/>
    <n v="20"/>
    <n v="30"/>
    <n v="40"/>
    <n v="2"/>
    <n v="0"/>
    <n v="0"/>
    <n v="112"/>
    <n v="16"/>
    <x v="2"/>
    <x v="19"/>
    <x v="7"/>
    <x v="1"/>
  </r>
  <r>
    <s v="806032119044"/>
    <n v="806032"/>
    <s v="SARASWAT CEMENT SUPPLIERS"/>
    <n v="119044"/>
    <s v="PANWAR TRADING CORPORATION LTD"/>
    <n v="22"/>
    <n v="10"/>
    <n v="15"/>
    <n v="60"/>
    <n v="12"/>
    <n v="15"/>
    <n v="0"/>
    <n v="134"/>
    <n v="19.142857142857142"/>
    <x v="2"/>
    <x v="19"/>
    <x v="7"/>
    <x v="1"/>
  </r>
  <r>
    <s v="807153119044"/>
    <n v="807153"/>
    <s v="KUKANA ENTERPRISES"/>
    <n v="119044"/>
    <s v="PANWAR TRADING CORPORATION LTD"/>
    <n v="0"/>
    <n v="15"/>
    <n v="26.5"/>
    <n v="0"/>
    <n v="15"/>
    <n v="0"/>
    <n v="0"/>
    <n v="56.5"/>
    <n v="8.0714285714285712"/>
    <x v="1"/>
    <x v="19"/>
    <x v="7"/>
    <x v="1"/>
  </r>
  <r>
    <s v="807594119044"/>
    <n v="807594"/>
    <s v="SARASWAT IRON STORE"/>
    <n v="119044"/>
    <s v="PANWAR TRADING CORPORATION LTD"/>
    <n v="50"/>
    <n v="30"/>
    <n v="117"/>
    <n v="0"/>
    <n v="72.5"/>
    <n v="30"/>
    <n v="0"/>
    <n v="299.5"/>
    <n v="42.785714285714285"/>
    <x v="5"/>
    <x v="19"/>
    <x v="7"/>
    <x v="1"/>
  </r>
  <r>
    <s v="807763119044"/>
    <n v="807763"/>
    <s v="HARI BUILDING MATERIAL"/>
    <n v="119044"/>
    <s v="PANWAR TRADING CORPORATION LTD"/>
    <n v="25"/>
    <n v="90"/>
    <n v="95"/>
    <n v="35"/>
    <n v="42.5"/>
    <n v="10"/>
    <n v="0"/>
    <n v="297.5"/>
    <n v="42.5"/>
    <x v="5"/>
    <x v="19"/>
    <x v="7"/>
    <x v="1"/>
  </r>
  <r>
    <s v="808283119044"/>
    <n v="808283"/>
    <s v="GANGA BUILDERS"/>
    <n v="119044"/>
    <s v="PANWAR TRADING CORPORATION LTD"/>
    <n v="11"/>
    <n v="20"/>
    <n v="20"/>
    <n v="39.65"/>
    <n v="17"/>
    <n v="10"/>
    <n v="35"/>
    <n v="152.65"/>
    <n v="21.807142857142857"/>
    <x v="0"/>
    <x v="19"/>
    <x v="7"/>
    <x v="1"/>
  </r>
  <r>
    <s v="808284119044"/>
    <n v="808284"/>
    <s v="LAKSHMI CEMENT &amp; BUILDING MATE"/>
    <n v="119044"/>
    <s v="PANWAR TRADING CORPORATION LTD"/>
    <n v="0"/>
    <n v="0"/>
    <n v="0"/>
    <n v="0"/>
    <n v="7"/>
    <n v="0"/>
    <n v="45"/>
    <n v="52"/>
    <n v="7.4285714285714288"/>
    <x v="1"/>
    <x v="19"/>
    <x v="7"/>
    <x v="1"/>
  </r>
  <r>
    <s v="808446119044"/>
    <n v="808446"/>
    <s v="BISHNA RAM"/>
    <n v="119044"/>
    <s v="PANWAR TRADING CORPORATION LTD"/>
    <n v="15"/>
    <n v="58.75"/>
    <n v="95"/>
    <n v="120"/>
    <n v="77.5"/>
    <n v="0"/>
    <n v="10"/>
    <n v="376.25"/>
    <n v="53.75"/>
    <x v="3"/>
    <x v="19"/>
    <x v="7"/>
    <x v="1"/>
  </r>
  <r>
    <s v="808469119044"/>
    <n v="808469"/>
    <s v="LAXMI TRADING COMPANY"/>
    <n v="119044"/>
    <s v="PANWAR TRADING CORPORATION LTD"/>
    <n v="0"/>
    <n v="15"/>
    <n v="65"/>
    <n v="30"/>
    <n v="147.5"/>
    <n v="45"/>
    <n v="20"/>
    <n v="322.5"/>
    <n v="46.071428571428569"/>
    <x v="5"/>
    <x v="19"/>
    <x v="7"/>
    <x v="1"/>
  </r>
  <r>
    <s v="808488119044"/>
    <n v="808488"/>
    <s v="LAKSHMI TRADERS"/>
    <n v="119044"/>
    <s v="PANWAR TRADING CORPORATION LTD"/>
    <n v="84"/>
    <n v="90"/>
    <n v="139"/>
    <n v="25"/>
    <n v="67.5"/>
    <n v="0"/>
    <n v="0"/>
    <n v="405.5"/>
    <n v="57.928571428571431"/>
    <x v="3"/>
    <x v="19"/>
    <x v="7"/>
    <x v="1"/>
  </r>
  <r>
    <s v="808606119044"/>
    <n v="808606"/>
    <s v="KALU ENTERPRISES"/>
    <n v="119044"/>
    <s v="PANWAR TRADING CORPORATION LTD"/>
    <n v="0"/>
    <n v="0"/>
    <n v="0"/>
    <n v="0"/>
    <n v="2"/>
    <n v="0"/>
    <n v="0"/>
    <n v="2"/>
    <n v="0.2857142857142857"/>
    <x v="1"/>
    <x v="19"/>
    <x v="7"/>
    <x v="1"/>
  </r>
  <r>
    <s v="808608119044"/>
    <n v="808608"/>
    <s v="S L TRADERS"/>
    <n v="119044"/>
    <s v="PANWAR TRADING CORPORATION LTD"/>
    <n v="10"/>
    <n v="9"/>
    <n v="0"/>
    <n v="0"/>
    <n v="0"/>
    <n v="0"/>
    <n v="0"/>
    <n v="19"/>
    <n v="2.7142857142857144"/>
    <x v="1"/>
    <x v="19"/>
    <x v="7"/>
    <x v="1"/>
  </r>
  <r>
    <s v="808609119044"/>
    <n v="808609"/>
    <s v="SHIV SHAKTI SUPPLIERS"/>
    <n v="119044"/>
    <s v="PANWAR TRADING CORPORATION LTD"/>
    <n v="0"/>
    <n v="0"/>
    <n v="0"/>
    <n v="0"/>
    <n v="30"/>
    <n v="50"/>
    <n v="21"/>
    <n v="101"/>
    <n v="14.428571428571429"/>
    <x v="2"/>
    <x v="19"/>
    <x v="7"/>
    <x v="1"/>
  </r>
  <r>
    <s v="808929119044"/>
    <n v="808929"/>
    <s v="MISTY TRADING COMPANY"/>
    <n v="119044"/>
    <s v="PANWAR TRADING CORPORATION LTD"/>
    <n v="35"/>
    <n v="20"/>
    <n v="25"/>
    <n v="57.5"/>
    <n v="19.5"/>
    <n v="50"/>
    <n v="35"/>
    <n v="242"/>
    <n v="34.571428571428569"/>
    <x v="4"/>
    <x v="19"/>
    <x v="7"/>
    <x v="1"/>
  </r>
  <r>
    <s v="808939119044"/>
    <n v="808939"/>
    <s v="PARASHAR BUILDERS"/>
    <n v="119044"/>
    <s v="PANWAR TRADING CORPORATION LTD"/>
    <n v="0"/>
    <n v="15"/>
    <n v="75"/>
    <n v="72"/>
    <n v="37"/>
    <n v="0"/>
    <n v="10"/>
    <n v="209"/>
    <n v="29.857142857142858"/>
    <x v="0"/>
    <x v="19"/>
    <x v="7"/>
    <x v="1"/>
  </r>
  <r>
    <s v="808957119044"/>
    <n v="808957"/>
    <s v="GHANSHYAM CEMENT SUPPLIERS"/>
    <n v="119044"/>
    <s v="PANWAR TRADING CORPORATION LTD"/>
    <n v="7.5"/>
    <n v="30"/>
    <n v="20"/>
    <n v="3.5"/>
    <n v="0"/>
    <n v="0"/>
    <n v="0"/>
    <n v="61"/>
    <n v="8.7142857142857135"/>
    <x v="1"/>
    <x v="19"/>
    <x v="7"/>
    <x v="1"/>
  </r>
  <r>
    <s v="809143119044"/>
    <n v="809143"/>
    <s v="JOSHI CEMENT SUPPLIERS"/>
    <n v="119044"/>
    <s v="PANWAR TRADING CORPORATION LTD"/>
    <n v="0"/>
    <n v="30"/>
    <n v="0"/>
    <n v="7.5"/>
    <n v="17"/>
    <n v="0"/>
    <n v="0"/>
    <n v="54.5"/>
    <n v="7.7857142857142856"/>
    <x v="1"/>
    <x v="19"/>
    <x v="7"/>
    <x v="1"/>
  </r>
  <r>
    <s v="809860119044"/>
    <n v="809860"/>
    <s v="GOPAL CEMENT SUPPLIER"/>
    <n v="119044"/>
    <s v="PANWAR TRADING CORPORATION LTD"/>
    <n v="86.5"/>
    <n v="74"/>
    <n v="155"/>
    <n v="30"/>
    <n v="112.5"/>
    <n v="35"/>
    <n v="0"/>
    <n v="493"/>
    <n v="70.428571428571431"/>
    <x v="3"/>
    <x v="19"/>
    <x v="7"/>
    <x v="1"/>
  </r>
  <r>
    <s v="810511119044"/>
    <n v="810511"/>
    <s v="SHIV SHAKTI BUILDING MATERIAL"/>
    <n v="119044"/>
    <s v="PANWAR TRADING CORPORATION LTD"/>
    <n v="45"/>
    <n v="126"/>
    <n v="160"/>
    <n v="105"/>
    <n v="60"/>
    <n v="122.85"/>
    <n v="57"/>
    <n v="675.85"/>
    <n v="96.55"/>
    <x v="3"/>
    <x v="19"/>
    <x v="7"/>
    <x v="1"/>
  </r>
  <r>
    <s v="810762119044"/>
    <n v="810762"/>
    <s v="S R V ENTERPRISES"/>
    <n v="119044"/>
    <s v="PANWAR TRADING CORPORATION LTD"/>
    <n v="17.5"/>
    <n v="40"/>
    <n v="28.5"/>
    <n v="62.5"/>
    <n v="2"/>
    <n v="0"/>
    <n v="0"/>
    <n v="150.5"/>
    <n v="21.5"/>
    <x v="0"/>
    <x v="19"/>
    <x v="7"/>
    <x v="1"/>
  </r>
  <r>
    <s v="811772119044"/>
    <n v="811772"/>
    <s v="SITARAM PRAJAPAT"/>
    <n v="119044"/>
    <s v="PANWAR TRADING CORPORATION LTD"/>
    <n v="0"/>
    <n v="25"/>
    <n v="30"/>
    <n v="57"/>
    <n v="99.5"/>
    <n v="15"/>
    <n v="25"/>
    <n v="251.5"/>
    <n v="35.928571428571431"/>
    <x v="4"/>
    <x v="19"/>
    <x v="7"/>
    <x v="1"/>
  </r>
  <r>
    <s v="812052119044"/>
    <n v="812052"/>
    <s v="SHREE CHAND SARSWAT"/>
    <n v="119044"/>
    <s v="PANWAR TRADING CORPORATION LTD"/>
    <n v="0"/>
    <n v="20"/>
    <n v="75"/>
    <n v="35"/>
    <n v="2.5"/>
    <n v="0"/>
    <n v="25"/>
    <n v="157.5"/>
    <n v="22.5"/>
    <x v="0"/>
    <x v="19"/>
    <x v="7"/>
    <x v="1"/>
  </r>
  <r>
    <s v="814255119044"/>
    <n v="814255"/>
    <s v="MANGOLIYA CEMENT AGENCY"/>
    <n v="119044"/>
    <s v="PANWAR TRADING CORPORATION LTD"/>
    <n v="0"/>
    <n v="13"/>
    <n v="0"/>
    <n v="0"/>
    <n v="0"/>
    <n v="0"/>
    <n v="0"/>
    <n v="13"/>
    <n v="1.8571428571428572"/>
    <x v="1"/>
    <x v="19"/>
    <x v="7"/>
    <x v="1"/>
  </r>
  <r>
    <s v="814378119044"/>
    <n v="814378"/>
    <s v="R R GODARA CONSTRUCTION COMPAN"/>
    <n v="119044"/>
    <s v="PANWAR TRADING CORPORATION LTD"/>
    <n v="0"/>
    <n v="35"/>
    <n v="111.5"/>
    <n v="155"/>
    <n v="160"/>
    <n v="45"/>
    <n v="0"/>
    <n v="506.5"/>
    <n v="72.357142857142861"/>
    <x v="3"/>
    <x v="19"/>
    <x v="7"/>
    <x v="1"/>
  </r>
  <r>
    <s v="814401119044"/>
    <n v="814401"/>
    <s v="RAJ CEMENT SUPPLIERS"/>
    <n v="119044"/>
    <s v="PANWAR TRADING CORPORATION LTD"/>
    <n v="0"/>
    <n v="0"/>
    <n v="0"/>
    <n v="7.5"/>
    <n v="20"/>
    <n v="0"/>
    <n v="0"/>
    <n v="27.5"/>
    <n v="3.9285714285714284"/>
    <x v="1"/>
    <x v="19"/>
    <x v="7"/>
    <x v="1"/>
  </r>
  <r>
    <s v="814638119044"/>
    <n v="814638"/>
    <s v="PANKAJ KUMAR BUILDING MATERIAL"/>
    <n v="119044"/>
    <s v="PANWAR TRADING CORPORATION LTD"/>
    <n v="7.5"/>
    <n v="0"/>
    <n v="2.5"/>
    <n v="0"/>
    <n v="0"/>
    <n v="0"/>
    <n v="0"/>
    <n v="10"/>
    <n v="1.4285714285714286"/>
    <x v="1"/>
    <x v="19"/>
    <x v="7"/>
    <x v="1"/>
  </r>
  <r>
    <s v="814785119044"/>
    <n v="814785"/>
    <s v="SHREE KARNI CEMENT STORE"/>
    <n v="119044"/>
    <s v="PANWAR TRADING CORPORATION LTD"/>
    <n v="0"/>
    <n v="45"/>
    <n v="40"/>
    <n v="45"/>
    <n v="2.5"/>
    <n v="0"/>
    <n v="70"/>
    <n v="202.5"/>
    <n v="28.928571428571427"/>
    <x v="0"/>
    <x v="19"/>
    <x v="7"/>
    <x v="1"/>
  </r>
  <r>
    <s v="814806119044"/>
    <n v="814806"/>
    <s v="MARUDHAR BUILDING MATERIAL"/>
    <n v="119044"/>
    <s v="PANWAR TRADING CORPORATION LTD"/>
    <n v="0"/>
    <n v="0"/>
    <n v="40"/>
    <n v="40"/>
    <n v="2"/>
    <n v="0"/>
    <n v="0"/>
    <n v="82"/>
    <n v="11.714285714285714"/>
    <x v="2"/>
    <x v="19"/>
    <x v="7"/>
    <x v="1"/>
  </r>
  <r>
    <s v="816536119044"/>
    <n v="816536"/>
    <s v="RAJESH KUMAR SARASWAT"/>
    <n v="119044"/>
    <s v="PANWAR TRADING CORPORATION LTD"/>
    <n v="0"/>
    <n v="0"/>
    <n v="0"/>
    <n v="0"/>
    <n v="0"/>
    <n v="175"/>
    <n v="30"/>
    <n v="205"/>
    <n v="29.285714285714285"/>
    <x v="0"/>
    <x v="19"/>
    <x v="7"/>
    <x v="1"/>
  </r>
  <r>
    <s v="801837119154"/>
    <n v="801837"/>
    <s v="GANESH KUMAR UPADDAYA"/>
    <n v="119154"/>
    <s v="SHRI GANPATI ENTERPRISES"/>
    <n v="20"/>
    <n v="60"/>
    <n v="25"/>
    <n v="35"/>
    <n v="2.5"/>
    <n v="0"/>
    <n v="0"/>
    <n v="142.5"/>
    <n v="20.357142857142858"/>
    <x v="0"/>
    <x v="19"/>
    <x v="7"/>
    <x v="1"/>
  </r>
  <r>
    <s v="801838119154"/>
    <n v="801838"/>
    <s v="OM PRAKASH SHARMA"/>
    <n v="119154"/>
    <s v="SHRI GANPATI ENTERPRISES"/>
    <n v="130"/>
    <n v="50"/>
    <n v="140"/>
    <n v="135"/>
    <n v="17.5"/>
    <n v="180"/>
    <n v="96.5"/>
    <n v="749"/>
    <n v="107"/>
    <x v="3"/>
    <x v="19"/>
    <x v="7"/>
    <x v="1"/>
  </r>
  <r>
    <s v="808674119154"/>
    <n v="808674"/>
    <s v="SHREE BHAWANI CONSTRUCTION &amp; S"/>
    <n v="119154"/>
    <s v="SHRI GANPATI ENTERPRISES"/>
    <n v="144"/>
    <n v="155"/>
    <n v="100"/>
    <n v="150"/>
    <n v="60"/>
    <n v="70"/>
    <n v="20"/>
    <n v="699"/>
    <n v="99.857142857142861"/>
    <x v="3"/>
    <x v="19"/>
    <x v="7"/>
    <x v="1"/>
  </r>
  <r>
    <s v="808951119154"/>
    <n v="808951"/>
    <s v="SHREE KARNI ENTERPRISES"/>
    <n v="119154"/>
    <s v="SHRI GANPATI ENTERPRISES"/>
    <n v="60"/>
    <n v="65"/>
    <n v="97"/>
    <n v="50"/>
    <n v="30"/>
    <n v="65"/>
    <n v="50"/>
    <n v="417"/>
    <n v="59.571428571428569"/>
    <x v="3"/>
    <x v="19"/>
    <x v="7"/>
    <x v="1"/>
  </r>
  <r>
    <s v="809527119154"/>
    <n v="809527"/>
    <s v="JAI MAA BHAWANI BM"/>
    <n v="119154"/>
    <s v="SHRI GANPATI ENTERPRISES"/>
    <n v="0"/>
    <n v="20"/>
    <n v="25"/>
    <n v="30"/>
    <n v="26.5"/>
    <n v="25"/>
    <n v="15"/>
    <n v="141.5"/>
    <n v="20.214285714285715"/>
    <x v="0"/>
    <x v="19"/>
    <x v="7"/>
    <x v="1"/>
  </r>
  <r>
    <s v="810700119154"/>
    <n v="810700"/>
    <s v="SHREE TEMDARAI CEMENT STORE"/>
    <n v="119154"/>
    <s v="SHRI GANPATI ENTERPRISES"/>
    <n v="0"/>
    <n v="15"/>
    <n v="40"/>
    <n v="15"/>
    <n v="2.5"/>
    <n v="0"/>
    <n v="0"/>
    <n v="72.5"/>
    <n v="10.357142857142858"/>
    <x v="2"/>
    <x v="19"/>
    <x v="7"/>
    <x v="1"/>
  </r>
  <r>
    <s v="814873119154"/>
    <n v="814873"/>
    <s v="N K ENTERPRISES"/>
    <n v="119154"/>
    <s v="SHRI GANPATI ENTERPRISES"/>
    <n v="0"/>
    <n v="30"/>
    <n v="40"/>
    <n v="0"/>
    <n v="2.5"/>
    <n v="15"/>
    <n v="25"/>
    <n v="112.5"/>
    <n v="16.071428571428573"/>
    <x v="2"/>
    <x v="19"/>
    <x v="7"/>
    <x v="1"/>
  </r>
  <r>
    <s v="815199119154"/>
    <n v="815199"/>
    <s v="JAI MAA BHAWANI CEMENT SUPPLIE"/>
    <n v="119154"/>
    <s v="SHRI GANPATI ENTERPRISES"/>
    <n v="0"/>
    <n v="0"/>
    <n v="30"/>
    <n v="60"/>
    <n v="2.5"/>
    <n v="35"/>
    <n v="20"/>
    <n v="147.5"/>
    <n v="21.071428571428573"/>
    <x v="0"/>
    <x v="19"/>
    <x v="7"/>
    <x v="1"/>
  </r>
  <r>
    <s v="815200119154"/>
    <n v="815200"/>
    <s v="PARWAT SINGH"/>
    <n v="119154"/>
    <s v="SHRI GANPATI ENTERPRISES"/>
    <n v="0"/>
    <n v="0"/>
    <n v="35"/>
    <n v="55"/>
    <n v="25"/>
    <n v="35"/>
    <n v="15"/>
    <n v="165"/>
    <n v="23.571428571428573"/>
    <x v="0"/>
    <x v="19"/>
    <x v="7"/>
    <x v="1"/>
  </r>
  <r>
    <s v="806601119160"/>
    <n v="806601"/>
    <s v="SOLANKI BUILDING MATERIAL AND"/>
    <n v="119160"/>
    <s v="NIKHIL ASSOCIATE"/>
    <n v="103"/>
    <n v="36.75"/>
    <n v="85"/>
    <n v="42.5"/>
    <n v="7.5"/>
    <n v="97.5"/>
    <n v="93"/>
    <n v="465.25"/>
    <n v="66.464285714285708"/>
    <x v="3"/>
    <x v="19"/>
    <x v="7"/>
    <x v="1"/>
  </r>
  <r>
    <s v="807722119160"/>
    <n v="807722"/>
    <s v="ROYAL ENTERPRISES"/>
    <n v="119160"/>
    <s v="NIKHIL ASSOCIATE"/>
    <n v="0"/>
    <n v="27.5"/>
    <n v="30"/>
    <n v="0"/>
    <n v="10"/>
    <n v="10"/>
    <n v="0"/>
    <n v="77.5"/>
    <n v="11.071428571428571"/>
    <x v="2"/>
    <x v="19"/>
    <x v="7"/>
    <x v="1"/>
  </r>
  <r>
    <s v="814402119160"/>
    <n v="814402"/>
    <s v="BHANWAR LAL MARU"/>
    <n v="119160"/>
    <s v="NIKHIL ASSOCIATE"/>
    <n v="22.5"/>
    <n v="62.5"/>
    <n v="50"/>
    <n v="42.5"/>
    <n v="47.5"/>
    <n v="25"/>
    <n v="29.5"/>
    <n v="279.5"/>
    <n v="39.928571428571431"/>
    <x v="4"/>
    <x v="19"/>
    <x v="7"/>
    <x v="1"/>
  </r>
  <r>
    <s v="810898140881"/>
    <n v="810898"/>
    <s v="SHREE BALAJI CEMENT SUPPLIERS"/>
    <n v="140881"/>
    <s v="NAM DEV STONE SUPPLIERS"/>
    <n v="47"/>
    <n v="87"/>
    <n v="25"/>
    <n v="30"/>
    <n v="0"/>
    <n v="32.5"/>
    <n v="0"/>
    <n v="221.5"/>
    <n v="31.642857142857142"/>
    <x v="4"/>
    <x v="19"/>
    <x v="7"/>
    <x v="1"/>
  </r>
  <r>
    <s v="810953140881"/>
    <n v="810953"/>
    <s v="SHREE VISHWAKARMA CEMENT SUPPL"/>
    <n v="140881"/>
    <s v="NAM DEV STONE SUPPLIERS"/>
    <n v="35"/>
    <n v="67"/>
    <n v="25"/>
    <n v="0"/>
    <n v="0"/>
    <n v="0"/>
    <n v="25"/>
    <n v="152"/>
    <n v="21.714285714285715"/>
    <x v="0"/>
    <x v="19"/>
    <x v="7"/>
    <x v="1"/>
  </r>
  <r>
    <s v="811773140881"/>
    <n v="811773"/>
    <s v="S L CEMENT SUPPLIERS"/>
    <n v="140881"/>
    <s v="NAM DEV STONE SUPPLIERS"/>
    <n v="0"/>
    <n v="0"/>
    <n v="0"/>
    <n v="0"/>
    <n v="15"/>
    <n v="0"/>
    <n v="0"/>
    <n v="15"/>
    <n v="2.1428571428571428"/>
    <x v="1"/>
    <x v="19"/>
    <x v="7"/>
    <x v="1"/>
  </r>
  <r>
    <s v="812068140881"/>
    <n v="812068"/>
    <s v="SHREE VEER TEJA BUILDING MATER"/>
    <n v="140881"/>
    <s v="NAM DEV STONE SUPPLIERS"/>
    <n v="105"/>
    <n v="25"/>
    <n v="0"/>
    <n v="40"/>
    <n v="35"/>
    <n v="50"/>
    <n v="0"/>
    <n v="255"/>
    <n v="36.428571428571431"/>
    <x v="4"/>
    <x v="19"/>
    <x v="7"/>
    <x v="1"/>
  </r>
  <r>
    <s v="814111140881"/>
    <n v="814111"/>
    <s v="VISHNU ENTERPRISES"/>
    <n v="140881"/>
    <s v="NAM DEV STONE SUPPLIERS"/>
    <n v="0"/>
    <n v="25"/>
    <n v="130"/>
    <n v="145"/>
    <n v="0"/>
    <n v="25"/>
    <n v="0"/>
    <n v="325"/>
    <n v="46.428571428571431"/>
    <x v="5"/>
    <x v="19"/>
    <x v="7"/>
    <x v="1"/>
  </r>
  <r>
    <s v="814288140881"/>
    <n v="814288"/>
    <s v="SHREE BALAJI CEMENT AGENCY"/>
    <n v="140881"/>
    <s v="NAM DEV STONE SUPPLIERS"/>
    <n v="0"/>
    <n v="0"/>
    <n v="25"/>
    <n v="70"/>
    <n v="45"/>
    <n v="20"/>
    <n v="0"/>
    <n v="160"/>
    <n v="22.857142857142858"/>
    <x v="0"/>
    <x v="19"/>
    <x v="7"/>
    <x v="1"/>
  </r>
  <r>
    <s v="812846142512"/>
    <n v="812846"/>
    <s v="SURENDRA CEMENT SUPPLIERS"/>
    <n v="142512"/>
    <s v="GURU KRIPA TRADING CO"/>
    <n v="79"/>
    <n v="10"/>
    <n v="0"/>
    <n v="107.65"/>
    <n v="57.5"/>
    <n v="31.5"/>
    <n v="12.5"/>
    <n v="298.14999999999998"/>
    <n v="42.592857142857142"/>
    <x v="5"/>
    <x v="19"/>
    <x v="7"/>
    <x v="1"/>
  </r>
  <r>
    <s v="815887142512"/>
    <n v="815887"/>
    <s v="MAYANK TRADERS"/>
    <n v="142512"/>
    <s v="GURU KRIPA TRADING CO"/>
    <n v="0"/>
    <n v="0"/>
    <n v="0"/>
    <n v="0"/>
    <n v="38.5"/>
    <n v="0"/>
    <n v="31"/>
    <n v="69.5"/>
    <n v="9.9285714285714288"/>
    <x v="1"/>
    <x v="19"/>
    <x v="7"/>
    <x v="1"/>
  </r>
  <r>
    <s v="807395144154"/>
    <n v="807395"/>
    <s v="GODARA TRADING COMPANY"/>
    <n v="144154"/>
    <s v="SANGAM TRADERS"/>
    <n v="0"/>
    <n v="0"/>
    <n v="0"/>
    <n v="0"/>
    <n v="17.5"/>
    <n v="0"/>
    <n v="0"/>
    <n v="17.5"/>
    <n v="2.5"/>
    <x v="1"/>
    <x v="19"/>
    <x v="7"/>
    <x v="1"/>
  </r>
  <r>
    <s v="806047145353"/>
    <n v="806047"/>
    <s v="SHRI HARIRAM BABA TRADING CO"/>
    <n v="145353"/>
    <s v="SHREE SARAS CORPORATION"/>
    <n v="0"/>
    <n v="10"/>
    <n v="0"/>
    <n v="0"/>
    <n v="0"/>
    <n v="0"/>
    <n v="0"/>
    <n v="10"/>
    <n v="1.4285714285714286"/>
    <x v="1"/>
    <x v="19"/>
    <x v="7"/>
    <x v="1"/>
  </r>
  <r>
    <s v="808607145353"/>
    <n v="808607"/>
    <s v="GODARA BUILDING MATERIAL SUPPL"/>
    <n v="145353"/>
    <s v="SHREE SARAS CORPORATION"/>
    <n v="35"/>
    <n v="56.5"/>
    <n v="62"/>
    <n v="90"/>
    <n v="130"/>
    <n v="85"/>
    <n v="45"/>
    <n v="503.5"/>
    <n v="71.928571428571431"/>
    <x v="3"/>
    <x v="19"/>
    <x v="7"/>
    <x v="1"/>
  </r>
  <r>
    <s v="810559145353"/>
    <n v="810559"/>
    <s v="DUGGAR ENTERPRISES"/>
    <n v="145353"/>
    <s v="SHREE SARAS CORPORATION"/>
    <n v="105"/>
    <n v="102"/>
    <n v="70"/>
    <n v="111.5"/>
    <n v="0"/>
    <n v="0"/>
    <n v="0"/>
    <n v="388.5"/>
    <n v="55.5"/>
    <x v="3"/>
    <x v="19"/>
    <x v="7"/>
    <x v="1"/>
  </r>
  <r>
    <s v="814445145353"/>
    <n v="814445"/>
    <s v="SHREE VISHWAKARMA BUILDING MAT"/>
    <n v="145353"/>
    <s v="SHREE SARAS CORPORATION"/>
    <n v="0"/>
    <n v="0"/>
    <n v="65"/>
    <n v="165"/>
    <n v="212"/>
    <n v="80"/>
    <n v="0"/>
    <n v="522"/>
    <n v="74.571428571428569"/>
    <x v="3"/>
    <x v="19"/>
    <x v="7"/>
    <x v="1"/>
  </r>
  <r>
    <s v="808315146500"/>
    <n v="808315"/>
    <s v="A S TRADERS"/>
    <n v="146500"/>
    <s v="MUGAL TRADERS"/>
    <n v="0"/>
    <n v="10"/>
    <n v="0"/>
    <n v="0"/>
    <n v="0"/>
    <n v="0"/>
    <n v="0"/>
    <n v="10"/>
    <n v="1.4285714285714286"/>
    <x v="1"/>
    <x v="19"/>
    <x v="7"/>
    <x v="1"/>
  </r>
  <r>
    <s v="810376146500"/>
    <n v="810376"/>
    <s v="HARIOM TRADING CO"/>
    <n v="146500"/>
    <s v="MUGAL TRADERS"/>
    <n v="0"/>
    <n v="0"/>
    <n v="0"/>
    <n v="2.5"/>
    <n v="15"/>
    <n v="0"/>
    <n v="0"/>
    <n v="17.5"/>
    <n v="2.5"/>
    <x v="1"/>
    <x v="19"/>
    <x v="7"/>
    <x v="1"/>
  </r>
  <r>
    <s v="804933170156"/>
    <n v="804933"/>
    <s v="GOYAL TRADERS"/>
    <n v="170156"/>
    <s v="NASEEB TRADERS"/>
    <n v="0"/>
    <n v="0"/>
    <n v="0"/>
    <n v="0"/>
    <n v="120.75"/>
    <n v="156"/>
    <n v="65"/>
    <n v="341.75"/>
    <n v="48.821428571428569"/>
    <x v="5"/>
    <x v="19"/>
    <x v="7"/>
    <x v="1"/>
  </r>
  <r>
    <s v="806052170204"/>
    <n v="806052"/>
    <s v="AGARWAL BROTHERS"/>
    <n v="170204"/>
    <s v="GOYAL BUILDING MATERIAL"/>
    <n v="17.5"/>
    <n v="35"/>
    <n v="25"/>
    <n v="15"/>
    <n v="0"/>
    <n v="55"/>
    <n v="0"/>
    <n v="147.5"/>
    <n v="21.071428571428573"/>
    <x v="0"/>
    <x v="19"/>
    <x v="7"/>
    <x v="1"/>
  </r>
  <r>
    <s v="812842171938"/>
    <n v="812842"/>
    <s v="PUJA IRON STORE"/>
    <n v="171938"/>
    <s v="AGARWAL IRON STORE"/>
    <n v="90"/>
    <n v="29.5"/>
    <n v="124"/>
    <n v="25"/>
    <n v="29"/>
    <n v="60"/>
    <n v="55"/>
    <n v="412.5"/>
    <n v="58.928571428571431"/>
    <x v="3"/>
    <x v="19"/>
    <x v="7"/>
    <x v="1"/>
  </r>
  <r>
    <s v="807257172497"/>
    <n v="807257"/>
    <s v="KARNANI CEMENT SUPPLIERS"/>
    <n v="172497"/>
    <s v="VINAYAK INDUSTRIES"/>
    <n v="20"/>
    <n v="20"/>
    <n v="40"/>
    <n v="44"/>
    <n v="74"/>
    <n v="87"/>
    <n v="80"/>
    <n v="365"/>
    <n v="52.142857142857146"/>
    <x v="3"/>
    <x v="19"/>
    <x v="7"/>
    <x v="1"/>
  </r>
  <r>
    <s v="807723172497"/>
    <n v="807723"/>
    <s v="MOOND CEMENT AGENCY"/>
    <n v="172497"/>
    <s v="VINAYAK INDUSTRIES"/>
    <n v="0"/>
    <n v="25"/>
    <n v="20"/>
    <n v="12.5"/>
    <n v="6"/>
    <n v="17"/>
    <n v="10"/>
    <n v="90.5"/>
    <n v="12.928571428571429"/>
    <x v="2"/>
    <x v="19"/>
    <x v="7"/>
    <x v="1"/>
  </r>
  <r>
    <s v="807724172497"/>
    <n v="807724"/>
    <s v="BALAJI KRISHI STORE"/>
    <n v="172497"/>
    <s v="VINAYAK INDUSTRIES"/>
    <n v="10"/>
    <n v="0"/>
    <n v="0"/>
    <n v="0"/>
    <n v="0"/>
    <n v="0"/>
    <n v="0"/>
    <n v="10"/>
    <n v="1.4285714285714286"/>
    <x v="1"/>
    <x v="19"/>
    <x v="7"/>
    <x v="1"/>
  </r>
  <r>
    <s v="808821172497"/>
    <n v="808821"/>
    <s v="BABA RAMDEV CEMENT SUPPLIERS"/>
    <n v="172497"/>
    <s v="VINAYAK INDUSTRIES"/>
    <n v="10"/>
    <n v="17.5"/>
    <n v="20"/>
    <n v="19"/>
    <n v="28.5"/>
    <n v="38"/>
    <n v="30"/>
    <n v="163"/>
    <n v="23.285714285714285"/>
    <x v="0"/>
    <x v="19"/>
    <x v="7"/>
    <x v="1"/>
  </r>
  <r>
    <s v="809039172497"/>
    <n v="809039"/>
    <s v="JOSHI CEMENT SUPPLIERS"/>
    <n v="172497"/>
    <s v="VINAYAK INDUSTRIES"/>
    <n v="0"/>
    <n v="18"/>
    <n v="10"/>
    <n v="0"/>
    <n v="10"/>
    <n v="20"/>
    <n v="20"/>
    <n v="78"/>
    <n v="11.142857142857142"/>
    <x v="2"/>
    <x v="19"/>
    <x v="7"/>
    <x v="1"/>
  </r>
  <r>
    <s v="810481172497"/>
    <n v="810481"/>
    <s v="MULDAS B/M"/>
    <n v="172497"/>
    <s v="VINAYAK INDUSTRIES"/>
    <n v="21"/>
    <n v="0"/>
    <n v="20"/>
    <n v="0"/>
    <n v="0"/>
    <n v="6"/>
    <n v="0"/>
    <n v="47"/>
    <n v="6.7142857142857144"/>
    <x v="1"/>
    <x v="19"/>
    <x v="7"/>
    <x v="1"/>
  </r>
  <r>
    <s v="811544172497"/>
    <n v="811544"/>
    <s v="KASWA CEMENT SUPPLIERS"/>
    <n v="172497"/>
    <s v="VINAYAK INDUSTRIES"/>
    <n v="10"/>
    <n v="0"/>
    <n v="5"/>
    <n v="10"/>
    <n v="0"/>
    <n v="10"/>
    <n v="0"/>
    <n v="35"/>
    <n v="5"/>
    <x v="1"/>
    <x v="19"/>
    <x v="7"/>
    <x v="1"/>
  </r>
  <r>
    <s v="812856172497"/>
    <n v="812856"/>
    <s v="BALAJI CEMENT SUPPLIERS"/>
    <n v="172497"/>
    <s v="VINAYAK INDUSTRIES"/>
    <n v="9"/>
    <n v="0"/>
    <n v="10"/>
    <n v="20"/>
    <n v="2.5"/>
    <n v="0"/>
    <n v="10"/>
    <n v="51.5"/>
    <n v="7.3571428571428568"/>
    <x v="1"/>
    <x v="19"/>
    <x v="7"/>
    <x v="1"/>
  </r>
  <r>
    <s v="815354172497"/>
    <n v="815354"/>
    <s v="SHRI JASNATH BUILDING MATERIAL"/>
    <n v="172497"/>
    <s v="VINAYAK INDUSTRIES"/>
    <n v="0"/>
    <n v="0"/>
    <n v="0"/>
    <n v="5"/>
    <n v="0"/>
    <n v="10"/>
    <n v="10"/>
    <n v="25"/>
    <n v="3.5714285714285716"/>
    <x v="1"/>
    <x v="19"/>
    <x v="7"/>
    <x v="1"/>
  </r>
  <r>
    <s v="807103174034"/>
    <n v="807103"/>
    <s v="BHANWAR LAL BOHRA"/>
    <n v="174034"/>
    <s v="RADHE BUILDING MATERIAL"/>
    <n v="0"/>
    <n v="0"/>
    <n v="0"/>
    <n v="10"/>
    <n v="0"/>
    <n v="11"/>
    <n v="15"/>
    <n v="36"/>
    <n v="5.1428571428571432"/>
    <x v="1"/>
    <x v="19"/>
    <x v="7"/>
    <x v="1"/>
  </r>
  <r>
    <s v="807104174034"/>
    <n v="807104"/>
    <s v="BALAJI BUILDING MATERIAL"/>
    <n v="174034"/>
    <s v="RADHE BUILDING MATERIAL"/>
    <n v="20"/>
    <n v="0"/>
    <n v="0"/>
    <n v="21"/>
    <n v="8"/>
    <n v="115"/>
    <n v="35"/>
    <n v="199"/>
    <n v="28.428571428571427"/>
    <x v="0"/>
    <x v="19"/>
    <x v="7"/>
    <x v="1"/>
  </r>
  <r>
    <s v="807177174034"/>
    <n v="807177"/>
    <s v="LAKHARA CEMENT SUPPLIERS"/>
    <n v="174034"/>
    <s v="RADHE BUILDING MATERIAL"/>
    <n v="0"/>
    <n v="45"/>
    <n v="0"/>
    <n v="0"/>
    <n v="25.5"/>
    <n v="75"/>
    <n v="20"/>
    <n v="165.5"/>
    <n v="23.642857142857142"/>
    <x v="0"/>
    <x v="19"/>
    <x v="7"/>
    <x v="1"/>
  </r>
  <r>
    <s v="808451174034"/>
    <n v="808451"/>
    <s v="SHREE JASNATH HARDWARE &amp; ELECT"/>
    <n v="174034"/>
    <s v="RADHE BUILDING MATERIAL"/>
    <n v="75"/>
    <n v="45"/>
    <n v="35"/>
    <n v="150"/>
    <n v="18"/>
    <n v="74"/>
    <n v="5"/>
    <n v="402"/>
    <n v="57.428571428571431"/>
    <x v="3"/>
    <x v="19"/>
    <x v="7"/>
    <x v="1"/>
  </r>
  <r>
    <s v="808751174034"/>
    <n v="808751"/>
    <s v="PRAJAPAT BUILDING MATERIAL"/>
    <n v="174034"/>
    <s v="RADHE BUILDING MATERIAL"/>
    <n v="0"/>
    <n v="10"/>
    <n v="10"/>
    <n v="12"/>
    <n v="43"/>
    <n v="0"/>
    <n v="0"/>
    <n v="75"/>
    <n v="10.714285714285714"/>
    <x v="2"/>
    <x v="19"/>
    <x v="7"/>
    <x v="1"/>
  </r>
  <r>
    <s v="808822174034"/>
    <n v="808822"/>
    <s v="BAJRANG BUILDING MATERIAL"/>
    <n v="174034"/>
    <s v="RADHE BUILDING MATERIAL"/>
    <n v="0"/>
    <n v="0"/>
    <n v="0"/>
    <n v="20"/>
    <n v="9"/>
    <n v="0"/>
    <n v="0"/>
    <n v="29"/>
    <n v="4.1428571428571432"/>
    <x v="1"/>
    <x v="19"/>
    <x v="7"/>
    <x v="1"/>
  </r>
  <r>
    <s v="808940174034"/>
    <n v="808940"/>
    <s v="BAJRANG BUILDING MATERIAL"/>
    <n v="174034"/>
    <s v="RADHE BUILDING MATERIAL"/>
    <n v="10"/>
    <n v="0"/>
    <n v="25"/>
    <n v="137"/>
    <n v="40"/>
    <n v="58"/>
    <n v="85"/>
    <n v="355"/>
    <n v="50.714285714285715"/>
    <x v="3"/>
    <x v="19"/>
    <x v="7"/>
    <x v="1"/>
  </r>
  <r>
    <s v="809354174034"/>
    <n v="809354"/>
    <s v="SHREE KARNI BUILDING MATERIAL"/>
    <n v="174034"/>
    <s v="RADHE BUILDING MATERIAL"/>
    <n v="0"/>
    <n v="10"/>
    <n v="0"/>
    <n v="0"/>
    <n v="83"/>
    <n v="80"/>
    <n v="15"/>
    <n v="188"/>
    <n v="26.857142857142858"/>
    <x v="0"/>
    <x v="19"/>
    <x v="7"/>
    <x v="1"/>
  </r>
  <r>
    <s v="810510174034"/>
    <n v="810510"/>
    <s v="SHREE VEER TEJAJI DHARAMKANTA"/>
    <n v="174034"/>
    <s v="RADHE BUILDING MATERIAL"/>
    <n v="0"/>
    <n v="10"/>
    <n v="0"/>
    <n v="0"/>
    <n v="12.5"/>
    <n v="30"/>
    <n v="10"/>
    <n v="62.5"/>
    <n v="8.9285714285714288"/>
    <x v="1"/>
    <x v="19"/>
    <x v="7"/>
    <x v="1"/>
  </r>
  <r>
    <s v="810954174034"/>
    <n v="810954"/>
    <s v="S K TRADERS"/>
    <n v="174034"/>
    <s v="RADHE BUILDING MATERIAL"/>
    <n v="10"/>
    <n v="10"/>
    <n v="10"/>
    <n v="10"/>
    <n v="0"/>
    <n v="0"/>
    <n v="0"/>
    <n v="40"/>
    <n v="5.7142857142857144"/>
    <x v="1"/>
    <x v="19"/>
    <x v="7"/>
    <x v="1"/>
  </r>
  <r>
    <s v="811418174034"/>
    <n v="811418"/>
    <s v="DIVYA ENTERPRISES"/>
    <n v="174034"/>
    <s v="RADHE BUILDING MATERIAL"/>
    <n v="140"/>
    <n v="65"/>
    <n v="25"/>
    <n v="0"/>
    <n v="0"/>
    <n v="0"/>
    <n v="0"/>
    <n v="230"/>
    <n v="32.857142857142854"/>
    <x v="4"/>
    <x v="19"/>
    <x v="7"/>
    <x v="1"/>
  </r>
  <r>
    <s v="811511174034"/>
    <n v="811511"/>
    <s v="RATHORE BUILDING MATERIAL"/>
    <n v="174034"/>
    <s v="RADHE BUILDING MATERIAL"/>
    <n v="0"/>
    <n v="0"/>
    <n v="0"/>
    <n v="12"/>
    <n v="98"/>
    <n v="11"/>
    <n v="0"/>
    <n v="121"/>
    <n v="17.285714285714285"/>
    <x v="2"/>
    <x v="19"/>
    <x v="7"/>
    <x v="1"/>
  </r>
  <r>
    <s v="814870174034"/>
    <n v="814870"/>
    <s v="SHRI VISHWA KARMA BUILDING MAT"/>
    <n v="174034"/>
    <s v="RADHE BUILDING MATERIAL"/>
    <n v="0"/>
    <n v="0"/>
    <n v="85"/>
    <n v="0"/>
    <n v="72"/>
    <n v="12.5"/>
    <n v="0"/>
    <n v="169.5"/>
    <n v="24.214285714285715"/>
    <x v="0"/>
    <x v="19"/>
    <x v="7"/>
    <x v="1"/>
  </r>
  <r>
    <s v="813162174271"/>
    <n v="813162"/>
    <s v="SHREE BALAJI BUILDING MATERIAL"/>
    <n v="174271"/>
    <s v="S K TRADERS"/>
    <n v="30"/>
    <n v="100"/>
    <n v="65"/>
    <n v="51"/>
    <n v="0"/>
    <n v="40"/>
    <n v="0"/>
    <n v="286"/>
    <n v="40.857142857142854"/>
    <x v="5"/>
    <x v="19"/>
    <x v="7"/>
    <x v="1"/>
  </r>
  <r>
    <s v="813245174271"/>
    <n v="813245"/>
    <s v="SALEEM TRADING COMPANY"/>
    <n v="174271"/>
    <s v="S K TRADERS"/>
    <n v="50"/>
    <n v="90"/>
    <n v="130"/>
    <n v="81"/>
    <n v="0"/>
    <n v="0"/>
    <n v="0"/>
    <n v="351"/>
    <n v="50.142857142857146"/>
    <x v="3"/>
    <x v="19"/>
    <x v="7"/>
    <x v="1"/>
  </r>
  <r>
    <s v="813258174271"/>
    <n v="813258"/>
    <s v="MUKHRAM TRADING COMPANY"/>
    <n v="174271"/>
    <s v="S K TRADERS"/>
    <n v="20"/>
    <n v="80"/>
    <n v="105"/>
    <n v="51"/>
    <n v="0"/>
    <n v="0"/>
    <n v="0"/>
    <n v="256"/>
    <n v="36.571428571428569"/>
    <x v="4"/>
    <x v="19"/>
    <x v="7"/>
    <x v="1"/>
  </r>
  <r>
    <s v="813260174271"/>
    <n v="813260"/>
    <s v="BHANWAR TRADING COMPANY"/>
    <n v="174271"/>
    <s v="S K TRADERS"/>
    <n v="50"/>
    <n v="100"/>
    <n v="90"/>
    <n v="56"/>
    <n v="0"/>
    <n v="0"/>
    <n v="0"/>
    <n v="296"/>
    <n v="42.285714285714285"/>
    <x v="5"/>
    <x v="19"/>
    <x v="7"/>
    <x v="1"/>
  </r>
  <r>
    <s v="813266174271"/>
    <n v="813266"/>
    <s v="BHAJAN TRADING COMPANY"/>
    <n v="174271"/>
    <s v="S K TRADERS"/>
    <n v="50"/>
    <n v="80"/>
    <n v="20"/>
    <n v="91"/>
    <n v="0"/>
    <n v="0"/>
    <n v="0"/>
    <n v="241"/>
    <n v="34.428571428571431"/>
    <x v="4"/>
    <x v="19"/>
    <x v="7"/>
    <x v="1"/>
  </r>
  <r>
    <s v="815182174271"/>
    <n v="815182"/>
    <s v="ROJH CONSTRUCTION COMPANY"/>
    <n v="174271"/>
    <s v="S K TRADERS"/>
    <n v="0"/>
    <n v="0"/>
    <n v="65"/>
    <n v="82.5"/>
    <n v="0"/>
    <n v="30"/>
    <n v="0"/>
    <n v="177.5"/>
    <n v="25.357142857142858"/>
    <x v="0"/>
    <x v="19"/>
    <x v="7"/>
    <x v="1"/>
  </r>
  <r>
    <s v="812634174357"/>
    <n v="812634"/>
    <s v="KOHARI CONSTRUCTION COMPANY"/>
    <n v="174357"/>
    <s v="M R TRADERS"/>
    <n v="0"/>
    <n v="0"/>
    <n v="0"/>
    <n v="0"/>
    <n v="102.5"/>
    <n v="310"/>
    <n v="0"/>
    <n v="412.5"/>
    <n v="58.928571428571431"/>
    <x v="3"/>
    <x v="19"/>
    <x v="7"/>
    <x v="1"/>
  </r>
  <r>
    <s v="814377174357"/>
    <n v="814377"/>
    <s v="M K TRADERS"/>
    <n v="174357"/>
    <s v="M R TRADERS"/>
    <n v="220"/>
    <n v="91"/>
    <n v="39"/>
    <n v="103.5"/>
    <n v="40"/>
    <n v="0"/>
    <n v="0"/>
    <n v="493.5"/>
    <n v="70.5"/>
    <x v="3"/>
    <x v="19"/>
    <x v="7"/>
    <x v="1"/>
  </r>
  <r>
    <s v="815508178460"/>
    <n v="815508"/>
    <s v="ASHAPURA CEMENT AGENCY"/>
    <n v="178460"/>
    <s v="BHARAT KUMAR PREMJI MALI"/>
    <n v="0"/>
    <n v="0"/>
    <n v="0"/>
    <n v="23.5"/>
    <n v="0"/>
    <n v="0"/>
    <n v="0"/>
    <n v="23.5"/>
    <n v="3.3571428571428572"/>
    <x v="1"/>
    <x v="19"/>
    <x v="7"/>
    <x v="1"/>
  </r>
  <r>
    <s v="810896179467"/>
    <n v="810896"/>
    <s v="AASHAPURA TRADERS"/>
    <n v="179467"/>
    <s v="R K TRADERS"/>
    <n v="60"/>
    <n v="10"/>
    <n v="10"/>
    <n v="0"/>
    <n v="35"/>
    <n v="5"/>
    <n v="20"/>
    <n v="140"/>
    <n v="20"/>
    <x v="0"/>
    <x v="19"/>
    <x v="7"/>
    <x v="1"/>
  </r>
  <r>
    <s v="810897179467"/>
    <n v="810897"/>
    <s v="DURGA CEMENT SUPPLIERS"/>
    <n v="179467"/>
    <s v="R K TRADERS"/>
    <n v="101.5"/>
    <n v="5"/>
    <n v="135"/>
    <n v="0"/>
    <n v="45"/>
    <n v="45"/>
    <n v="25"/>
    <n v="356.5"/>
    <n v="50.928571428571431"/>
    <x v="3"/>
    <x v="19"/>
    <x v="7"/>
    <x v="1"/>
  </r>
  <r>
    <s v="812625179868"/>
    <n v="812625"/>
    <s v="NAYACH CEMENT SUPPLIERS"/>
    <n v="179868"/>
    <s v="M K NAYACH CONSTRUCTION COMPAN"/>
    <n v="35"/>
    <n v="44"/>
    <n v="40"/>
    <n v="0"/>
    <n v="0"/>
    <n v="65"/>
    <n v="0"/>
    <n v="184"/>
    <n v="26.285714285714285"/>
    <x v="0"/>
    <x v="19"/>
    <x v="7"/>
    <x v="1"/>
  </r>
  <r>
    <s v="810956179869"/>
    <n v="810956"/>
    <s v="OM PRAKASH PRAJAPAT"/>
    <n v="179869"/>
    <s v="SHREE BALAJI CEMENT"/>
    <n v="50"/>
    <n v="31.5"/>
    <n v="45"/>
    <n v="30"/>
    <n v="16"/>
    <n v="17.5"/>
    <n v="30"/>
    <n v="220"/>
    <n v="31.428571428571427"/>
    <x v="4"/>
    <x v="19"/>
    <x v="7"/>
    <x v="1"/>
  </r>
  <r>
    <s v="811037179869"/>
    <n v="811037"/>
    <s v="PAWAN KUMAR PRAJAPAT"/>
    <n v="179869"/>
    <s v="SHREE BALAJI CEMENT"/>
    <n v="83"/>
    <n v="85"/>
    <n v="46"/>
    <n v="20.5"/>
    <n v="52"/>
    <n v="20"/>
    <n v="37.5"/>
    <n v="344"/>
    <n v="49.142857142857146"/>
    <x v="5"/>
    <x v="19"/>
    <x v="7"/>
    <x v="1"/>
  </r>
  <r>
    <s v="811099179869"/>
    <n v="811099"/>
    <s v="SHRAWAN SINGH"/>
    <n v="179869"/>
    <s v="SHREE BALAJI CEMENT"/>
    <n v="0"/>
    <n v="0"/>
    <n v="20"/>
    <n v="16"/>
    <n v="1"/>
    <n v="0"/>
    <n v="22.5"/>
    <n v="59.5"/>
    <n v="8.5"/>
    <x v="1"/>
    <x v="19"/>
    <x v="7"/>
    <x v="1"/>
  </r>
  <r>
    <s v="814256179869"/>
    <n v="814256"/>
    <s v="SHRAWAN KUMAR"/>
    <n v="179869"/>
    <s v="SHREE BALAJI CEMENT"/>
    <n v="0"/>
    <n v="10"/>
    <n v="0"/>
    <n v="0"/>
    <n v="0"/>
    <n v="0"/>
    <n v="0"/>
    <n v="10"/>
    <n v="1.4285714285714286"/>
    <x v="1"/>
    <x v="19"/>
    <x v="7"/>
    <x v="1"/>
  </r>
  <r>
    <s v="815938209017"/>
    <n v="815938"/>
    <s v="S R AND SONS"/>
    <n v="209017"/>
    <s v="SARSWAT HARDWARE"/>
    <n v="0"/>
    <n v="0"/>
    <n v="0"/>
    <n v="0"/>
    <n v="62"/>
    <n v="107.5"/>
    <n v="135"/>
    <n v="304.5"/>
    <n v="43.5"/>
    <x v="5"/>
    <x v="19"/>
    <x v="7"/>
    <x v="1"/>
  </r>
  <r>
    <s v="816498209017"/>
    <n v="816498"/>
    <s v="SHREE BALAJI STONE SUPPLIERS"/>
    <n v="209017"/>
    <s v="SARSWAT HARDWARE"/>
    <n v="0"/>
    <n v="0"/>
    <n v="0"/>
    <n v="0"/>
    <n v="0"/>
    <n v="35"/>
    <n v="83"/>
    <n v="118"/>
    <n v="16.857142857142858"/>
    <x v="2"/>
    <x v="19"/>
    <x v="7"/>
    <x v="1"/>
  </r>
  <r>
    <s v="810952140881"/>
    <n v="810952"/>
    <s v="BABA RAMDEV TRADING COMPANY"/>
    <n v="140881"/>
    <s v="NAM DEV STONE SUPPLIERS"/>
    <n v="0"/>
    <n v="0"/>
    <n v="0"/>
    <n v="0"/>
    <n v="0"/>
    <n v="0"/>
    <n v="20"/>
    <n v="20"/>
    <n v="2.8571428571428572"/>
    <x v="1"/>
    <x v="19"/>
    <x v="7"/>
    <x v="1"/>
  </r>
  <r>
    <s v="816522140881"/>
    <n v="816522"/>
    <s v="J P ENTERPRISES"/>
    <n v="140881"/>
    <s v="NAM DEV STONE SUPPLIERS"/>
    <n v="0"/>
    <n v="0"/>
    <n v="0"/>
    <n v="0"/>
    <n v="0"/>
    <n v="0"/>
    <n v="20"/>
    <n v="20"/>
    <n v="2.8571428571428572"/>
    <x v="1"/>
    <x v="19"/>
    <x v="7"/>
    <x v="1"/>
  </r>
  <r>
    <s v="816536144154"/>
    <n v="816536"/>
    <s v="RAJESH KUMAR SARASWAT"/>
    <n v="144154"/>
    <s v="SANGAM TRADERS"/>
    <n v="0"/>
    <n v="0"/>
    <n v="0"/>
    <n v="0"/>
    <n v="0"/>
    <n v="0"/>
    <n v="45"/>
    <n v="45"/>
    <n v="6.4285714285714288"/>
    <x v="1"/>
    <x v="19"/>
    <x v="7"/>
    <x v="1"/>
  </r>
  <r>
    <s v="816690209017"/>
    <n v="816690"/>
    <s v="ROYAL ENTERPRISES"/>
    <n v="209017"/>
    <s v="SARSWAT HARDWARE"/>
    <n v="0"/>
    <n v="0"/>
    <n v="0"/>
    <n v="0"/>
    <n v="0"/>
    <n v="0"/>
    <n v="42"/>
    <n v="42"/>
    <n v="6"/>
    <x v="1"/>
    <x v="19"/>
    <x v="7"/>
    <x v="1"/>
  </r>
  <r>
    <s v="816691209017"/>
    <n v="816691"/>
    <s v="HARI OM TRADING COMPANY"/>
    <n v="209017"/>
    <s v="SARSWAT HARDWARE"/>
    <n v="0"/>
    <n v="0"/>
    <n v="0"/>
    <n v="0"/>
    <n v="0"/>
    <n v="0"/>
    <n v="25"/>
    <n v="25"/>
    <n v="3.5714285714285716"/>
    <x v="1"/>
    <x v="19"/>
    <x v="7"/>
    <x v="1"/>
  </r>
  <r>
    <s v="811687143608"/>
    <n v="811687"/>
    <s v="BHAGIRATH"/>
    <n v="143608"/>
    <s v="OM IRON AND CEMENT AGENCY"/>
    <n v="26.65"/>
    <n v="112"/>
    <n v="76.5"/>
    <n v="118"/>
    <n v="118"/>
    <n v="101"/>
    <n v="95"/>
    <n v="647.15"/>
    <n v="92.45"/>
    <x v="3"/>
    <x v="20"/>
    <x v="7"/>
    <x v="1"/>
  </r>
  <r>
    <s v="814883143608"/>
    <n v="814883"/>
    <s v="SATGURU BRICKS"/>
    <n v="143608"/>
    <s v="OM IRON AND CEMENT AGENCY"/>
    <n v="59"/>
    <n v="15.5"/>
    <n v="51.5"/>
    <n v="54"/>
    <n v="75"/>
    <n v="57.6"/>
    <n v="62"/>
    <n v="374.6"/>
    <n v="53.51428571428572"/>
    <x v="3"/>
    <x v="20"/>
    <x v="7"/>
    <x v="1"/>
  </r>
  <r>
    <s v="806805145394"/>
    <n v="806805"/>
    <s v="DARA SINGH"/>
    <n v="145394"/>
    <s v="DEVRAJ AND SONS"/>
    <n v="0"/>
    <n v="0"/>
    <n v="30"/>
    <n v="0"/>
    <n v="0"/>
    <n v="0"/>
    <n v="0"/>
    <n v="30"/>
    <n v="4.2857142857142856"/>
    <x v="1"/>
    <x v="20"/>
    <x v="7"/>
    <x v="1"/>
  </r>
  <r>
    <s v="808426145394"/>
    <n v="808426"/>
    <s v="MUKESH TRADERS"/>
    <n v="145394"/>
    <s v="DEVRAJ AND SONS"/>
    <n v="55"/>
    <n v="67.5"/>
    <n v="125"/>
    <n v="82.5"/>
    <n v="105"/>
    <n v="86"/>
    <n v="70"/>
    <n v="591"/>
    <n v="84.428571428571431"/>
    <x v="3"/>
    <x v="20"/>
    <x v="7"/>
    <x v="1"/>
  </r>
  <r>
    <s v="808427145394"/>
    <n v="808427"/>
    <s v="BABU SINGH"/>
    <n v="145394"/>
    <s v="DEVRAJ AND SONS"/>
    <n v="0"/>
    <n v="15"/>
    <n v="39"/>
    <n v="21.5"/>
    <n v="47"/>
    <n v="30"/>
    <n v="25"/>
    <n v="177.5"/>
    <n v="25.357142857142858"/>
    <x v="0"/>
    <x v="20"/>
    <x v="7"/>
    <x v="1"/>
  </r>
  <r>
    <s v="809529145394"/>
    <n v="809529"/>
    <s v="SUBHASH CHANDER"/>
    <n v="145394"/>
    <s v="DEVRAJ AND SONS"/>
    <n v="15"/>
    <n v="28"/>
    <n v="43"/>
    <n v="36.5"/>
    <n v="58.75"/>
    <n v="55"/>
    <n v="35"/>
    <n v="271.25"/>
    <n v="38.75"/>
    <x v="4"/>
    <x v="20"/>
    <x v="7"/>
    <x v="1"/>
  </r>
  <r>
    <s v="809908145394"/>
    <n v="809908"/>
    <s v="JAMINDARA SHUTTERING STORE"/>
    <n v="145394"/>
    <s v="DEVRAJ AND SONS"/>
    <n v="23"/>
    <n v="25"/>
    <n v="48.5"/>
    <n v="66.5"/>
    <n v="70"/>
    <n v="35"/>
    <n v="20"/>
    <n v="288"/>
    <n v="41.142857142857146"/>
    <x v="5"/>
    <x v="20"/>
    <x v="7"/>
    <x v="1"/>
  </r>
  <r>
    <s v="809909145394"/>
    <n v="809909"/>
    <s v="SIDHU BUILDING MATERIAL STORE"/>
    <n v="145394"/>
    <s v="DEVRAJ AND SONS"/>
    <n v="52.5"/>
    <n v="48"/>
    <n v="54"/>
    <n v="21.75"/>
    <n v="29.5"/>
    <n v="30"/>
    <n v="35"/>
    <n v="270.75"/>
    <n v="38.678571428571431"/>
    <x v="4"/>
    <x v="20"/>
    <x v="7"/>
    <x v="1"/>
  </r>
  <r>
    <s v="810584145394"/>
    <n v="810584"/>
    <s v="GANPATI TILES FACTORY"/>
    <n v="145394"/>
    <s v="DEVRAJ AND SONS"/>
    <n v="27.5"/>
    <n v="43"/>
    <n v="100"/>
    <n v="24"/>
    <n v="74.5"/>
    <n v="45"/>
    <n v="15"/>
    <n v="329"/>
    <n v="47"/>
    <x v="5"/>
    <x v="20"/>
    <x v="7"/>
    <x v="1"/>
  </r>
  <r>
    <s v="811479145394"/>
    <n v="811479"/>
    <s v="CHATURBHUJ"/>
    <n v="145394"/>
    <s v="DEVRAJ AND SONS"/>
    <n v="24"/>
    <n v="20"/>
    <n v="33"/>
    <n v="21.5"/>
    <n v="61.5"/>
    <n v="47"/>
    <n v="15"/>
    <n v="222"/>
    <n v="31.714285714285715"/>
    <x v="4"/>
    <x v="20"/>
    <x v="7"/>
    <x v="1"/>
  </r>
  <r>
    <s v="812729145394"/>
    <n v="812729"/>
    <s v="AGGARWAL BUILDING MATERIAL"/>
    <n v="145394"/>
    <s v="DEVRAJ AND SONS"/>
    <n v="11.5"/>
    <n v="30"/>
    <n v="39"/>
    <n v="7"/>
    <n v="1"/>
    <n v="0"/>
    <n v="0"/>
    <n v="88.5"/>
    <n v="12.642857142857142"/>
    <x v="2"/>
    <x v="20"/>
    <x v="7"/>
    <x v="1"/>
  </r>
  <r>
    <s v="812863145394"/>
    <n v="812863"/>
    <s v="DARSHAN SINGH"/>
    <n v="145394"/>
    <s v="DEVRAJ AND SONS"/>
    <n v="53"/>
    <n v="30"/>
    <n v="65"/>
    <n v="21.5"/>
    <n v="58.75"/>
    <n v="35"/>
    <n v="20"/>
    <n v="283.25"/>
    <n v="40.464285714285715"/>
    <x v="5"/>
    <x v="20"/>
    <x v="7"/>
    <x v="1"/>
  </r>
  <r>
    <s v="813008145394"/>
    <n v="813008"/>
    <s v="RAJESH KUMAR"/>
    <n v="145394"/>
    <s v="DEVRAJ AND SONS"/>
    <n v="40"/>
    <n v="30"/>
    <n v="73.5"/>
    <n v="28.5"/>
    <n v="110"/>
    <n v="55"/>
    <n v="35"/>
    <n v="372"/>
    <n v="53.142857142857146"/>
    <x v="3"/>
    <x v="20"/>
    <x v="7"/>
    <x v="1"/>
  </r>
  <r>
    <s v="813010145394"/>
    <n v="813010"/>
    <s v="JAGSEER SINGH"/>
    <n v="145394"/>
    <s v="DEVRAJ AND SONS"/>
    <n v="11.5"/>
    <n v="12"/>
    <n v="15"/>
    <n v="4.5"/>
    <n v="31"/>
    <n v="40"/>
    <n v="15"/>
    <n v="129"/>
    <n v="18.428571428571427"/>
    <x v="2"/>
    <x v="20"/>
    <x v="7"/>
    <x v="1"/>
  </r>
  <r>
    <s v="805765147892"/>
    <n v="805765"/>
    <s v="BALAJI MOBILE POINT"/>
    <n v="147892"/>
    <s v="RAMDEV TRADERS"/>
    <n v="15"/>
    <n v="26.5"/>
    <n v="45.5"/>
    <n v="25.3"/>
    <n v="21"/>
    <n v="47"/>
    <n v="10"/>
    <n v="190.3"/>
    <n v="27.185714285714287"/>
    <x v="0"/>
    <x v="20"/>
    <x v="7"/>
    <x v="1"/>
  </r>
  <r>
    <s v="808449149859"/>
    <n v="808449"/>
    <s v="MALI BUILDING MATERIAL STORE"/>
    <n v="149859"/>
    <s v="DHARM PAL AKSHAY KUMAR"/>
    <n v="42.5"/>
    <n v="74.5"/>
    <n v="147"/>
    <n v="160"/>
    <n v="148.5"/>
    <n v="124.25"/>
    <n v="59"/>
    <n v="755.75"/>
    <n v="107.96428571428571"/>
    <x v="3"/>
    <x v="20"/>
    <x v="7"/>
    <x v="1"/>
  </r>
  <r>
    <s v="806659171839"/>
    <n v="806659"/>
    <s v="DHAKA ENTERPRISES"/>
    <n v="171839"/>
    <s v="SARAWAGI CEMENT AGENCY"/>
    <n v="20"/>
    <n v="10"/>
    <n v="35"/>
    <n v="0"/>
    <n v="0"/>
    <n v="0"/>
    <n v="0"/>
    <n v="65"/>
    <n v="9.2857142857142865"/>
    <x v="1"/>
    <x v="20"/>
    <x v="7"/>
    <x v="1"/>
  </r>
  <r>
    <s v="806829171839"/>
    <n v="806829"/>
    <s v="VIKAS PAREEK"/>
    <n v="171839"/>
    <s v="SARAWAGI CEMENT AGENCY"/>
    <n v="23"/>
    <n v="65"/>
    <n v="62"/>
    <n v="78"/>
    <n v="4.5"/>
    <n v="63.5"/>
    <n v="50"/>
    <n v="346"/>
    <n v="49.428571428571431"/>
    <x v="5"/>
    <x v="20"/>
    <x v="7"/>
    <x v="1"/>
  </r>
  <r>
    <s v="806843171839"/>
    <n v="806843"/>
    <s v="SHYAM SUNDER"/>
    <n v="171839"/>
    <s v="SARAWAGI CEMENT AGENCY"/>
    <n v="10"/>
    <n v="81"/>
    <n v="14.8"/>
    <n v="52"/>
    <n v="4.5"/>
    <n v="110.5"/>
    <n v="95"/>
    <n v="367.8"/>
    <n v="52.542857142857144"/>
    <x v="3"/>
    <x v="20"/>
    <x v="7"/>
    <x v="1"/>
  </r>
  <r>
    <s v="806862171839"/>
    <n v="806862"/>
    <s v="SAHARAN BUILDING MATERIAL"/>
    <n v="171839"/>
    <s v="SARAWAGI CEMENT AGENCY"/>
    <n v="45"/>
    <n v="75"/>
    <n v="100"/>
    <n v="126"/>
    <n v="14.5"/>
    <n v="100"/>
    <n v="0"/>
    <n v="460.5"/>
    <n v="65.785714285714292"/>
    <x v="3"/>
    <x v="20"/>
    <x v="7"/>
    <x v="1"/>
  </r>
  <r>
    <s v="807912171839"/>
    <n v="807912"/>
    <s v="NARESH KUMAR"/>
    <n v="171839"/>
    <s v="SARAWAGI CEMENT AGENCY"/>
    <n v="20"/>
    <n v="106"/>
    <n v="85"/>
    <n v="81.5"/>
    <n v="4.5"/>
    <n v="95"/>
    <n v="95"/>
    <n v="487"/>
    <n v="69.571428571428569"/>
    <x v="3"/>
    <x v="20"/>
    <x v="7"/>
    <x v="1"/>
  </r>
  <r>
    <s v="808569171839"/>
    <n v="808569"/>
    <s v="KANDOI TRADERS"/>
    <n v="171839"/>
    <s v="SARAWAGI CEMENT AGENCY"/>
    <n v="61.5"/>
    <n v="120"/>
    <n v="130"/>
    <n v="119"/>
    <n v="28.5"/>
    <n v="100.5"/>
    <n v="75"/>
    <n v="634.5"/>
    <n v="90.642857142857139"/>
    <x v="3"/>
    <x v="20"/>
    <x v="7"/>
    <x v="1"/>
  </r>
  <r>
    <s v="809102171839"/>
    <n v="809102"/>
    <s v="MAYANK ENTERPRISES"/>
    <n v="171839"/>
    <s v="SARAWAGI CEMENT AGENCY"/>
    <n v="15"/>
    <n v="115"/>
    <n v="115"/>
    <n v="62"/>
    <n v="59.5"/>
    <n v="60.5"/>
    <n v="0"/>
    <n v="427"/>
    <n v="61"/>
    <x v="3"/>
    <x v="20"/>
    <x v="7"/>
    <x v="1"/>
  </r>
  <r>
    <s v="809426171839"/>
    <n v="809426"/>
    <s v="RAJENDER"/>
    <n v="171839"/>
    <s v="SARAWAGI CEMENT AGENCY"/>
    <n v="0"/>
    <n v="40"/>
    <n v="19.5"/>
    <n v="32.5"/>
    <n v="4.5"/>
    <n v="30"/>
    <n v="30"/>
    <n v="156.5"/>
    <n v="22.357142857142858"/>
    <x v="0"/>
    <x v="20"/>
    <x v="7"/>
    <x v="1"/>
  </r>
  <r>
    <s v="811647171839"/>
    <n v="811647"/>
    <s v="HIRALAL"/>
    <n v="171839"/>
    <s v="SARAWAGI CEMENT AGENCY"/>
    <n v="10"/>
    <n v="76"/>
    <n v="69"/>
    <n v="67"/>
    <n v="24.5"/>
    <n v="45"/>
    <n v="50"/>
    <n v="341.5"/>
    <n v="48.785714285714285"/>
    <x v="5"/>
    <x v="20"/>
    <x v="7"/>
    <x v="1"/>
  </r>
  <r>
    <s v="811686171839"/>
    <n v="811686"/>
    <s v="OMPARKASH"/>
    <n v="171839"/>
    <s v="SARAWAGI CEMENT AGENCY"/>
    <n v="61.5"/>
    <n v="128"/>
    <n v="100"/>
    <n v="107"/>
    <n v="31.5"/>
    <n v="105"/>
    <n v="95"/>
    <n v="628"/>
    <n v="89.714285714285708"/>
    <x v="3"/>
    <x v="20"/>
    <x v="7"/>
    <x v="1"/>
  </r>
  <r>
    <s v="811918171839"/>
    <n v="811918"/>
    <s v="ARIF MOHAMMAD"/>
    <n v="171839"/>
    <s v="SARAWAGI CEMENT AGENCY"/>
    <n v="10"/>
    <n v="27.5"/>
    <n v="57"/>
    <n v="29.5"/>
    <n v="4.5"/>
    <n v="50"/>
    <n v="40"/>
    <n v="218.5"/>
    <n v="31.214285714285715"/>
    <x v="4"/>
    <x v="20"/>
    <x v="7"/>
    <x v="1"/>
  </r>
  <r>
    <s v="814868171839"/>
    <n v="814868"/>
    <s v="PREM BUILDING MATERIAL"/>
    <n v="171839"/>
    <s v="SARAWAGI CEMENT AGENCY"/>
    <n v="20"/>
    <n v="50"/>
    <n v="72"/>
    <n v="72.8"/>
    <n v="4.5"/>
    <n v="40"/>
    <n v="40"/>
    <n v="299.3"/>
    <n v="42.75714285714286"/>
    <x v="5"/>
    <x v="20"/>
    <x v="7"/>
    <x v="1"/>
  </r>
  <r>
    <s v="815868171839"/>
    <n v="815868"/>
    <s v="KANWAR PAL"/>
    <n v="171839"/>
    <s v="SARAWAGI CEMENT AGENCY"/>
    <n v="0"/>
    <n v="0"/>
    <n v="0"/>
    <n v="0"/>
    <n v="74.5"/>
    <n v="110"/>
    <n v="50"/>
    <n v="234.5"/>
    <n v="33.5"/>
    <x v="4"/>
    <x v="20"/>
    <x v="7"/>
    <x v="1"/>
  </r>
  <r>
    <s v="806804171923"/>
    <n v="806804"/>
    <s v="RAM SINGH"/>
    <n v="171923"/>
    <s v="SHIV SHAKTI BUILDING MATERIAL"/>
    <n v="44"/>
    <n v="59"/>
    <n v="56.5"/>
    <n v="99"/>
    <n v="58"/>
    <n v="40"/>
    <n v="40"/>
    <n v="396.5"/>
    <n v="56.642857142857146"/>
    <x v="3"/>
    <x v="20"/>
    <x v="7"/>
    <x v="1"/>
  </r>
  <r>
    <s v="806805171923"/>
    <n v="806805"/>
    <s v="DARA SINGH"/>
    <n v="171923"/>
    <s v="SHIV SHAKTI BUILDING MATERIAL"/>
    <n v="25"/>
    <n v="30"/>
    <n v="45"/>
    <n v="22.5"/>
    <n v="36.5"/>
    <n v="20"/>
    <n v="15"/>
    <n v="194"/>
    <n v="27.714285714285715"/>
    <x v="0"/>
    <x v="20"/>
    <x v="7"/>
    <x v="1"/>
  </r>
  <r>
    <s v="809103171923"/>
    <n v="809103"/>
    <s v="GOPIRAM"/>
    <n v="171923"/>
    <s v="SHIV SHAKTI BUILDING MATERIAL"/>
    <n v="6.5"/>
    <n v="38"/>
    <n v="20"/>
    <n v="2.5"/>
    <n v="11"/>
    <n v="35"/>
    <n v="20"/>
    <n v="133"/>
    <n v="19"/>
    <x v="2"/>
    <x v="20"/>
    <x v="7"/>
    <x v="1"/>
  </r>
  <r>
    <s v="812109171924"/>
    <n v="812109"/>
    <s v="LILADHAR"/>
    <n v="171924"/>
    <s v="BALAJI CEMENT AGENCY"/>
    <n v="41.5"/>
    <n v="42"/>
    <n v="42"/>
    <n v="51"/>
    <n v="20"/>
    <n v="75"/>
    <n v="0"/>
    <n v="271.5"/>
    <n v="38.785714285714285"/>
    <x v="4"/>
    <x v="20"/>
    <x v="7"/>
    <x v="1"/>
  </r>
  <r>
    <s v="810298172946"/>
    <n v="810298"/>
    <s v="NAKSHATRA SINGH"/>
    <n v="172946"/>
    <s v="RIDHI SIDHI TRADERS"/>
    <n v="0"/>
    <n v="0"/>
    <n v="0"/>
    <n v="40"/>
    <n v="39"/>
    <n v="47.5"/>
    <n v="0"/>
    <n v="126.5"/>
    <n v="18.071428571428573"/>
    <x v="2"/>
    <x v="20"/>
    <x v="7"/>
    <x v="1"/>
  </r>
  <r>
    <s v="810386172946"/>
    <n v="810386"/>
    <s v="BRIJ MOHAN"/>
    <n v="172946"/>
    <s v="RIDHI SIDHI TRADERS"/>
    <n v="0"/>
    <n v="50"/>
    <n v="60"/>
    <n v="41.9"/>
    <n v="61"/>
    <n v="50"/>
    <n v="20"/>
    <n v="282.89999999999998"/>
    <n v="40.414285714285711"/>
    <x v="5"/>
    <x v="20"/>
    <x v="7"/>
    <x v="1"/>
  </r>
  <r>
    <s v="816142172946"/>
    <n v="816142"/>
    <s v="SANJAY KUMAR"/>
    <n v="172946"/>
    <s v="RIDHI SIDHI TRADERS"/>
    <n v="0"/>
    <n v="0"/>
    <n v="0"/>
    <n v="0"/>
    <n v="30"/>
    <n v="45"/>
    <n v="0"/>
    <n v="75"/>
    <n v="10.714285714285714"/>
    <x v="2"/>
    <x v="20"/>
    <x v="7"/>
    <x v="1"/>
  </r>
  <r>
    <s v="812663175340"/>
    <n v="812663"/>
    <s v="BHATI CEMENT &amp; BUILDING MATERI"/>
    <n v="175340"/>
    <s v="VISHNU CEMENT &amp; IRON STORE"/>
    <n v="1.3"/>
    <n v="0"/>
    <n v="0"/>
    <n v="21"/>
    <n v="0"/>
    <n v="0"/>
    <n v="0"/>
    <n v="22.3"/>
    <n v="3.1857142857142859"/>
    <x v="1"/>
    <x v="20"/>
    <x v="7"/>
    <x v="1"/>
  </r>
  <r>
    <s v="815899175340"/>
    <n v="815899"/>
    <s v="GANPATI BUILDING MATERIAL"/>
    <n v="175340"/>
    <s v="VISHNU CEMENT &amp; IRON STORE"/>
    <n v="0"/>
    <n v="0"/>
    <n v="0"/>
    <n v="0"/>
    <n v="50"/>
    <n v="60.05"/>
    <n v="38.5"/>
    <n v="148.55000000000001"/>
    <n v="21.221428571428572"/>
    <x v="0"/>
    <x v="20"/>
    <x v="7"/>
    <x v="1"/>
  </r>
  <r>
    <s v="815904175340"/>
    <n v="815904"/>
    <s v="SATVEER SINGH"/>
    <n v="175340"/>
    <s v="VISHNU CEMENT &amp; IRON STORE"/>
    <n v="0"/>
    <n v="0"/>
    <n v="0"/>
    <n v="0"/>
    <n v="52"/>
    <n v="60"/>
    <n v="31.5"/>
    <n v="143.5"/>
    <n v="20.5"/>
    <x v="0"/>
    <x v="20"/>
    <x v="7"/>
    <x v="1"/>
  </r>
  <r>
    <s v="814444175939"/>
    <n v="814444"/>
    <s v="KISSAN CEMENT AGENCY"/>
    <n v="175939"/>
    <s v="SHRI GURUNANAK CEMENT AGENCIES"/>
    <n v="25"/>
    <n v="56.5"/>
    <n v="75"/>
    <n v="80.3"/>
    <n v="65"/>
    <n v="19.149999999999999"/>
    <n v="25"/>
    <n v="345.95"/>
    <n v="49.421428571428571"/>
    <x v="5"/>
    <x v="20"/>
    <x v="7"/>
    <x v="1"/>
  </r>
  <r>
    <s v="815816175939"/>
    <n v="815816"/>
    <s v="RAJENDRA SINGH"/>
    <n v="175939"/>
    <s v="SHRI GURUNANAK CEMENT AGENCIES"/>
    <n v="0"/>
    <n v="0"/>
    <n v="0"/>
    <n v="0"/>
    <n v="1"/>
    <n v="36.5"/>
    <n v="25"/>
    <n v="62.5"/>
    <n v="8.9285714285714288"/>
    <x v="1"/>
    <x v="20"/>
    <x v="7"/>
    <x v="1"/>
  </r>
  <r>
    <s v="814434176097"/>
    <n v="814434"/>
    <s v="BALWANT KUMAR"/>
    <n v="176097"/>
    <s v="GODARA BUILDING MATERIAL STORE"/>
    <n v="20"/>
    <n v="59"/>
    <n v="92.5"/>
    <n v="51.5"/>
    <n v="105"/>
    <n v="97"/>
    <n v="75"/>
    <n v="500"/>
    <n v="71.428571428571431"/>
    <x v="3"/>
    <x v="20"/>
    <x v="7"/>
    <x v="1"/>
  </r>
  <r>
    <s v="814786178309"/>
    <n v="814786"/>
    <s v="MADAN LAL"/>
    <n v="178309"/>
    <s v="BALAJI BUILDING MATERIAL STORE"/>
    <n v="0"/>
    <n v="0"/>
    <n v="0"/>
    <n v="0"/>
    <n v="21.5"/>
    <n v="19"/>
    <n v="0"/>
    <n v="40.5"/>
    <n v="5.7857142857142856"/>
    <x v="1"/>
    <x v="20"/>
    <x v="7"/>
    <x v="1"/>
  </r>
  <r>
    <s v="812897202329"/>
    <n v="812897"/>
    <s v="SHYAM LAL"/>
    <n v="202329"/>
    <s v="SHREE SHYAM STONE COMPANY"/>
    <n v="27.5"/>
    <n v="37"/>
    <n v="34"/>
    <n v="58.5"/>
    <n v="41.5"/>
    <n v="42"/>
    <n v="30"/>
    <n v="270.5"/>
    <n v="38.642857142857146"/>
    <x v="4"/>
    <x v="20"/>
    <x v="7"/>
    <x v="1"/>
  </r>
  <r>
    <s v="812899202329"/>
    <n v="812899"/>
    <s v="BALAJI CEMENT STORE"/>
    <n v="202329"/>
    <s v="SHREE SHYAM STONE COMPANY"/>
    <n v="37.5"/>
    <n v="38"/>
    <n v="15"/>
    <n v="0"/>
    <n v="0"/>
    <n v="0"/>
    <n v="0"/>
    <n v="90.5"/>
    <n v="12.928571428571429"/>
    <x v="2"/>
    <x v="20"/>
    <x v="7"/>
    <x v="1"/>
  </r>
  <r>
    <s v="812069202913"/>
    <n v="812069"/>
    <s v="YOGESH IRON STORE"/>
    <n v="202913"/>
    <s v="SACHIN CEMENT STORE"/>
    <n v="4.5"/>
    <n v="15"/>
    <n v="46.5"/>
    <n v="2"/>
    <n v="22.5"/>
    <n v="15"/>
    <n v="0"/>
    <n v="105.5"/>
    <n v="15.071428571428571"/>
    <x v="2"/>
    <x v="20"/>
    <x v="7"/>
    <x v="1"/>
  </r>
  <r>
    <s v="812712202913"/>
    <n v="812712"/>
    <s v="PARDEEP KUMAR"/>
    <n v="202913"/>
    <s v="SACHIN CEMENT STORE"/>
    <n v="17.5"/>
    <n v="60"/>
    <n v="115"/>
    <n v="1"/>
    <n v="39.5"/>
    <n v="47"/>
    <n v="15"/>
    <n v="295"/>
    <n v="42.142857142857146"/>
    <x v="5"/>
    <x v="20"/>
    <x v="7"/>
    <x v="1"/>
  </r>
  <r>
    <s v="812869202913"/>
    <n v="812869"/>
    <s v="GOYAL STONE SUPPLIERS"/>
    <n v="202913"/>
    <s v="SACHIN CEMENT STORE"/>
    <n v="0"/>
    <n v="0"/>
    <n v="0"/>
    <n v="0"/>
    <n v="74"/>
    <n v="63"/>
    <n v="30"/>
    <n v="167"/>
    <n v="23.857142857142858"/>
    <x v="0"/>
    <x v="20"/>
    <x v="7"/>
    <x v="1"/>
  </r>
  <r>
    <s v="813450202913"/>
    <n v="813450"/>
    <s v="SHANKAER LAL"/>
    <n v="202913"/>
    <s v="SACHIN CEMENT STORE"/>
    <n v="24.5"/>
    <n v="52"/>
    <n v="70"/>
    <n v="21"/>
    <n v="32.5"/>
    <n v="25"/>
    <n v="0"/>
    <n v="225"/>
    <n v="32.142857142857146"/>
    <x v="4"/>
    <x v="20"/>
    <x v="7"/>
    <x v="1"/>
  </r>
  <r>
    <s v="814917202913"/>
    <n v="814917"/>
    <s v="SAROJ"/>
    <n v="202913"/>
    <s v="SACHIN CEMENT STORE"/>
    <n v="27.5"/>
    <n v="75"/>
    <n v="85"/>
    <n v="21"/>
    <n v="0"/>
    <n v="0"/>
    <n v="0"/>
    <n v="208.5"/>
    <n v="29.785714285714285"/>
    <x v="0"/>
    <x v="20"/>
    <x v="7"/>
    <x v="1"/>
  </r>
  <r>
    <s v="815600202913"/>
    <n v="815600"/>
    <s v="SRI BALAJI STONE COMPANY"/>
    <n v="202913"/>
    <s v="SACHIN CEMENT STORE"/>
    <n v="0"/>
    <n v="0"/>
    <n v="0"/>
    <n v="0"/>
    <n v="25"/>
    <n v="15"/>
    <n v="0"/>
    <n v="40"/>
    <n v="5.7142857142857144"/>
    <x v="1"/>
    <x v="20"/>
    <x v="7"/>
    <x v="1"/>
  </r>
  <r>
    <s v="815602202913"/>
    <n v="815602"/>
    <s v="JHAJHRIYA CEMENT STORE"/>
    <n v="202913"/>
    <s v="SACHIN CEMENT STORE"/>
    <n v="0"/>
    <n v="0"/>
    <n v="0"/>
    <n v="0"/>
    <n v="7.5"/>
    <n v="20"/>
    <n v="0"/>
    <n v="27.5"/>
    <n v="3.9285714285714284"/>
    <x v="1"/>
    <x v="20"/>
    <x v="7"/>
    <x v="1"/>
  </r>
  <r>
    <s v="812701202941"/>
    <n v="812701"/>
    <s v="KULDEEP KUMAR"/>
    <n v="202941"/>
    <s v="SHRI BALAJI BUILDING MATERIAL"/>
    <n v="52.5"/>
    <n v="77.5"/>
    <n v="78"/>
    <n v="85"/>
    <n v="40.5"/>
    <n v="7.5"/>
    <n v="0"/>
    <n v="341"/>
    <n v="48.714285714285715"/>
    <x v="5"/>
    <x v="20"/>
    <x v="7"/>
    <x v="1"/>
  </r>
  <r>
    <s v="812852202941"/>
    <n v="812852"/>
    <s v="JOGENDRA"/>
    <n v="202941"/>
    <s v="SHRI BALAJI BUILDING MATERIAL"/>
    <n v="37.5"/>
    <n v="53"/>
    <n v="66"/>
    <n v="62"/>
    <n v="35"/>
    <n v="7.5"/>
    <n v="30"/>
    <n v="291"/>
    <n v="41.571428571428569"/>
    <x v="5"/>
    <x v="20"/>
    <x v="7"/>
    <x v="1"/>
  </r>
  <r>
    <s v="815866202941"/>
    <n v="815866"/>
    <s v="CHHOTU LAL"/>
    <n v="202941"/>
    <s v="SHRI BALAJI BUILDING MATERIAL"/>
    <n v="0"/>
    <n v="0"/>
    <n v="0"/>
    <n v="0"/>
    <n v="40"/>
    <n v="10"/>
    <n v="0"/>
    <n v="50"/>
    <n v="7.1428571428571432"/>
    <x v="1"/>
    <x v="20"/>
    <x v="7"/>
    <x v="1"/>
  </r>
  <r>
    <s v="815867202941"/>
    <n v="815867"/>
    <s v="KARANI SINGH"/>
    <n v="202941"/>
    <s v="SHRI BALAJI BUILDING MATERIAL"/>
    <n v="0"/>
    <n v="0"/>
    <n v="0"/>
    <n v="0"/>
    <n v="10"/>
    <n v="10"/>
    <n v="35"/>
    <n v="55"/>
    <n v="7.8571428571428568"/>
    <x v="1"/>
    <x v="20"/>
    <x v="7"/>
    <x v="1"/>
  </r>
  <r>
    <s v="812903203421"/>
    <n v="812903"/>
    <s v="BHAGA RAM"/>
    <n v="203421"/>
    <s v="ANGEL CONSTRUCTION COMPANY"/>
    <n v="84"/>
    <n v="66.5"/>
    <n v="71.5"/>
    <n v="80.5"/>
    <n v="75.400000000000006"/>
    <n v="60"/>
    <n v="35"/>
    <n v="472.9"/>
    <n v="67.55714285714285"/>
    <x v="3"/>
    <x v="20"/>
    <x v="7"/>
    <x v="1"/>
  </r>
  <r>
    <s v="812949204208"/>
    <n v="812949"/>
    <s v="NARENDER"/>
    <n v="204208"/>
    <s v="NIMBIWAL BUILDING MATERIAL&amp;SUP"/>
    <n v="100"/>
    <n v="80.5"/>
    <n v="60"/>
    <n v="97.5"/>
    <n v="35"/>
    <n v="65"/>
    <n v="35"/>
    <n v="473"/>
    <n v="67.571428571428569"/>
    <x v="3"/>
    <x v="20"/>
    <x v="7"/>
    <x v="1"/>
  </r>
  <r>
    <s v="808154204318"/>
    <n v="808154"/>
    <s v="NIMIWAL STONE COMPANY"/>
    <n v="204318"/>
    <s v="KISAN BUILDING MATERIAL"/>
    <n v="20"/>
    <n v="14"/>
    <n v="40"/>
    <n v="37"/>
    <n v="25.5"/>
    <n v="37.5"/>
    <n v="15"/>
    <n v="189"/>
    <n v="27"/>
    <x v="0"/>
    <x v="20"/>
    <x v="7"/>
    <x v="1"/>
  </r>
  <r>
    <s v="808492204318"/>
    <n v="808492"/>
    <s v="ALADIN KHAN"/>
    <n v="204318"/>
    <s v="KISAN BUILDING MATERIAL"/>
    <n v="7.5"/>
    <n v="0"/>
    <n v="0"/>
    <n v="0"/>
    <n v="0"/>
    <n v="0"/>
    <n v="0"/>
    <n v="7.5"/>
    <n v="1.0714285714285714"/>
    <x v="1"/>
    <x v="20"/>
    <x v="7"/>
    <x v="1"/>
  </r>
  <r>
    <s v="813388204318"/>
    <n v="813388"/>
    <s v="SUNIL KUMAR"/>
    <n v="204318"/>
    <s v="KISAN BUILDING MATERIAL"/>
    <n v="20"/>
    <n v="17"/>
    <n v="43"/>
    <n v="46"/>
    <n v="14"/>
    <n v="26.700000000000003"/>
    <n v="30"/>
    <n v="196.7"/>
    <n v="28.099999999999998"/>
    <x v="0"/>
    <x v="20"/>
    <x v="7"/>
    <x v="1"/>
  </r>
  <r>
    <s v="813619204318"/>
    <n v="813619"/>
    <s v="AMAJAD KHAN"/>
    <n v="204318"/>
    <s v="KISAN BUILDING MATERIAL"/>
    <n v="43.5"/>
    <n v="80"/>
    <n v="74"/>
    <n v="51"/>
    <n v="55"/>
    <n v="40"/>
    <n v="50"/>
    <n v="393.5"/>
    <n v="56.214285714285715"/>
    <x v="3"/>
    <x v="20"/>
    <x v="7"/>
    <x v="1"/>
  </r>
  <r>
    <s v="815134204318"/>
    <n v="815134"/>
    <s v="BHAJN LAL"/>
    <n v="204318"/>
    <s v="KISAN BUILDING MATERIAL"/>
    <n v="0"/>
    <n v="0"/>
    <n v="25"/>
    <n v="36"/>
    <n v="28"/>
    <n v="23"/>
    <n v="15"/>
    <n v="127"/>
    <n v="18.142857142857142"/>
    <x v="2"/>
    <x v="20"/>
    <x v="7"/>
    <x v="1"/>
  </r>
  <r>
    <s v="815815204318"/>
    <n v="815815"/>
    <s v="KUNAN MAL"/>
    <n v="204318"/>
    <s v="KISAN BUILDING MATERIAL"/>
    <n v="0"/>
    <n v="0"/>
    <n v="0"/>
    <n v="0"/>
    <n v="24.5"/>
    <n v="25"/>
    <n v="0"/>
    <n v="49.5"/>
    <n v="7.0714285714285712"/>
    <x v="1"/>
    <x v="20"/>
    <x v="7"/>
    <x v="1"/>
  </r>
  <r>
    <s v="811686205949"/>
    <n v="811686"/>
    <s v="OMPARKASH"/>
    <n v="205949"/>
    <s v="BHAWANI CEMENT AGENCY"/>
    <n v="0"/>
    <n v="10"/>
    <n v="0"/>
    <n v="0"/>
    <n v="0"/>
    <n v="0"/>
    <n v="0"/>
    <n v="10"/>
    <n v="1.4285714285714286"/>
    <x v="1"/>
    <x v="20"/>
    <x v="7"/>
    <x v="1"/>
  </r>
  <r>
    <s v="812665205949"/>
    <n v="812665"/>
    <s v="SHANKAR LAL"/>
    <n v="205949"/>
    <s v="BHAWANI CEMENT AGENCY"/>
    <n v="20"/>
    <n v="10"/>
    <n v="312"/>
    <n v="3"/>
    <n v="33"/>
    <n v="1"/>
    <n v="75"/>
    <n v="454"/>
    <n v="64.857142857142861"/>
    <x v="3"/>
    <x v="20"/>
    <x v="7"/>
    <x v="1"/>
  </r>
  <r>
    <s v="813366205949"/>
    <n v="813366"/>
    <s v="PAPU"/>
    <n v="205949"/>
    <s v="BHAWANI CEMENT AGENCY"/>
    <n v="25"/>
    <n v="10"/>
    <n v="274.5"/>
    <n v="3"/>
    <n v="3"/>
    <n v="0"/>
    <n v="50"/>
    <n v="365.5"/>
    <n v="52.214285714285715"/>
    <x v="3"/>
    <x v="20"/>
    <x v="7"/>
    <x v="1"/>
  </r>
  <r>
    <s v="814433206302"/>
    <n v="814433"/>
    <s v="SAI BUILDING MATERIAL AND SUPP"/>
    <n v="206302"/>
    <s v="BALAJI CEMENT AGENCY"/>
    <n v="65.5"/>
    <n v="58"/>
    <n v="73"/>
    <n v="0"/>
    <n v="0"/>
    <n v="0"/>
    <n v="0"/>
    <n v="196.5"/>
    <n v="28.071428571428573"/>
    <x v="0"/>
    <x v="20"/>
    <x v="7"/>
    <x v="1"/>
  </r>
  <r>
    <s v="815934206302"/>
    <n v="815934"/>
    <s v="MANGI LAL"/>
    <n v="206302"/>
    <s v="BALAJI CEMENT AGENCY"/>
    <n v="0"/>
    <n v="0"/>
    <n v="0"/>
    <n v="0"/>
    <n v="98"/>
    <n v="97.5"/>
    <n v="50"/>
    <n v="245.5"/>
    <n v="35.071428571428569"/>
    <x v="4"/>
    <x v="20"/>
    <x v="7"/>
    <x v="1"/>
  </r>
  <r>
    <s v="816109206302"/>
    <n v="816109"/>
    <s v="BALAJI CONSTRUCTION COMPANY"/>
    <n v="206302"/>
    <s v="BALAJI CEMENT AGENCY"/>
    <n v="0"/>
    <n v="0"/>
    <n v="0"/>
    <n v="0"/>
    <n v="20"/>
    <n v="131.5"/>
    <n v="60"/>
    <n v="211.5"/>
    <n v="30.214285714285715"/>
    <x v="4"/>
    <x v="20"/>
    <x v="7"/>
    <x v="1"/>
  </r>
  <r>
    <s v="815870209130"/>
    <n v="815870"/>
    <s v="HIRA LAL"/>
    <n v="209130"/>
    <s v="CHOUDHARY BUILDING MATERIAL"/>
    <n v="0"/>
    <n v="0"/>
    <n v="0"/>
    <n v="0"/>
    <n v="70"/>
    <n v="112.5"/>
    <n v="100"/>
    <n v="282.5"/>
    <n v="40.357142857142854"/>
    <x v="5"/>
    <x v="20"/>
    <x v="7"/>
    <x v="1"/>
  </r>
  <r>
    <s v="816719209130"/>
    <n v="816719"/>
    <s v="SHRI BALAJI TILES UDYOG"/>
    <n v="209130"/>
    <s v="CHOUDHARY BUILDING MATERIAL"/>
    <n v="0"/>
    <n v="0"/>
    <n v="0"/>
    <n v="0"/>
    <n v="0"/>
    <n v="0"/>
    <n v="30"/>
    <n v="30"/>
    <n v="4.2857142857142856"/>
    <x v="1"/>
    <x v="20"/>
    <x v="7"/>
    <x v="1"/>
  </r>
  <r>
    <s v="802376119031"/>
    <n v="802376"/>
    <s v="CHHABRA BUILDING MATERIAL STOR"/>
    <n v="119031"/>
    <s v="RAMESH CHANDRA RAJENDRA KUMAR"/>
    <n v="125"/>
    <n v="130"/>
    <n v="30"/>
    <n v="60"/>
    <n v="10"/>
    <n v="0"/>
    <n v="0"/>
    <n v="355"/>
    <n v="50.714285714285715"/>
    <x v="3"/>
    <x v="21"/>
    <x v="7"/>
    <x v="1"/>
  </r>
  <r>
    <s v="803769119031"/>
    <n v="803769"/>
    <s v="AGGARWAL PAINTS &amp; BUILDING MAT"/>
    <n v="119031"/>
    <s v="RAMESH CHANDRA RAJENDRA KUMAR"/>
    <n v="0"/>
    <n v="0"/>
    <n v="0"/>
    <n v="0"/>
    <n v="13"/>
    <n v="65"/>
    <n v="0"/>
    <n v="78"/>
    <n v="11.142857142857142"/>
    <x v="2"/>
    <x v="21"/>
    <x v="7"/>
    <x v="1"/>
  </r>
  <r>
    <s v="803770119031"/>
    <n v="803770"/>
    <s v="R S BUILDING MATERIAL STORE"/>
    <n v="119031"/>
    <s v="RAMESH CHANDRA RAJENDRA KUMAR"/>
    <n v="250"/>
    <n v="121"/>
    <n v="72"/>
    <n v="146"/>
    <n v="121"/>
    <n v="121"/>
    <n v="115"/>
    <n v="946"/>
    <n v="135.14285714285714"/>
    <x v="3"/>
    <x v="21"/>
    <x v="7"/>
    <x v="1"/>
  </r>
  <r>
    <s v="804876119031"/>
    <n v="804876"/>
    <s v="GAUR BUILDING MATERIAL"/>
    <n v="119031"/>
    <s v="RAMESH CHANDRA RAJENDRA KUMAR"/>
    <n v="0"/>
    <n v="0"/>
    <n v="0"/>
    <n v="0"/>
    <n v="20"/>
    <n v="105"/>
    <n v="10"/>
    <n v="135"/>
    <n v="19.285714285714285"/>
    <x v="2"/>
    <x v="21"/>
    <x v="7"/>
    <x v="1"/>
  </r>
  <r>
    <s v="808147119031"/>
    <n v="808147"/>
    <s v="PAREEK TRADERS"/>
    <n v="119031"/>
    <s v="RAMESH CHANDRA RAJENDRA KUMAR"/>
    <n v="60"/>
    <n v="53"/>
    <n v="47"/>
    <n v="43.8"/>
    <n v="81"/>
    <n v="61.5"/>
    <n v="50"/>
    <n v="396.3"/>
    <n v="56.614285714285714"/>
    <x v="3"/>
    <x v="21"/>
    <x v="7"/>
    <x v="1"/>
  </r>
  <r>
    <s v="809620119031"/>
    <n v="809620"/>
    <s v="BRAR CEMENT AGENCY"/>
    <n v="119031"/>
    <s v="RAMESH CHANDRA RAJENDRA KUMAR"/>
    <n v="20"/>
    <n v="20"/>
    <n v="0"/>
    <n v="0"/>
    <n v="25"/>
    <n v="0"/>
    <n v="0"/>
    <n v="65"/>
    <n v="9.2857142857142865"/>
    <x v="1"/>
    <x v="21"/>
    <x v="7"/>
    <x v="1"/>
  </r>
  <r>
    <s v="809794119031"/>
    <n v="809794"/>
    <s v="SUBHASH BAJAJ AND SONS"/>
    <n v="119031"/>
    <s v="RAMESH CHANDRA RAJENDRA KUMAR"/>
    <n v="56.45"/>
    <n v="20"/>
    <n v="77.5"/>
    <n v="20"/>
    <n v="22"/>
    <n v="0"/>
    <n v="0"/>
    <n v="195.95"/>
    <n v="27.99285714285714"/>
    <x v="0"/>
    <x v="21"/>
    <x v="7"/>
    <x v="1"/>
  </r>
  <r>
    <s v="810798119031"/>
    <n v="810798"/>
    <s v="PREM KUMAR SINGLA"/>
    <n v="119031"/>
    <s v="RAMESH CHANDRA RAJENDRA KUMAR"/>
    <n v="81.5"/>
    <n v="95.75"/>
    <n v="152.5"/>
    <n v="110.9"/>
    <n v="92"/>
    <n v="133"/>
    <n v="95"/>
    <n v="760.65"/>
    <n v="108.66428571428571"/>
    <x v="3"/>
    <x v="21"/>
    <x v="7"/>
    <x v="1"/>
  </r>
  <r>
    <s v="811315119031"/>
    <n v="811315"/>
    <s v="SEEMA RANI"/>
    <n v="119031"/>
    <s v="RAMESH CHANDRA RAJENDRA KUMAR"/>
    <n v="43"/>
    <n v="18.850000000000001"/>
    <n v="136.5"/>
    <n v="17.5"/>
    <n v="115"/>
    <n v="42"/>
    <n v="35"/>
    <n v="407.85"/>
    <n v="58.26428571428572"/>
    <x v="3"/>
    <x v="21"/>
    <x v="7"/>
    <x v="1"/>
  </r>
  <r>
    <s v="812838119031"/>
    <n v="812838"/>
    <s v="CHANDER SHEKHAR"/>
    <n v="119031"/>
    <s v="RAMESH CHANDRA RAJENDRA KUMAR"/>
    <n v="64"/>
    <n v="85"/>
    <n v="145.5"/>
    <n v="123.85"/>
    <n v="87"/>
    <n v="125"/>
    <n v="105"/>
    <n v="735.35"/>
    <n v="105.05"/>
    <x v="3"/>
    <x v="21"/>
    <x v="7"/>
    <x v="1"/>
  </r>
  <r>
    <s v="814789119031"/>
    <n v="814789"/>
    <s v="ROSHAN BUILDERS AND SUPPLIERS"/>
    <n v="119031"/>
    <s v="RAMESH CHANDRA RAJENDRA KUMAR"/>
    <n v="0"/>
    <n v="183"/>
    <n v="153.5"/>
    <n v="250"/>
    <n v="210.8"/>
    <n v="214"/>
    <n v="170"/>
    <n v="1181.3"/>
    <n v="168.75714285714284"/>
    <x v="3"/>
    <x v="21"/>
    <x v="7"/>
    <x v="1"/>
  </r>
  <r>
    <s v="814790119031"/>
    <n v="814790"/>
    <s v="NISHAN SINGH"/>
    <n v="119031"/>
    <s v="RAMESH CHANDRA RAJENDRA KUMAR"/>
    <n v="0"/>
    <n v="0"/>
    <n v="0"/>
    <n v="45"/>
    <n v="113"/>
    <n v="95.5"/>
    <n v="100"/>
    <n v="353.5"/>
    <n v="50.5"/>
    <x v="3"/>
    <x v="21"/>
    <x v="7"/>
    <x v="1"/>
  </r>
  <r>
    <s v="816144119031"/>
    <n v="816144"/>
    <s v="SHRI BALAJI TRADERS"/>
    <n v="119031"/>
    <s v="RAMESH CHANDRA RAJENDRA KUMAR"/>
    <n v="0"/>
    <n v="0"/>
    <n v="0"/>
    <n v="0"/>
    <n v="32.700000000000003"/>
    <n v="85"/>
    <n v="60"/>
    <n v="177.7"/>
    <n v="25.385714285714283"/>
    <x v="0"/>
    <x v="21"/>
    <x v="7"/>
    <x v="1"/>
  </r>
  <r>
    <s v="816477119031"/>
    <n v="816477"/>
    <s v="ASHUKA SHUTTERING AND BUILDING"/>
    <n v="119031"/>
    <s v="RAMESH CHANDRA RAJENDRA KUMAR"/>
    <n v="0"/>
    <n v="0"/>
    <n v="0"/>
    <n v="0"/>
    <n v="0"/>
    <n v="83.35"/>
    <n v="60"/>
    <n v="143.35"/>
    <n v="20.478571428571428"/>
    <x v="0"/>
    <x v="21"/>
    <x v="7"/>
    <x v="1"/>
  </r>
  <r>
    <s v="807393119177"/>
    <n v="807393"/>
    <s v="VIKRAMJEET"/>
    <n v="119177"/>
    <s v="G.S.SALES CORPORATION"/>
    <n v="37"/>
    <n v="31.5"/>
    <n v="0"/>
    <n v="22"/>
    <n v="0"/>
    <n v="0"/>
    <n v="1"/>
    <n v="91.5"/>
    <n v="13.071428571428571"/>
    <x v="2"/>
    <x v="21"/>
    <x v="7"/>
    <x v="1"/>
  </r>
  <r>
    <s v="807394119177"/>
    <n v="807394"/>
    <s v="JASVEER SINGH"/>
    <n v="119177"/>
    <s v="G.S.SALES CORPORATION"/>
    <n v="45"/>
    <n v="20"/>
    <n v="0"/>
    <n v="0"/>
    <n v="0"/>
    <n v="0"/>
    <n v="0"/>
    <n v="65"/>
    <n v="9.2857142857142865"/>
    <x v="1"/>
    <x v="21"/>
    <x v="7"/>
    <x v="1"/>
  </r>
  <r>
    <s v="812551119177"/>
    <n v="812551"/>
    <s v="VARUN GOYAL"/>
    <n v="119177"/>
    <s v="G.S.SALES CORPORATION"/>
    <n v="0"/>
    <n v="0"/>
    <n v="0"/>
    <n v="23"/>
    <n v="0"/>
    <n v="0"/>
    <n v="0"/>
    <n v="23"/>
    <n v="3.2857142857142856"/>
    <x v="1"/>
    <x v="21"/>
    <x v="7"/>
    <x v="1"/>
  </r>
  <r>
    <s v="814790119177"/>
    <n v="814790"/>
    <s v="NISHAN SINGH"/>
    <n v="119177"/>
    <s v="G.S.SALES CORPORATION"/>
    <n v="82"/>
    <n v="35"/>
    <n v="0"/>
    <n v="0"/>
    <n v="0"/>
    <n v="0"/>
    <n v="0"/>
    <n v="117"/>
    <n v="16.714285714285715"/>
    <x v="2"/>
    <x v="21"/>
    <x v="7"/>
    <x v="1"/>
  </r>
  <r>
    <s v="803240119227"/>
    <n v="803240"/>
    <s v="SHIVANGI CEMENT AGENCY"/>
    <n v="119227"/>
    <s v="KHEM CHAND &amp; SONS"/>
    <n v="51"/>
    <n v="10"/>
    <n v="50.5"/>
    <n v="48.5"/>
    <n v="10"/>
    <n v="47"/>
    <n v="42"/>
    <n v="259"/>
    <n v="37"/>
    <x v="4"/>
    <x v="21"/>
    <x v="7"/>
    <x v="1"/>
  </r>
  <r>
    <s v="803885119263"/>
    <n v="803885"/>
    <s v="SUNIL CEMENT AGENCY"/>
    <n v="119263"/>
    <s v="KUKKAR ENTERPRISES"/>
    <n v="33"/>
    <n v="33"/>
    <n v="70"/>
    <n v="41"/>
    <n v="43.5"/>
    <n v="67.599999999999994"/>
    <n v="36.4"/>
    <n v="324.5"/>
    <n v="46.357142857142854"/>
    <x v="5"/>
    <x v="21"/>
    <x v="7"/>
    <x v="1"/>
  </r>
  <r>
    <s v="804082119263"/>
    <n v="804082"/>
    <s v="KAMRA CEMENT AGENCY"/>
    <n v="119263"/>
    <s v="KUKKAR ENTERPRISES"/>
    <n v="128"/>
    <n v="94.5"/>
    <n v="69.5"/>
    <n v="62.5"/>
    <n v="78.75"/>
    <n v="85"/>
    <n v="25"/>
    <n v="543.25"/>
    <n v="77.607142857142861"/>
    <x v="3"/>
    <x v="21"/>
    <x v="7"/>
    <x v="1"/>
  </r>
  <r>
    <s v="804833119263"/>
    <n v="804833"/>
    <s v="BAWEJA CEMENT AGENCY"/>
    <n v="119263"/>
    <s v="KUKKAR ENTERPRISES"/>
    <n v="43"/>
    <n v="62"/>
    <n v="25"/>
    <n v="33"/>
    <n v="19.5"/>
    <n v="91.5"/>
    <n v="33"/>
    <n v="307"/>
    <n v="43.857142857142854"/>
    <x v="5"/>
    <x v="21"/>
    <x v="7"/>
    <x v="1"/>
  </r>
  <r>
    <s v="808443119263"/>
    <n v="808443"/>
    <s v="SONU CEMENT AGENCY"/>
    <n v="119263"/>
    <s v="KUKKAR ENTERPRISES"/>
    <n v="10"/>
    <n v="37"/>
    <n v="34.5"/>
    <n v="32"/>
    <n v="54"/>
    <n v="58.5"/>
    <n v="19"/>
    <n v="245"/>
    <n v="35"/>
    <x v="4"/>
    <x v="21"/>
    <x v="7"/>
    <x v="1"/>
  </r>
  <r>
    <s v="810222119263"/>
    <n v="810222"/>
    <s v="INDER SAIN"/>
    <n v="119263"/>
    <s v="KUKKAR ENTERPRISES"/>
    <n v="37"/>
    <n v="27"/>
    <n v="35"/>
    <n v="90"/>
    <n v="44.5"/>
    <n v="63"/>
    <n v="50"/>
    <n v="346.5"/>
    <n v="49.5"/>
    <x v="5"/>
    <x v="21"/>
    <x v="7"/>
    <x v="1"/>
  </r>
  <r>
    <s v="802068141556"/>
    <n v="802068"/>
    <s v="JAI BAJRANG PAD STORE"/>
    <n v="141556"/>
    <s v="GYANI BUILDING MATERIALS"/>
    <n v="35"/>
    <n v="40"/>
    <n v="32"/>
    <n v="33"/>
    <n v="15"/>
    <n v="30"/>
    <n v="10"/>
    <n v="195"/>
    <n v="27.857142857142858"/>
    <x v="0"/>
    <x v="21"/>
    <x v="7"/>
    <x v="1"/>
  </r>
  <r>
    <s v="804080141556"/>
    <n v="804080"/>
    <s v="JAIMINI PED STORE"/>
    <n v="141556"/>
    <s v="GYANI BUILDING MATERIALS"/>
    <n v="50"/>
    <n v="112"/>
    <n v="131.5"/>
    <n v="65"/>
    <n v="60"/>
    <n v="96.5"/>
    <n v="70"/>
    <n v="585"/>
    <n v="83.571428571428569"/>
    <x v="3"/>
    <x v="21"/>
    <x v="7"/>
    <x v="1"/>
  </r>
  <r>
    <s v="806939141556"/>
    <n v="806939"/>
    <s v="GOKUL PAD STORE"/>
    <n v="141556"/>
    <s v="GYANI BUILDING MATERIALS"/>
    <n v="98.5"/>
    <n v="109.5"/>
    <n v="111"/>
    <n v="86.5"/>
    <n v="61"/>
    <n v="84.5"/>
    <n v="30"/>
    <n v="581"/>
    <n v="83"/>
    <x v="3"/>
    <x v="21"/>
    <x v="7"/>
    <x v="1"/>
  </r>
  <r>
    <s v="808487141556"/>
    <n v="808487"/>
    <s v="KHAN PAD STORE"/>
    <n v="141556"/>
    <s v="GYANI BUILDING MATERIALS"/>
    <n v="63.5"/>
    <n v="124"/>
    <n v="89.5"/>
    <n v="129.5"/>
    <n v="62"/>
    <n v="65"/>
    <n v="50"/>
    <n v="583.5"/>
    <n v="83.357142857142861"/>
    <x v="3"/>
    <x v="21"/>
    <x v="7"/>
    <x v="1"/>
  </r>
  <r>
    <s v="808496141556"/>
    <n v="808496"/>
    <s v="RAJASTHAN CEMENT AGENCY"/>
    <n v="141556"/>
    <s v="GYANI BUILDING MATERIALS"/>
    <n v="102.5"/>
    <n v="125.5"/>
    <n v="103"/>
    <n v="84.5"/>
    <n v="75"/>
    <n v="54.5"/>
    <n v="45"/>
    <n v="590"/>
    <n v="84.285714285714292"/>
    <x v="3"/>
    <x v="21"/>
    <x v="7"/>
    <x v="1"/>
  </r>
  <r>
    <s v="808497141556"/>
    <n v="808497"/>
    <s v="K S BUILDING MATERIAL"/>
    <n v="141556"/>
    <s v="GYANI BUILDING MATERIALS"/>
    <n v="66"/>
    <n v="76.5"/>
    <n v="71.5"/>
    <n v="71.5"/>
    <n v="56.5"/>
    <n v="32.5"/>
    <n v="20"/>
    <n v="394.5"/>
    <n v="56.357142857142854"/>
    <x v="3"/>
    <x v="21"/>
    <x v="7"/>
    <x v="1"/>
  </r>
  <r>
    <s v="808610141556"/>
    <n v="808610"/>
    <s v="BALAJI PROVISIONAL STORE"/>
    <n v="141556"/>
    <s v="GYANI BUILDING MATERIALS"/>
    <n v="17"/>
    <n v="45"/>
    <n v="77"/>
    <n v="64"/>
    <n v="30"/>
    <n v="96.5"/>
    <n v="0"/>
    <n v="329.5"/>
    <n v="47.071428571428569"/>
    <x v="5"/>
    <x v="21"/>
    <x v="7"/>
    <x v="1"/>
  </r>
  <r>
    <s v="809781141556"/>
    <n v="809781"/>
    <s v="SANDHU BUILDING MATERIAL"/>
    <n v="141556"/>
    <s v="GYANI BUILDING MATERIALS"/>
    <n v="45"/>
    <n v="82"/>
    <n v="91"/>
    <n v="76.5"/>
    <n v="35"/>
    <n v="50"/>
    <n v="5"/>
    <n v="384.5"/>
    <n v="54.928571428571431"/>
    <x v="3"/>
    <x v="21"/>
    <x v="7"/>
    <x v="1"/>
  </r>
  <r>
    <s v="812563141556"/>
    <n v="812563"/>
    <s v="SAVETA CEMENT AGENCY"/>
    <n v="141556"/>
    <s v="GYANI BUILDING MATERIALS"/>
    <n v="43.5"/>
    <n v="59.5"/>
    <n v="57"/>
    <n v="31.5"/>
    <n v="55"/>
    <n v="17.5"/>
    <n v="10"/>
    <n v="274"/>
    <n v="39.142857142857146"/>
    <x v="4"/>
    <x v="21"/>
    <x v="7"/>
    <x v="1"/>
  </r>
  <r>
    <s v="816094141556"/>
    <n v="816094"/>
    <s v="SHIVA BUILDING MATERIAL"/>
    <n v="141556"/>
    <s v="GYANI BUILDING MATERIALS"/>
    <n v="0"/>
    <n v="0"/>
    <n v="0"/>
    <n v="0"/>
    <n v="49"/>
    <n v="51.5"/>
    <n v="30"/>
    <n v="130.5"/>
    <n v="18.642857142857142"/>
    <x v="2"/>
    <x v="21"/>
    <x v="7"/>
    <x v="1"/>
  </r>
  <r>
    <s v="816095141556"/>
    <n v="816095"/>
    <s v="BALAJI PAD STORE"/>
    <n v="141556"/>
    <s v="GYANI BUILDING MATERIALS"/>
    <n v="0"/>
    <n v="0"/>
    <n v="0"/>
    <n v="0"/>
    <n v="15"/>
    <n v="0"/>
    <n v="30"/>
    <n v="45"/>
    <n v="6.4285714285714288"/>
    <x v="1"/>
    <x v="21"/>
    <x v="7"/>
    <x v="1"/>
  </r>
  <r>
    <s v="807711142843"/>
    <n v="807711"/>
    <s v="HARJINDER SINGH"/>
    <n v="142843"/>
    <s v="GURUNANAK IRON STORE"/>
    <n v="126"/>
    <n v="113.5"/>
    <n v="74.5"/>
    <n v="117.05"/>
    <n v="77.25"/>
    <n v="105"/>
    <n v="25"/>
    <n v="638.29999999999995"/>
    <n v="91.185714285714283"/>
    <x v="3"/>
    <x v="21"/>
    <x v="7"/>
    <x v="1"/>
  </r>
  <r>
    <s v="808172142843"/>
    <n v="808172"/>
    <s v="PUNJAB IRON STORE"/>
    <n v="142843"/>
    <s v="GURUNANAK IRON STORE"/>
    <n v="171.35"/>
    <n v="89"/>
    <n v="121.5"/>
    <n v="116"/>
    <n v="104"/>
    <n v="153.5"/>
    <n v="135"/>
    <n v="890.35"/>
    <n v="127.19285714285715"/>
    <x v="3"/>
    <x v="21"/>
    <x v="7"/>
    <x v="1"/>
  </r>
  <r>
    <s v="808934142843"/>
    <n v="808934"/>
    <s v="DEEP BUILDING MATERIAL"/>
    <n v="142843"/>
    <s v="GURUNANAK IRON STORE"/>
    <n v="79"/>
    <n v="91"/>
    <n v="60"/>
    <n v="110.5"/>
    <n v="93"/>
    <n v="110"/>
    <n v="83"/>
    <n v="626.5"/>
    <n v="89.5"/>
    <x v="3"/>
    <x v="21"/>
    <x v="7"/>
    <x v="1"/>
  </r>
  <r>
    <s v="809621142843"/>
    <n v="809621"/>
    <s v="ANIL KUMAR"/>
    <n v="142843"/>
    <s v="GURUNANAK IRON STORE"/>
    <n v="25"/>
    <n v="37"/>
    <n v="91"/>
    <n v="12"/>
    <n v="50"/>
    <n v="75"/>
    <n v="25"/>
    <n v="315"/>
    <n v="45"/>
    <x v="5"/>
    <x v="21"/>
    <x v="7"/>
    <x v="1"/>
  </r>
  <r>
    <s v="810387142843"/>
    <n v="810387"/>
    <s v="GARG ENTERPRISES"/>
    <n v="142843"/>
    <s v="GURUNANAK IRON STORE"/>
    <n v="25"/>
    <n v="21"/>
    <n v="91"/>
    <n v="15"/>
    <n v="129"/>
    <n v="67.55"/>
    <n v="50"/>
    <n v="398.55"/>
    <n v="56.93571428571429"/>
    <x v="3"/>
    <x v="21"/>
    <x v="7"/>
    <x v="1"/>
  </r>
  <r>
    <s v="810653142843"/>
    <n v="810653"/>
    <s v="VIJAY KUMAR"/>
    <n v="142843"/>
    <s v="GURUNANAK IRON STORE"/>
    <n v="67"/>
    <n v="30"/>
    <n v="50.5"/>
    <n v="42.5"/>
    <n v="56.5"/>
    <n v="55"/>
    <n v="25"/>
    <n v="326.5"/>
    <n v="46.642857142857146"/>
    <x v="5"/>
    <x v="21"/>
    <x v="7"/>
    <x v="1"/>
  </r>
  <r>
    <s v="812823142843"/>
    <n v="812823"/>
    <s v="NARATARAM NEELKAMAL"/>
    <n v="142843"/>
    <s v="GURUNANAK IRON STORE"/>
    <n v="12.5"/>
    <n v="45.5"/>
    <n v="59"/>
    <n v="61.5"/>
    <n v="93.9"/>
    <n v="70"/>
    <n v="45"/>
    <n v="387.4"/>
    <n v="55.342857142857142"/>
    <x v="3"/>
    <x v="21"/>
    <x v="7"/>
    <x v="1"/>
  </r>
  <r>
    <s v="814672142843"/>
    <n v="814672"/>
    <s v="SIYAL BUILDING MATERIAL"/>
    <n v="142843"/>
    <s v="GURUNANAK IRON STORE"/>
    <n v="0"/>
    <n v="19.5"/>
    <n v="128"/>
    <n v="77.5"/>
    <n v="126.15"/>
    <n v="70.95"/>
    <n v="42"/>
    <n v="464.09999999999997"/>
    <n v="66.3"/>
    <x v="3"/>
    <x v="21"/>
    <x v="7"/>
    <x v="1"/>
  </r>
  <r>
    <s v="805572148629"/>
    <n v="805572"/>
    <s v="BRIJ PARKASH BUILDING MATERIAL"/>
    <n v="148629"/>
    <s v="AGGARWAL SANITARY &amp; PIPE STORE"/>
    <n v="56.5"/>
    <n v="40"/>
    <n v="43"/>
    <n v="0"/>
    <n v="0"/>
    <n v="0"/>
    <n v="0"/>
    <n v="139.5"/>
    <n v="19.928571428571427"/>
    <x v="2"/>
    <x v="21"/>
    <x v="7"/>
    <x v="1"/>
  </r>
  <r>
    <s v="806620148629"/>
    <n v="806620"/>
    <s v="TULSI PIPE STORE"/>
    <n v="148629"/>
    <s v="AGGARWAL SANITARY &amp; PIPE STORE"/>
    <n v="10"/>
    <n v="29.5"/>
    <n v="10"/>
    <n v="30"/>
    <n v="74"/>
    <n v="67.5"/>
    <n v="25"/>
    <n v="246"/>
    <n v="35.142857142857146"/>
    <x v="4"/>
    <x v="21"/>
    <x v="7"/>
    <x v="1"/>
  </r>
  <r>
    <s v="805545149764"/>
    <n v="805545"/>
    <s v="JAI SHREE LAKSHMI PAD &amp; BUILDI"/>
    <n v="149764"/>
    <s v="JMD CEMENT &amp; IRON STORE"/>
    <n v="126.5"/>
    <n v="93"/>
    <n v="70"/>
    <n v="134"/>
    <n v="92"/>
    <n v="86.5"/>
    <n v="90"/>
    <n v="692"/>
    <n v="98.857142857142861"/>
    <x v="3"/>
    <x v="21"/>
    <x v="7"/>
    <x v="1"/>
  </r>
  <r>
    <s v="808611149764"/>
    <n v="808611"/>
    <s v="NEW BALAJI BUILDING MATERIAL"/>
    <n v="149764"/>
    <s v="JMD CEMENT &amp; IRON STORE"/>
    <n v="148"/>
    <n v="90"/>
    <n v="92"/>
    <n v="155.5"/>
    <n v="90"/>
    <n v="125"/>
    <n v="115"/>
    <n v="815.5"/>
    <n v="116.5"/>
    <x v="3"/>
    <x v="21"/>
    <x v="7"/>
    <x v="1"/>
  </r>
  <r>
    <s v="810155149764"/>
    <n v="810155"/>
    <s v="SRI RAM FABRICATION"/>
    <n v="149764"/>
    <s v="JMD CEMENT &amp; IRON STORE"/>
    <n v="128.5"/>
    <n v="86.5"/>
    <n v="48"/>
    <n v="85"/>
    <n v="70"/>
    <n v="96.5"/>
    <n v="95"/>
    <n v="609.5"/>
    <n v="87.071428571428569"/>
    <x v="3"/>
    <x v="21"/>
    <x v="7"/>
    <x v="1"/>
  </r>
  <r>
    <s v="815871149764"/>
    <n v="815871"/>
    <s v="TARUN BANSAL"/>
    <n v="149764"/>
    <s v="JMD CEMENT &amp; IRON STORE"/>
    <n v="0"/>
    <n v="0"/>
    <n v="0"/>
    <n v="0"/>
    <n v="127"/>
    <n v="145.5"/>
    <n v="135"/>
    <n v="407.5"/>
    <n v="58.214285714285715"/>
    <x v="3"/>
    <x v="21"/>
    <x v="7"/>
    <x v="1"/>
  </r>
  <r>
    <s v="803501172942"/>
    <n v="803501"/>
    <s v="RANA BUILDING MATERIAL STORE"/>
    <n v="172942"/>
    <s v="LAXMI IRON STORE"/>
    <n v="15"/>
    <n v="15"/>
    <n v="0"/>
    <n v="10"/>
    <n v="0"/>
    <n v="0"/>
    <n v="0"/>
    <n v="40"/>
    <n v="5.7142857142857144"/>
    <x v="1"/>
    <x v="21"/>
    <x v="7"/>
    <x v="1"/>
  </r>
  <r>
    <s v="807976172942"/>
    <n v="807976"/>
    <s v="AAYUSH BUILDING MATERIAL"/>
    <n v="172942"/>
    <s v="LAXMI IRON STORE"/>
    <n v="30"/>
    <n v="41"/>
    <n v="88"/>
    <n v="64.5"/>
    <n v="101"/>
    <n v="81.5"/>
    <n v="42"/>
    <n v="448"/>
    <n v="64"/>
    <x v="3"/>
    <x v="21"/>
    <x v="7"/>
    <x v="1"/>
  </r>
  <r>
    <s v="808229172942"/>
    <n v="808229"/>
    <s v="DAYAMA BUILDING MATERIAL STORE"/>
    <n v="172942"/>
    <s v="LAXMI IRON STORE"/>
    <n v="15"/>
    <n v="20"/>
    <n v="34"/>
    <n v="37"/>
    <n v="32"/>
    <n v="15"/>
    <n v="15"/>
    <n v="168"/>
    <n v="24"/>
    <x v="0"/>
    <x v="21"/>
    <x v="7"/>
    <x v="1"/>
  </r>
  <r>
    <s v="808495172942"/>
    <n v="808495"/>
    <s v="LALCHAND BUILDING MATERIAL"/>
    <n v="172942"/>
    <s v="LAXMI IRON STORE"/>
    <n v="20"/>
    <n v="76.5"/>
    <n v="71.5"/>
    <n v="76.5"/>
    <n v="62"/>
    <n v="46"/>
    <n v="0"/>
    <n v="352.5"/>
    <n v="50.357142857142854"/>
    <x v="3"/>
    <x v="21"/>
    <x v="7"/>
    <x v="1"/>
  </r>
  <r>
    <s v="814459172942"/>
    <n v="814459"/>
    <s v="S L IRON STORE"/>
    <n v="172942"/>
    <s v="LAXMI IRON STORE"/>
    <n v="108"/>
    <n v="70.5"/>
    <n v="138"/>
    <n v="112"/>
    <n v="119"/>
    <n v="157.5"/>
    <n v="80"/>
    <n v="785"/>
    <n v="112.14285714285714"/>
    <x v="3"/>
    <x v="21"/>
    <x v="7"/>
    <x v="1"/>
  </r>
  <r>
    <s v="814791172942"/>
    <n v="814791"/>
    <s v="SHRI BALAJI BUILDING MATERIAL"/>
    <n v="172942"/>
    <s v="LAXMI IRON STORE"/>
    <n v="15"/>
    <n v="41.5"/>
    <n v="32"/>
    <n v="62.5"/>
    <n v="51"/>
    <n v="30"/>
    <n v="35"/>
    <n v="267"/>
    <n v="38.142857142857146"/>
    <x v="4"/>
    <x v="21"/>
    <x v="7"/>
    <x v="1"/>
  </r>
  <r>
    <s v="815947172942"/>
    <n v="815947"/>
    <s v="REWARI BUILDING MATERIAL STORE"/>
    <n v="172942"/>
    <s v="LAXMI IRON STORE"/>
    <n v="0"/>
    <n v="0"/>
    <n v="0"/>
    <n v="0"/>
    <n v="85"/>
    <n v="65"/>
    <n v="35"/>
    <n v="185"/>
    <n v="26.428571428571427"/>
    <x v="0"/>
    <x v="21"/>
    <x v="7"/>
    <x v="1"/>
  </r>
  <r>
    <s v="809180174299"/>
    <n v="809180"/>
    <s v="MAHADEV INT UDHYOG"/>
    <n v="174299"/>
    <s v="DEEPAK CEMENT AGENCY"/>
    <n v="20"/>
    <n v="15"/>
    <n v="0"/>
    <n v="0"/>
    <n v="0"/>
    <n v="28"/>
    <n v="0"/>
    <n v="63"/>
    <n v="9"/>
    <x v="1"/>
    <x v="21"/>
    <x v="7"/>
    <x v="1"/>
  </r>
  <r>
    <s v="809205174299"/>
    <n v="809205"/>
    <s v="GANPATI TRADERS"/>
    <n v="174299"/>
    <s v="DEEPAK CEMENT AGENCY"/>
    <n v="39"/>
    <n v="22"/>
    <n v="17"/>
    <n v="51"/>
    <n v="69"/>
    <n v="35"/>
    <n v="0"/>
    <n v="233"/>
    <n v="33.285714285714285"/>
    <x v="4"/>
    <x v="21"/>
    <x v="7"/>
    <x v="1"/>
  </r>
  <r>
    <s v="808309177104"/>
    <n v="808309"/>
    <s v="SWAMI PAD STORE"/>
    <n v="177104"/>
    <s v="GARG SUPPLIERS"/>
    <n v="15"/>
    <n v="10"/>
    <n v="23.5"/>
    <n v="29"/>
    <n v="19"/>
    <n v="49"/>
    <n v="7.5"/>
    <n v="153"/>
    <n v="21.857142857142858"/>
    <x v="0"/>
    <x v="21"/>
    <x v="7"/>
    <x v="1"/>
  </r>
  <r>
    <s v="809267177104"/>
    <n v="809267"/>
    <s v="RAJENDER KUMAR"/>
    <n v="177104"/>
    <s v="GARG SUPPLIERS"/>
    <n v="62"/>
    <n v="79"/>
    <n v="107"/>
    <n v="100"/>
    <n v="120"/>
    <n v="97.65"/>
    <n v="38"/>
    <n v="603.65"/>
    <n v="86.23571428571428"/>
    <x v="3"/>
    <x v="21"/>
    <x v="7"/>
    <x v="1"/>
  </r>
  <r>
    <s v="812807177104"/>
    <n v="812807"/>
    <s v="DHANNARAM"/>
    <n v="177104"/>
    <s v="GARG SUPPLIERS"/>
    <n v="10"/>
    <n v="0"/>
    <n v="0"/>
    <n v="12.5"/>
    <n v="12"/>
    <n v="0"/>
    <n v="0"/>
    <n v="34.5"/>
    <n v="4.9285714285714288"/>
    <x v="1"/>
    <x v="21"/>
    <x v="7"/>
    <x v="1"/>
  </r>
  <r>
    <s v="812821177104"/>
    <n v="812821"/>
    <s v="AMAR CHAND"/>
    <n v="177104"/>
    <s v="GARG SUPPLIERS"/>
    <n v="10"/>
    <n v="20"/>
    <n v="19.5"/>
    <n v="22.5"/>
    <n v="16"/>
    <n v="20"/>
    <n v="7.5"/>
    <n v="115.5"/>
    <n v="16.5"/>
    <x v="2"/>
    <x v="21"/>
    <x v="7"/>
    <x v="1"/>
  </r>
  <r>
    <s v="815168177104"/>
    <n v="815168"/>
    <s v="ISMAIL KHAN"/>
    <n v="177104"/>
    <s v="GARG SUPPLIERS"/>
    <n v="0"/>
    <n v="0"/>
    <n v="0"/>
    <n v="0"/>
    <n v="0"/>
    <n v="79.5"/>
    <n v="14"/>
    <n v="93.5"/>
    <n v="13.357142857142858"/>
    <x v="2"/>
    <x v="21"/>
    <x v="7"/>
    <x v="1"/>
  </r>
  <r>
    <s v="812838179869"/>
    <n v="812838"/>
    <s v="CHANDER SHEKHAR"/>
    <n v="179869"/>
    <s v="SHREE BALAJI CEMENT"/>
    <n v="0"/>
    <n v="5"/>
    <n v="0"/>
    <n v="0"/>
    <n v="0"/>
    <n v="0"/>
    <n v="0"/>
    <n v="5"/>
    <n v="0.7142857142857143"/>
    <x v="1"/>
    <x v="21"/>
    <x v="7"/>
    <x v="1"/>
  </r>
  <r>
    <s v="815168179944"/>
    <n v="815168"/>
    <s v="ISMAIL KHAN"/>
    <n v="179944"/>
    <s v="GOYAL TRADERS"/>
    <n v="0"/>
    <n v="0"/>
    <n v="35"/>
    <n v="26.5"/>
    <n v="35.5"/>
    <n v="0"/>
    <n v="0"/>
    <n v="97"/>
    <n v="13.857142857142858"/>
    <x v="2"/>
    <x v="21"/>
    <x v="7"/>
    <x v="1"/>
  </r>
  <r>
    <s v="812551203137"/>
    <n v="812551"/>
    <s v="VARUN GOYAL"/>
    <n v="203137"/>
    <s v="GOYAL BUILDING MATERIAL STORE"/>
    <n v="124.5"/>
    <n v="113"/>
    <n v="92"/>
    <n v="0"/>
    <n v="0"/>
    <n v="45"/>
    <n v="65"/>
    <n v="439.5"/>
    <n v="62.785714285714285"/>
    <x v="3"/>
    <x v="21"/>
    <x v="7"/>
    <x v="1"/>
  </r>
  <r>
    <s v="807682206219"/>
    <n v="807682"/>
    <s v="G L ENTERPRISES"/>
    <n v="206219"/>
    <s v="SALASAR TRADERS"/>
    <n v="60"/>
    <n v="94"/>
    <n v="59"/>
    <n v="20"/>
    <n v="54.65"/>
    <n v="35"/>
    <n v="15"/>
    <n v="337.65"/>
    <n v="48.23571428571428"/>
    <x v="5"/>
    <x v="21"/>
    <x v="7"/>
    <x v="1"/>
  </r>
  <r>
    <s v="807684206219"/>
    <n v="807684"/>
    <s v="VERMA BUILDING MATERIAL"/>
    <n v="206219"/>
    <s v="SALASAR TRADERS"/>
    <n v="59.75"/>
    <n v="44.5"/>
    <n v="70.5"/>
    <n v="85.45"/>
    <n v="47"/>
    <n v="57.5"/>
    <n v="0"/>
    <n v="364.7"/>
    <n v="52.1"/>
    <x v="3"/>
    <x v="21"/>
    <x v="7"/>
    <x v="1"/>
  </r>
  <r>
    <s v="807883206219"/>
    <n v="807883"/>
    <s v="YOGESH BUILDING MATERIAL"/>
    <n v="206219"/>
    <s v="SALASAR TRADERS"/>
    <n v="129.5"/>
    <n v="61.6"/>
    <n v="112"/>
    <n v="127.5"/>
    <n v="138"/>
    <n v="56"/>
    <n v="15"/>
    <n v="639.6"/>
    <n v="91.371428571428581"/>
    <x v="3"/>
    <x v="21"/>
    <x v="7"/>
    <x v="1"/>
  </r>
  <r>
    <s v="807887206219"/>
    <n v="807887"/>
    <s v="VIKASH TRADING COMPANY"/>
    <n v="206219"/>
    <s v="SALASAR TRADERS"/>
    <n v="22"/>
    <n v="72"/>
    <n v="75"/>
    <n v="23.5"/>
    <n v="36"/>
    <n v="71"/>
    <n v="10"/>
    <n v="309.5"/>
    <n v="44.214285714285715"/>
    <x v="5"/>
    <x v="21"/>
    <x v="7"/>
    <x v="1"/>
  </r>
  <r>
    <s v="808448206219"/>
    <n v="808448"/>
    <s v="NANDIWAL PESTICIDES"/>
    <n v="206219"/>
    <s v="SALASAR TRADERS"/>
    <n v="84.5"/>
    <n v="126.05000000000001"/>
    <n v="72"/>
    <n v="107.95"/>
    <n v="80"/>
    <n v="108.1"/>
    <n v="47"/>
    <n v="625.6"/>
    <n v="89.371428571428581"/>
    <x v="3"/>
    <x v="21"/>
    <x v="7"/>
    <x v="1"/>
  </r>
  <r>
    <s v="809780206219"/>
    <n v="809780"/>
    <s v="BALRAM VERMA"/>
    <n v="206219"/>
    <s v="SALASAR TRADERS"/>
    <n v="77"/>
    <n v="50.45"/>
    <n v="53"/>
    <n v="62.5"/>
    <n v="56.7"/>
    <n v="56"/>
    <n v="78"/>
    <n v="433.65"/>
    <n v="61.949999999999996"/>
    <x v="3"/>
    <x v="21"/>
    <x v="7"/>
    <x v="1"/>
  </r>
  <r>
    <s v="810105206219"/>
    <n v="810105"/>
    <s v="VIKAS SHARMA"/>
    <n v="206219"/>
    <s v="SALASAR TRADERS"/>
    <n v="116.5"/>
    <n v="30"/>
    <n v="53"/>
    <n v="52.5"/>
    <n v="54"/>
    <n v="76"/>
    <n v="10"/>
    <n v="392"/>
    <n v="56"/>
    <x v="3"/>
    <x v="21"/>
    <x v="7"/>
    <x v="1"/>
  </r>
  <r>
    <s v="810799206219"/>
    <n v="810799"/>
    <s v="SHYAM LAL"/>
    <n v="206219"/>
    <s v="SALASAR TRADERS"/>
    <n v="42"/>
    <n v="43.5"/>
    <n v="42"/>
    <n v="24"/>
    <n v="42"/>
    <n v="45.05"/>
    <n v="0"/>
    <n v="238.55"/>
    <n v="34.078571428571429"/>
    <x v="4"/>
    <x v="21"/>
    <x v="7"/>
    <x v="1"/>
  </r>
  <r>
    <s v="811510206219"/>
    <n v="811510"/>
    <s v="SATPAL"/>
    <n v="206219"/>
    <s v="SALASAR TRADERS"/>
    <n v="72.5"/>
    <n v="54"/>
    <n v="44"/>
    <n v="46"/>
    <n v="78.900000000000006"/>
    <n v="33"/>
    <n v="20"/>
    <n v="348.4"/>
    <n v="49.771428571428565"/>
    <x v="5"/>
    <x v="21"/>
    <x v="7"/>
    <x v="1"/>
  </r>
  <r>
    <s v="811871206219"/>
    <n v="811871"/>
    <s v="PANKAJ GARG"/>
    <n v="206219"/>
    <s v="SALASAR TRADERS"/>
    <n v="81.25"/>
    <n v="68.5"/>
    <n v="151.5"/>
    <n v="87"/>
    <n v="110"/>
    <n v="142.5"/>
    <n v="58"/>
    <n v="698.75"/>
    <n v="99.821428571428569"/>
    <x v="3"/>
    <x v="21"/>
    <x v="7"/>
    <x v="1"/>
  </r>
  <r>
    <s v="814257206219"/>
    <n v="814257"/>
    <s v="SHESH KARAN BISHNOI"/>
    <n v="206219"/>
    <s v="SALASAR TRADERS"/>
    <n v="101.5"/>
    <n v="117.65"/>
    <n v="107.5"/>
    <n v="125.25"/>
    <n v="45"/>
    <n v="20"/>
    <n v="0"/>
    <n v="516.9"/>
    <n v="73.842857142857142"/>
    <x v="3"/>
    <x v="21"/>
    <x v="7"/>
    <x v="1"/>
  </r>
  <r>
    <s v="815167206219"/>
    <n v="815167"/>
    <s v="SANDHU SANITARY &amp;CEMENT STORE"/>
    <n v="206219"/>
    <s v="SALASAR TRADERS"/>
    <n v="0"/>
    <n v="0"/>
    <n v="121"/>
    <n v="128"/>
    <n v="115"/>
    <n v="127.45"/>
    <n v="52"/>
    <n v="543.45000000000005"/>
    <n v="77.635714285714286"/>
    <x v="3"/>
    <x v="21"/>
    <x v="7"/>
    <x v="1"/>
  </r>
  <r>
    <s v="815512206219"/>
    <n v="815512"/>
    <s v="ROSHAN LAL"/>
    <n v="206219"/>
    <s v="SALASAR TRADERS"/>
    <n v="0"/>
    <n v="0"/>
    <n v="0"/>
    <n v="48"/>
    <n v="44.5"/>
    <n v="65.650000000000006"/>
    <n v="10"/>
    <n v="168.15"/>
    <n v="24.021428571428572"/>
    <x v="0"/>
    <x v="21"/>
    <x v="7"/>
    <x v="1"/>
  </r>
  <r>
    <s v="816290209497"/>
    <n v="816290"/>
    <s v="KEVLEEN BUILDING MATERIAL"/>
    <n v="209497"/>
    <s v="GURSAANJ IRON STORE"/>
    <n v="0"/>
    <n v="0"/>
    <n v="0"/>
    <n v="0"/>
    <n v="0"/>
    <n v="70"/>
    <n v="37"/>
    <n v="107"/>
    <n v="15.285714285714286"/>
    <x v="2"/>
    <x v="21"/>
    <x v="7"/>
    <x v="1"/>
  </r>
  <r>
    <s v="802094122282"/>
    <n v="802094"/>
    <s v="HANUMAN TRADERS"/>
    <n v="122282"/>
    <s v="PIPARA SALES"/>
    <n v="25.5"/>
    <n v="30"/>
    <n v="40"/>
    <n v="41"/>
    <n v="35"/>
    <n v="16"/>
    <n v="28"/>
    <n v="215.5"/>
    <n v="30.785714285714285"/>
    <x v="4"/>
    <x v="22"/>
    <x v="8"/>
    <x v="2"/>
  </r>
  <r>
    <s v="802095122282"/>
    <n v="802095"/>
    <s v="MAWADA TRADERS"/>
    <n v="122282"/>
    <s v="PIPARA SALES"/>
    <n v="30"/>
    <n v="40"/>
    <n v="48"/>
    <n v="41"/>
    <n v="36"/>
    <n v="8.5"/>
    <n v="30"/>
    <n v="233.5"/>
    <n v="33.357142857142854"/>
    <x v="4"/>
    <x v="22"/>
    <x v="8"/>
    <x v="2"/>
  </r>
  <r>
    <s v="802100122282"/>
    <n v="802100"/>
    <s v="RAWAT CEMENT SUPPLIERS"/>
    <n v="122282"/>
    <s v="PIPARA SALES"/>
    <n v="23"/>
    <n v="25"/>
    <n v="10"/>
    <n v="37"/>
    <n v="25.5"/>
    <n v="8.5"/>
    <n v="17"/>
    <n v="146"/>
    <n v="20.857142857142858"/>
    <x v="0"/>
    <x v="22"/>
    <x v="8"/>
    <x v="2"/>
  </r>
  <r>
    <s v="802196122282"/>
    <n v="802196"/>
    <s v="BHERV SINGH BHATI"/>
    <n v="122282"/>
    <s v="PIPARA SALES"/>
    <n v="32.5"/>
    <n v="28"/>
    <n v="27"/>
    <n v="37"/>
    <n v="25"/>
    <n v="14.5"/>
    <n v="10"/>
    <n v="174"/>
    <n v="24.857142857142858"/>
    <x v="0"/>
    <x v="22"/>
    <x v="8"/>
    <x v="2"/>
  </r>
  <r>
    <s v="803003122282"/>
    <n v="803003"/>
    <s v="PADAM CEMENT AGENCY"/>
    <n v="122282"/>
    <s v="PIPARA SALES"/>
    <n v="74"/>
    <n v="44"/>
    <n v="86.5"/>
    <n v="83.65"/>
    <n v="55.5"/>
    <n v="52.8"/>
    <n v="19.5"/>
    <n v="415.95"/>
    <n v="59.421428571428571"/>
    <x v="3"/>
    <x v="22"/>
    <x v="8"/>
    <x v="2"/>
  </r>
  <r>
    <s v="802088170248"/>
    <n v="802088"/>
    <s v="RISHABH TRADERS"/>
    <n v="170248"/>
    <s v="MAHAVEER ENTERPRISES"/>
    <n v="10"/>
    <n v="0"/>
    <n v="10"/>
    <n v="10"/>
    <n v="22"/>
    <n v="22.5"/>
    <n v="0"/>
    <n v="74.5"/>
    <n v="10.642857142857142"/>
    <x v="2"/>
    <x v="22"/>
    <x v="8"/>
    <x v="2"/>
  </r>
  <r>
    <s v="802161170248"/>
    <n v="802161"/>
    <s v="KISAN BUILDING MATERIAL"/>
    <n v="170248"/>
    <s v="MAHAVEER ENTERPRISES"/>
    <n v="15"/>
    <n v="18.5"/>
    <n v="20"/>
    <n v="25"/>
    <n v="48.5"/>
    <n v="27.5"/>
    <n v="35.25"/>
    <n v="189.75"/>
    <n v="27.107142857142858"/>
    <x v="0"/>
    <x v="22"/>
    <x v="8"/>
    <x v="2"/>
  </r>
  <r>
    <s v="805752170248"/>
    <n v="805752"/>
    <s v="VINAYAK TRADERS"/>
    <n v="170248"/>
    <s v="MAHAVEER ENTERPRISES"/>
    <n v="30"/>
    <n v="10"/>
    <n v="80"/>
    <n v="50"/>
    <n v="25"/>
    <n v="22.5"/>
    <n v="12"/>
    <n v="229.5"/>
    <n v="32.785714285714285"/>
    <x v="4"/>
    <x v="22"/>
    <x v="8"/>
    <x v="2"/>
  </r>
  <r>
    <s v="805986170248"/>
    <n v="805986"/>
    <s v="POOJA SAINETRY AND HARDWARE AN"/>
    <n v="170248"/>
    <s v="MAHAVEER ENTERPRISES"/>
    <n v="1"/>
    <n v="15"/>
    <n v="37"/>
    <n v="28.75"/>
    <n v="27"/>
    <n v="18.5"/>
    <n v="35"/>
    <n v="162.25"/>
    <n v="23.178571428571427"/>
    <x v="0"/>
    <x v="22"/>
    <x v="8"/>
    <x v="2"/>
  </r>
  <r>
    <s v="806178170248"/>
    <n v="806178"/>
    <s v="BALAJI TRADERS"/>
    <n v="170248"/>
    <s v="MAHAVEER ENTERPRISES"/>
    <n v="3.5"/>
    <n v="0"/>
    <n v="0"/>
    <n v="0"/>
    <n v="0"/>
    <n v="0"/>
    <n v="0"/>
    <n v="3.5"/>
    <n v="0.5"/>
    <x v="1"/>
    <x v="22"/>
    <x v="8"/>
    <x v="2"/>
  </r>
  <r>
    <s v="807151170248"/>
    <n v="807151"/>
    <s v="APEX GRANITE AND MARBLES"/>
    <n v="170248"/>
    <s v="MAHAVEER ENTERPRISES"/>
    <n v="13"/>
    <n v="30"/>
    <n v="25"/>
    <n v="31"/>
    <n v="46.75"/>
    <n v="20"/>
    <n v="50"/>
    <n v="215.75"/>
    <n v="30.821428571428573"/>
    <x v="4"/>
    <x v="22"/>
    <x v="8"/>
    <x v="2"/>
  </r>
  <r>
    <s v="807611170248"/>
    <n v="807611"/>
    <s v="GANPATI TRADERS"/>
    <n v="170248"/>
    <s v="MAHAVEER ENTERPRISES"/>
    <n v="30"/>
    <n v="42"/>
    <n v="30"/>
    <n v="13"/>
    <n v="0"/>
    <n v="0"/>
    <n v="0"/>
    <n v="115"/>
    <n v="16.428571428571427"/>
    <x v="2"/>
    <x v="22"/>
    <x v="8"/>
    <x v="2"/>
  </r>
  <r>
    <s v="808429170248"/>
    <n v="808429"/>
    <s v="SHREE LAXMI SANITARY AND HARDW"/>
    <n v="170248"/>
    <s v="MAHAVEER ENTERPRISES"/>
    <n v="72"/>
    <n v="67.5"/>
    <n v="88.5"/>
    <n v="75"/>
    <n v="73"/>
    <n v="46.5"/>
    <n v="40"/>
    <n v="462.5"/>
    <n v="66.071428571428569"/>
    <x v="3"/>
    <x v="22"/>
    <x v="8"/>
    <x v="2"/>
  </r>
  <r>
    <s v="808893170248"/>
    <n v="808893"/>
    <s v="SRINATH TRADERS"/>
    <n v="170248"/>
    <s v="MAHAVEER ENTERPRISES"/>
    <n v="104.5"/>
    <n v="31"/>
    <n v="61"/>
    <n v="60"/>
    <n v="15"/>
    <n v="10"/>
    <n v="10"/>
    <n v="291.5"/>
    <n v="41.642857142857146"/>
    <x v="5"/>
    <x v="22"/>
    <x v="8"/>
    <x v="2"/>
  </r>
  <r>
    <s v="808931170248"/>
    <n v="808931"/>
    <s v="SHREE GOVIND TRADERS"/>
    <n v="170248"/>
    <s v="MAHAVEER ENTERPRISES"/>
    <n v="1"/>
    <n v="0"/>
    <n v="0"/>
    <n v="0"/>
    <n v="10"/>
    <n v="7.5"/>
    <n v="0"/>
    <n v="18.5"/>
    <n v="2.6428571428571428"/>
    <x v="1"/>
    <x v="22"/>
    <x v="8"/>
    <x v="2"/>
  </r>
  <r>
    <s v="810919170248"/>
    <n v="810919"/>
    <s v="IMPERIAL INFRA"/>
    <n v="170248"/>
    <s v="MAHAVEER ENTERPRISES"/>
    <n v="1"/>
    <n v="20"/>
    <n v="0"/>
    <n v="10"/>
    <n v="17.5"/>
    <n v="10.5"/>
    <n v="0"/>
    <n v="59"/>
    <n v="8.4285714285714288"/>
    <x v="1"/>
    <x v="22"/>
    <x v="8"/>
    <x v="2"/>
  </r>
  <r>
    <s v="811064170248"/>
    <n v="811064"/>
    <s v="SHREE SHYAM SANITARY AND HARDW"/>
    <n v="170248"/>
    <s v="MAHAVEER ENTERPRISES"/>
    <n v="1"/>
    <n v="0"/>
    <n v="1.25"/>
    <n v="0"/>
    <n v="29.25"/>
    <n v="7.5"/>
    <n v="10"/>
    <n v="49"/>
    <n v="7"/>
    <x v="1"/>
    <x v="22"/>
    <x v="8"/>
    <x v="2"/>
  </r>
  <r>
    <s v="811139170248"/>
    <n v="811139"/>
    <s v="YUVRAJ CEMENT SALES"/>
    <n v="170248"/>
    <s v="MAHAVEER ENTERPRISES"/>
    <n v="3"/>
    <n v="0"/>
    <n v="0"/>
    <n v="0"/>
    <n v="0"/>
    <n v="0"/>
    <n v="0"/>
    <n v="3"/>
    <n v="0.42857142857142855"/>
    <x v="1"/>
    <x v="22"/>
    <x v="8"/>
    <x v="2"/>
  </r>
  <r>
    <s v="811781170248"/>
    <n v="811781"/>
    <s v="HARI OM TRADING COMPANY"/>
    <n v="170248"/>
    <s v="MAHAVEER ENTERPRISES"/>
    <n v="4"/>
    <n v="0"/>
    <n v="0"/>
    <n v="0"/>
    <n v="0"/>
    <n v="0"/>
    <n v="0"/>
    <n v="4"/>
    <n v="0.5714285714285714"/>
    <x v="1"/>
    <x v="22"/>
    <x v="8"/>
    <x v="2"/>
  </r>
  <r>
    <s v="812706170248"/>
    <n v="812706"/>
    <s v="GHATA RANI KISHAN SEVA KENDRA"/>
    <n v="170248"/>
    <s v="MAHAVEER ENTERPRISES"/>
    <n v="13"/>
    <n v="0"/>
    <n v="10"/>
    <n v="10"/>
    <n v="0"/>
    <n v="0"/>
    <n v="0"/>
    <n v="33"/>
    <n v="4.7142857142857144"/>
    <x v="1"/>
    <x v="22"/>
    <x v="8"/>
    <x v="2"/>
  </r>
  <r>
    <s v="812893170248"/>
    <n v="812893"/>
    <s v="ARIHANT BUILDING MATERIAL SUPP"/>
    <n v="170248"/>
    <s v="MAHAVEER ENTERPRISES"/>
    <n v="5"/>
    <n v="0"/>
    <n v="1"/>
    <n v="0"/>
    <n v="7"/>
    <n v="7.5"/>
    <n v="0"/>
    <n v="20.5"/>
    <n v="2.9285714285714284"/>
    <x v="1"/>
    <x v="22"/>
    <x v="8"/>
    <x v="2"/>
  </r>
  <r>
    <s v="812902170248"/>
    <n v="812902"/>
    <s v="SEEMA SHARMA"/>
    <n v="170248"/>
    <s v="MAHAVEER ENTERPRISES"/>
    <n v="1"/>
    <n v="15"/>
    <n v="0"/>
    <n v="10"/>
    <n v="12"/>
    <n v="7.5"/>
    <n v="0"/>
    <n v="45.5"/>
    <n v="6.5"/>
    <x v="1"/>
    <x v="22"/>
    <x v="8"/>
    <x v="2"/>
  </r>
  <r>
    <s v="812905170248"/>
    <n v="812905"/>
    <s v="SHREE MAHALAXMI TILES &amp; CEMENT"/>
    <n v="170248"/>
    <s v="MAHAVEER ENTERPRISES"/>
    <n v="5"/>
    <n v="10"/>
    <n v="7"/>
    <n v="10"/>
    <n v="12"/>
    <n v="7.5"/>
    <n v="20"/>
    <n v="71.5"/>
    <n v="10.214285714285714"/>
    <x v="2"/>
    <x v="22"/>
    <x v="8"/>
    <x v="2"/>
  </r>
  <r>
    <s v="813188170248"/>
    <n v="813188"/>
    <s v="OM TRADING COMPANY"/>
    <n v="170248"/>
    <s v="MAHAVEER ENTERPRISES"/>
    <n v="0"/>
    <n v="0"/>
    <n v="3.5"/>
    <n v="0"/>
    <n v="0"/>
    <n v="0"/>
    <n v="0"/>
    <n v="3.5"/>
    <n v="0.5"/>
    <x v="1"/>
    <x v="22"/>
    <x v="8"/>
    <x v="2"/>
  </r>
  <r>
    <s v="813374170248"/>
    <n v="813374"/>
    <s v="BANWARI KHATIK"/>
    <n v="170248"/>
    <s v="MAHAVEER ENTERPRISES"/>
    <n v="31"/>
    <n v="50"/>
    <n v="45"/>
    <n v="90"/>
    <n v="30"/>
    <n v="44.25"/>
    <n v="50.5"/>
    <n v="340.75"/>
    <n v="48.678571428571431"/>
    <x v="5"/>
    <x v="22"/>
    <x v="8"/>
    <x v="2"/>
  </r>
  <r>
    <s v="813935170248"/>
    <n v="813935"/>
    <s v="ABHAY SINGH RAJPUT"/>
    <n v="170248"/>
    <s v="MAHAVEER ENTERPRISES"/>
    <n v="80"/>
    <n v="60"/>
    <n v="40"/>
    <n v="30"/>
    <n v="20"/>
    <n v="20"/>
    <n v="20"/>
    <n v="270"/>
    <n v="38.571428571428569"/>
    <x v="4"/>
    <x v="22"/>
    <x v="8"/>
    <x v="2"/>
  </r>
  <r>
    <s v="814001170248"/>
    <n v="814001"/>
    <s v="SUNIL SHARMA"/>
    <n v="170248"/>
    <s v="MAHAVEER ENTERPRISES"/>
    <n v="5"/>
    <n v="47.5"/>
    <n v="40"/>
    <n v="66.25"/>
    <n v="72.25"/>
    <n v="36"/>
    <n v="35"/>
    <n v="302"/>
    <n v="43.142857142857146"/>
    <x v="5"/>
    <x v="22"/>
    <x v="8"/>
    <x v="2"/>
  </r>
  <r>
    <s v="814034170248"/>
    <n v="814034"/>
    <s v="RANVEER SINGH RATHORE"/>
    <n v="170248"/>
    <s v="MAHAVEER ENTERPRISES"/>
    <n v="10"/>
    <n v="0"/>
    <n v="0"/>
    <n v="0"/>
    <n v="0"/>
    <n v="0"/>
    <n v="0"/>
    <n v="10"/>
    <n v="1.4285714285714286"/>
    <x v="1"/>
    <x v="22"/>
    <x v="8"/>
    <x v="2"/>
  </r>
  <r>
    <s v="814297170248"/>
    <n v="814297"/>
    <s v="PRASHANT KOTHARI"/>
    <n v="170248"/>
    <s v="MAHAVEER ENTERPRISES"/>
    <n v="10"/>
    <n v="0.75"/>
    <n v="0"/>
    <n v="0"/>
    <n v="27"/>
    <n v="20.5"/>
    <n v="42.5"/>
    <n v="100.75"/>
    <n v="14.392857142857142"/>
    <x v="2"/>
    <x v="22"/>
    <x v="8"/>
    <x v="2"/>
  </r>
  <r>
    <s v="809181171685"/>
    <n v="809181"/>
    <s v="CHARBHUJA SALES"/>
    <n v="171685"/>
    <s v="GANPATI TRADERS"/>
    <n v="0"/>
    <n v="0"/>
    <n v="10"/>
    <n v="0"/>
    <n v="0"/>
    <n v="0"/>
    <n v="0"/>
    <n v="10"/>
    <n v="1.4285714285714286"/>
    <x v="1"/>
    <x v="22"/>
    <x v="8"/>
    <x v="2"/>
  </r>
  <r>
    <s v="807026171909"/>
    <n v="807026"/>
    <s v="ANKIT LADDHA"/>
    <n v="171909"/>
    <s v="SAI NATH BUILDING MATERIALS"/>
    <n v="43.5"/>
    <n v="40.75"/>
    <n v="78.25"/>
    <n v="58.5"/>
    <n v="78.25"/>
    <n v="13"/>
    <n v="21"/>
    <n v="333.25"/>
    <n v="47.607142857142854"/>
    <x v="5"/>
    <x v="22"/>
    <x v="8"/>
    <x v="2"/>
  </r>
  <r>
    <s v="808374175049"/>
    <n v="808374"/>
    <s v="VEER SINGH GURJAR"/>
    <n v="175049"/>
    <s v="KASHISH ENTERPRISES"/>
    <n v="133"/>
    <n v="126"/>
    <n v="121.95"/>
    <n v="97.5"/>
    <n v="97"/>
    <n v="56.2"/>
    <n v="47"/>
    <n v="678.65000000000009"/>
    <n v="96.950000000000017"/>
    <x v="3"/>
    <x v="22"/>
    <x v="8"/>
    <x v="2"/>
  </r>
  <r>
    <s v="808852175049"/>
    <n v="808852"/>
    <s v="JETHU RAM GURJAR"/>
    <n v="175049"/>
    <s v="KASHISH ENTERPRISES"/>
    <n v="45"/>
    <n v="25"/>
    <n v="35"/>
    <n v="42.5"/>
    <n v="32"/>
    <n v="40"/>
    <n v="25"/>
    <n v="244.5"/>
    <n v="34.928571428571431"/>
    <x v="4"/>
    <x v="22"/>
    <x v="8"/>
    <x v="2"/>
  </r>
  <r>
    <s v="811860175049"/>
    <n v="811860"/>
    <s v="PAWAN KUMAR CHHIPA"/>
    <n v="175049"/>
    <s v="KASHISH ENTERPRISES"/>
    <n v="0"/>
    <n v="0"/>
    <n v="0"/>
    <n v="0"/>
    <n v="1"/>
    <n v="0"/>
    <n v="0"/>
    <n v="1"/>
    <n v="0.14285714285714285"/>
    <x v="1"/>
    <x v="22"/>
    <x v="8"/>
    <x v="2"/>
  </r>
  <r>
    <s v="811869175049"/>
    <n v="811869"/>
    <s v="JIVAN LAL GURJAR"/>
    <n v="175049"/>
    <s v="KASHISH ENTERPRISES"/>
    <n v="5"/>
    <n v="5"/>
    <n v="10"/>
    <n v="5"/>
    <n v="11"/>
    <n v="6"/>
    <n v="0"/>
    <n v="42"/>
    <n v="6"/>
    <x v="1"/>
    <x v="22"/>
    <x v="8"/>
    <x v="2"/>
  </r>
  <r>
    <s v="813182175049"/>
    <n v="813182"/>
    <s v="MANOJ GURJAR"/>
    <n v="175049"/>
    <s v="KASHISH ENTERPRISES"/>
    <n v="11"/>
    <n v="15"/>
    <n v="50"/>
    <n v="18"/>
    <n v="40"/>
    <n v="30"/>
    <n v="15"/>
    <n v="179"/>
    <n v="25.571428571428573"/>
    <x v="0"/>
    <x v="22"/>
    <x v="8"/>
    <x v="2"/>
  </r>
  <r>
    <s v="813184175049"/>
    <n v="813184"/>
    <s v="RAMSWROOP VYAS"/>
    <n v="175049"/>
    <s v="KASHISH ENTERPRISES"/>
    <n v="35"/>
    <n v="20"/>
    <n v="89.5"/>
    <n v="80.900000000000006"/>
    <n v="42.5"/>
    <n v="40"/>
    <n v="25"/>
    <n v="332.9"/>
    <n v="47.557142857142857"/>
    <x v="5"/>
    <x v="22"/>
    <x v="8"/>
    <x v="2"/>
  </r>
  <r>
    <s v="814034175049"/>
    <n v="814034"/>
    <s v="RANVEER SINGH RATHORE"/>
    <n v="175049"/>
    <s v="KASHISH ENTERPRISES"/>
    <n v="40"/>
    <n v="15"/>
    <n v="30"/>
    <n v="52.5"/>
    <n v="34"/>
    <n v="42.5"/>
    <n v="25"/>
    <n v="239"/>
    <n v="34.142857142857146"/>
    <x v="4"/>
    <x v="22"/>
    <x v="8"/>
    <x v="2"/>
  </r>
  <r>
    <s v="814091175049"/>
    <n v="814091"/>
    <s v="MAHESH KUMAR RAO"/>
    <n v="175049"/>
    <s v="KASHISH ENTERPRISES"/>
    <n v="15"/>
    <n v="0"/>
    <n v="20"/>
    <n v="10"/>
    <n v="0"/>
    <n v="0"/>
    <n v="0"/>
    <n v="45"/>
    <n v="6.4285714285714288"/>
    <x v="1"/>
    <x v="22"/>
    <x v="8"/>
    <x v="2"/>
  </r>
  <r>
    <s v="814676175049"/>
    <n v="814676"/>
    <s v="BEMATA ENTERPRISES"/>
    <n v="175049"/>
    <s v="KASHISH ENTERPRISES"/>
    <n v="25"/>
    <n v="16"/>
    <n v="50"/>
    <n v="32.5"/>
    <n v="32"/>
    <n v="25"/>
    <n v="0"/>
    <n v="180.5"/>
    <n v="25.785714285714285"/>
    <x v="0"/>
    <x v="22"/>
    <x v="8"/>
    <x v="2"/>
  </r>
  <r>
    <s v="814823175049"/>
    <n v="814823"/>
    <s v="DEVENDRA KUMAR REGAR"/>
    <n v="175049"/>
    <s v="KASHISH ENTERPRISES"/>
    <n v="45"/>
    <n v="20"/>
    <n v="75"/>
    <n v="45"/>
    <n v="32"/>
    <n v="39.5"/>
    <n v="10"/>
    <n v="266.5"/>
    <n v="38.071428571428569"/>
    <x v="4"/>
    <x v="22"/>
    <x v="8"/>
    <x v="2"/>
  </r>
  <r>
    <s v="815046175049"/>
    <n v="815046"/>
    <s v="ALTAF HUSSAIN"/>
    <n v="175049"/>
    <s v="KASHISH ENTERPRISES"/>
    <n v="0"/>
    <n v="13"/>
    <n v="32"/>
    <n v="8.5"/>
    <n v="4"/>
    <n v="0"/>
    <n v="0"/>
    <n v="57.5"/>
    <n v="8.2142857142857135"/>
    <x v="1"/>
    <x v="22"/>
    <x v="8"/>
    <x v="2"/>
  </r>
  <r>
    <s v="815047175049"/>
    <n v="815047"/>
    <s v="NAVDURGA ENTERPRISES"/>
    <n v="175049"/>
    <s v="KASHISH ENTERPRISES"/>
    <n v="0"/>
    <n v="20"/>
    <n v="25"/>
    <n v="12.5"/>
    <n v="4"/>
    <n v="0"/>
    <n v="0"/>
    <n v="61.5"/>
    <n v="8.7857142857142865"/>
    <x v="1"/>
    <x v="22"/>
    <x v="8"/>
    <x v="2"/>
  </r>
  <r>
    <s v="815824175049"/>
    <n v="815824"/>
    <s v="KALU RAM GURJAR"/>
    <n v="175049"/>
    <s v="KASHISH ENTERPRISES"/>
    <n v="0"/>
    <n v="0"/>
    <n v="0"/>
    <n v="0"/>
    <n v="58.5"/>
    <n v="42.5"/>
    <n v="61"/>
    <n v="162"/>
    <n v="23.142857142857142"/>
    <x v="0"/>
    <x v="22"/>
    <x v="8"/>
    <x v="2"/>
  </r>
  <r>
    <s v="816299175049"/>
    <n v="816299"/>
    <s v="OM SINGH"/>
    <n v="175049"/>
    <s v="KASHISH ENTERPRISES"/>
    <n v="0"/>
    <n v="0"/>
    <n v="0"/>
    <n v="0"/>
    <n v="0"/>
    <n v="42.5"/>
    <n v="35"/>
    <n v="77.5"/>
    <n v="11.071428571428571"/>
    <x v="2"/>
    <x v="22"/>
    <x v="8"/>
    <x v="2"/>
  </r>
  <r>
    <s v="807911175680"/>
    <n v="807911"/>
    <s v="MUKESH KUMAR JAIN"/>
    <n v="175680"/>
    <s v="ADINATH TRADERS"/>
    <n v="30"/>
    <n v="2"/>
    <n v="171.75"/>
    <n v="13.4"/>
    <n v="103.25"/>
    <n v="69.25"/>
    <n v="14"/>
    <n v="403.65"/>
    <n v="57.664285714285711"/>
    <x v="3"/>
    <x v="22"/>
    <x v="8"/>
    <x v="2"/>
  </r>
  <r>
    <s v="813681175848"/>
    <n v="813681"/>
    <s v="NARENDRA KUMAR PARASHAR"/>
    <n v="175848"/>
    <s v="PURAWAT ENTERPRISERS"/>
    <n v="0"/>
    <n v="0"/>
    <n v="22.25"/>
    <n v="10"/>
    <n v="65"/>
    <n v="40"/>
    <n v="20"/>
    <n v="157.25"/>
    <n v="22.464285714285715"/>
    <x v="0"/>
    <x v="22"/>
    <x v="8"/>
    <x v="2"/>
  </r>
  <r>
    <s v="813867175848"/>
    <n v="813867"/>
    <s v="SHIV SINGH RANAWAT"/>
    <n v="175848"/>
    <s v="PURAWAT ENTERPRISERS"/>
    <n v="8.5"/>
    <n v="15.5"/>
    <n v="50"/>
    <n v="10"/>
    <n v="40"/>
    <n v="59.25"/>
    <n v="19"/>
    <n v="202.25"/>
    <n v="28.892857142857142"/>
    <x v="0"/>
    <x v="22"/>
    <x v="8"/>
    <x v="2"/>
  </r>
  <r>
    <s v="813932175848"/>
    <n v="813932"/>
    <s v="RAMESHWAR LAL BALAI"/>
    <n v="175848"/>
    <s v="PURAWAT ENTERPRISERS"/>
    <n v="41"/>
    <n v="114"/>
    <n v="50"/>
    <n v="82"/>
    <n v="90"/>
    <n v="40"/>
    <n v="19"/>
    <n v="436"/>
    <n v="62.285714285714285"/>
    <x v="3"/>
    <x v="22"/>
    <x v="8"/>
    <x v="2"/>
  </r>
  <r>
    <s v="814226175848"/>
    <n v="814226"/>
    <s v="ARJUN SINGH"/>
    <n v="175848"/>
    <s v="PURAWAT ENTERPRISERS"/>
    <n v="51.25"/>
    <n v="106.5"/>
    <n v="45.5"/>
    <n v="149.5"/>
    <n v="58"/>
    <n v="62"/>
    <n v="25"/>
    <n v="497.75"/>
    <n v="71.107142857142861"/>
    <x v="3"/>
    <x v="22"/>
    <x v="8"/>
    <x v="2"/>
  </r>
  <r>
    <s v="809181177202"/>
    <n v="809181"/>
    <s v="CHARBHUJA SALES"/>
    <n v="177202"/>
    <s v="GIRIRAJ TRADERS"/>
    <n v="45"/>
    <n v="40"/>
    <n v="30"/>
    <n v="40"/>
    <n v="37.549999999999997"/>
    <n v="1"/>
    <n v="11"/>
    <n v="204.55"/>
    <n v="29.221428571428572"/>
    <x v="0"/>
    <x v="22"/>
    <x v="8"/>
    <x v="2"/>
  </r>
  <r>
    <s v="809424177202"/>
    <n v="809424"/>
    <s v="RISHABH TRADERS"/>
    <n v="177202"/>
    <s v="GIRIRAJ TRADERS"/>
    <n v="0"/>
    <n v="0"/>
    <n v="0"/>
    <n v="0"/>
    <n v="0"/>
    <n v="1.5"/>
    <n v="0"/>
    <n v="1.5"/>
    <n v="0.21428571428571427"/>
    <x v="1"/>
    <x v="22"/>
    <x v="8"/>
    <x v="2"/>
  </r>
  <r>
    <s v="812703177202"/>
    <n v="812703"/>
    <s v="LAXMAN SINGH"/>
    <n v="177202"/>
    <s v="GIRIRAJ TRADERS"/>
    <n v="20"/>
    <n v="20"/>
    <n v="0"/>
    <n v="0"/>
    <n v="12.95"/>
    <n v="1"/>
    <n v="0"/>
    <n v="53.95"/>
    <n v="7.7071428571428573"/>
    <x v="1"/>
    <x v="22"/>
    <x v="8"/>
    <x v="2"/>
  </r>
  <r>
    <s v="809117177259"/>
    <n v="809117"/>
    <s v="RAHUL CHATWANI"/>
    <n v="177259"/>
    <s v="R R CAPITAL"/>
    <n v="10"/>
    <n v="0"/>
    <n v="0"/>
    <n v="10"/>
    <n v="0"/>
    <n v="0"/>
    <n v="10"/>
    <n v="30"/>
    <n v="4.2857142857142856"/>
    <x v="1"/>
    <x v="22"/>
    <x v="8"/>
    <x v="2"/>
  </r>
  <r>
    <s v="809422177259"/>
    <n v="809422"/>
    <s v="RAM PAL KHANDELWAL"/>
    <n v="177259"/>
    <s v="R R CAPITAL"/>
    <n v="0"/>
    <n v="0"/>
    <n v="0"/>
    <n v="10"/>
    <n v="0"/>
    <n v="0"/>
    <n v="0"/>
    <n v="10"/>
    <n v="1.4285714285714286"/>
    <x v="1"/>
    <x v="22"/>
    <x v="8"/>
    <x v="2"/>
  </r>
  <r>
    <s v="808856178511"/>
    <n v="808856"/>
    <s v="MANISH KUMAR CHHIPA"/>
    <n v="178511"/>
    <s v="AMBIKA DISTRIBUTORS"/>
    <n v="34.5"/>
    <n v="75"/>
    <n v="64.5"/>
    <n v="69.75"/>
    <n v="7"/>
    <n v="11"/>
    <n v="10"/>
    <n v="271.75"/>
    <n v="38.821428571428569"/>
    <x v="4"/>
    <x v="22"/>
    <x v="8"/>
    <x v="2"/>
  </r>
  <r>
    <s v="809182178511"/>
    <n v="809182"/>
    <s v="RAJARAM PARASHAR"/>
    <n v="178511"/>
    <s v="AMBIKA DISTRIBUTORS"/>
    <n v="37"/>
    <n v="71"/>
    <n v="22"/>
    <n v="34.5"/>
    <n v="7"/>
    <n v="17.5"/>
    <n v="16"/>
    <n v="205"/>
    <n v="29.285714285714285"/>
    <x v="0"/>
    <x v="22"/>
    <x v="8"/>
    <x v="2"/>
  </r>
  <r>
    <s v="811913178511"/>
    <n v="811913"/>
    <s v="JAMEEL MOHAMMED PINARA"/>
    <n v="178511"/>
    <s v="AMBIKA DISTRIBUTORS"/>
    <n v="5"/>
    <n v="5"/>
    <n v="0"/>
    <n v="10"/>
    <n v="0"/>
    <n v="0"/>
    <n v="0"/>
    <n v="20"/>
    <n v="2.8571428571428572"/>
    <x v="1"/>
    <x v="22"/>
    <x v="8"/>
    <x v="2"/>
  </r>
  <r>
    <s v="814250178511"/>
    <n v="814250"/>
    <s v="LADU LAL TELI"/>
    <n v="178511"/>
    <s v="AMBIKA DISTRIBUTORS"/>
    <n v="5"/>
    <n v="5"/>
    <n v="0"/>
    <n v="0"/>
    <n v="0"/>
    <n v="0"/>
    <n v="0"/>
    <n v="10"/>
    <n v="1.4285714285714286"/>
    <x v="1"/>
    <x v="22"/>
    <x v="8"/>
    <x v="2"/>
  </r>
  <r>
    <s v="813040201091"/>
    <n v="813040"/>
    <s v="SHREE BALAJI BUILDING MATERIAL"/>
    <n v="201091"/>
    <s v="SIDHI VINAYAK SANITARY HOUSE"/>
    <n v="10"/>
    <n v="20"/>
    <n v="17.5"/>
    <n v="0"/>
    <n v="0"/>
    <n v="0"/>
    <n v="0"/>
    <n v="47.5"/>
    <n v="6.7857142857142856"/>
    <x v="1"/>
    <x v="22"/>
    <x v="8"/>
    <x v="2"/>
  </r>
  <r>
    <s v="808316204030"/>
    <n v="808316"/>
    <s v="DHARMESH KUMAWAT"/>
    <n v="204030"/>
    <s v="DEVA LAL KUMAWAT"/>
    <n v="104.25"/>
    <n v="54"/>
    <n v="136.25"/>
    <n v="26"/>
    <n v="40.25"/>
    <n v="36"/>
    <n v="39"/>
    <n v="435.75"/>
    <n v="62.25"/>
    <x v="3"/>
    <x v="22"/>
    <x v="8"/>
    <x v="2"/>
  </r>
  <r>
    <s v="813375204030"/>
    <n v="813375"/>
    <s v="RAM LAL GADARI"/>
    <n v="204030"/>
    <s v="DEVA LAL KUMAWAT"/>
    <n v="0"/>
    <n v="1"/>
    <n v="0"/>
    <n v="0"/>
    <n v="0"/>
    <n v="10"/>
    <n v="0"/>
    <n v="11"/>
    <n v="1.5714285714285714"/>
    <x v="1"/>
    <x v="22"/>
    <x v="8"/>
    <x v="2"/>
  </r>
  <r>
    <s v="814415204030"/>
    <n v="814415"/>
    <s v="DEV KISHAN BALAI"/>
    <n v="204030"/>
    <s v="DEVA LAL KUMAWAT"/>
    <n v="0"/>
    <n v="1"/>
    <n v="0"/>
    <n v="0"/>
    <n v="0"/>
    <n v="1"/>
    <n v="0"/>
    <n v="2"/>
    <n v="0.2857142857142857"/>
    <x v="1"/>
    <x v="22"/>
    <x v="8"/>
    <x v="2"/>
  </r>
  <r>
    <s v="811780205591"/>
    <n v="811780"/>
    <s v="ARIHANT JEENGAR"/>
    <n v="205591"/>
    <s v="ROOP RAJAT TRADING CO"/>
    <n v="10"/>
    <n v="50"/>
    <n v="40"/>
    <n v="89"/>
    <n v="52.5"/>
    <n v="50"/>
    <n v="10"/>
    <n v="301.5"/>
    <n v="43.071428571428569"/>
    <x v="5"/>
    <x v="22"/>
    <x v="8"/>
    <x v="2"/>
  </r>
  <r>
    <s v="814152205591"/>
    <n v="814152"/>
    <s v="SHALU JAIN"/>
    <n v="205591"/>
    <s v="ROOP RAJAT TRADING CO"/>
    <n v="239"/>
    <n v="327.5"/>
    <n v="315.5"/>
    <n v="277.95"/>
    <n v="253.75"/>
    <n v="273.5"/>
    <n v="195"/>
    <n v="1882.2"/>
    <n v="268.8857142857143"/>
    <x v="3"/>
    <x v="22"/>
    <x v="8"/>
    <x v="2"/>
  </r>
  <r>
    <s v="814311205591"/>
    <n v="814311"/>
    <s v="ABHINAV AUTOMOBILES"/>
    <n v="205591"/>
    <s v="ROOP RAJAT TRADING CO"/>
    <n v="0.5"/>
    <n v="10"/>
    <n v="0"/>
    <n v="0"/>
    <n v="21"/>
    <n v="4"/>
    <n v="10"/>
    <n v="45.5"/>
    <n v="6.5"/>
    <x v="1"/>
    <x v="22"/>
    <x v="8"/>
    <x v="2"/>
  </r>
  <r>
    <s v="814380205591"/>
    <n v="814380"/>
    <s v="BAJRANG CEMENT SUPPLIERS"/>
    <n v="205591"/>
    <s v="ROOP RAJAT TRADING CO"/>
    <n v="0.5"/>
    <n v="7.5"/>
    <n v="0"/>
    <n v="10"/>
    <n v="1"/>
    <n v="4"/>
    <n v="0"/>
    <n v="23"/>
    <n v="3.2857142857142856"/>
    <x v="1"/>
    <x v="22"/>
    <x v="8"/>
    <x v="2"/>
  </r>
  <r>
    <s v="814414205591"/>
    <n v="814414"/>
    <s v="K M STONE SUPPLIERS"/>
    <n v="205591"/>
    <s v="ROOP RAJAT TRADING CO"/>
    <n v="45"/>
    <n v="56"/>
    <n v="120"/>
    <n v="103"/>
    <n v="61"/>
    <n v="4"/>
    <n v="50"/>
    <n v="439"/>
    <n v="62.714285714285715"/>
    <x v="3"/>
    <x v="22"/>
    <x v="8"/>
    <x v="2"/>
  </r>
  <r>
    <s v="814506205591"/>
    <n v="814506"/>
    <s v="CHAWANDA TRADERS"/>
    <n v="205591"/>
    <s v="ROOP RAJAT TRADING CO"/>
    <n v="97"/>
    <n v="127"/>
    <n v="137"/>
    <n v="70"/>
    <n v="51.75"/>
    <n v="66.5"/>
    <n v="30"/>
    <n v="579.25"/>
    <n v="82.75"/>
    <x v="3"/>
    <x v="22"/>
    <x v="8"/>
    <x v="2"/>
  </r>
  <r>
    <s v="814683205591"/>
    <n v="814683"/>
    <s v="JAGDISH SUTHAR"/>
    <n v="205591"/>
    <s v="ROOP RAJAT TRADING CO"/>
    <n v="71"/>
    <n v="24"/>
    <n v="132.75"/>
    <n v="50"/>
    <n v="72.5"/>
    <n v="54"/>
    <n v="2.5"/>
    <n v="406.75"/>
    <n v="58.107142857142854"/>
    <x v="3"/>
    <x v="22"/>
    <x v="8"/>
    <x v="2"/>
  </r>
  <r>
    <s v="814710205591"/>
    <n v="814710"/>
    <s v="KAMLESH KUMAR TATED"/>
    <n v="205591"/>
    <s v="ROOP RAJAT TRADING CO"/>
    <n v="20.5"/>
    <n v="15"/>
    <n v="30"/>
    <n v="1"/>
    <n v="11"/>
    <n v="4"/>
    <n v="0"/>
    <n v="81.5"/>
    <n v="11.642857142857142"/>
    <x v="2"/>
    <x v="22"/>
    <x v="8"/>
    <x v="2"/>
  </r>
  <r>
    <s v="814756205591"/>
    <n v="814756"/>
    <s v="RAM LAL KUMHAR"/>
    <n v="205591"/>
    <s v="ROOP RAJAT TRADING CO"/>
    <n v="110.5"/>
    <n v="165"/>
    <n v="248"/>
    <n v="195"/>
    <n v="114.5"/>
    <n v="127"/>
    <n v="20"/>
    <n v="980"/>
    <n v="140"/>
    <x v="3"/>
    <x v="22"/>
    <x v="8"/>
    <x v="2"/>
  </r>
  <r>
    <s v="814757205591"/>
    <n v="814757"/>
    <s v="KAILASH CHANDRA SHARMA"/>
    <n v="205591"/>
    <s v="ROOP RAJAT TRADING CO"/>
    <n v="75.5"/>
    <n v="5"/>
    <n v="47.25"/>
    <n v="109"/>
    <n v="68"/>
    <n v="4"/>
    <n v="0"/>
    <n v="308.75"/>
    <n v="44.107142857142854"/>
    <x v="5"/>
    <x v="22"/>
    <x v="8"/>
    <x v="2"/>
  </r>
  <r>
    <s v="814972205591"/>
    <n v="814972"/>
    <s v="VISHNU CEMENT AGENCY"/>
    <n v="205591"/>
    <s v="ROOP RAJAT TRADING CO"/>
    <n v="30"/>
    <n v="30"/>
    <n v="60.5"/>
    <n v="143"/>
    <n v="219"/>
    <n v="177"/>
    <n v="40"/>
    <n v="699.5"/>
    <n v="99.928571428571431"/>
    <x v="3"/>
    <x v="22"/>
    <x v="8"/>
    <x v="2"/>
  </r>
  <r>
    <s v="814979205591"/>
    <n v="814979"/>
    <s v="SATYANARAYAN KUMAWAT"/>
    <n v="205591"/>
    <s v="ROOP RAJAT TRADING CO"/>
    <n v="0"/>
    <n v="0"/>
    <n v="14"/>
    <n v="0"/>
    <n v="0.5"/>
    <n v="4"/>
    <n v="0"/>
    <n v="18.5"/>
    <n v="2.6428571428571428"/>
    <x v="1"/>
    <x v="22"/>
    <x v="8"/>
    <x v="2"/>
  </r>
  <r>
    <s v="814980205591"/>
    <n v="814980"/>
    <s v="RAMESHWAR LAL JAT"/>
    <n v="205591"/>
    <s v="ROOP RAJAT TRADING CO"/>
    <n v="10"/>
    <n v="15"/>
    <n v="8.25"/>
    <n v="1"/>
    <n v="1"/>
    <n v="4"/>
    <n v="0"/>
    <n v="39.25"/>
    <n v="5.6071428571428568"/>
    <x v="1"/>
    <x v="22"/>
    <x v="8"/>
    <x v="2"/>
  </r>
  <r>
    <s v="815002205591"/>
    <n v="815002"/>
    <s v="MANGI LAL"/>
    <n v="205591"/>
    <s v="ROOP RAJAT TRADING CO"/>
    <n v="20"/>
    <n v="10"/>
    <n v="40"/>
    <n v="1"/>
    <n v="1"/>
    <n v="0"/>
    <n v="0"/>
    <n v="72"/>
    <n v="10.285714285714286"/>
    <x v="2"/>
    <x v="22"/>
    <x v="8"/>
    <x v="2"/>
  </r>
  <r>
    <s v="815127205591"/>
    <n v="815127"/>
    <s v="SURESH CHANDRA SHARMA"/>
    <n v="205591"/>
    <s v="ROOP RAJAT TRADING CO"/>
    <n v="0"/>
    <n v="0"/>
    <n v="30"/>
    <n v="26.5"/>
    <n v="8"/>
    <n v="0"/>
    <n v="20"/>
    <n v="84.5"/>
    <n v="12.071428571428571"/>
    <x v="2"/>
    <x v="22"/>
    <x v="8"/>
    <x v="2"/>
  </r>
  <r>
    <s v="815253205591"/>
    <n v="815253"/>
    <s v="RINKU VYAS"/>
    <n v="205591"/>
    <s v="ROOP RAJAT TRADING CO"/>
    <n v="0"/>
    <n v="0"/>
    <n v="30"/>
    <n v="112.75"/>
    <n v="103.5"/>
    <n v="59"/>
    <n v="52.5"/>
    <n v="357.75"/>
    <n v="51.107142857142854"/>
    <x v="3"/>
    <x v="22"/>
    <x v="8"/>
    <x v="2"/>
  </r>
  <r>
    <s v="815473205591"/>
    <n v="815473"/>
    <s v="SOHAN LAL TELI"/>
    <n v="205591"/>
    <s v="ROOP RAJAT TRADING CO"/>
    <n v="0"/>
    <n v="0"/>
    <n v="0"/>
    <n v="0"/>
    <n v="0"/>
    <n v="4"/>
    <n v="0"/>
    <n v="4"/>
    <n v="0.5714285714285714"/>
    <x v="1"/>
    <x v="22"/>
    <x v="8"/>
    <x v="2"/>
  </r>
  <r>
    <s v="815823205591"/>
    <n v="815823"/>
    <s v="SHANTI LAL TIWARI"/>
    <n v="205591"/>
    <s v="ROOP RAJAT TRADING CO"/>
    <n v="0"/>
    <n v="0"/>
    <n v="0"/>
    <n v="0"/>
    <n v="2"/>
    <n v="15"/>
    <n v="60"/>
    <n v="77"/>
    <n v="11"/>
    <x v="2"/>
    <x v="22"/>
    <x v="8"/>
    <x v="2"/>
  </r>
  <r>
    <s v="815849205591"/>
    <n v="815849"/>
    <s v="ROHIT PAREEK"/>
    <n v="205591"/>
    <s v="ROOP RAJAT TRADING CO"/>
    <n v="0"/>
    <n v="0"/>
    <n v="0"/>
    <n v="0"/>
    <n v="25.5"/>
    <n v="4"/>
    <n v="16.2"/>
    <n v="45.7"/>
    <n v="6.5285714285714294"/>
    <x v="1"/>
    <x v="22"/>
    <x v="8"/>
    <x v="2"/>
  </r>
  <r>
    <s v="816014205591"/>
    <n v="816014"/>
    <s v="RAMESHVAR LAL SHARMA"/>
    <n v="205591"/>
    <s v="ROOP RAJAT TRADING CO"/>
    <n v="0"/>
    <n v="0"/>
    <n v="0"/>
    <n v="0"/>
    <n v="0"/>
    <n v="14"/>
    <n v="20"/>
    <n v="34"/>
    <n v="4.8571428571428568"/>
    <x v="1"/>
    <x v="22"/>
    <x v="8"/>
    <x v="2"/>
  </r>
  <r>
    <s v="816015205591"/>
    <n v="816015"/>
    <s v="MADAN LAL RAJMAL SUTHAR"/>
    <n v="205591"/>
    <s v="ROOP RAJAT TRADING CO"/>
    <n v="0"/>
    <n v="0"/>
    <n v="0"/>
    <n v="0"/>
    <n v="0"/>
    <n v="4"/>
    <n v="40"/>
    <n v="44"/>
    <n v="6.2857142857142856"/>
    <x v="1"/>
    <x v="22"/>
    <x v="8"/>
    <x v="2"/>
  </r>
  <r>
    <s v="814631206529"/>
    <n v="814631"/>
    <s v="SATYANARAYAN VAISHNAV"/>
    <n v="206529"/>
    <s v="GOPAL KRISHAN DHUPPAD"/>
    <n v="50"/>
    <n v="66.5"/>
    <n v="134"/>
    <n v="85.5"/>
    <n v="128.5"/>
    <n v="47"/>
    <n v="10"/>
    <n v="521.5"/>
    <n v="74.5"/>
    <x v="3"/>
    <x v="22"/>
    <x v="8"/>
    <x v="2"/>
  </r>
  <r>
    <s v="816405205591"/>
    <n v="816405"/>
    <s v="RANI DEVI REGAR"/>
    <n v="205591"/>
    <s v="ROOP RAJAT TRADING CO"/>
    <n v="0"/>
    <n v="0"/>
    <n v="0"/>
    <n v="0"/>
    <n v="0"/>
    <n v="0"/>
    <n v="10"/>
    <n v="10"/>
    <n v="1.4285714285714286"/>
    <x v="1"/>
    <x v="22"/>
    <x v="8"/>
    <x v="2"/>
  </r>
  <r>
    <s v="816580175848"/>
    <n v="816580"/>
    <s v="KHEMRAJ"/>
    <n v="175848"/>
    <s v="PURAWAT ENTERPRISERS"/>
    <n v="0"/>
    <n v="0"/>
    <n v="0"/>
    <n v="0"/>
    <n v="0"/>
    <n v="0"/>
    <n v="55"/>
    <n v="55"/>
    <n v="7.8571428571428568"/>
    <x v="1"/>
    <x v="22"/>
    <x v="8"/>
    <x v="2"/>
  </r>
  <r>
    <s v="816626170248"/>
    <n v="816626"/>
    <s v="ROHIT AJMERA"/>
    <n v="170248"/>
    <s v="MAHAVEER ENTERPRISES"/>
    <n v="0"/>
    <n v="0"/>
    <n v="0"/>
    <n v="0"/>
    <n v="0"/>
    <n v="0"/>
    <n v="20"/>
    <n v="20"/>
    <n v="2.8571428571428572"/>
    <x v="1"/>
    <x v="22"/>
    <x v="8"/>
    <x v="2"/>
  </r>
  <r>
    <s v="803193119905"/>
    <n v="803193"/>
    <s v="CHHAGAN LAL DHAKAR"/>
    <n v="119905"/>
    <s v="FRIENDS AGENCIES"/>
    <n v="37.5"/>
    <n v="25"/>
    <n v="26"/>
    <n v="35.75"/>
    <n v="29.25"/>
    <n v="6.25"/>
    <n v="12.5"/>
    <n v="172.25"/>
    <n v="24.607142857142858"/>
    <x v="0"/>
    <x v="23"/>
    <x v="8"/>
    <x v="2"/>
  </r>
  <r>
    <s v="806471119905"/>
    <n v="806471"/>
    <s v="SURAJMAL JAT"/>
    <n v="119905"/>
    <s v="FRIENDS AGENCIES"/>
    <n v="0"/>
    <n v="12.5"/>
    <n v="44.5"/>
    <n v="53.75"/>
    <n v="35.25"/>
    <n v="0"/>
    <n v="0"/>
    <n v="146"/>
    <n v="20.857142857142858"/>
    <x v="0"/>
    <x v="23"/>
    <x v="8"/>
    <x v="2"/>
  </r>
  <r>
    <s v="806101170392"/>
    <n v="806101"/>
    <s v="BHARAT IRON &amp; HARDWARE"/>
    <n v="170392"/>
    <s v="JYOTI SUPPLIERS"/>
    <n v="75"/>
    <n v="10"/>
    <n v="48.5"/>
    <n v="95.5"/>
    <n v="60.5"/>
    <n v="35"/>
    <n v="49"/>
    <n v="373.5"/>
    <n v="53.357142857142854"/>
    <x v="3"/>
    <x v="23"/>
    <x v="8"/>
    <x v="2"/>
  </r>
  <r>
    <s v="806339170392"/>
    <n v="806339"/>
    <s v="JAI SHANI DEV KIRANA STORE"/>
    <n v="170392"/>
    <s v="JYOTI SUPPLIERS"/>
    <n v="14"/>
    <n v="52.75"/>
    <n v="29"/>
    <n v="40"/>
    <n v="51"/>
    <n v="28"/>
    <n v="10"/>
    <n v="224.75"/>
    <n v="32.107142857142854"/>
    <x v="4"/>
    <x v="23"/>
    <x v="8"/>
    <x v="2"/>
  </r>
  <r>
    <s v="806466170392"/>
    <n v="806466"/>
    <s v="CHOUDHARY KIRANA STORE"/>
    <n v="170392"/>
    <s v="JYOTI SUPPLIERS"/>
    <n v="10"/>
    <n v="30"/>
    <n v="10"/>
    <n v="7"/>
    <n v="0"/>
    <n v="0"/>
    <n v="10"/>
    <n v="67"/>
    <n v="9.5714285714285712"/>
    <x v="1"/>
    <x v="23"/>
    <x v="8"/>
    <x v="2"/>
  </r>
  <r>
    <s v="806472170392"/>
    <n v="806472"/>
    <s v="ANGARHNATH BUILDING MATERIAL S"/>
    <n v="170392"/>
    <s v="JYOTI SUPPLIERS"/>
    <n v="50"/>
    <n v="99"/>
    <n v="140"/>
    <n v="100"/>
    <n v="51"/>
    <n v="33"/>
    <n v="31.55"/>
    <n v="504.55"/>
    <n v="72.078571428571436"/>
    <x v="3"/>
    <x v="23"/>
    <x v="8"/>
    <x v="2"/>
  </r>
  <r>
    <s v="808145170392"/>
    <n v="808145"/>
    <s v="MOHAN LAL AHIR"/>
    <n v="170392"/>
    <s v="JYOTI SUPPLIERS"/>
    <n v="0"/>
    <n v="30"/>
    <n v="10"/>
    <n v="53.35"/>
    <n v="0"/>
    <n v="0"/>
    <n v="0"/>
    <n v="93.35"/>
    <n v="13.335714285714285"/>
    <x v="2"/>
    <x v="23"/>
    <x v="8"/>
    <x v="2"/>
  </r>
  <r>
    <s v="808157170392"/>
    <n v="808157"/>
    <s v="DHAKAR TRADERS &amp; SUPPLIERS"/>
    <n v="170392"/>
    <s v="JYOTI SUPPLIERS"/>
    <n v="28.75"/>
    <n v="57.5"/>
    <n v="120"/>
    <n v="100"/>
    <n v="85"/>
    <n v="30"/>
    <n v="10"/>
    <n v="431.25"/>
    <n v="61.607142857142854"/>
    <x v="3"/>
    <x v="23"/>
    <x v="8"/>
    <x v="2"/>
  </r>
  <r>
    <s v="808181170392"/>
    <n v="808181"/>
    <s v="PATIDAR SUPPLIERS"/>
    <n v="170392"/>
    <s v="JYOTI SUPPLIERS"/>
    <n v="10"/>
    <n v="39"/>
    <n v="10"/>
    <n v="30"/>
    <n v="0"/>
    <n v="0"/>
    <n v="10"/>
    <n v="99"/>
    <n v="14.142857142857142"/>
    <x v="2"/>
    <x v="23"/>
    <x v="8"/>
    <x v="2"/>
  </r>
  <r>
    <s v="808775170392"/>
    <n v="808775"/>
    <s v="MAA CHAMUNDA BUILDING MATERIAL"/>
    <n v="170392"/>
    <s v="JYOTI SUPPLIERS"/>
    <n v="62.75"/>
    <n v="20"/>
    <n v="30"/>
    <n v="40"/>
    <n v="51"/>
    <n v="20"/>
    <n v="0"/>
    <n v="223.75"/>
    <n v="31.964285714285715"/>
    <x v="4"/>
    <x v="23"/>
    <x v="8"/>
    <x v="2"/>
  </r>
  <r>
    <s v="808930170392"/>
    <n v="808930"/>
    <s v="JAGRITI AGENCIES"/>
    <n v="170392"/>
    <s v="JYOTI SUPPLIERS"/>
    <n v="13.25"/>
    <n v="0"/>
    <n v="20"/>
    <n v="0"/>
    <n v="0"/>
    <n v="0"/>
    <n v="0"/>
    <n v="33.25"/>
    <n v="4.75"/>
    <x v="1"/>
    <x v="23"/>
    <x v="8"/>
    <x v="2"/>
  </r>
  <r>
    <s v="809326170392"/>
    <n v="809326"/>
    <s v="SHREE CHARBHUJA  GENERAL STORE"/>
    <n v="170392"/>
    <s v="JYOTI SUPPLIERS"/>
    <n v="30"/>
    <n v="22.5"/>
    <n v="57.5"/>
    <n v="40"/>
    <n v="41"/>
    <n v="0"/>
    <n v="10"/>
    <n v="201"/>
    <n v="28.714285714285715"/>
    <x v="0"/>
    <x v="23"/>
    <x v="8"/>
    <x v="2"/>
  </r>
  <r>
    <s v="809334170392"/>
    <n v="809334"/>
    <s v="CHOUDHARY ENTERPRISES"/>
    <n v="170392"/>
    <s v="JYOTI SUPPLIERS"/>
    <n v="10"/>
    <n v="60"/>
    <n v="50"/>
    <n v="40"/>
    <n v="0"/>
    <n v="0"/>
    <n v="10"/>
    <n v="170"/>
    <n v="24.285714285714285"/>
    <x v="0"/>
    <x v="23"/>
    <x v="8"/>
    <x v="2"/>
  </r>
  <r>
    <s v="812049170392"/>
    <n v="812049"/>
    <s v="UDAY LAL SHARMA"/>
    <n v="170392"/>
    <s v="JYOTI SUPPLIERS"/>
    <n v="165"/>
    <n v="119.5"/>
    <n v="234.1"/>
    <n v="181"/>
    <n v="105.25"/>
    <n v="45"/>
    <n v="15"/>
    <n v="864.85"/>
    <n v="123.55"/>
    <x v="3"/>
    <x v="23"/>
    <x v="8"/>
    <x v="2"/>
  </r>
  <r>
    <s v="812545170392"/>
    <n v="812545"/>
    <s v="RAKESH KUMAWAT"/>
    <n v="170392"/>
    <s v="JYOTI SUPPLIERS"/>
    <n v="10"/>
    <n v="0"/>
    <n v="0"/>
    <n v="0"/>
    <n v="0"/>
    <n v="0"/>
    <n v="0"/>
    <n v="10"/>
    <n v="1.4285714285714286"/>
    <x v="1"/>
    <x v="23"/>
    <x v="8"/>
    <x v="2"/>
  </r>
  <r>
    <s v="812565170392"/>
    <n v="812565"/>
    <s v="PRAKASH CHANDRA SHARMA"/>
    <n v="170392"/>
    <s v="JYOTI SUPPLIERS"/>
    <n v="10"/>
    <n v="20"/>
    <n v="15"/>
    <n v="40"/>
    <n v="20"/>
    <n v="0"/>
    <n v="0"/>
    <n v="105"/>
    <n v="15"/>
    <x v="2"/>
    <x v="23"/>
    <x v="8"/>
    <x v="2"/>
  </r>
  <r>
    <s v="812747170392"/>
    <n v="812747"/>
    <s v="ENGINEERING CHOICE"/>
    <n v="170392"/>
    <s v="JYOTI SUPPLIERS"/>
    <n v="40"/>
    <n v="0"/>
    <n v="0"/>
    <n v="0"/>
    <n v="0"/>
    <n v="0"/>
    <n v="0"/>
    <n v="40"/>
    <n v="5.7142857142857144"/>
    <x v="1"/>
    <x v="23"/>
    <x v="8"/>
    <x v="2"/>
  </r>
  <r>
    <s v="813210170392"/>
    <n v="813210"/>
    <s v="PRABHU LAL SALVI"/>
    <n v="170392"/>
    <s v="JYOTI SUPPLIERS"/>
    <n v="10"/>
    <n v="0"/>
    <n v="0"/>
    <n v="40"/>
    <n v="0"/>
    <n v="0"/>
    <n v="0"/>
    <n v="50"/>
    <n v="7.1428571428571432"/>
    <x v="1"/>
    <x v="23"/>
    <x v="8"/>
    <x v="2"/>
  </r>
  <r>
    <s v="813567170392"/>
    <n v="813567"/>
    <s v="SANGAM BUILDERS"/>
    <n v="170392"/>
    <s v="JYOTI SUPPLIERS"/>
    <n v="113.5"/>
    <n v="51.75"/>
    <n v="79.5"/>
    <n v="120"/>
    <n v="51"/>
    <n v="40"/>
    <n v="10"/>
    <n v="465.75"/>
    <n v="66.535714285714292"/>
    <x v="3"/>
    <x v="23"/>
    <x v="8"/>
    <x v="2"/>
  </r>
  <r>
    <s v="814093170392"/>
    <n v="814093"/>
    <s v="OM PRAKASH AHIR"/>
    <n v="170392"/>
    <s v="JYOTI SUPPLIERS"/>
    <n v="208.6"/>
    <n v="118"/>
    <n v="41.5"/>
    <n v="70"/>
    <n v="115"/>
    <n v="141.75"/>
    <n v="145"/>
    <n v="839.85"/>
    <n v="119.97857142857143"/>
    <x v="3"/>
    <x v="23"/>
    <x v="8"/>
    <x v="2"/>
  </r>
  <r>
    <s v="814755170392"/>
    <n v="814755"/>
    <s v="SHREE HARDA MAHARANI ENTERPRIS"/>
    <n v="170392"/>
    <s v="JYOTI SUPPLIERS"/>
    <n v="50"/>
    <n v="0"/>
    <n v="0"/>
    <n v="0"/>
    <n v="0"/>
    <n v="0"/>
    <n v="0"/>
    <n v="50"/>
    <n v="7.1428571428571432"/>
    <x v="1"/>
    <x v="23"/>
    <x v="8"/>
    <x v="2"/>
  </r>
  <r>
    <s v="814977170392"/>
    <n v="814977"/>
    <s v="DINESH JAT"/>
    <n v="170392"/>
    <s v="JYOTI SUPPLIERS"/>
    <n v="55"/>
    <n v="92.5"/>
    <n v="110"/>
    <n v="69"/>
    <n v="31"/>
    <n v="0"/>
    <n v="0"/>
    <n v="357.5"/>
    <n v="51.071428571428569"/>
    <x v="3"/>
    <x v="23"/>
    <x v="8"/>
    <x v="2"/>
  </r>
  <r>
    <s v="815439170392"/>
    <n v="815439"/>
    <s v="BHAVYA SALES"/>
    <n v="170392"/>
    <s v="JYOTI SUPPLIERS"/>
    <n v="0"/>
    <n v="0"/>
    <n v="0"/>
    <n v="324.5"/>
    <n v="303.5"/>
    <n v="322"/>
    <n v="142.5"/>
    <n v="1092.5"/>
    <n v="156.07142857142858"/>
    <x v="3"/>
    <x v="23"/>
    <x v="8"/>
    <x v="2"/>
  </r>
  <r>
    <s v="805276170606"/>
    <n v="805276"/>
    <s v="CHARBHUJA CONSTRUCTION"/>
    <n v="170606"/>
    <s v="SHREE SANWARIYA CONSTRUCTION"/>
    <n v="10"/>
    <n v="67"/>
    <n v="64"/>
    <n v="45"/>
    <n v="60"/>
    <n v="51"/>
    <n v="35"/>
    <n v="332"/>
    <n v="47.428571428571431"/>
    <x v="5"/>
    <x v="23"/>
    <x v="8"/>
    <x v="2"/>
  </r>
  <r>
    <s v="806337170606"/>
    <n v="806337"/>
    <s v="KRISHNA BEEJ BHANDAR"/>
    <n v="170606"/>
    <s v="SHREE SANWARIYA CONSTRUCTION"/>
    <n v="80"/>
    <n v="67.5"/>
    <n v="27"/>
    <n v="89.5"/>
    <n v="50"/>
    <n v="20"/>
    <n v="43"/>
    <n v="377"/>
    <n v="53.857142857142854"/>
    <x v="3"/>
    <x v="23"/>
    <x v="8"/>
    <x v="2"/>
  </r>
  <r>
    <s v="813532170606"/>
    <n v="813532"/>
    <s v="SHREE KRISHNA ENTERPRISES"/>
    <n v="170606"/>
    <s v="SHREE SANWARIYA CONSTRUCTION"/>
    <n v="67.75"/>
    <n v="48.25"/>
    <n v="35"/>
    <n v="36"/>
    <n v="24.5"/>
    <n v="31.25"/>
    <n v="15"/>
    <n v="257.75"/>
    <n v="36.821428571428569"/>
    <x v="4"/>
    <x v="23"/>
    <x v="8"/>
    <x v="2"/>
  </r>
  <r>
    <s v="803293170846"/>
    <n v="803293"/>
    <s v="BALAJI BUILDING MATERIAL SUPPL"/>
    <n v="170846"/>
    <s v="SANGAM ENTERPRISES"/>
    <n v="10"/>
    <n v="44.5"/>
    <n v="27"/>
    <n v="27"/>
    <n v="50.75"/>
    <n v="33"/>
    <n v="0"/>
    <n v="192.25"/>
    <n v="27.464285714285715"/>
    <x v="0"/>
    <x v="23"/>
    <x v="8"/>
    <x v="2"/>
  </r>
  <r>
    <s v="811036170846"/>
    <n v="811036"/>
    <s v="JAGDISH CHANDAR KUMAWAT"/>
    <n v="170846"/>
    <s v="SANGAM ENTERPRISES"/>
    <n v="0"/>
    <n v="25.75"/>
    <n v="0"/>
    <n v="18.5"/>
    <n v="0"/>
    <n v="20"/>
    <n v="0"/>
    <n v="64.25"/>
    <n v="9.1785714285714288"/>
    <x v="1"/>
    <x v="23"/>
    <x v="8"/>
    <x v="2"/>
  </r>
  <r>
    <s v="812760170846"/>
    <n v="812760"/>
    <s v="KANHIYA LAL TELI"/>
    <n v="170846"/>
    <s v="SANGAM ENTERPRISES"/>
    <n v="60.5"/>
    <n v="32.25"/>
    <n v="31.5"/>
    <n v="17"/>
    <n v="52.25"/>
    <n v="56.25"/>
    <n v="12"/>
    <n v="261.75"/>
    <n v="37.392857142857146"/>
    <x v="4"/>
    <x v="23"/>
    <x v="8"/>
    <x v="2"/>
  </r>
  <r>
    <s v="816328171457"/>
    <n v="816328"/>
    <s v="ABHISHEK TRADERS"/>
    <n v="171457"/>
    <s v="PARAS TRADING COMPANY"/>
    <n v="0"/>
    <n v="0"/>
    <n v="0"/>
    <n v="0"/>
    <n v="0"/>
    <n v="20"/>
    <n v="0"/>
    <n v="20"/>
    <n v="2.8571428571428572"/>
    <x v="1"/>
    <x v="23"/>
    <x v="8"/>
    <x v="2"/>
  </r>
  <r>
    <s v="809333172640"/>
    <n v="809333"/>
    <s v="NEEL KAMAL  CEMENT SUPPLIERS"/>
    <n v="172640"/>
    <s v="KUSHAL TRADERS"/>
    <n v="55"/>
    <n v="123"/>
    <n v="55"/>
    <n v="301.5"/>
    <n v="93.5"/>
    <n v="177.5"/>
    <n v="70"/>
    <n v="875.5"/>
    <n v="125.07142857142857"/>
    <x v="3"/>
    <x v="23"/>
    <x v="8"/>
    <x v="2"/>
  </r>
  <r>
    <s v="810991172640"/>
    <n v="810991"/>
    <s v="SHREE SANWARIYA CONSTRUCTION"/>
    <n v="172640"/>
    <s v="KUSHAL TRADERS"/>
    <n v="0"/>
    <n v="20"/>
    <n v="10"/>
    <n v="17.5"/>
    <n v="42.5"/>
    <n v="10"/>
    <n v="20"/>
    <n v="120"/>
    <n v="17.142857142857142"/>
    <x v="2"/>
    <x v="23"/>
    <x v="8"/>
    <x v="2"/>
  </r>
  <r>
    <s v="811172172640"/>
    <n v="811172"/>
    <s v="SAMAY BUILD TECH"/>
    <n v="172640"/>
    <s v="KUSHAL TRADERS"/>
    <n v="36"/>
    <n v="20"/>
    <n v="118.75"/>
    <n v="149"/>
    <n v="76"/>
    <n v="92"/>
    <n v="55"/>
    <n v="546.75"/>
    <n v="78.107142857142861"/>
    <x v="3"/>
    <x v="23"/>
    <x v="8"/>
    <x v="2"/>
  </r>
  <r>
    <s v="811648172640"/>
    <n v="811648"/>
    <s v="VIKAS JAIN"/>
    <n v="172640"/>
    <s v="KUSHAL TRADERS"/>
    <n v="17"/>
    <n v="10"/>
    <n v="17.5"/>
    <n v="24"/>
    <n v="30"/>
    <n v="15"/>
    <n v="0"/>
    <n v="113.5"/>
    <n v="16.214285714285715"/>
    <x v="2"/>
    <x v="23"/>
    <x v="8"/>
    <x v="2"/>
  </r>
  <r>
    <s v="813124172640"/>
    <n v="813124"/>
    <s v="TEJKARAN AGARWAL"/>
    <n v="172640"/>
    <s v="KUSHAL TRADERS"/>
    <n v="137"/>
    <n v="0"/>
    <n v="0"/>
    <n v="0"/>
    <n v="0"/>
    <n v="10"/>
    <n v="0"/>
    <n v="147"/>
    <n v="21"/>
    <x v="0"/>
    <x v="23"/>
    <x v="8"/>
    <x v="2"/>
  </r>
  <r>
    <s v="813160172640"/>
    <n v="813160"/>
    <s v="SHREE SHYAM TRADERS"/>
    <n v="172640"/>
    <s v="KUSHAL TRADERS"/>
    <n v="0"/>
    <n v="26"/>
    <n v="0"/>
    <n v="35"/>
    <n v="0"/>
    <n v="15"/>
    <n v="0"/>
    <n v="76"/>
    <n v="10.857142857142858"/>
    <x v="2"/>
    <x v="23"/>
    <x v="8"/>
    <x v="2"/>
  </r>
  <r>
    <s v="813433172640"/>
    <n v="813433"/>
    <s v="SHUBHAM KUMAWAT"/>
    <n v="172640"/>
    <s v="KUSHAL TRADERS"/>
    <n v="0"/>
    <n v="18"/>
    <n v="81.25"/>
    <n v="90"/>
    <n v="90"/>
    <n v="25"/>
    <n v="0"/>
    <n v="304.25"/>
    <n v="43.464285714285715"/>
    <x v="5"/>
    <x v="23"/>
    <x v="8"/>
    <x v="2"/>
  </r>
  <r>
    <s v="813725172640"/>
    <n v="813725"/>
    <s v="CHARBHUJA CEMENT SUPPLIERS"/>
    <n v="172640"/>
    <s v="KUSHAL TRADERS"/>
    <n v="130"/>
    <n v="109.75"/>
    <n v="60"/>
    <n v="0"/>
    <n v="65"/>
    <n v="35"/>
    <n v="62.5"/>
    <n v="462.25"/>
    <n v="66.035714285714292"/>
    <x v="3"/>
    <x v="23"/>
    <x v="8"/>
    <x v="2"/>
  </r>
  <r>
    <s v="814186172640"/>
    <n v="814186"/>
    <s v="VISHNU SHARMA"/>
    <n v="172640"/>
    <s v="KUSHAL TRADERS"/>
    <n v="70"/>
    <n v="60"/>
    <n v="20"/>
    <n v="62.5"/>
    <n v="80"/>
    <n v="35"/>
    <n v="20"/>
    <n v="347.5"/>
    <n v="49.642857142857146"/>
    <x v="5"/>
    <x v="23"/>
    <x v="8"/>
    <x v="2"/>
  </r>
  <r>
    <s v="814349172640"/>
    <n v="814349"/>
    <s v="SIDDHARTH VYAS"/>
    <n v="172640"/>
    <s v="KUSHAL TRADERS"/>
    <n v="48"/>
    <n v="60"/>
    <n v="30"/>
    <n v="30"/>
    <n v="80"/>
    <n v="77.5"/>
    <n v="43"/>
    <n v="368.5"/>
    <n v="52.642857142857146"/>
    <x v="3"/>
    <x v="23"/>
    <x v="8"/>
    <x v="2"/>
  </r>
  <r>
    <s v="814845172640"/>
    <n v="814845"/>
    <s v="SHIV KRIPA ENTERPRISES"/>
    <n v="172640"/>
    <s v="KUSHAL TRADERS"/>
    <n v="15"/>
    <n v="151"/>
    <n v="59.5"/>
    <n v="29"/>
    <n v="0"/>
    <n v="10"/>
    <n v="0"/>
    <n v="264.5"/>
    <n v="37.785714285714285"/>
    <x v="4"/>
    <x v="23"/>
    <x v="8"/>
    <x v="2"/>
  </r>
  <r>
    <s v="815441172640"/>
    <n v="815441"/>
    <s v="RONAK PAGARIYA"/>
    <n v="172640"/>
    <s v="KUSHAL TRADERS"/>
    <n v="0"/>
    <n v="0"/>
    <n v="0"/>
    <n v="250"/>
    <n v="135.75"/>
    <n v="173"/>
    <n v="55"/>
    <n v="613.75"/>
    <n v="87.678571428571431"/>
    <x v="3"/>
    <x v="23"/>
    <x v="8"/>
    <x v="2"/>
  </r>
  <r>
    <s v="809327172648"/>
    <n v="809327"/>
    <s v="SHREE SANWARIYA CEMENT AGENCY"/>
    <n v="172648"/>
    <s v="JOGNIYA BUILDERS"/>
    <n v="46.5"/>
    <n v="50"/>
    <n v="74"/>
    <n v="45"/>
    <n v="70"/>
    <n v="17"/>
    <n v="5"/>
    <n v="307.5"/>
    <n v="43.928571428571431"/>
    <x v="5"/>
    <x v="23"/>
    <x v="8"/>
    <x v="2"/>
  </r>
  <r>
    <s v="811682174631"/>
    <n v="811682"/>
    <s v="KAJOD"/>
    <n v="174631"/>
    <s v="OM TRADERS"/>
    <n v="88.5"/>
    <n v="136"/>
    <n v="144"/>
    <n v="87.75"/>
    <n v="51"/>
    <n v="68.5"/>
    <n v="36.25"/>
    <n v="612"/>
    <n v="87.428571428571431"/>
    <x v="3"/>
    <x v="23"/>
    <x v="8"/>
    <x v="2"/>
  </r>
  <r>
    <s v="811863174631"/>
    <n v="811863"/>
    <s v="MUKESH KUMAR"/>
    <n v="174631"/>
    <s v="OM TRADERS"/>
    <n v="124.5"/>
    <n v="161.5"/>
    <n v="121.4"/>
    <n v="112.25"/>
    <n v="133"/>
    <n v="66"/>
    <n v="30"/>
    <n v="748.65"/>
    <n v="106.95"/>
    <x v="3"/>
    <x v="23"/>
    <x v="8"/>
    <x v="2"/>
  </r>
  <r>
    <s v="813324174631"/>
    <n v="813324"/>
    <s v="SHREE SHIV STONE SUPPLIERS"/>
    <n v="174631"/>
    <s v="OM TRADERS"/>
    <n v="94.5"/>
    <n v="27.5"/>
    <n v="19.5"/>
    <n v="19.5"/>
    <n v="62.5"/>
    <n v="3"/>
    <n v="2"/>
    <n v="228.5"/>
    <n v="32.642857142857146"/>
    <x v="4"/>
    <x v="23"/>
    <x v="8"/>
    <x v="2"/>
  </r>
  <r>
    <s v="815184174631"/>
    <n v="815184"/>
    <s v="RAJESH DHAKAD"/>
    <n v="174631"/>
    <s v="OM TRADERS"/>
    <n v="0"/>
    <n v="0"/>
    <n v="46.5"/>
    <n v="66.75"/>
    <n v="30"/>
    <n v="10"/>
    <n v="0"/>
    <n v="153.25"/>
    <n v="21.892857142857142"/>
    <x v="0"/>
    <x v="23"/>
    <x v="8"/>
    <x v="2"/>
  </r>
  <r>
    <s v="815482174631"/>
    <n v="815482"/>
    <s v="PRAKASH CHANDRA DHAKER"/>
    <n v="174631"/>
    <s v="OM TRADERS"/>
    <n v="0"/>
    <n v="0"/>
    <n v="0"/>
    <n v="91"/>
    <n v="134.5"/>
    <n v="59.5"/>
    <n v="46.5"/>
    <n v="331.5"/>
    <n v="47.357142857142854"/>
    <x v="5"/>
    <x v="23"/>
    <x v="8"/>
    <x v="2"/>
  </r>
  <r>
    <s v="813453175312"/>
    <n v="813453"/>
    <s v="NAHAR CEMENT SUPPLIERS"/>
    <n v="175312"/>
    <s v="MOSAM TRADERS"/>
    <n v="36"/>
    <n v="0"/>
    <n v="0"/>
    <n v="0"/>
    <n v="0"/>
    <n v="0"/>
    <n v="0"/>
    <n v="36"/>
    <n v="5.1428571428571432"/>
    <x v="1"/>
    <x v="23"/>
    <x v="8"/>
    <x v="2"/>
  </r>
  <r>
    <s v="807595177093"/>
    <n v="807595"/>
    <s v="BHAGWATI  LAL JAT"/>
    <n v="177093"/>
    <s v="CHOUDHARY TRADERS"/>
    <n v="44.5"/>
    <n v="48"/>
    <n v="62.75"/>
    <n v="67"/>
    <n v="104.5"/>
    <n v="82"/>
    <n v="25"/>
    <n v="433.75"/>
    <n v="61.964285714285715"/>
    <x v="3"/>
    <x v="23"/>
    <x v="8"/>
    <x v="2"/>
  </r>
  <r>
    <s v="808120177093"/>
    <n v="808120"/>
    <s v="SHREE VISHAL CONSTRUCTION"/>
    <n v="177093"/>
    <s v="CHOUDHARY TRADERS"/>
    <n v="10"/>
    <n v="57"/>
    <n v="28.5"/>
    <n v="51.25"/>
    <n v="44.5"/>
    <n v="30"/>
    <n v="40"/>
    <n v="261.25"/>
    <n v="37.321428571428569"/>
    <x v="4"/>
    <x v="23"/>
    <x v="8"/>
    <x v="2"/>
  </r>
  <r>
    <s v="808121177093"/>
    <n v="808121"/>
    <s v="YASHWANT TRADING COMPANY"/>
    <n v="177093"/>
    <s v="CHOUDHARY TRADERS"/>
    <n v="19"/>
    <n v="18.75"/>
    <n v="39.75"/>
    <n v="30"/>
    <n v="5"/>
    <n v="7"/>
    <n v="0"/>
    <n v="119.5"/>
    <n v="17.071428571428573"/>
    <x v="2"/>
    <x v="23"/>
    <x v="8"/>
    <x v="2"/>
  </r>
  <r>
    <s v="809332177093"/>
    <n v="809332"/>
    <s v="MEHTA TRADERS"/>
    <n v="177093"/>
    <s v="CHOUDHARY TRADERS"/>
    <n v="84.75"/>
    <n v="20.25"/>
    <n v="30"/>
    <n v="60"/>
    <n v="90.5"/>
    <n v="68.75"/>
    <n v="10"/>
    <n v="364.25"/>
    <n v="52.035714285714285"/>
    <x v="3"/>
    <x v="23"/>
    <x v="8"/>
    <x v="2"/>
  </r>
  <r>
    <s v="814458177093"/>
    <n v="814458"/>
    <s v="KRISHNA BUILDERS"/>
    <n v="177093"/>
    <s v="CHOUDHARY TRADERS"/>
    <n v="0"/>
    <n v="18.75"/>
    <n v="20"/>
    <n v="7.5"/>
    <n v="0"/>
    <n v="0"/>
    <n v="0"/>
    <n v="46.25"/>
    <n v="6.6071428571428568"/>
    <x v="1"/>
    <x v="23"/>
    <x v="8"/>
    <x v="2"/>
  </r>
  <r>
    <s v="814862177093"/>
    <n v="814862"/>
    <s v="CHAUHAN TRADERS"/>
    <n v="177093"/>
    <s v="CHOUDHARY TRADERS"/>
    <n v="13"/>
    <n v="20.5"/>
    <n v="24.5"/>
    <n v="6"/>
    <n v="0"/>
    <n v="0"/>
    <n v="0"/>
    <n v="64"/>
    <n v="9.1428571428571423"/>
    <x v="1"/>
    <x v="23"/>
    <x v="8"/>
    <x v="2"/>
  </r>
  <r>
    <s v="811173177290"/>
    <n v="811173"/>
    <s v="PREM RAJ SUTHAR"/>
    <n v="177290"/>
    <s v="SHREE CHARBHUJA BUILDING MATER"/>
    <n v="14"/>
    <n v="30"/>
    <n v="30"/>
    <n v="13"/>
    <n v="1"/>
    <n v="20"/>
    <n v="0"/>
    <n v="108"/>
    <n v="15.428571428571429"/>
    <x v="2"/>
    <x v="23"/>
    <x v="8"/>
    <x v="2"/>
  </r>
  <r>
    <s v="812545177727"/>
    <n v="812545"/>
    <s v="RAKESH KUMAWAT"/>
    <n v="177727"/>
    <s v="SIDDHI ENTERPRISES"/>
    <n v="43"/>
    <n v="40"/>
    <n v="10"/>
    <n v="80"/>
    <n v="121"/>
    <n v="76.5"/>
    <n v="51.5"/>
    <n v="422"/>
    <n v="60.285714285714285"/>
    <x v="3"/>
    <x v="23"/>
    <x v="8"/>
    <x v="2"/>
  </r>
  <r>
    <s v="810128178003"/>
    <n v="810128"/>
    <s v="PRABHU LAL MALI"/>
    <n v="178003"/>
    <s v="SHREE JI BUILDING MATERIAL SUP"/>
    <n v="50"/>
    <n v="0"/>
    <n v="0"/>
    <n v="14"/>
    <n v="10"/>
    <n v="20"/>
    <n v="10"/>
    <n v="104"/>
    <n v="14.857142857142858"/>
    <x v="2"/>
    <x v="23"/>
    <x v="8"/>
    <x v="2"/>
  </r>
  <r>
    <s v="810129178003"/>
    <n v="810129"/>
    <s v="MADHAV LAL MENARIYA"/>
    <n v="178003"/>
    <s v="SHREE JI BUILDING MATERIAL SUP"/>
    <n v="27.5"/>
    <n v="10"/>
    <n v="0"/>
    <n v="20"/>
    <n v="10"/>
    <n v="10"/>
    <n v="16"/>
    <n v="93.5"/>
    <n v="13.357142857142858"/>
    <x v="2"/>
    <x v="23"/>
    <x v="8"/>
    <x v="2"/>
  </r>
  <r>
    <s v="810130178003"/>
    <n v="810130"/>
    <s v="SHREE SANWALIYA CONSTRUCTION"/>
    <n v="178003"/>
    <s v="SHREE JI BUILDING MATERIAL SUP"/>
    <n v="0"/>
    <n v="30"/>
    <n v="0"/>
    <n v="60"/>
    <n v="0"/>
    <n v="5"/>
    <n v="9"/>
    <n v="104"/>
    <n v="14.857142857142858"/>
    <x v="2"/>
    <x v="23"/>
    <x v="8"/>
    <x v="2"/>
  </r>
  <r>
    <s v="811663178003"/>
    <n v="811663"/>
    <s v="POOJA BEEJ BHANDAR"/>
    <n v="178003"/>
    <s v="SHREE JI BUILDING MATERIAL SUP"/>
    <n v="0"/>
    <n v="10"/>
    <n v="10"/>
    <n v="20"/>
    <n v="0"/>
    <n v="10"/>
    <n v="0"/>
    <n v="50"/>
    <n v="7.1428571428571432"/>
    <x v="1"/>
    <x v="23"/>
    <x v="8"/>
    <x v="2"/>
  </r>
  <r>
    <s v="813368178003"/>
    <n v="813368"/>
    <s v="SHREE SANWALIYA BUILDING MATER"/>
    <n v="178003"/>
    <s v="SHREE JI BUILDING MATERIAL SUP"/>
    <n v="61.5"/>
    <n v="35"/>
    <n v="0"/>
    <n v="20"/>
    <n v="50"/>
    <n v="39.5"/>
    <n v="21"/>
    <n v="227"/>
    <n v="32.428571428571431"/>
    <x v="4"/>
    <x v="23"/>
    <x v="8"/>
    <x v="2"/>
  </r>
  <r>
    <s v="814679178003"/>
    <n v="814679"/>
    <s v="RUPLAL JAT"/>
    <n v="178003"/>
    <s v="SHREE JI BUILDING MATERIAL SUP"/>
    <n v="93.5"/>
    <n v="166"/>
    <n v="127.75"/>
    <n v="107.75"/>
    <n v="156.5"/>
    <n v="21.75"/>
    <n v="75"/>
    <n v="748.25"/>
    <n v="106.89285714285714"/>
    <x v="3"/>
    <x v="23"/>
    <x v="8"/>
    <x v="2"/>
  </r>
  <r>
    <s v="815987178003"/>
    <n v="815987"/>
    <s v="SOHAN LAL TELI"/>
    <n v="178003"/>
    <s v="SHREE JI BUILDING MATERIAL SUP"/>
    <n v="0"/>
    <n v="0"/>
    <n v="0"/>
    <n v="0"/>
    <n v="10"/>
    <n v="37"/>
    <n v="25.5"/>
    <n v="72.5"/>
    <n v="10.357142857142858"/>
    <x v="2"/>
    <x v="23"/>
    <x v="8"/>
    <x v="2"/>
  </r>
  <r>
    <s v="811864178062"/>
    <n v="811864"/>
    <s v="KANHAIYA LAL KUMAWAT"/>
    <n v="178062"/>
    <s v="SHRI SATYAM BUILDERS"/>
    <n v="55.5"/>
    <n v="27.5"/>
    <n v="52"/>
    <n v="23"/>
    <n v="39.5"/>
    <n v="30"/>
    <n v="15"/>
    <n v="242.5"/>
    <n v="34.642857142857146"/>
    <x v="4"/>
    <x v="23"/>
    <x v="8"/>
    <x v="2"/>
  </r>
  <r>
    <s v="815547178062"/>
    <n v="815547"/>
    <s v="RADHESHYAM KUMAWAT"/>
    <n v="178062"/>
    <s v="SHRI SATYAM BUILDERS"/>
    <n v="0"/>
    <n v="0"/>
    <n v="0"/>
    <n v="0"/>
    <n v="77"/>
    <n v="26"/>
    <n v="7"/>
    <n v="110"/>
    <n v="15.714285714285714"/>
    <x v="2"/>
    <x v="23"/>
    <x v="8"/>
    <x v="2"/>
  </r>
  <r>
    <s v="812344202635"/>
    <n v="812344"/>
    <s v="SUNIL TELI"/>
    <n v="202635"/>
    <s v="KALIKA BUILDING MATERIAL SUPPL"/>
    <n v="0"/>
    <n v="0"/>
    <n v="0"/>
    <n v="28.5"/>
    <n v="20"/>
    <n v="0"/>
    <n v="6"/>
    <n v="54.5"/>
    <n v="7.7857142857142856"/>
    <x v="1"/>
    <x v="23"/>
    <x v="8"/>
    <x v="2"/>
  </r>
  <r>
    <s v="808145203484"/>
    <n v="808145"/>
    <s v="MOHAN LAL AHIR"/>
    <n v="203484"/>
    <s v="SHREE AMBESH BUILDING MATERIAL"/>
    <n v="40"/>
    <n v="15"/>
    <n v="0"/>
    <n v="0"/>
    <n v="0"/>
    <n v="0"/>
    <n v="0"/>
    <n v="55"/>
    <n v="7.8571428571428568"/>
    <x v="1"/>
    <x v="23"/>
    <x v="8"/>
    <x v="2"/>
  </r>
  <r>
    <s v="815820203484"/>
    <n v="815820"/>
    <s v="SHREE BHERUNATH CEMENT SUPPLIE"/>
    <n v="203484"/>
    <s v="SHREE AMBESH BUILDING MATERIAL"/>
    <n v="0"/>
    <n v="0"/>
    <n v="0"/>
    <n v="0"/>
    <n v="50.5"/>
    <n v="30"/>
    <n v="2.5"/>
    <n v="83"/>
    <n v="11.857142857142858"/>
    <x v="2"/>
    <x v="23"/>
    <x v="8"/>
    <x v="2"/>
  </r>
  <r>
    <s v="812545204375"/>
    <n v="812545"/>
    <s v="RAKESH KUMAWAT"/>
    <n v="204375"/>
    <s v="JAI MATESHWARI CONSTRUCTION"/>
    <n v="0"/>
    <n v="4"/>
    <n v="0"/>
    <n v="0"/>
    <n v="0"/>
    <n v="0"/>
    <n v="0"/>
    <n v="4"/>
    <n v="0.5714285714285714"/>
    <x v="1"/>
    <x v="23"/>
    <x v="8"/>
    <x v="2"/>
  </r>
  <r>
    <s v="806100205370"/>
    <n v="806100"/>
    <s v="SOLANKI FERTILIZERS"/>
    <n v="205370"/>
    <s v="KANTHALIYA ENTERPRISES"/>
    <n v="30"/>
    <n v="8.5"/>
    <n v="30"/>
    <n v="25"/>
    <n v="20"/>
    <n v="10"/>
    <n v="20"/>
    <n v="143.5"/>
    <n v="20.5"/>
    <x v="0"/>
    <x v="23"/>
    <x v="8"/>
    <x v="2"/>
  </r>
  <r>
    <s v="809315205370"/>
    <n v="809315"/>
    <s v="SHREE GOPAL KRISHNA DAIRY FARM"/>
    <n v="205370"/>
    <s v="KANTHALIYA ENTERPRISES"/>
    <n v="71.5"/>
    <n v="68"/>
    <n v="7.5"/>
    <n v="50"/>
    <n v="62"/>
    <n v="30"/>
    <n v="5"/>
    <n v="294"/>
    <n v="42"/>
    <x v="5"/>
    <x v="23"/>
    <x v="8"/>
    <x v="2"/>
  </r>
  <r>
    <s v="809325205370"/>
    <n v="809325"/>
    <s v="DILIP KUMAR PARAS MAL"/>
    <n v="205370"/>
    <s v="KANTHALIYA ENTERPRISES"/>
    <n v="35.5"/>
    <n v="34"/>
    <n v="10"/>
    <n v="43"/>
    <n v="20"/>
    <n v="10"/>
    <n v="5"/>
    <n v="157.5"/>
    <n v="22.5"/>
    <x v="0"/>
    <x v="23"/>
    <x v="8"/>
    <x v="2"/>
  </r>
  <r>
    <s v="811672205370"/>
    <n v="811672"/>
    <s v="BHERAV TRADERS"/>
    <n v="205370"/>
    <s v="KANTHALIYA ENTERPRISES"/>
    <n v="97"/>
    <n v="115.5"/>
    <n v="88"/>
    <n v="98.25"/>
    <n v="134"/>
    <n v="40"/>
    <n v="19"/>
    <n v="591.75"/>
    <n v="84.535714285714292"/>
    <x v="3"/>
    <x v="23"/>
    <x v="8"/>
    <x v="2"/>
  </r>
  <r>
    <s v="812630205370"/>
    <n v="812630"/>
    <s v="BHAGWATI LAL MENARIYA"/>
    <n v="205370"/>
    <s v="KANTHALIYA ENTERPRISES"/>
    <n v="63"/>
    <n v="60"/>
    <n v="16.5"/>
    <n v="20"/>
    <n v="51"/>
    <n v="14"/>
    <n v="5"/>
    <n v="229.5"/>
    <n v="32.785714285714285"/>
    <x v="4"/>
    <x v="23"/>
    <x v="8"/>
    <x v="2"/>
  </r>
  <r>
    <s v="813228205370"/>
    <n v="813228"/>
    <s v="PARAS RAM DHAKAR"/>
    <n v="205370"/>
    <s v="KANTHALIYA ENTERPRISES"/>
    <n v="68.5"/>
    <n v="80"/>
    <n v="50"/>
    <n v="137"/>
    <n v="51"/>
    <n v="10"/>
    <n v="10"/>
    <n v="406.5"/>
    <n v="58.071428571428569"/>
    <x v="3"/>
    <x v="23"/>
    <x v="8"/>
    <x v="2"/>
  </r>
  <r>
    <s v="813291205370"/>
    <n v="813291"/>
    <s v="NAKSHTRAMAL MEGHWAL"/>
    <n v="205370"/>
    <s v="KANTHALIYA ENTERPRISES"/>
    <n v="34"/>
    <n v="36"/>
    <n v="40"/>
    <n v="10"/>
    <n v="21"/>
    <n v="10"/>
    <n v="0"/>
    <n v="151"/>
    <n v="21.571428571428573"/>
    <x v="0"/>
    <x v="23"/>
    <x v="8"/>
    <x v="2"/>
  </r>
  <r>
    <s v="813312205370"/>
    <n v="813312"/>
    <s v="SHREE RAM KHAD BIJ BHANDAR"/>
    <n v="205370"/>
    <s v="KANTHALIYA ENTERPRISES"/>
    <n v="0"/>
    <n v="29.5"/>
    <n v="0"/>
    <n v="10"/>
    <n v="51"/>
    <n v="20"/>
    <n v="0"/>
    <n v="110.5"/>
    <n v="15.785714285714286"/>
    <x v="2"/>
    <x v="23"/>
    <x v="8"/>
    <x v="2"/>
  </r>
  <r>
    <s v="810132207643"/>
    <n v="810132"/>
    <s v="SHREE SANWALIYA TRADERS"/>
    <n v="207643"/>
    <s v="SHREE SANWALIYA TRADERS"/>
    <n v="10"/>
    <n v="0"/>
    <n v="0"/>
    <n v="0"/>
    <n v="0"/>
    <n v="0"/>
    <n v="0"/>
    <n v="10"/>
    <n v="1.4285714285714286"/>
    <x v="1"/>
    <x v="23"/>
    <x v="8"/>
    <x v="2"/>
  </r>
  <r>
    <s v="811034207643"/>
    <n v="811034"/>
    <s v="AJAY KUMAR SALVI"/>
    <n v="207643"/>
    <s v="SHREE SANWALIYA TRADERS"/>
    <n v="0"/>
    <n v="0"/>
    <n v="40"/>
    <n v="0"/>
    <n v="0"/>
    <n v="5"/>
    <n v="0"/>
    <n v="45"/>
    <n v="6.4285714285714288"/>
    <x v="1"/>
    <x v="23"/>
    <x v="8"/>
    <x v="2"/>
  </r>
  <r>
    <s v="811782207643"/>
    <n v="811782"/>
    <s v="PRADEEP DHAKER"/>
    <n v="207643"/>
    <s v="SHREE SANWALIYA TRADERS"/>
    <n v="0"/>
    <n v="0"/>
    <n v="10"/>
    <n v="0"/>
    <n v="0"/>
    <n v="0"/>
    <n v="0"/>
    <n v="10"/>
    <n v="1.4285714285714286"/>
    <x v="1"/>
    <x v="23"/>
    <x v="8"/>
    <x v="2"/>
  </r>
  <r>
    <s v="813364207643"/>
    <n v="813364"/>
    <s v="MUKESH"/>
    <n v="207643"/>
    <s v="SHREE SANWALIYA TRADERS"/>
    <n v="16.5"/>
    <n v="25"/>
    <n v="0"/>
    <n v="53.4"/>
    <n v="0"/>
    <n v="7"/>
    <n v="0"/>
    <n v="101.9"/>
    <n v="14.557142857142859"/>
    <x v="2"/>
    <x v="23"/>
    <x v="8"/>
    <x v="2"/>
  </r>
  <r>
    <s v="814214207643"/>
    <n v="814214"/>
    <s v="SHRI SAI ENTERPRISES"/>
    <n v="207643"/>
    <s v="SHREE SANWALIYA TRADERS"/>
    <n v="20"/>
    <n v="35"/>
    <n v="72.55"/>
    <n v="88.2"/>
    <n v="10"/>
    <n v="24"/>
    <n v="10"/>
    <n v="259.75"/>
    <n v="37.107142857142854"/>
    <x v="4"/>
    <x v="23"/>
    <x v="8"/>
    <x v="2"/>
  </r>
  <r>
    <s v="815021207643"/>
    <n v="815021"/>
    <s v="SHREE DEV CEMENT AGENCY"/>
    <n v="207643"/>
    <s v="SHREE SANWALIYA TRADERS"/>
    <n v="0"/>
    <n v="20"/>
    <n v="15"/>
    <n v="35"/>
    <n v="0"/>
    <n v="5.5"/>
    <n v="0"/>
    <n v="75.5"/>
    <n v="10.785714285714286"/>
    <x v="2"/>
    <x v="23"/>
    <x v="8"/>
    <x v="2"/>
  </r>
  <r>
    <s v="815451207643"/>
    <n v="815451"/>
    <s v="HIMANSHI ENTERPRISES"/>
    <n v="207643"/>
    <s v="SHREE SANWALIYA TRADERS"/>
    <n v="0"/>
    <n v="0"/>
    <n v="0"/>
    <n v="80.95"/>
    <n v="35"/>
    <n v="30"/>
    <n v="0"/>
    <n v="145.94999999999999"/>
    <n v="20.849999999999998"/>
    <x v="0"/>
    <x v="23"/>
    <x v="8"/>
    <x v="2"/>
  </r>
  <r>
    <s v="815480207643"/>
    <n v="815480"/>
    <s v="MAA KALIKA CONSTRUCTION"/>
    <n v="207643"/>
    <s v="SHREE SANWALIYA TRADERS"/>
    <n v="0"/>
    <n v="0"/>
    <n v="0"/>
    <n v="86.5"/>
    <n v="52"/>
    <n v="30"/>
    <n v="25"/>
    <n v="193.5"/>
    <n v="27.642857142857142"/>
    <x v="0"/>
    <x v="23"/>
    <x v="8"/>
    <x v="2"/>
  </r>
  <r>
    <s v="815821207643"/>
    <n v="815821"/>
    <s v="SHYAM LAL LODHA"/>
    <n v="207643"/>
    <s v="SHREE SANWALIYA TRADERS"/>
    <n v="0"/>
    <n v="0"/>
    <n v="0"/>
    <n v="0"/>
    <n v="0"/>
    <n v="18"/>
    <n v="10"/>
    <n v="28"/>
    <n v="4"/>
    <x v="1"/>
    <x v="23"/>
    <x v="8"/>
    <x v="2"/>
  </r>
  <r>
    <s v="816388208028"/>
    <n v="816388"/>
    <s v="VINAYAK ENTERPRISES"/>
    <n v="208028"/>
    <s v="LAXKAR ENTERPRISES"/>
    <n v="0"/>
    <n v="0"/>
    <n v="0"/>
    <n v="0"/>
    <n v="0"/>
    <n v="37"/>
    <n v="16"/>
    <n v="53"/>
    <n v="7.5714285714285712"/>
    <x v="1"/>
    <x v="23"/>
    <x v="8"/>
    <x v="2"/>
  </r>
  <r>
    <s v="813491208032"/>
    <n v="813491"/>
    <s v="AKASH SOMANI"/>
    <n v="208032"/>
    <s v="AKASH MACHINERY MART"/>
    <n v="0"/>
    <n v="5"/>
    <n v="83.25"/>
    <n v="14.5"/>
    <n v="97.25"/>
    <n v="71.5"/>
    <n v="24.5"/>
    <n v="296"/>
    <n v="42.285714285714285"/>
    <x v="5"/>
    <x v="23"/>
    <x v="8"/>
    <x v="2"/>
  </r>
  <r>
    <s v="815633208508"/>
    <n v="815633"/>
    <s v="HARISH BAHRANI"/>
    <n v="208508"/>
    <s v="HIND ENTERPRISES"/>
    <n v="0"/>
    <n v="0"/>
    <n v="0"/>
    <n v="0"/>
    <n v="115.75"/>
    <n v="183.25"/>
    <n v="126"/>
    <n v="425"/>
    <n v="60.714285714285715"/>
    <x v="3"/>
    <x v="23"/>
    <x v="8"/>
    <x v="2"/>
  </r>
  <r>
    <s v="810131178836"/>
    <n v="810131"/>
    <s v="SHREE VISHWAKARMA TRADING"/>
    <n v="178836"/>
    <s v="JAI SHAKTI STONE CUTTING &amp; SUP"/>
    <n v="0"/>
    <n v="0"/>
    <n v="0"/>
    <n v="0"/>
    <n v="0"/>
    <n v="1"/>
    <n v="2"/>
    <n v="3"/>
    <n v="0.42857142857142855"/>
    <x v="1"/>
    <x v="23"/>
    <x v="8"/>
    <x v="2"/>
  </r>
  <r>
    <s v="812747208032"/>
    <n v="812747"/>
    <s v="ENGINEERING CHOICE"/>
    <n v="208032"/>
    <s v="AKASH MACHINERY MART"/>
    <n v="0"/>
    <n v="0"/>
    <n v="0"/>
    <n v="0"/>
    <n v="0"/>
    <n v="0"/>
    <n v="26.2"/>
    <n v="26.2"/>
    <n v="3.7428571428571429"/>
    <x v="1"/>
    <x v="23"/>
    <x v="8"/>
    <x v="2"/>
  </r>
  <r>
    <s v="814862208032"/>
    <n v="814862"/>
    <s v="CHAUHAN TRADERS"/>
    <n v="208032"/>
    <s v="AKASH MACHINERY MART"/>
    <n v="0"/>
    <n v="0"/>
    <n v="0"/>
    <n v="0"/>
    <n v="0"/>
    <n v="0"/>
    <n v="17"/>
    <n v="17"/>
    <n v="2.4285714285714284"/>
    <x v="1"/>
    <x v="23"/>
    <x v="8"/>
    <x v="2"/>
  </r>
  <r>
    <s v="813938140847"/>
    <n v="813938"/>
    <s v="RAMESH NATH JOGI"/>
    <n v="140847"/>
    <s v="AMIT AGENCY"/>
    <n v="45"/>
    <n v="75"/>
    <n v="60"/>
    <n v="40"/>
    <n v="30.5"/>
    <n v="35"/>
    <n v="25"/>
    <n v="310.5"/>
    <n v="44.357142857142854"/>
    <x v="5"/>
    <x v="24"/>
    <x v="8"/>
    <x v="2"/>
  </r>
  <r>
    <s v="807726140850"/>
    <n v="807726"/>
    <s v="RATAN LAL MEENA"/>
    <n v="140850"/>
    <s v="MAHAVEER SANITARY &amp; CEMENT AGE"/>
    <n v="0"/>
    <n v="20"/>
    <n v="30"/>
    <n v="20"/>
    <n v="25"/>
    <n v="10"/>
    <n v="10"/>
    <n v="115"/>
    <n v="16.428571428571427"/>
    <x v="2"/>
    <x v="24"/>
    <x v="8"/>
    <x v="2"/>
  </r>
  <r>
    <s v="808227140850"/>
    <n v="808227"/>
    <s v="DHARMENDRA KALAL"/>
    <n v="140850"/>
    <s v="MAHAVEER SANITARY &amp; CEMENT AGE"/>
    <n v="33"/>
    <n v="60"/>
    <n v="55"/>
    <n v="60"/>
    <n v="54.4"/>
    <n v="61"/>
    <n v="10"/>
    <n v="333.4"/>
    <n v="47.628571428571426"/>
    <x v="5"/>
    <x v="24"/>
    <x v="8"/>
    <x v="2"/>
  </r>
  <r>
    <s v="810908140850"/>
    <n v="810908"/>
    <s v="TEJ PAL"/>
    <n v="140850"/>
    <s v="MAHAVEER SANITARY &amp; CEMENT AGE"/>
    <n v="20"/>
    <n v="20"/>
    <n v="65"/>
    <n v="40"/>
    <n v="40"/>
    <n v="35"/>
    <n v="0"/>
    <n v="220"/>
    <n v="31.428571428571427"/>
    <x v="4"/>
    <x v="24"/>
    <x v="8"/>
    <x v="2"/>
  </r>
  <r>
    <s v="814038140850"/>
    <n v="814038"/>
    <s v="BADAMI LAL BHANWARA"/>
    <n v="140850"/>
    <s v="MAHAVEER SANITARY &amp; CEMENT AGE"/>
    <n v="45"/>
    <n v="30"/>
    <n v="60"/>
    <n v="40"/>
    <n v="58"/>
    <n v="57.5"/>
    <n v="45"/>
    <n v="335.5"/>
    <n v="47.928571428571431"/>
    <x v="5"/>
    <x v="24"/>
    <x v="8"/>
    <x v="2"/>
  </r>
  <r>
    <s v="815863140850"/>
    <n v="815863"/>
    <s v="RAJMAL MEENA"/>
    <n v="140850"/>
    <s v="MAHAVEER SANITARY &amp; CEMENT AGE"/>
    <n v="0"/>
    <n v="0"/>
    <n v="0"/>
    <n v="0"/>
    <n v="65"/>
    <n v="35"/>
    <n v="10"/>
    <n v="110"/>
    <n v="15.714285714285714"/>
    <x v="2"/>
    <x v="24"/>
    <x v="8"/>
    <x v="2"/>
  </r>
  <r>
    <s v="808570173310"/>
    <n v="808570"/>
    <s v="SHANTI LAL PRAJAPAT"/>
    <n v="173310"/>
    <s v="NAGORA  &amp; COMPANY"/>
    <n v="30"/>
    <n v="30"/>
    <n v="20"/>
    <n v="30"/>
    <n v="31"/>
    <n v="23.75"/>
    <n v="0"/>
    <n v="164.75"/>
    <n v="23.535714285714285"/>
    <x v="0"/>
    <x v="24"/>
    <x v="8"/>
    <x v="2"/>
  </r>
  <r>
    <s v="808613173310"/>
    <n v="808613"/>
    <s v="NARENDRA SHARMA"/>
    <n v="173310"/>
    <s v="NAGORA  &amp; COMPANY"/>
    <n v="20"/>
    <n v="4"/>
    <n v="20"/>
    <n v="10"/>
    <n v="0"/>
    <n v="0"/>
    <n v="10"/>
    <n v="64"/>
    <n v="9.1428571428571423"/>
    <x v="1"/>
    <x v="24"/>
    <x v="8"/>
    <x v="2"/>
  </r>
  <r>
    <s v="808958173310"/>
    <n v="808958"/>
    <s v="BALU RAM MEENA"/>
    <n v="173310"/>
    <s v="NAGORA  &amp; COMPANY"/>
    <n v="20"/>
    <n v="20"/>
    <n v="41"/>
    <n v="50"/>
    <n v="30"/>
    <n v="10"/>
    <n v="0"/>
    <n v="171"/>
    <n v="24.428571428571427"/>
    <x v="0"/>
    <x v="24"/>
    <x v="8"/>
    <x v="2"/>
  </r>
  <r>
    <s v="811138173310"/>
    <n v="811138"/>
    <s v="NILESH JAIN"/>
    <n v="173310"/>
    <s v="NAGORA  &amp; COMPANY"/>
    <n v="50"/>
    <n v="49.5"/>
    <n v="101"/>
    <n v="77"/>
    <n v="60.5"/>
    <n v="50.75"/>
    <n v="55.5"/>
    <n v="444.25"/>
    <n v="63.464285714285715"/>
    <x v="3"/>
    <x v="24"/>
    <x v="8"/>
    <x v="2"/>
  </r>
  <r>
    <s v="813148173310"/>
    <n v="813148"/>
    <s v="NARAYAN LAL"/>
    <n v="173310"/>
    <s v="NAGORA  &amp; COMPANY"/>
    <n v="60"/>
    <n v="15"/>
    <n v="58.75"/>
    <n v="54.7"/>
    <n v="52"/>
    <n v="22"/>
    <n v="20"/>
    <n v="282.45"/>
    <n v="40.35"/>
    <x v="5"/>
    <x v="24"/>
    <x v="8"/>
    <x v="2"/>
  </r>
  <r>
    <s v="813568173310"/>
    <n v="813568"/>
    <s v="HANSMUKH DOSI"/>
    <n v="173310"/>
    <s v="NAGORA  &amp; COMPANY"/>
    <n v="37"/>
    <n v="35"/>
    <n v="65"/>
    <n v="0"/>
    <n v="0"/>
    <n v="0"/>
    <n v="0"/>
    <n v="137"/>
    <n v="19.571428571428573"/>
    <x v="2"/>
    <x v="24"/>
    <x v="8"/>
    <x v="2"/>
  </r>
  <r>
    <s v="808186173528"/>
    <n v="808186"/>
    <s v="RADHESHYAM DHAKAR"/>
    <n v="173528"/>
    <s v="DHAKER TRADERS &amp; SUPPLIERS"/>
    <n v="39.5"/>
    <n v="5"/>
    <n v="0"/>
    <n v="10"/>
    <n v="10"/>
    <n v="0"/>
    <n v="20"/>
    <n v="84.5"/>
    <n v="12.071428571428571"/>
    <x v="2"/>
    <x v="24"/>
    <x v="8"/>
    <x v="2"/>
  </r>
  <r>
    <s v="809550173528"/>
    <n v="809550"/>
    <s v="MAHESH BUILDERS"/>
    <n v="173528"/>
    <s v="DHAKER TRADERS &amp; SUPPLIERS"/>
    <n v="65"/>
    <n v="20"/>
    <n v="0"/>
    <n v="52"/>
    <n v="67.5"/>
    <n v="43"/>
    <n v="32.5"/>
    <n v="280"/>
    <n v="40"/>
    <x v="5"/>
    <x v="24"/>
    <x v="8"/>
    <x v="2"/>
  </r>
  <r>
    <s v="806668177631"/>
    <n v="806668"/>
    <s v="HARIOM SHARMA"/>
    <n v="177631"/>
    <s v="KAMAL ENTERPRISES"/>
    <n v="54.6"/>
    <n v="80"/>
    <n v="83.5"/>
    <n v="15"/>
    <n v="0"/>
    <n v="35.25"/>
    <n v="5"/>
    <n v="273.35000000000002"/>
    <n v="39.050000000000004"/>
    <x v="4"/>
    <x v="24"/>
    <x v="8"/>
    <x v="2"/>
  </r>
  <r>
    <s v="806669177631"/>
    <n v="806669"/>
    <s v="SHIV SHAKTI KHAD BEEJ BHANDAR"/>
    <n v="177631"/>
    <s v="KAMAL ENTERPRISES"/>
    <n v="5"/>
    <n v="0"/>
    <n v="0"/>
    <n v="0"/>
    <n v="0"/>
    <n v="0"/>
    <n v="0"/>
    <n v="5"/>
    <n v="0.7142857142857143"/>
    <x v="1"/>
    <x v="24"/>
    <x v="8"/>
    <x v="2"/>
  </r>
  <r>
    <s v="808891177631"/>
    <n v="808891"/>
    <s v="LALIT KUMAR NAGORA"/>
    <n v="177631"/>
    <s v="KAMAL ENTERPRISES"/>
    <n v="15"/>
    <n v="0"/>
    <n v="10"/>
    <n v="0"/>
    <n v="0"/>
    <n v="0"/>
    <n v="0"/>
    <n v="25"/>
    <n v="3.5714285714285716"/>
    <x v="1"/>
    <x v="24"/>
    <x v="8"/>
    <x v="2"/>
  </r>
  <r>
    <s v="813301178004"/>
    <n v="813301"/>
    <s v="GUNWANT PRAJAPAT"/>
    <n v="178004"/>
    <s v="ANUSHIL ENTERPRISES"/>
    <n v="34"/>
    <n v="45"/>
    <n v="50"/>
    <n v="68"/>
    <n v="53"/>
    <n v="40"/>
    <n v="10"/>
    <n v="300"/>
    <n v="42.857142857142854"/>
    <x v="5"/>
    <x v="24"/>
    <x v="8"/>
    <x v="2"/>
  </r>
  <r>
    <s v="815832178266"/>
    <n v="815832"/>
    <s v="HIND STONE SUPPLIERS"/>
    <n v="178266"/>
    <s v="VARDHMAN IRON AND BUILDMART"/>
    <n v="0"/>
    <n v="0"/>
    <n v="0"/>
    <n v="0"/>
    <n v="60"/>
    <n v="60"/>
    <n v="10"/>
    <n v="130"/>
    <n v="18.571428571428573"/>
    <x v="2"/>
    <x v="24"/>
    <x v="8"/>
    <x v="2"/>
  </r>
  <r>
    <s v="811996178695"/>
    <n v="811996"/>
    <s v="ASHOK KUMAR MEENA"/>
    <n v="178695"/>
    <s v="SEN CONSTRUCTION"/>
    <n v="50"/>
    <n v="30"/>
    <n v="49.5"/>
    <n v="30"/>
    <n v="10"/>
    <n v="20"/>
    <n v="10"/>
    <n v="199.5"/>
    <n v="28.5"/>
    <x v="0"/>
    <x v="24"/>
    <x v="8"/>
    <x v="2"/>
  </r>
  <r>
    <s v="814187178695"/>
    <n v="814187"/>
    <s v="JAYENDRA SINGH RANAWAT"/>
    <n v="178695"/>
    <s v="SEN CONSTRUCTION"/>
    <n v="50"/>
    <n v="30"/>
    <n v="75"/>
    <n v="30"/>
    <n v="10"/>
    <n v="10"/>
    <n v="10"/>
    <n v="215"/>
    <n v="30.714285714285715"/>
    <x v="4"/>
    <x v="24"/>
    <x v="8"/>
    <x v="2"/>
  </r>
  <r>
    <s v="815400202387"/>
    <n v="815400"/>
    <s v="NITESH TAILI"/>
    <n v="202387"/>
    <s v="PATIDAR BUILDING MATARIYAL"/>
    <n v="0"/>
    <n v="0"/>
    <n v="0"/>
    <n v="21.5"/>
    <n v="38"/>
    <n v="10"/>
    <n v="0"/>
    <n v="69.5"/>
    <n v="9.9285714285714288"/>
    <x v="1"/>
    <x v="24"/>
    <x v="8"/>
    <x v="2"/>
  </r>
  <r>
    <s v="816289202387"/>
    <n v="816289"/>
    <s v="TIRUPATI CONSTRUCTION"/>
    <n v="202387"/>
    <s v="PATIDAR BUILDING MATARIYAL"/>
    <n v="0"/>
    <n v="0"/>
    <n v="0"/>
    <n v="0"/>
    <n v="0"/>
    <n v="7"/>
    <n v="10"/>
    <n v="17"/>
    <n v="2.4285714285714284"/>
    <x v="1"/>
    <x v="24"/>
    <x v="8"/>
    <x v="2"/>
  </r>
  <r>
    <s v="803125203600"/>
    <n v="803125"/>
    <s v="GORANA KIRANA AND CEMENT VIKRE"/>
    <n v="203600"/>
    <s v="MANISH CEMENT AGENCY"/>
    <n v="39"/>
    <n v="30"/>
    <n v="51.5"/>
    <n v="50"/>
    <n v="20"/>
    <n v="20"/>
    <n v="10"/>
    <n v="220.5"/>
    <n v="31.5"/>
    <x v="4"/>
    <x v="24"/>
    <x v="8"/>
    <x v="2"/>
  </r>
  <r>
    <s v="808276203600"/>
    <n v="808276"/>
    <s v="OM PRAKASH CHOUDHARY"/>
    <n v="203600"/>
    <s v="MANISH CEMENT AGENCY"/>
    <n v="45"/>
    <n v="35"/>
    <n v="80"/>
    <n v="60"/>
    <n v="69"/>
    <n v="35"/>
    <n v="15"/>
    <n v="339"/>
    <n v="48.428571428571431"/>
    <x v="5"/>
    <x v="24"/>
    <x v="8"/>
    <x v="2"/>
  </r>
  <r>
    <s v="808550203600"/>
    <n v="808550"/>
    <s v="YES CONSTRUCTION AND BUILDING"/>
    <n v="203600"/>
    <s v="MANISH CEMENT AGENCY"/>
    <n v="10"/>
    <n v="0"/>
    <n v="20"/>
    <n v="10"/>
    <n v="0"/>
    <n v="0"/>
    <n v="10"/>
    <n v="50"/>
    <n v="7.1428571428571432"/>
    <x v="1"/>
    <x v="24"/>
    <x v="8"/>
    <x v="2"/>
  </r>
  <r>
    <s v="814456203600"/>
    <n v="814456"/>
    <s v="NANA LAL JAIN"/>
    <n v="203600"/>
    <s v="MANISH CEMENT AGENCY"/>
    <n v="20"/>
    <n v="40"/>
    <n v="20"/>
    <n v="20"/>
    <n v="10"/>
    <n v="10"/>
    <n v="4"/>
    <n v="124"/>
    <n v="17.714285714285715"/>
    <x v="2"/>
    <x v="24"/>
    <x v="8"/>
    <x v="2"/>
  </r>
  <r>
    <s v="814457203600"/>
    <n v="814457"/>
    <s v="JITENDRA SUTHAR"/>
    <n v="203600"/>
    <s v="MANISH CEMENT AGENCY"/>
    <n v="21"/>
    <n v="10"/>
    <n v="10"/>
    <n v="20"/>
    <n v="30"/>
    <n v="10"/>
    <n v="10"/>
    <n v="111"/>
    <n v="15.857142857142858"/>
    <x v="2"/>
    <x v="24"/>
    <x v="8"/>
    <x v="2"/>
  </r>
  <r>
    <s v="816631203600"/>
    <n v="816631"/>
    <s v="SHANKAR LAL CHOUDHARY"/>
    <n v="203600"/>
    <s v="MANISH CEMENT AGENCY"/>
    <n v="0"/>
    <n v="0"/>
    <n v="0"/>
    <n v="0"/>
    <n v="0"/>
    <n v="0"/>
    <n v="30"/>
    <n v="30"/>
    <n v="4.2857142857142856"/>
    <x v="1"/>
    <x v="24"/>
    <x v="8"/>
    <x v="2"/>
  </r>
  <r>
    <s v="801796119066"/>
    <n v="801796"/>
    <s v="AL MANSOOR TRADERS"/>
    <n v="119066"/>
    <s v="RAJENDRA KUMAR RATAN LAL JAIN"/>
    <n v="0"/>
    <n v="0"/>
    <n v="50"/>
    <n v="0"/>
    <n v="17"/>
    <n v="0"/>
    <n v="0"/>
    <n v="67"/>
    <n v="9.5714285714285712"/>
    <x v="1"/>
    <x v="25"/>
    <x v="9"/>
    <x v="2"/>
  </r>
  <r>
    <s v="803821119066"/>
    <n v="803821"/>
    <s v="ARIHANT TRADING"/>
    <n v="119066"/>
    <s v="RAJENDRA KUMAR RATAN LAL JAIN"/>
    <n v="86.35"/>
    <n v="49"/>
    <n v="199.5"/>
    <n v="61.5"/>
    <n v="91"/>
    <n v="111"/>
    <n v="102"/>
    <n v="700.35"/>
    <n v="100.05"/>
    <x v="3"/>
    <x v="25"/>
    <x v="9"/>
    <x v="2"/>
  </r>
  <r>
    <s v="803886119066"/>
    <n v="803886"/>
    <s v="SABRAS MATERIAL SUPPLIERS"/>
    <n v="119066"/>
    <s v="RAJENDRA KUMAR RATAN LAL JAIN"/>
    <n v="105"/>
    <n v="140"/>
    <n v="192"/>
    <n v="53"/>
    <n v="103"/>
    <n v="37"/>
    <n v="86"/>
    <n v="716"/>
    <n v="102.28571428571429"/>
    <x v="3"/>
    <x v="25"/>
    <x v="9"/>
    <x v="2"/>
  </r>
  <r>
    <s v="804430119066"/>
    <n v="804430"/>
    <s v="PATIDAR CONSTRUCTION AND BUILD"/>
    <n v="119066"/>
    <s v="RAJENDRA KUMAR RATAN LAL JAIN"/>
    <n v="0"/>
    <n v="83"/>
    <n v="10"/>
    <n v="15"/>
    <n v="17"/>
    <n v="17"/>
    <n v="0"/>
    <n v="142"/>
    <n v="20.285714285714285"/>
    <x v="0"/>
    <x v="25"/>
    <x v="9"/>
    <x v="2"/>
  </r>
  <r>
    <s v="805325119066"/>
    <n v="805325"/>
    <s v="RAJASTHAN TRADERS"/>
    <n v="119066"/>
    <s v="RAJENDRA KUMAR RATAN LAL JAIN"/>
    <n v="0"/>
    <n v="85"/>
    <n v="131"/>
    <n v="29.5"/>
    <n v="53"/>
    <n v="64"/>
    <n v="43"/>
    <n v="405.5"/>
    <n v="57.928571428571431"/>
    <x v="3"/>
    <x v="25"/>
    <x v="9"/>
    <x v="2"/>
  </r>
  <r>
    <s v="806212119066"/>
    <n v="806212"/>
    <s v="MAHAVEER TRADERS"/>
    <n v="119066"/>
    <s v="RAJENDRA KUMAR RATAN LAL JAIN"/>
    <n v="0"/>
    <n v="35"/>
    <n v="30"/>
    <n v="0"/>
    <n v="2"/>
    <n v="0"/>
    <n v="0"/>
    <n v="67"/>
    <n v="9.5714285714285712"/>
    <x v="1"/>
    <x v="25"/>
    <x v="9"/>
    <x v="2"/>
  </r>
  <r>
    <s v="807265119066"/>
    <n v="807265"/>
    <s v="PREM CHAND KALAL"/>
    <n v="119066"/>
    <s v="RAJENDRA KUMAR RATAN LAL JAIN"/>
    <n v="0"/>
    <n v="0"/>
    <n v="75"/>
    <n v="0"/>
    <n v="37"/>
    <n v="54.5"/>
    <n v="1"/>
    <n v="167.5"/>
    <n v="23.928571428571427"/>
    <x v="0"/>
    <x v="25"/>
    <x v="9"/>
    <x v="2"/>
  </r>
  <r>
    <s v="807430119066"/>
    <n v="807430"/>
    <s v="ANIKET BUILDING MATERIAL"/>
    <n v="119066"/>
    <s v="RAJENDRA KUMAR RATAN LAL JAIN"/>
    <n v="0"/>
    <n v="0"/>
    <n v="0"/>
    <n v="0"/>
    <n v="0"/>
    <n v="54"/>
    <n v="1"/>
    <n v="55"/>
    <n v="7.8571428571428568"/>
    <x v="1"/>
    <x v="25"/>
    <x v="9"/>
    <x v="2"/>
  </r>
  <r>
    <s v="808317119066"/>
    <n v="808317"/>
    <s v="RANJANA PANCHAL"/>
    <n v="119066"/>
    <s v="RAJENDRA KUMAR RATAN LAL JAIN"/>
    <n v="77.5"/>
    <n v="112"/>
    <n v="179"/>
    <n v="91"/>
    <n v="111"/>
    <n v="48"/>
    <n v="102"/>
    <n v="720.5"/>
    <n v="102.92857142857143"/>
    <x v="3"/>
    <x v="25"/>
    <x v="9"/>
    <x v="2"/>
  </r>
  <r>
    <s v="808318119066"/>
    <n v="808318"/>
    <s v="MAHALAXMI TRADERS"/>
    <n v="119066"/>
    <s v="RAJENDRA KUMAR RATAN LAL JAIN"/>
    <n v="81.150000000000006"/>
    <n v="94"/>
    <n v="105"/>
    <n v="60.4"/>
    <n v="54"/>
    <n v="3"/>
    <n v="52"/>
    <n v="449.54999999999995"/>
    <n v="64.221428571428561"/>
    <x v="3"/>
    <x v="25"/>
    <x v="9"/>
    <x v="2"/>
  </r>
  <r>
    <s v="809989119066"/>
    <n v="809989"/>
    <s v="VIKAS CONSTRUCTION AND BUILDIN"/>
    <n v="119066"/>
    <s v="RAJENDRA KUMAR RATAN LAL JAIN"/>
    <n v="50"/>
    <n v="55"/>
    <n v="76"/>
    <n v="74.2"/>
    <n v="3"/>
    <n v="54"/>
    <n v="52"/>
    <n v="364.2"/>
    <n v="52.028571428571425"/>
    <x v="3"/>
    <x v="25"/>
    <x v="9"/>
    <x v="2"/>
  </r>
  <r>
    <s v="811386119066"/>
    <n v="811386"/>
    <s v="LUCKY TRADERS"/>
    <n v="119066"/>
    <s v="RAJENDRA KUMAR RATAN LAL JAIN"/>
    <n v="70"/>
    <n v="122"/>
    <n v="160"/>
    <n v="3"/>
    <n v="107"/>
    <n v="104"/>
    <n v="36"/>
    <n v="602"/>
    <n v="86"/>
    <x v="3"/>
    <x v="25"/>
    <x v="9"/>
    <x v="2"/>
  </r>
  <r>
    <s v="811543119066"/>
    <n v="811543"/>
    <s v="VAIBHAV LAXMI ENTERPRISES"/>
    <n v="119066"/>
    <s v="RAJENDRA KUMAR RATAN LAL JAIN"/>
    <n v="35"/>
    <n v="0"/>
    <n v="15"/>
    <n v="0"/>
    <n v="3"/>
    <n v="3"/>
    <n v="0"/>
    <n v="56"/>
    <n v="8"/>
    <x v="1"/>
    <x v="25"/>
    <x v="9"/>
    <x v="2"/>
  </r>
  <r>
    <s v="811776119066"/>
    <n v="811776"/>
    <s v="VIDHYA SAGAR TRADERS"/>
    <n v="119066"/>
    <s v="RAJENDRA KUMAR RATAN LAL JAIN"/>
    <n v="0"/>
    <n v="38.5"/>
    <n v="0"/>
    <n v="0"/>
    <n v="0"/>
    <n v="0"/>
    <n v="0"/>
    <n v="38.5"/>
    <n v="5.5"/>
    <x v="1"/>
    <x v="25"/>
    <x v="9"/>
    <x v="2"/>
  </r>
  <r>
    <s v="812730119066"/>
    <n v="812730"/>
    <s v="BHOLENATH CONSTRUCTION"/>
    <n v="119066"/>
    <s v="RAJENDRA KUMAR RATAN LAL JAIN"/>
    <n v="62.5"/>
    <n v="67.5"/>
    <n v="20"/>
    <n v="0"/>
    <n v="53"/>
    <n v="3"/>
    <n v="1"/>
    <n v="207"/>
    <n v="29.571428571428573"/>
    <x v="0"/>
    <x v="25"/>
    <x v="9"/>
    <x v="2"/>
  </r>
  <r>
    <s v="812759119066"/>
    <n v="812759"/>
    <s v="VINAYAK TRADERS"/>
    <n v="119066"/>
    <s v="RAJENDRA KUMAR RATAN LAL JAIN"/>
    <n v="5"/>
    <n v="0"/>
    <n v="101.75"/>
    <n v="24.5"/>
    <n v="31"/>
    <n v="53"/>
    <n v="119"/>
    <n v="334.25"/>
    <n v="47.75"/>
    <x v="5"/>
    <x v="25"/>
    <x v="9"/>
    <x v="2"/>
  </r>
  <r>
    <s v="813256119066"/>
    <n v="813256"/>
    <s v="BHAWANI &amp; BROTHERS"/>
    <n v="119066"/>
    <s v="RAJENDRA KUMAR RATAN LAL JAIN"/>
    <n v="0"/>
    <n v="0"/>
    <n v="0"/>
    <n v="53"/>
    <n v="54"/>
    <n v="0"/>
    <n v="1"/>
    <n v="108"/>
    <n v="15.428571428571429"/>
    <x v="2"/>
    <x v="25"/>
    <x v="9"/>
    <x v="2"/>
  </r>
  <r>
    <s v="813293119066"/>
    <n v="813293"/>
    <s v="NILESH &amp; BROTHERS"/>
    <n v="119066"/>
    <s v="RAJENDRA KUMAR RATAN LAL JAIN"/>
    <n v="0"/>
    <n v="0"/>
    <n v="0"/>
    <n v="53"/>
    <n v="0"/>
    <n v="0"/>
    <n v="1"/>
    <n v="54"/>
    <n v="7.7142857142857144"/>
    <x v="1"/>
    <x v="25"/>
    <x v="9"/>
    <x v="2"/>
  </r>
  <r>
    <s v="814387119066"/>
    <n v="814387"/>
    <s v="KHODIYAR CONSTRUCTION &amp; DEVELO"/>
    <n v="119066"/>
    <s v="RAJENDRA KUMAR RATAN LAL JAIN"/>
    <n v="28"/>
    <n v="0"/>
    <n v="0"/>
    <n v="0"/>
    <n v="52"/>
    <n v="53.45"/>
    <n v="1"/>
    <n v="134.44999999999999"/>
    <n v="19.207142857142856"/>
    <x v="2"/>
    <x v="25"/>
    <x v="9"/>
    <x v="2"/>
  </r>
  <r>
    <s v="815236119066"/>
    <n v="815236"/>
    <s v="KHOTHARI SAPLYRAYS AND CON"/>
    <n v="119066"/>
    <s v="RAJENDRA KUMAR RATAN LAL JAIN"/>
    <n v="0"/>
    <n v="0"/>
    <n v="101.1"/>
    <n v="53"/>
    <n v="51"/>
    <n v="37"/>
    <n v="1"/>
    <n v="243.1"/>
    <n v="34.728571428571428"/>
    <x v="4"/>
    <x v="25"/>
    <x v="9"/>
    <x v="2"/>
  </r>
  <r>
    <s v="816329119066"/>
    <n v="816329"/>
    <s v="ISHITA TRADERS"/>
    <n v="119066"/>
    <s v="RAJENDRA KUMAR RATAN LAL JAIN"/>
    <n v="0"/>
    <n v="0"/>
    <n v="0"/>
    <n v="0"/>
    <n v="0"/>
    <n v="157"/>
    <n v="137"/>
    <n v="294"/>
    <n v="42"/>
    <x v="5"/>
    <x v="25"/>
    <x v="9"/>
    <x v="2"/>
  </r>
  <r>
    <s v="804243122377"/>
    <n v="804243"/>
    <s v="SHIVAMBA CONSTRUCTION"/>
    <n v="122377"/>
    <s v="NILKANTH CONSTRUCTION"/>
    <n v="80"/>
    <n v="191.65"/>
    <n v="197.5"/>
    <n v="170"/>
    <n v="130"/>
    <n v="105"/>
    <n v="96"/>
    <n v="970.15"/>
    <n v="138.59285714285713"/>
    <x v="3"/>
    <x v="25"/>
    <x v="9"/>
    <x v="2"/>
  </r>
  <r>
    <s v="805185122377"/>
    <n v="805185"/>
    <s v="KK ENTERPRISES"/>
    <n v="122377"/>
    <s v="NILKANTH CONSTRUCTION"/>
    <n v="155"/>
    <n v="113.5"/>
    <n v="165"/>
    <n v="170"/>
    <n v="135"/>
    <n v="135"/>
    <n v="115"/>
    <n v="988.5"/>
    <n v="141.21428571428572"/>
    <x v="3"/>
    <x v="25"/>
    <x v="9"/>
    <x v="2"/>
  </r>
  <r>
    <s v="806651122377"/>
    <n v="806651"/>
    <s v="MAYUR TRADERS"/>
    <n v="122377"/>
    <s v="NILKANTH CONSTRUCTION"/>
    <n v="0"/>
    <n v="40"/>
    <n v="85"/>
    <n v="40"/>
    <n v="45"/>
    <n v="22"/>
    <n v="20"/>
    <n v="252"/>
    <n v="36"/>
    <x v="4"/>
    <x v="25"/>
    <x v="9"/>
    <x v="2"/>
  </r>
  <r>
    <s v="806802122377"/>
    <n v="806802"/>
    <s v="JAIMAA KHIMAJ CONSTRUCTION"/>
    <n v="122377"/>
    <s v="NILKANTH CONSTRUCTION"/>
    <n v="92"/>
    <n v="95"/>
    <n v="85"/>
    <n v="67"/>
    <n v="60"/>
    <n v="45"/>
    <n v="95"/>
    <n v="539"/>
    <n v="77"/>
    <x v="3"/>
    <x v="25"/>
    <x v="9"/>
    <x v="2"/>
  </r>
  <r>
    <s v="808941122377"/>
    <n v="808941"/>
    <s v="PATIDAR KRISHI SEWA KENDRA"/>
    <n v="122377"/>
    <s v="NILKANTH CONSTRUCTION"/>
    <n v="55"/>
    <n v="110"/>
    <n v="157"/>
    <n v="119"/>
    <n v="90"/>
    <n v="50"/>
    <n v="10"/>
    <n v="591"/>
    <n v="84.428571428571431"/>
    <x v="3"/>
    <x v="25"/>
    <x v="9"/>
    <x v="2"/>
  </r>
  <r>
    <s v="809221122377"/>
    <n v="809221"/>
    <s v="STAR CONSTRUCTION"/>
    <n v="122377"/>
    <s v="NILKANTH CONSTRUCTION"/>
    <n v="0"/>
    <n v="10"/>
    <n v="0"/>
    <n v="0"/>
    <n v="0"/>
    <n v="0"/>
    <n v="0"/>
    <n v="10"/>
    <n v="1.4285714285714286"/>
    <x v="1"/>
    <x v="25"/>
    <x v="9"/>
    <x v="2"/>
  </r>
  <r>
    <s v="809457122377"/>
    <n v="809457"/>
    <s v="KANTI LAL PANCHAL"/>
    <n v="122377"/>
    <s v="NILKANTH CONSTRUCTION"/>
    <n v="40"/>
    <n v="45"/>
    <n v="52"/>
    <n v="20"/>
    <n v="37.5"/>
    <n v="20"/>
    <n v="10"/>
    <n v="224.5"/>
    <n v="32.071428571428569"/>
    <x v="4"/>
    <x v="25"/>
    <x v="9"/>
    <x v="2"/>
  </r>
  <r>
    <s v="810839122377"/>
    <n v="810839"/>
    <s v="MAESTRO NAGRIK SEVA KENDRA"/>
    <n v="122377"/>
    <s v="NILKANTH CONSTRUCTION"/>
    <n v="103"/>
    <n v="171"/>
    <n v="190"/>
    <n v="155"/>
    <n v="95"/>
    <n v="85"/>
    <n v="80"/>
    <n v="879"/>
    <n v="125.57142857142857"/>
    <x v="3"/>
    <x v="25"/>
    <x v="9"/>
    <x v="2"/>
  </r>
  <r>
    <s v="813254122377"/>
    <n v="813254"/>
    <s v="MAA KHEMAJ CONSTRUCTION &amp; SUPP"/>
    <n v="122377"/>
    <s v="NILKANTH CONSTRUCTION"/>
    <n v="0"/>
    <n v="0"/>
    <n v="15"/>
    <n v="37"/>
    <n v="32.5"/>
    <n v="25"/>
    <n v="15"/>
    <n v="124.5"/>
    <n v="17.785714285714285"/>
    <x v="2"/>
    <x v="25"/>
    <x v="9"/>
    <x v="2"/>
  </r>
  <r>
    <s v="816368122377"/>
    <n v="816368"/>
    <s v="SHREE KASHT BHANJAN CONSTRUCTI"/>
    <n v="122377"/>
    <s v="NILKANTH CONSTRUCTION"/>
    <n v="0"/>
    <n v="0"/>
    <n v="0"/>
    <n v="0"/>
    <n v="0"/>
    <n v="20"/>
    <n v="80"/>
    <n v="100"/>
    <n v="14.285714285714286"/>
    <x v="2"/>
    <x v="25"/>
    <x v="9"/>
    <x v="2"/>
  </r>
  <r>
    <s v="808313140960"/>
    <n v="808313"/>
    <s v="JAYDEEP KRISHI FARM"/>
    <n v="140960"/>
    <s v="HARI OM CEMENT SUPPLIERS"/>
    <n v="0"/>
    <n v="0"/>
    <n v="0"/>
    <n v="35"/>
    <n v="0"/>
    <n v="40"/>
    <n v="0"/>
    <n v="75"/>
    <n v="10.714285714285714"/>
    <x v="2"/>
    <x v="25"/>
    <x v="9"/>
    <x v="2"/>
  </r>
  <r>
    <s v="813830140960"/>
    <n v="813830"/>
    <s v="HONEY TRADERS"/>
    <n v="140960"/>
    <s v="HARI OM CEMENT SUPPLIERS"/>
    <n v="0"/>
    <n v="0"/>
    <n v="0"/>
    <n v="0"/>
    <n v="0"/>
    <n v="15"/>
    <n v="20"/>
    <n v="35"/>
    <n v="5"/>
    <x v="1"/>
    <x v="25"/>
    <x v="9"/>
    <x v="2"/>
  </r>
  <r>
    <s v="815983140960"/>
    <n v="815983"/>
    <s v="HARIOM TRADERS"/>
    <n v="140960"/>
    <s v="HARI OM CEMENT SUPPLIERS"/>
    <n v="0"/>
    <n v="0"/>
    <n v="0"/>
    <n v="0"/>
    <n v="50"/>
    <n v="60"/>
    <n v="0"/>
    <n v="110"/>
    <n v="15.714285714285714"/>
    <x v="2"/>
    <x v="25"/>
    <x v="9"/>
    <x v="2"/>
  </r>
  <r>
    <s v="815984140960"/>
    <n v="815984"/>
    <s v="DHULCHAND S/O HIMALA"/>
    <n v="140960"/>
    <s v="HARI OM CEMENT SUPPLIERS"/>
    <n v="0"/>
    <n v="0"/>
    <n v="0"/>
    <n v="0"/>
    <n v="55"/>
    <n v="40"/>
    <n v="0"/>
    <n v="95"/>
    <n v="13.571428571428571"/>
    <x v="2"/>
    <x v="25"/>
    <x v="9"/>
    <x v="2"/>
  </r>
  <r>
    <s v="813829140984"/>
    <n v="813829"/>
    <s v="SANJAY KUMAR PURUSHOTAM SHAH"/>
    <n v="140984"/>
    <s v="SHIVANG SAINETORY &amp; HARDWARE"/>
    <n v="85"/>
    <n v="20"/>
    <n v="42"/>
    <n v="70"/>
    <n v="391"/>
    <n v="0"/>
    <n v="160"/>
    <n v="768"/>
    <n v="109.71428571428571"/>
    <x v="3"/>
    <x v="25"/>
    <x v="9"/>
    <x v="2"/>
  </r>
  <r>
    <s v="804312142269"/>
    <n v="804312"/>
    <s v="CHOUHAN CEMENT SUPPLIERS"/>
    <n v="142269"/>
    <s v="CHAMUNDA BUILDING MATERIAL SUP"/>
    <n v="125"/>
    <n v="195"/>
    <n v="234"/>
    <n v="105"/>
    <n v="140"/>
    <n v="85"/>
    <n v="140"/>
    <n v="1024"/>
    <n v="146.28571428571428"/>
    <x v="3"/>
    <x v="25"/>
    <x v="9"/>
    <x v="2"/>
  </r>
  <r>
    <s v="807997142269"/>
    <n v="807997"/>
    <s v="GOVIND KALAL"/>
    <n v="142269"/>
    <s v="CHAMUNDA BUILDING MATERIAL SUP"/>
    <n v="0"/>
    <n v="0"/>
    <n v="25"/>
    <n v="0"/>
    <n v="0"/>
    <n v="0"/>
    <n v="0"/>
    <n v="25"/>
    <n v="3.5714285714285716"/>
    <x v="1"/>
    <x v="25"/>
    <x v="9"/>
    <x v="2"/>
  </r>
  <r>
    <s v="809423142269"/>
    <n v="809423"/>
    <s v="MAHADEV CONSTRUCTION"/>
    <n v="142269"/>
    <s v="CHAMUNDA BUILDING MATERIAL SUP"/>
    <n v="20"/>
    <n v="35"/>
    <n v="0"/>
    <n v="0"/>
    <n v="70"/>
    <n v="0"/>
    <n v="0"/>
    <n v="125"/>
    <n v="17.857142857142858"/>
    <x v="2"/>
    <x v="25"/>
    <x v="9"/>
    <x v="2"/>
  </r>
  <r>
    <s v="811385142269"/>
    <n v="811385"/>
    <s v="GARV CONSTRUCTION"/>
    <n v="142269"/>
    <s v="CHAMUNDA BUILDING MATERIAL SUP"/>
    <n v="30"/>
    <n v="15"/>
    <n v="63"/>
    <n v="40"/>
    <n v="20"/>
    <n v="10"/>
    <n v="85"/>
    <n v="263"/>
    <n v="37.571428571428569"/>
    <x v="4"/>
    <x v="25"/>
    <x v="9"/>
    <x v="2"/>
  </r>
  <r>
    <s v="813198142269"/>
    <n v="813198"/>
    <s v="R K TRADERS"/>
    <n v="142269"/>
    <s v="CHAMUNDA BUILDING MATERIAL SUP"/>
    <n v="0"/>
    <n v="49"/>
    <n v="61"/>
    <n v="20"/>
    <n v="25"/>
    <n v="35"/>
    <n v="30"/>
    <n v="220"/>
    <n v="31.428571428571427"/>
    <x v="4"/>
    <x v="25"/>
    <x v="9"/>
    <x v="2"/>
  </r>
  <r>
    <s v="814084142269"/>
    <n v="814084"/>
    <s v="R B CONSTRUCTION"/>
    <n v="142269"/>
    <s v="CHAMUNDA BUILDING MATERIAL SUP"/>
    <n v="20"/>
    <n v="55"/>
    <n v="56"/>
    <n v="0"/>
    <n v="10"/>
    <n v="0"/>
    <n v="0"/>
    <n v="141"/>
    <n v="20.142857142857142"/>
    <x v="0"/>
    <x v="25"/>
    <x v="9"/>
    <x v="2"/>
  </r>
  <r>
    <s v="814824142269"/>
    <n v="814824"/>
    <s v="AKSHARA CEMENT SUPPLIERS"/>
    <n v="142269"/>
    <s v="CHAMUNDA BUILDING MATERIAL SUP"/>
    <n v="0"/>
    <n v="0"/>
    <n v="44"/>
    <n v="0"/>
    <n v="35"/>
    <n v="30"/>
    <n v="25"/>
    <n v="134"/>
    <n v="19.142857142857142"/>
    <x v="2"/>
    <x v="25"/>
    <x v="9"/>
    <x v="2"/>
  </r>
  <r>
    <s v="815395142269"/>
    <n v="815395"/>
    <s v="PANKAJ KUMAR DIXIT"/>
    <n v="142269"/>
    <s v="CHAMUNDA BUILDING MATERIAL SUP"/>
    <n v="0"/>
    <n v="0"/>
    <n v="0"/>
    <n v="0"/>
    <n v="25"/>
    <n v="0"/>
    <n v="35"/>
    <n v="60"/>
    <n v="8.5714285714285712"/>
    <x v="1"/>
    <x v="25"/>
    <x v="9"/>
    <x v="2"/>
  </r>
  <r>
    <s v="813933172798"/>
    <n v="813933"/>
    <s v="MOKSHI ENTERPRISES"/>
    <n v="172798"/>
    <s v="PANKAJ TRADERS"/>
    <n v="0"/>
    <n v="0"/>
    <n v="0"/>
    <n v="0"/>
    <n v="25"/>
    <n v="10"/>
    <n v="25"/>
    <n v="60"/>
    <n v="8.5714285714285712"/>
    <x v="1"/>
    <x v="25"/>
    <x v="9"/>
    <x v="2"/>
  </r>
  <r>
    <s v="815394172798"/>
    <n v="815394"/>
    <s v="TRIPURA CEMENT SUPPLIERS"/>
    <n v="172798"/>
    <s v="PANKAJ TRADERS"/>
    <n v="0"/>
    <n v="0"/>
    <n v="0"/>
    <n v="35"/>
    <n v="80"/>
    <n v="15"/>
    <n v="55"/>
    <n v="185"/>
    <n v="26.428571428571427"/>
    <x v="0"/>
    <x v="25"/>
    <x v="9"/>
    <x v="2"/>
  </r>
  <r>
    <s v="808676172872"/>
    <n v="808676"/>
    <s v="GARASIYA BUILDING MATERIAL SUP"/>
    <n v="172872"/>
    <s v="HARSAD KUMAR KHEM CHAND"/>
    <n v="0"/>
    <n v="0"/>
    <n v="0"/>
    <n v="0"/>
    <n v="0"/>
    <n v="10"/>
    <n v="15"/>
    <n v="25"/>
    <n v="3.5714285714285716"/>
    <x v="1"/>
    <x v="25"/>
    <x v="9"/>
    <x v="2"/>
  </r>
  <r>
    <s v="801918178764"/>
    <n v="801918"/>
    <s v="MOHIRAJ BUILDING MATERIALS"/>
    <n v="178764"/>
    <s v="PERFECT TRADERS"/>
    <n v="0"/>
    <n v="70"/>
    <n v="55"/>
    <n v="30"/>
    <n v="65"/>
    <n v="40"/>
    <n v="40"/>
    <n v="300"/>
    <n v="42.857142857142854"/>
    <x v="5"/>
    <x v="25"/>
    <x v="9"/>
    <x v="2"/>
  </r>
  <r>
    <s v="806828178764"/>
    <n v="806828"/>
    <s v="AMBIKA TRADERS"/>
    <n v="178764"/>
    <s v="PERFECT TRADERS"/>
    <n v="0"/>
    <n v="0"/>
    <n v="0"/>
    <n v="20"/>
    <n v="0"/>
    <n v="0"/>
    <n v="0"/>
    <n v="20"/>
    <n v="2.8571428571428572"/>
    <x v="1"/>
    <x v="25"/>
    <x v="9"/>
    <x v="2"/>
  </r>
  <r>
    <s v="808677178764"/>
    <n v="808677"/>
    <s v="GAUTAM LAL PATIDAR CONTRACTOR"/>
    <n v="178764"/>
    <s v="PERFECT TRADERS"/>
    <n v="0"/>
    <n v="0"/>
    <n v="15"/>
    <n v="15"/>
    <n v="0"/>
    <n v="0"/>
    <n v="0"/>
    <n v="30"/>
    <n v="4.2857142857142856"/>
    <x v="1"/>
    <x v="25"/>
    <x v="9"/>
    <x v="2"/>
  </r>
  <r>
    <s v="808938178764"/>
    <n v="808938"/>
    <s v="MANILAL BUNKAR"/>
    <n v="178764"/>
    <s v="PERFECT TRADERS"/>
    <n v="62"/>
    <n v="30"/>
    <n v="75"/>
    <n v="55"/>
    <n v="30"/>
    <n v="48"/>
    <n v="25"/>
    <n v="325"/>
    <n v="46.428571428571431"/>
    <x v="5"/>
    <x v="25"/>
    <x v="9"/>
    <x v="2"/>
  </r>
  <r>
    <s v="809142178764"/>
    <n v="809142"/>
    <s v="MEHTA SANITARY &amp; HARDWARE"/>
    <n v="178764"/>
    <s v="PERFECT TRADERS"/>
    <n v="100"/>
    <n v="40"/>
    <n v="122"/>
    <n v="156"/>
    <n v="110"/>
    <n v="100"/>
    <n v="75"/>
    <n v="703"/>
    <n v="100.42857142857143"/>
    <x v="3"/>
    <x v="25"/>
    <x v="9"/>
    <x v="2"/>
  </r>
  <r>
    <s v="811514178764"/>
    <n v="811514"/>
    <s v="AKBAR ALI AZIZ"/>
    <n v="178764"/>
    <s v="PERFECT TRADERS"/>
    <n v="45"/>
    <n v="81"/>
    <n v="162"/>
    <n v="95"/>
    <n v="95"/>
    <n v="100"/>
    <n v="70"/>
    <n v="648"/>
    <n v="92.571428571428569"/>
    <x v="3"/>
    <x v="25"/>
    <x v="9"/>
    <x v="2"/>
  </r>
  <r>
    <s v="814701178764"/>
    <n v="814701"/>
    <s v="HARSHIT BUILDING MATERIAL"/>
    <n v="178764"/>
    <s v="PERFECT TRADERS"/>
    <n v="38"/>
    <n v="40"/>
    <n v="74"/>
    <n v="45"/>
    <n v="60"/>
    <n v="62"/>
    <n v="55"/>
    <n v="374"/>
    <n v="53.428571428571431"/>
    <x v="3"/>
    <x v="25"/>
    <x v="9"/>
    <x v="2"/>
  </r>
  <r>
    <s v="813257201162"/>
    <n v="813257"/>
    <s v="NIRMALA GARASIYA"/>
    <n v="201162"/>
    <s v="SANDEEP TRADERS"/>
    <n v="60"/>
    <n v="26"/>
    <n v="0"/>
    <n v="20"/>
    <n v="25"/>
    <n v="35"/>
    <n v="30"/>
    <n v="196"/>
    <n v="28"/>
    <x v="0"/>
    <x v="25"/>
    <x v="9"/>
    <x v="2"/>
  </r>
  <r>
    <s v="814346201162"/>
    <n v="814346"/>
    <s v="PATEL SUPPLIERS"/>
    <n v="201162"/>
    <s v="SANDEEP TRADERS"/>
    <n v="80"/>
    <n v="40"/>
    <n v="0"/>
    <n v="25"/>
    <n v="45"/>
    <n v="35"/>
    <n v="40"/>
    <n v="265"/>
    <n v="37.857142857142854"/>
    <x v="4"/>
    <x v="25"/>
    <x v="9"/>
    <x v="2"/>
  </r>
  <r>
    <s v="813979203968"/>
    <n v="813979"/>
    <s v="MAA ASHAPURA BUILDING MATERIAL"/>
    <n v="203968"/>
    <s v="J J INFRA BUILD"/>
    <n v="35"/>
    <n v="0"/>
    <n v="15"/>
    <n v="0"/>
    <n v="0"/>
    <n v="20"/>
    <n v="30"/>
    <n v="100"/>
    <n v="14.285714285714286"/>
    <x v="2"/>
    <x v="25"/>
    <x v="9"/>
    <x v="2"/>
  </r>
  <r>
    <s v="816088203968"/>
    <n v="816088"/>
    <s v="SHREE BALAJI ENTERPRISES"/>
    <n v="203968"/>
    <s v="J J INFRA BUILD"/>
    <n v="0"/>
    <n v="0"/>
    <n v="0"/>
    <n v="0"/>
    <n v="0"/>
    <n v="10"/>
    <n v="40"/>
    <n v="50"/>
    <n v="7.1428571428571432"/>
    <x v="1"/>
    <x v="25"/>
    <x v="9"/>
    <x v="2"/>
  </r>
  <r>
    <s v="810158119066"/>
    <n v="810158"/>
    <s v="HEER ENTERPRISES"/>
    <n v="119066"/>
    <s v="RAJENDRA KUMAR RATAN LAL JAIN"/>
    <n v="0"/>
    <n v="0"/>
    <n v="0"/>
    <n v="0"/>
    <n v="0"/>
    <n v="0"/>
    <n v="45.9"/>
    <n v="45.9"/>
    <n v="6.5571428571428569"/>
    <x v="1"/>
    <x v="25"/>
    <x v="9"/>
    <x v="2"/>
  </r>
  <r>
    <s v="814577119066"/>
    <n v="814577"/>
    <s v="KRISHNA PLYWOOD &amp; HARDWARE"/>
    <n v="119066"/>
    <s v="RAJENDRA KUMAR RATAN LAL JAIN"/>
    <n v="0"/>
    <n v="0"/>
    <n v="0"/>
    <n v="0"/>
    <n v="0"/>
    <n v="0"/>
    <n v="1"/>
    <n v="1"/>
    <n v="0.14285714285714285"/>
    <x v="1"/>
    <x v="25"/>
    <x v="9"/>
    <x v="2"/>
  </r>
  <r>
    <s v="816330119066"/>
    <n v="816330"/>
    <s v="RAJASTHAN TRADERS"/>
    <n v="119066"/>
    <s v="RAJENDRA KUMAR RATAN LAL JAIN"/>
    <n v="0"/>
    <n v="0"/>
    <n v="0"/>
    <n v="0"/>
    <n v="0"/>
    <n v="0"/>
    <n v="1"/>
    <n v="1"/>
    <n v="0.14285714285714285"/>
    <x v="1"/>
    <x v="25"/>
    <x v="9"/>
    <x v="2"/>
  </r>
  <r>
    <s v="816442172872"/>
    <n v="816442"/>
    <s v="HARI OM ENTERPRISES"/>
    <n v="172872"/>
    <s v="HARSAD KUMAR KHEM CHAND"/>
    <n v="0"/>
    <n v="0"/>
    <n v="0"/>
    <n v="0"/>
    <n v="0"/>
    <n v="0"/>
    <n v="20"/>
    <n v="20"/>
    <n v="2.8571428571428572"/>
    <x v="1"/>
    <x v="25"/>
    <x v="9"/>
    <x v="2"/>
  </r>
  <r>
    <s v="801916119050"/>
    <n v="801916"/>
    <s v="SHREE RAM KIRANA STORE"/>
    <n v="119050"/>
    <s v="RAJASTHAN CEMENT CORPORATION"/>
    <n v="20"/>
    <n v="0"/>
    <n v="10"/>
    <n v="0"/>
    <n v="0"/>
    <n v="22.5"/>
    <n v="5"/>
    <n v="57.5"/>
    <n v="8.2142857142857135"/>
    <x v="1"/>
    <x v="26"/>
    <x v="9"/>
    <x v="2"/>
  </r>
  <r>
    <s v="802149119050"/>
    <n v="802149"/>
    <s v="PARINARY SANATRY AND COLOUR"/>
    <n v="119050"/>
    <s v="RAJASTHAN CEMENT CORPORATION"/>
    <n v="42.5"/>
    <n v="15"/>
    <n v="47"/>
    <n v="67.5"/>
    <n v="67"/>
    <n v="37"/>
    <n v="64.5"/>
    <n v="340.5"/>
    <n v="48.642857142857146"/>
    <x v="5"/>
    <x v="26"/>
    <x v="9"/>
    <x v="2"/>
  </r>
  <r>
    <s v="802841119050"/>
    <n v="802841"/>
    <s v="JITENDRA KUMAR KANHAIYA LAL KA"/>
    <n v="119050"/>
    <s v="RAJASTHAN CEMENT CORPORATION"/>
    <n v="20"/>
    <n v="0"/>
    <n v="34"/>
    <n v="25"/>
    <n v="16"/>
    <n v="17.5"/>
    <n v="5.5"/>
    <n v="118"/>
    <n v="16.857142857142858"/>
    <x v="2"/>
    <x v="26"/>
    <x v="9"/>
    <x v="2"/>
  </r>
  <r>
    <s v="802972119050"/>
    <n v="802972"/>
    <s v="MOHAN LAL PATEL S/O VEL JI PAT"/>
    <n v="119050"/>
    <s v="RAJASTHAN CEMENT CORPORATION"/>
    <n v="0"/>
    <n v="0"/>
    <n v="10"/>
    <n v="0"/>
    <n v="0"/>
    <n v="0"/>
    <n v="0"/>
    <n v="10"/>
    <n v="1.4285714285714286"/>
    <x v="1"/>
    <x v="26"/>
    <x v="9"/>
    <x v="2"/>
  </r>
  <r>
    <s v="803141119050"/>
    <n v="803141"/>
    <s v="DURGA TRADING COMPANY"/>
    <n v="119050"/>
    <s v="RAJASTHAN CEMENT CORPORATION"/>
    <n v="10"/>
    <n v="40"/>
    <n v="32.5"/>
    <n v="92"/>
    <n v="51"/>
    <n v="38"/>
    <n v="30"/>
    <n v="293.5"/>
    <n v="41.928571428571431"/>
    <x v="5"/>
    <x v="26"/>
    <x v="9"/>
    <x v="2"/>
  </r>
  <r>
    <s v="803794119050"/>
    <n v="803794"/>
    <s v="RAMAN LAL DEVNATH JI BHATI"/>
    <n v="119050"/>
    <s v="RAJASTHAN CEMENT CORPORATION"/>
    <n v="0"/>
    <n v="20"/>
    <n v="15"/>
    <n v="73.5"/>
    <n v="60"/>
    <n v="110"/>
    <n v="51"/>
    <n v="329.5"/>
    <n v="47.071428571428569"/>
    <x v="5"/>
    <x v="26"/>
    <x v="9"/>
    <x v="2"/>
  </r>
  <r>
    <s v="803832119050"/>
    <n v="803832"/>
    <s v="MOHAN LAL BAKORJI PRAJAPAT"/>
    <n v="119050"/>
    <s v="RAJASTHAN CEMENT CORPORATION"/>
    <n v="31"/>
    <n v="0"/>
    <n v="40"/>
    <n v="59.5"/>
    <n v="30"/>
    <n v="35.5"/>
    <n v="30"/>
    <n v="226"/>
    <n v="32.285714285714285"/>
    <x v="4"/>
    <x v="26"/>
    <x v="9"/>
    <x v="2"/>
  </r>
  <r>
    <s v="804898119050"/>
    <n v="804898"/>
    <s v="PATEL BUILDING MATERIAL"/>
    <n v="119050"/>
    <s v="RAJASTHAN CEMENT CORPORATION"/>
    <n v="41"/>
    <n v="0"/>
    <n v="25"/>
    <n v="22.5"/>
    <n v="15"/>
    <n v="7.5"/>
    <n v="11"/>
    <n v="122"/>
    <n v="17.428571428571427"/>
    <x v="2"/>
    <x v="26"/>
    <x v="9"/>
    <x v="2"/>
  </r>
  <r>
    <s v="805420119050"/>
    <n v="805420"/>
    <s v="PARTH CONSTRUCTION"/>
    <n v="119050"/>
    <s v="RAJASTHAN CEMENT CORPORATION"/>
    <n v="15"/>
    <n v="0"/>
    <n v="69.5"/>
    <n v="63.5"/>
    <n v="21.5"/>
    <n v="20.5"/>
    <n v="15"/>
    <n v="205"/>
    <n v="29.285714285714285"/>
    <x v="0"/>
    <x v="26"/>
    <x v="9"/>
    <x v="2"/>
  </r>
  <r>
    <s v="807626119050"/>
    <n v="807626"/>
    <s v="MAHALAXMI CONSTRUCTION"/>
    <n v="119050"/>
    <s v="RAJASTHAN CEMENT CORPORATION"/>
    <n v="10"/>
    <n v="0"/>
    <n v="35"/>
    <n v="50"/>
    <n v="37.5"/>
    <n v="27.5"/>
    <n v="10"/>
    <n v="170"/>
    <n v="24.285714285714285"/>
    <x v="0"/>
    <x v="26"/>
    <x v="9"/>
    <x v="2"/>
  </r>
  <r>
    <s v="807948119050"/>
    <n v="807948"/>
    <s v="KANKU BUILDING MATERIAL"/>
    <n v="119050"/>
    <s v="RAJASTHAN CEMENT CORPORATION"/>
    <n v="5"/>
    <n v="0"/>
    <n v="62"/>
    <n v="85"/>
    <n v="37"/>
    <n v="36.5"/>
    <n v="18.5"/>
    <n v="244"/>
    <n v="34.857142857142854"/>
    <x v="4"/>
    <x v="26"/>
    <x v="9"/>
    <x v="2"/>
  </r>
  <r>
    <s v="808082119050"/>
    <n v="808082"/>
    <s v="RATANLAL DOVACHAND JAIN"/>
    <n v="119050"/>
    <s v="RAJASTHAN CEMENT CORPORATION"/>
    <n v="0"/>
    <n v="0"/>
    <n v="16"/>
    <n v="22.5"/>
    <n v="0"/>
    <n v="17.5"/>
    <n v="0"/>
    <n v="56"/>
    <n v="8"/>
    <x v="1"/>
    <x v="26"/>
    <x v="9"/>
    <x v="2"/>
  </r>
  <r>
    <s v="808312119050"/>
    <n v="808312"/>
    <s v="BHOGI LAL SUKH LAL JAIN"/>
    <n v="119050"/>
    <s v="RAJASTHAN CEMENT CORPORATION"/>
    <n v="15"/>
    <n v="0"/>
    <n v="0"/>
    <n v="0"/>
    <n v="0"/>
    <n v="0"/>
    <n v="0"/>
    <n v="15"/>
    <n v="2.1428571428571428"/>
    <x v="1"/>
    <x v="26"/>
    <x v="9"/>
    <x v="2"/>
  </r>
  <r>
    <s v="808548119050"/>
    <n v="808548"/>
    <s v="GAJENDRA CEMENT SUPPLIERS"/>
    <n v="119050"/>
    <s v="RAJASTHAN CEMENT CORPORATION"/>
    <n v="0"/>
    <n v="0"/>
    <n v="12"/>
    <n v="25"/>
    <n v="10"/>
    <n v="7.5"/>
    <n v="20"/>
    <n v="74.5"/>
    <n v="10.642857142857142"/>
    <x v="2"/>
    <x v="26"/>
    <x v="9"/>
    <x v="2"/>
  </r>
  <r>
    <s v="808558119050"/>
    <n v="808558"/>
    <s v="PATEL DEVILAL UDHAV JI"/>
    <n v="119050"/>
    <s v="RAJASTHAN CEMENT CORPORATION"/>
    <n v="66"/>
    <n v="53.5"/>
    <n v="113.5"/>
    <n v="48.5"/>
    <n v="72"/>
    <n v="45"/>
    <n v="51"/>
    <n v="449.5"/>
    <n v="64.214285714285708"/>
    <x v="3"/>
    <x v="26"/>
    <x v="9"/>
    <x v="2"/>
  </r>
  <r>
    <s v="808559119050"/>
    <n v="808559"/>
    <s v="HANUMAN TRADERS"/>
    <n v="119050"/>
    <s v="RAJASTHAN CEMENT CORPORATION"/>
    <n v="10"/>
    <n v="10"/>
    <n v="0"/>
    <n v="10"/>
    <n v="0"/>
    <n v="10.3"/>
    <n v="10"/>
    <n v="50.3"/>
    <n v="7.1857142857142851"/>
    <x v="1"/>
    <x v="26"/>
    <x v="9"/>
    <x v="2"/>
  </r>
  <r>
    <s v="808622119050"/>
    <n v="808622"/>
    <s v="MAHAVEER KUMAR BADAMILAL"/>
    <n v="119050"/>
    <s v="RAJASTHAN CEMENT CORPORATION"/>
    <n v="51"/>
    <n v="65"/>
    <n v="270"/>
    <n v="166.5"/>
    <n v="163"/>
    <n v="111"/>
    <n v="60"/>
    <n v="886.5"/>
    <n v="126.64285714285714"/>
    <x v="3"/>
    <x v="26"/>
    <x v="9"/>
    <x v="2"/>
  </r>
  <r>
    <s v="808623119050"/>
    <n v="808623"/>
    <s v="SHIV SHAKTI CEMENT SUPPLIERS"/>
    <n v="119050"/>
    <s v="RAJASTHAN CEMENT CORPORATION"/>
    <n v="35"/>
    <n v="15"/>
    <n v="36"/>
    <n v="109"/>
    <n v="61.5"/>
    <n v="30.5"/>
    <n v="10"/>
    <n v="297"/>
    <n v="42.428571428571431"/>
    <x v="5"/>
    <x v="26"/>
    <x v="9"/>
    <x v="2"/>
  </r>
  <r>
    <s v="808895119050"/>
    <n v="808895"/>
    <s v="TOLACHAND KALAL"/>
    <n v="119050"/>
    <s v="RAJASTHAN CEMENT CORPORATION"/>
    <n v="0"/>
    <n v="0"/>
    <n v="20"/>
    <n v="25"/>
    <n v="0"/>
    <n v="0"/>
    <n v="0"/>
    <n v="45"/>
    <n v="6.4285714285714288"/>
    <x v="1"/>
    <x v="26"/>
    <x v="9"/>
    <x v="2"/>
  </r>
  <r>
    <s v="811596119050"/>
    <n v="811596"/>
    <s v="JAY AMBE STONE SUPPLIERS"/>
    <n v="119050"/>
    <s v="RAJASTHAN CEMENT CORPORATION"/>
    <n v="20"/>
    <n v="30"/>
    <n v="111"/>
    <n v="48.5"/>
    <n v="5"/>
    <n v="17.5"/>
    <n v="11"/>
    <n v="243"/>
    <n v="34.714285714285715"/>
    <x v="4"/>
    <x v="26"/>
    <x v="9"/>
    <x v="2"/>
  </r>
  <r>
    <s v="813269119050"/>
    <n v="813269"/>
    <s v="UMESH KIRANA STORE"/>
    <n v="119050"/>
    <s v="RAJASTHAN CEMENT CORPORATION"/>
    <n v="10"/>
    <n v="10"/>
    <n v="10"/>
    <n v="20"/>
    <n v="14"/>
    <n v="28"/>
    <n v="54"/>
    <n v="146"/>
    <n v="20.857142857142858"/>
    <x v="0"/>
    <x v="26"/>
    <x v="9"/>
    <x v="2"/>
  </r>
  <r>
    <s v="814140119050"/>
    <n v="814140"/>
    <s v="SAI RAM KRISHI FARM"/>
    <n v="119050"/>
    <s v="RAJASTHAN CEMENT CORPORATION"/>
    <n v="10"/>
    <n v="10"/>
    <n v="48.5"/>
    <n v="39.5"/>
    <n v="15"/>
    <n v="30.5"/>
    <n v="30"/>
    <n v="183.5"/>
    <n v="26.214285714285715"/>
    <x v="0"/>
    <x v="26"/>
    <x v="9"/>
    <x v="2"/>
  </r>
  <r>
    <s v="808328121572"/>
    <n v="808328"/>
    <s v="RAJ ELECTRIC AND MACHINERY STO"/>
    <n v="121572"/>
    <s v="FAKHRUDDIN ABDEALI LUKA WALA"/>
    <n v="10"/>
    <n v="15"/>
    <n v="25"/>
    <n v="29.5"/>
    <n v="45"/>
    <n v="37.5"/>
    <n v="20"/>
    <n v="182"/>
    <n v="26"/>
    <x v="0"/>
    <x v="26"/>
    <x v="9"/>
    <x v="2"/>
  </r>
  <r>
    <s v="809217121572"/>
    <n v="809217"/>
    <s v="SAIFEE HARDWARE"/>
    <n v="121572"/>
    <s v="FAKHRUDDIN ABDEALI LUKA WALA"/>
    <n v="20"/>
    <n v="15"/>
    <n v="35"/>
    <n v="37.5"/>
    <n v="27.5"/>
    <n v="37.5"/>
    <n v="10"/>
    <n v="182.5"/>
    <n v="26.071428571428573"/>
    <x v="0"/>
    <x v="26"/>
    <x v="9"/>
    <x v="2"/>
  </r>
  <r>
    <s v="808615121574"/>
    <n v="808615"/>
    <s v="JAY AMBE BUILDING MATERIALS"/>
    <n v="121574"/>
    <s v="TORAVAT JAYANTILAL JAVEERCHAND"/>
    <n v="15"/>
    <n v="39"/>
    <n v="92"/>
    <n v="50"/>
    <n v="15"/>
    <n v="50"/>
    <n v="0"/>
    <n v="261"/>
    <n v="37.285714285714285"/>
    <x v="4"/>
    <x v="26"/>
    <x v="9"/>
    <x v="2"/>
  </r>
  <r>
    <s v="808845121574"/>
    <n v="808845"/>
    <s v="VISHAV KARMA PATHAR GODAM"/>
    <n v="121574"/>
    <s v="TORAVAT JAYANTILAL JAVEERCHAND"/>
    <n v="20"/>
    <n v="57"/>
    <n v="100"/>
    <n v="70"/>
    <n v="51"/>
    <n v="51"/>
    <n v="29"/>
    <n v="378"/>
    <n v="54"/>
    <x v="3"/>
    <x v="26"/>
    <x v="9"/>
    <x v="2"/>
  </r>
  <r>
    <s v="802151121706"/>
    <n v="802151"/>
    <s v="AMUL KUMAR ISHWAR LAL"/>
    <n v="121706"/>
    <s v="ANKIT TRADERS"/>
    <n v="70"/>
    <n v="98"/>
    <n v="268"/>
    <n v="275"/>
    <n v="369"/>
    <n v="277"/>
    <n v="205"/>
    <n v="1562"/>
    <n v="223.14285714285714"/>
    <x v="3"/>
    <x v="26"/>
    <x v="9"/>
    <x v="2"/>
  </r>
  <r>
    <s v="808837121706"/>
    <n v="808837"/>
    <s v="MEGHA TRADERS"/>
    <n v="121706"/>
    <s v="ANKIT TRADERS"/>
    <n v="0"/>
    <n v="21"/>
    <n v="30"/>
    <n v="0"/>
    <n v="0"/>
    <n v="0"/>
    <n v="30"/>
    <n v="81"/>
    <n v="11.571428571428571"/>
    <x v="2"/>
    <x v="26"/>
    <x v="9"/>
    <x v="2"/>
  </r>
  <r>
    <s v="803794142332"/>
    <n v="803794"/>
    <s v="RAMAN LAL DEVNATH JI BHATI"/>
    <n v="142332"/>
    <s v="SANTOSH KIRANA AND CEMENT"/>
    <n v="20"/>
    <n v="0"/>
    <n v="0"/>
    <n v="0"/>
    <n v="0"/>
    <n v="0"/>
    <n v="0"/>
    <n v="20"/>
    <n v="2.8571428571428572"/>
    <x v="1"/>
    <x v="26"/>
    <x v="9"/>
    <x v="2"/>
  </r>
  <r>
    <s v="810560142332"/>
    <n v="810560"/>
    <s v="JAYNTILAL PARMAR"/>
    <n v="142332"/>
    <s v="SANTOSH KIRANA AND CEMENT"/>
    <n v="15"/>
    <n v="52.5"/>
    <n v="80"/>
    <n v="70"/>
    <n v="65"/>
    <n v="47.5"/>
    <n v="40"/>
    <n v="370"/>
    <n v="52.857142857142854"/>
    <x v="3"/>
    <x v="26"/>
    <x v="9"/>
    <x v="2"/>
  </r>
  <r>
    <s v="815836142332"/>
    <n v="815836"/>
    <s v="RUDRAKSH AUTO PARTS"/>
    <n v="142332"/>
    <s v="SANTOSH KIRANA AND CEMENT"/>
    <n v="0"/>
    <n v="0"/>
    <n v="0"/>
    <n v="0"/>
    <n v="40"/>
    <n v="22.5"/>
    <n v="0"/>
    <n v="62.5"/>
    <n v="8.9285714285714288"/>
    <x v="1"/>
    <x v="26"/>
    <x v="9"/>
    <x v="2"/>
  </r>
  <r>
    <s v="816189144279"/>
    <n v="816189"/>
    <s v="SHANTILAL RAKHABCHAND JAIN"/>
    <n v="144279"/>
    <s v="SHREE PADAMAVATI TRADERS"/>
    <n v="0"/>
    <n v="0"/>
    <n v="0"/>
    <n v="0"/>
    <n v="0"/>
    <n v="50"/>
    <n v="30"/>
    <n v="80"/>
    <n v="11.428571428571429"/>
    <x v="2"/>
    <x v="26"/>
    <x v="9"/>
    <x v="2"/>
  </r>
  <r>
    <s v="809368144447"/>
    <n v="809368"/>
    <s v="ARVIND KIRANA STORE"/>
    <n v="144447"/>
    <s v="PARAS ENTERPRISES"/>
    <n v="25"/>
    <n v="25"/>
    <n v="45"/>
    <n v="59.5"/>
    <n v="62.5"/>
    <n v="37.5"/>
    <n v="30"/>
    <n v="284.5"/>
    <n v="40.642857142857146"/>
    <x v="5"/>
    <x v="26"/>
    <x v="9"/>
    <x v="2"/>
  </r>
  <r>
    <s v="810274144447"/>
    <n v="810274"/>
    <s v="LEHARI VASTU SHASTRA &amp; CONSULT"/>
    <n v="144447"/>
    <s v="PARAS ENTERPRISES"/>
    <n v="20"/>
    <n v="0"/>
    <n v="30"/>
    <n v="30"/>
    <n v="38.5"/>
    <n v="30"/>
    <n v="20"/>
    <n v="168.5"/>
    <n v="24.071428571428573"/>
    <x v="0"/>
    <x v="26"/>
    <x v="9"/>
    <x v="2"/>
  </r>
  <r>
    <s v="812507144447"/>
    <n v="812507"/>
    <s v="MEWAR MILK COLLECTION CENTER"/>
    <n v="144447"/>
    <s v="PARAS ENTERPRISES"/>
    <n v="0"/>
    <n v="0"/>
    <n v="10"/>
    <n v="15"/>
    <n v="20"/>
    <n v="0"/>
    <n v="0"/>
    <n v="45"/>
    <n v="6.4285714285714288"/>
    <x v="1"/>
    <x v="26"/>
    <x v="9"/>
    <x v="2"/>
  </r>
  <r>
    <s v="813647144447"/>
    <n v="813647"/>
    <s v="POOJA CONSTRUCTION"/>
    <n v="144447"/>
    <s v="PARAS ENTERPRISES"/>
    <n v="5"/>
    <n v="2.5"/>
    <n v="10"/>
    <n v="13"/>
    <n v="0"/>
    <n v="0"/>
    <n v="0"/>
    <n v="30.5"/>
    <n v="4.3571428571428568"/>
    <x v="1"/>
    <x v="26"/>
    <x v="9"/>
    <x v="2"/>
  </r>
  <r>
    <s v="815016144447"/>
    <n v="815016"/>
    <s v="MAA TRIPURA CEMENT SUPPLIERS"/>
    <n v="144447"/>
    <s v="PARAS ENTERPRISES"/>
    <n v="10"/>
    <n v="65"/>
    <n v="70"/>
    <n v="33"/>
    <n v="22"/>
    <n v="37.5"/>
    <n v="20"/>
    <n v="257.5"/>
    <n v="36.785714285714285"/>
    <x v="4"/>
    <x v="26"/>
    <x v="9"/>
    <x v="2"/>
  </r>
  <r>
    <s v="809418144747"/>
    <n v="809418"/>
    <s v="HARI OM CONSTRUCTION"/>
    <n v="144747"/>
    <s v="ROOP ENTERPRISES"/>
    <n v="0"/>
    <n v="0"/>
    <n v="35"/>
    <n v="0"/>
    <n v="0"/>
    <n v="0"/>
    <n v="0"/>
    <n v="35"/>
    <n v="5"/>
    <x v="1"/>
    <x v="26"/>
    <x v="9"/>
    <x v="2"/>
  </r>
  <r>
    <s v="814011144747"/>
    <n v="814011"/>
    <s v="BAJRANG BUILDING MATERIALS"/>
    <n v="144747"/>
    <s v="ROOP ENTERPRISES"/>
    <n v="15"/>
    <n v="7"/>
    <n v="80"/>
    <n v="75"/>
    <n v="20"/>
    <n v="0"/>
    <n v="0"/>
    <n v="197"/>
    <n v="28.142857142857142"/>
    <x v="0"/>
    <x v="26"/>
    <x v="9"/>
    <x v="2"/>
  </r>
  <r>
    <s v="814048144747"/>
    <n v="814048"/>
    <s v="JETHOLESHWAR ENTERPRISES"/>
    <n v="144747"/>
    <s v="ROOP ENTERPRISES"/>
    <n v="15"/>
    <n v="192.5"/>
    <n v="190"/>
    <n v="187"/>
    <n v="170.5"/>
    <n v="145.5"/>
    <n v="63.5"/>
    <n v="964"/>
    <n v="137.71428571428572"/>
    <x v="3"/>
    <x v="26"/>
    <x v="9"/>
    <x v="2"/>
  </r>
  <r>
    <s v="815232144747"/>
    <n v="815232"/>
    <s v="FAKHRI ENTERPRISES"/>
    <n v="144747"/>
    <s v="ROOP ENTERPRISES"/>
    <n v="0"/>
    <n v="0"/>
    <n v="35"/>
    <n v="74"/>
    <n v="52"/>
    <n v="69.5"/>
    <n v="20"/>
    <n v="250.5"/>
    <n v="35.785714285714285"/>
    <x v="4"/>
    <x v="26"/>
    <x v="9"/>
    <x v="2"/>
  </r>
  <r>
    <s v="808198144804"/>
    <n v="808198"/>
    <s v="SHIV LAL PRABHU LALAJI PATEL"/>
    <n v="144804"/>
    <s v="MANGAL JI MADHAV JI"/>
    <n v="0"/>
    <n v="0"/>
    <n v="20"/>
    <n v="32.5"/>
    <n v="5"/>
    <n v="20"/>
    <n v="27.5"/>
    <n v="105"/>
    <n v="15"/>
    <x v="2"/>
    <x v="26"/>
    <x v="9"/>
    <x v="2"/>
  </r>
  <r>
    <s v="808792144804"/>
    <n v="808792"/>
    <s v="HONEY TRADERS"/>
    <n v="144804"/>
    <s v="MANGAL JI MADHAV JI"/>
    <n v="0"/>
    <n v="20"/>
    <n v="40"/>
    <n v="27.5"/>
    <n v="27.5"/>
    <n v="31"/>
    <n v="20"/>
    <n v="166"/>
    <n v="23.714285714285715"/>
    <x v="0"/>
    <x v="26"/>
    <x v="9"/>
    <x v="2"/>
  </r>
  <r>
    <s v="813277146910"/>
    <n v="813277"/>
    <s v="KAVITA TRADERS"/>
    <n v="146910"/>
    <s v="KOTHARI KANTILAL SHANKARLAL"/>
    <n v="5"/>
    <n v="20"/>
    <n v="20"/>
    <n v="41"/>
    <n v="7.5"/>
    <n v="25"/>
    <n v="5"/>
    <n v="123.5"/>
    <n v="17.642857142857142"/>
    <x v="2"/>
    <x v="26"/>
    <x v="9"/>
    <x v="2"/>
  </r>
  <r>
    <s v="813279146910"/>
    <n v="813279"/>
    <s v="ASHISH MANISH TRADERS"/>
    <n v="146910"/>
    <s v="KOTHARI KANTILAL SHANKARLAL"/>
    <n v="5"/>
    <n v="10"/>
    <n v="5"/>
    <n v="25"/>
    <n v="22.5"/>
    <n v="45"/>
    <n v="20"/>
    <n v="132.5"/>
    <n v="18.928571428571427"/>
    <x v="2"/>
    <x v="26"/>
    <x v="9"/>
    <x v="2"/>
  </r>
  <r>
    <s v="812757147110"/>
    <n v="812757"/>
    <s v="KALPESH  PATEL"/>
    <n v="147110"/>
    <s v="RAKESH PATEL"/>
    <n v="30"/>
    <n v="35"/>
    <n v="30.5"/>
    <n v="22.5"/>
    <n v="5"/>
    <n v="5"/>
    <n v="0"/>
    <n v="128"/>
    <n v="18.285714285714285"/>
    <x v="2"/>
    <x v="26"/>
    <x v="9"/>
    <x v="2"/>
  </r>
  <r>
    <s v="808310172084"/>
    <n v="808310"/>
    <s v="GOPAL LAL PATIDAR"/>
    <n v="172084"/>
    <s v="PRAJAPATI BUILDING MATERIAL"/>
    <n v="20"/>
    <n v="30"/>
    <n v="65"/>
    <n v="70"/>
    <n v="40"/>
    <n v="20"/>
    <n v="15"/>
    <n v="260"/>
    <n v="37.142857142857146"/>
    <x v="4"/>
    <x v="26"/>
    <x v="9"/>
    <x v="2"/>
  </r>
  <r>
    <s v="810159172084"/>
    <n v="810159"/>
    <s v="MAHADEV BUILDING MATERIAL"/>
    <n v="172084"/>
    <s v="PRAJAPATI BUILDING MATERIAL"/>
    <n v="30"/>
    <n v="80"/>
    <n v="50"/>
    <n v="77.5"/>
    <n v="70"/>
    <n v="41"/>
    <n v="60"/>
    <n v="408.5"/>
    <n v="58.357142857142854"/>
    <x v="3"/>
    <x v="26"/>
    <x v="9"/>
    <x v="2"/>
  </r>
  <r>
    <s v="812267172084"/>
    <n v="812267"/>
    <s v="OM SAI BUILDING MATERIAL &amp; CON"/>
    <n v="172084"/>
    <s v="PRAJAPATI BUILDING MATERIAL"/>
    <n v="135"/>
    <n v="108"/>
    <n v="117"/>
    <n v="132.5"/>
    <n v="65"/>
    <n v="106"/>
    <n v="60"/>
    <n v="723.5"/>
    <n v="103.35714285714286"/>
    <x v="3"/>
    <x v="26"/>
    <x v="9"/>
    <x v="2"/>
  </r>
  <r>
    <s v="814013172084"/>
    <n v="814013"/>
    <s v="MAYAL TRADERS"/>
    <n v="172084"/>
    <s v="PRAJAPATI BUILDING MATERIAL"/>
    <n v="0"/>
    <n v="0"/>
    <n v="0"/>
    <n v="10"/>
    <n v="0"/>
    <n v="15"/>
    <n v="10"/>
    <n v="35"/>
    <n v="5"/>
    <x v="1"/>
    <x v="26"/>
    <x v="9"/>
    <x v="2"/>
  </r>
  <r>
    <s v="814596172084"/>
    <n v="814596"/>
    <s v="MADHAV LAL &amp; SONS"/>
    <n v="172084"/>
    <s v="PRAJAPATI BUILDING MATERIAL"/>
    <n v="50"/>
    <n v="70"/>
    <n v="95"/>
    <n v="89"/>
    <n v="55"/>
    <n v="95"/>
    <n v="50"/>
    <n v="504"/>
    <n v="72"/>
    <x v="3"/>
    <x v="26"/>
    <x v="9"/>
    <x v="2"/>
  </r>
  <r>
    <s v="808552173728"/>
    <n v="808552"/>
    <s v="SAI TRADERS"/>
    <n v="173728"/>
    <s v="LAXMI CEMANT AND BUILDING MATE"/>
    <n v="43"/>
    <n v="57.5"/>
    <n v="25"/>
    <n v="65"/>
    <n v="25"/>
    <n v="103.95"/>
    <n v="8"/>
    <n v="327.45"/>
    <n v="46.778571428571425"/>
    <x v="5"/>
    <x v="26"/>
    <x v="9"/>
    <x v="2"/>
  </r>
  <r>
    <s v="813679173728"/>
    <n v="813679"/>
    <s v="BASANTI TRADERS"/>
    <n v="173728"/>
    <s v="LAXMI CEMANT AND BUILDING MATE"/>
    <n v="41"/>
    <n v="42.5"/>
    <n v="10"/>
    <n v="60"/>
    <n v="30"/>
    <n v="53.5"/>
    <n v="0"/>
    <n v="237"/>
    <n v="33.857142857142854"/>
    <x v="4"/>
    <x v="26"/>
    <x v="9"/>
    <x v="2"/>
  </r>
  <r>
    <s v="815906174377"/>
    <n v="815906"/>
    <s v="SHREEJI CONSTRUCTION"/>
    <n v="174377"/>
    <s v="PATIDAR CEMENT CORPORATION"/>
    <n v="0"/>
    <n v="0"/>
    <n v="0"/>
    <n v="0"/>
    <n v="0"/>
    <n v="42.5"/>
    <n v="18.5"/>
    <n v="61"/>
    <n v="8.7142857142857135"/>
    <x v="1"/>
    <x v="26"/>
    <x v="9"/>
    <x v="2"/>
  </r>
  <r>
    <s v="813060174558"/>
    <n v="813060"/>
    <s v="SHIV SHAKTI TRADERS"/>
    <n v="174558"/>
    <s v="HARI OM MATERIAL SUPPLIERS"/>
    <n v="0"/>
    <n v="0"/>
    <n v="0"/>
    <n v="35"/>
    <n v="44.5"/>
    <n v="27.5"/>
    <n v="0"/>
    <n v="107"/>
    <n v="15.285714285714286"/>
    <x v="2"/>
    <x v="26"/>
    <x v="9"/>
    <x v="2"/>
  </r>
  <r>
    <s v="802210174756"/>
    <n v="802210"/>
    <s v="ANNAPURNA CEMENT SUPPLIERS"/>
    <n v="174756"/>
    <s v="SHAH TRADERS"/>
    <n v="30"/>
    <n v="10"/>
    <n v="25"/>
    <n v="67.5"/>
    <n v="20"/>
    <n v="0"/>
    <n v="15"/>
    <n v="167.5"/>
    <n v="23.928571428571427"/>
    <x v="0"/>
    <x v="26"/>
    <x v="9"/>
    <x v="2"/>
  </r>
  <r>
    <s v="802371174756"/>
    <n v="802371"/>
    <s v="PATIDAR TRADING COMPANY"/>
    <n v="174756"/>
    <s v="SHAH TRADERS"/>
    <n v="12"/>
    <n v="15"/>
    <n v="20"/>
    <n v="56.5"/>
    <n v="35"/>
    <n v="7.5"/>
    <n v="42.5"/>
    <n v="188.5"/>
    <n v="26.928571428571427"/>
    <x v="0"/>
    <x v="26"/>
    <x v="9"/>
    <x v="2"/>
  </r>
  <r>
    <s v="802968174756"/>
    <n v="802968"/>
    <s v="VEER PRAKASH CHOTA LAL JAIN"/>
    <n v="174756"/>
    <s v="SHAH TRADERS"/>
    <n v="15"/>
    <n v="22.5"/>
    <n v="40"/>
    <n v="32.5"/>
    <n v="15"/>
    <n v="23.5"/>
    <n v="20"/>
    <n v="168.5"/>
    <n v="24.071428571428573"/>
    <x v="0"/>
    <x v="26"/>
    <x v="9"/>
    <x v="2"/>
  </r>
  <r>
    <s v="802972174756"/>
    <n v="802972"/>
    <s v="MOHAN LAL PATEL S/O VEL JI PAT"/>
    <n v="174756"/>
    <s v="SHAH TRADERS"/>
    <n v="0"/>
    <n v="17"/>
    <n v="15"/>
    <n v="17.5"/>
    <n v="16"/>
    <n v="10"/>
    <n v="0"/>
    <n v="75.5"/>
    <n v="10.785714285714286"/>
    <x v="2"/>
    <x v="26"/>
    <x v="9"/>
    <x v="2"/>
  </r>
  <r>
    <s v="804050174756"/>
    <n v="804050"/>
    <s v="NILESH TRADERS"/>
    <n v="174756"/>
    <s v="SHAH TRADERS"/>
    <n v="30"/>
    <n v="34.5"/>
    <n v="45"/>
    <n v="70"/>
    <n v="15"/>
    <n v="13"/>
    <n v="25"/>
    <n v="232.5"/>
    <n v="33.214285714285715"/>
    <x v="4"/>
    <x v="26"/>
    <x v="9"/>
    <x v="2"/>
  </r>
  <r>
    <s v="808618174756"/>
    <n v="808618"/>
    <s v="HAVCHAND KALAL"/>
    <n v="174756"/>
    <s v="SHAH TRADERS"/>
    <n v="30"/>
    <n v="12"/>
    <n v="50"/>
    <n v="26"/>
    <n v="30"/>
    <n v="12"/>
    <n v="7.5"/>
    <n v="167.5"/>
    <n v="23.928571428571427"/>
    <x v="0"/>
    <x v="26"/>
    <x v="9"/>
    <x v="2"/>
  </r>
  <r>
    <s v="808894174756"/>
    <n v="808894"/>
    <s v="POPATLAL KALAL"/>
    <n v="174756"/>
    <s v="SHAH TRADERS"/>
    <n v="23.5"/>
    <n v="25"/>
    <n v="45"/>
    <n v="38.5"/>
    <n v="15"/>
    <n v="14"/>
    <n v="0"/>
    <n v="161"/>
    <n v="23"/>
    <x v="0"/>
    <x v="26"/>
    <x v="9"/>
    <x v="2"/>
  </r>
  <r>
    <s v="809420174756"/>
    <n v="809420"/>
    <s v="HITESH KALAL"/>
    <n v="174756"/>
    <s v="SHAH TRADERS"/>
    <n v="0"/>
    <n v="15"/>
    <n v="38"/>
    <n v="45"/>
    <n v="15"/>
    <n v="17.5"/>
    <n v="12"/>
    <n v="142.5"/>
    <n v="20.357142857142858"/>
    <x v="0"/>
    <x v="26"/>
    <x v="9"/>
    <x v="2"/>
  </r>
  <r>
    <s v="811047174756"/>
    <n v="811047"/>
    <s v="RAI SINGH AND SANTOSH KUNWAR"/>
    <n v="174756"/>
    <s v="SHAH TRADERS"/>
    <n v="25"/>
    <n v="35"/>
    <n v="66.25"/>
    <n v="26"/>
    <n v="35"/>
    <n v="22.5"/>
    <n v="47.5"/>
    <n v="257.25"/>
    <n v="36.75"/>
    <x v="4"/>
    <x v="26"/>
    <x v="9"/>
    <x v="2"/>
  </r>
  <r>
    <s v="812317174756"/>
    <n v="812317"/>
    <s v="AMRIT LAL SUTHAR"/>
    <n v="174756"/>
    <s v="SHAH TRADERS"/>
    <n v="10"/>
    <n v="25"/>
    <n v="45"/>
    <n v="73.5"/>
    <n v="30"/>
    <n v="27"/>
    <n v="17.5"/>
    <n v="228"/>
    <n v="32.571428571428569"/>
    <x v="4"/>
    <x v="26"/>
    <x v="9"/>
    <x v="2"/>
  </r>
  <r>
    <s v="815837174756"/>
    <n v="815837"/>
    <s v="AANJANA MATERIAL SUPPLIERS"/>
    <n v="174756"/>
    <s v="SHAH TRADERS"/>
    <n v="0"/>
    <n v="0"/>
    <n v="0"/>
    <n v="0"/>
    <n v="5"/>
    <n v="3"/>
    <n v="0"/>
    <n v="8"/>
    <n v="1.1428571428571428"/>
    <x v="1"/>
    <x v="26"/>
    <x v="9"/>
    <x v="2"/>
  </r>
  <r>
    <s v="813302177092"/>
    <n v="813302"/>
    <s v="KHUSHI ENTERPRISE"/>
    <n v="177092"/>
    <s v="RAJARAM BUILDING AND ELECTRICA"/>
    <n v="10"/>
    <n v="0"/>
    <n v="0"/>
    <n v="0"/>
    <n v="0"/>
    <n v="0"/>
    <n v="0"/>
    <n v="10"/>
    <n v="1.4285714285714286"/>
    <x v="1"/>
    <x v="26"/>
    <x v="9"/>
    <x v="2"/>
  </r>
  <r>
    <s v="813303177092"/>
    <n v="813303"/>
    <s v="MAHADEV ELECTRICALS"/>
    <n v="177092"/>
    <s v="RAJARAM BUILDING AND ELECTRICA"/>
    <n v="10"/>
    <n v="0"/>
    <n v="0"/>
    <n v="0"/>
    <n v="0"/>
    <n v="30"/>
    <n v="27.5"/>
    <n v="67.5"/>
    <n v="9.6428571428571423"/>
    <x v="1"/>
    <x v="26"/>
    <x v="9"/>
    <x v="2"/>
  </r>
  <r>
    <s v="813651178223"/>
    <n v="813651"/>
    <s v="JAI KALYAN PASHU AAHAR &amp; BUILD"/>
    <n v="178223"/>
    <s v="M V TRADERS"/>
    <n v="0"/>
    <n v="0"/>
    <n v="20"/>
    <n v="35"/>
    <n v="10"/>
    <n v="0"/>
    <n v="0"/>
    <n v="65"/>
    <n v="9.2857142857142865"/>
    <x v="1"/>
    <x v="26"/>
    <x v="9"/>
    <x v="2"/>
  </r>
  <r>
    <s v="805828178818"/>
    <n v="805828"/>
    <s v="THOBJI PATIDAR"/>
    <n v="178818"/>
    <s v="SHIV CORPORATION"/>
    <n v="0"/>
    <n v="0"/>
    <n v="0"/>
    <n v="0"/>
    <n v="10"/>
    <n v="10"/>
    <n v="0"/>
    <n v="20"/>
    <n v="2.8571428571428572"/>
    <x v="1"/>
    <x v="26"/>
    <x v="9"/>
    <x v="2"/>
  </r>
  <r>
    <s v="810841179755"/>
    <n v="810841"/>
    <s v="RAKESH STONE SUPPLIERS"/>
    <n v="179755"/>
    <s v="R &amp; K ENTERPRISES"/>
    <n v="20"/>
    <n v="35"/>
    <n v="55"/>
    <n v="75"/>
    <n v="77"/>
    <n v="40"/>
    <n v="35"/>
    <n v="337"/>
    <n v="48.142857142857146"/>
    <x v="5"/>
    <x v="26"/>
    <x v="9"/>
    <x v="2"/>
  </r>
  <r>
    <s v="813674179755"/>
    <n v="813674"/>
    <s v="BHAVIKA TRADERS"/>
    <n v="179755"/>
    <s v="R &amp; K ENTERPRISES"/>
    <n v="12"/>
    <n v="25"/>
    <n v="50"/>
    <n v="55"/>
    <n v="20"/>
    <n v="0"/>
    <n v="10"/>
    <n v="172"/>
    <n v="24.571428571428573"/>
    <x v="0"/>
    <x v="26"/>
    <x v="9"/>
    <x v="2"/>
  </r>
  <r>
    <s v="813834179755"/>
    <n v="813834"/>
    <s v="SIDDHI VINAYAK TIMBER AND KARS"/>
    <n v="179755"/>
    <s v="R &amp; K ENTERPRISES"/>
    <n v="0"/>
    <n v="43.5"/>
    <n v="85"/>
    <n v="30"/>
    <n v="27.5"/>
    <n v="16"/>
    <n v="30"/>
    <n v="232"/>
    <n v="33.142857142857146"/>
    <x v="4"/>
    <x v="26"/>
    <x v="9"/>
    <x v="2"/>
  </r>
  <r>
    <s v="814603179755"/>
    <n v="814603"/>
    <s v="NILKANTH CONSTRUCTION"/>
    <n v="179755"/>
    <s v="R &amp; K ENTERPRISES"/>
    <n v="10"/>
    <n v="0"/>
    <n v="30"/>
    <n v="30"/>
    <n v="22.5"/>
    <n v="35"/>
    <n v="24"/>
    <n v="151.5"/>
    <n v="21.642857142857142"/>
    <x v="0"/>
    <x v="26"/>
    <x v="9"/>
    <x v="2"/>
  </r>
  <r>
    <s v="814013202709"/>
    <n v="814013"/>
    <s v="MAYAL TRADERS"/>
    <n v="202709"/>
    <s v="GAYATRI TRADING COMPANY"/>
    <n v="32"/>
    <n v="15"/>
    <n v="0"/>
    <n v="0"/>
    <n v="0"/>
    <n v="20"/>
    <n v="0"/>
    <n v="67"/>
    <n v="9.5714285714285712"/>
    <x v="1"/>
    <x v="26"/>
    <x v="9"/>
    <x v="2"/>
  </r>
  <r>
    <s v="803954202842"/>
    <n v="803954"/>
    <s v="BHAGYA LAXMI TRADERS"/>
    <n v="202842"/>
    <s v="M.R.TRADING COMPANY"/>
    <n v="0"/>
    <n v="10"/>
    <n v="0"/>
    <n v="0"/>
    <n v="0"/>
    <n v="0"/>
    <n v="0"/>
    <n v="10"/>
    <n v="1.4285714285714286"/>
    <x v="1"/>
    <x v="26"/>
    <x v="9"/>
    <x v="2"/>
  </r>
  <r>
    <s v="808312202842"/>
    <n v="808312"/>
    <s v="BHOGI LAL SUKH LAL JAIN"/>
    <n v="202842"/>
    <s v="M.R.TRADING COMPANY"/>
    <n v="70"/>
    <n v="51"/>
    <n v="88"/>
    <n v="85"/>
    <n v="80"/>
    <n v="89.7"/>
    <n v="25"/>
    <n v="488.7"/>
    <n v="69.814285714285717"/>
    <x v="3"/>
    <x v="26"/>
    <x v="9"/>
    <x v="2"/>
  </r>
  <r>
    <s v="808928202842"/>
    <n v="808928"/>
    <s v="KUMKUM KIRANA STORE"/>
    <n v="202842"/>
    <s v="M.R.TRADING COMPANY"/>
    <n v="30"/>
    <n v="52"/>
    <n v="100"/>
    <n v="52.5"/>
    <n v="60"/>
    <n v="96.5"/>
    <n v="25"/>
    <n v="416"/>
    <n v="59.428571428571431"/>
    <x v="3"/>
    <x v="26"/>
    <x v="9"/>
    <x v="2"/>
  </r>
  <r>
    <s v="813105202842"/>
    <n v="813105"/>
    <s v="OM SAI KIRANA AND GENERAL STOR"/>
    <n v="202842"/>
    <s v="M.R.TRADING COMPANY"/>
    <n v="0"/>
    <n v="0"/>
    <n v="14"/>
    <n v="39.5"/>
    <n v="45"/>
    <n v="57.5"/>
    <n v="20"/>
    <n v="176"/>
    <n v="25.142857142857142"/>
    <x v="0"/>
    <x v="26"/>
    <x v="9"/>
    <x v="2"/>
  </r>
  <r>
    <s v="808895202881"/>
    <n v="808895"/>
    <s v="TOLACHAND KALAL"/>
    <n v="202881"/>
    <s v="MS SANITARY &amp; PAINTS"/>
    <n v="0"/>
    <n v="0"/>
    <n v="20"/>
    <n v="0"/>
    <n v="0"/>
    <n v="0"/>
    <n v="0"/>
    <n v="20"/>
    <n v="2.8571428571428572"/>
    <x v="1"/>
    <x v="26"/>
    <x v="9"/>
    <x v="2"/>
  </r>
  <r>
    <s v="811254202881"/>
    <n v="811254"/>
    <s v="BHARAT LAL PATIDAR"/>
    <n v="202881"/>
    <s v="MS SANITARY &amp; PAINTS"/>
    <n v="0"/>
    <n v="0"/>
    <n v="20"/>
    <n v="0"/>
    <n v="0"/>
    <n v="0"/>
    <n v="0"/>
    <n v="20"/>
    <n v="2.8571428571428572"/>
    <x v="1"/>
    <x v="26"/>
    <x v="9"/>
    <x v="2"/>
  </r>
  <r>
    <s v="814141202881"/>
    <n v="814141"/>
    <s v="NEW SB HARDWARE AND BUILDING M"/>
    <n v="202881"/>
    <s v="MS SANITARY &amp; PAINTS"/>
    <n v="55"/>
    <n v="34"/>
    <n v="35"/>
    <n v="68.5"/>
    <n v="122"/>
    <n v="30"/>
    <n v="50"/>
    <n v="394.5"/>
    <n v="56.357142857142854"/>
    <x v="3"/>
    <x v="26"/>
    <x v="9"/>
    <x v="2"/>
  </r>
  <r>
    <s v="812267203330"/>
    <n v="812267"/>
    <s v="OM SAI BUILDING MATERIAL &amp; CON"/>
    <n v="203330"/>
    <s v="VIKAS TRADING COMPANY"/>
    <n v="35"/>
    <n v="0"/>
    <n v="0"/>
    <n v="0"/>
    <n v="0"/>
    <n v="0"/>
    <n v="0"/>
    <n v="35"/>
    <n v="5"/>
    <x v="1"/>
    <x v="26"/>
    <x v="9"/>
    <x v="2"/>
  </r>
  <r>
    <s v="814013204933"/>
    <n v="814013"/>
    <s v="MAYAL TRADERS"/>
    <n v="204933"/>
    <s v="KUTUBUDDIN FAKHRUDDIN EZZY"/>
    <n v="0"/>
    <n v="0"/>
    <n v="0"/>
    <n v="11"/>
    <n v="0"/>
    <n v="0"/>
    <n v="0"/>
    <n v="11"/>
    <n v="1.5714285714285714"/>
    <x v="1"/>
    <x v="26"/>
    <x v="9"/>
    <x v="2"/>
  </r>
  <r>
    <s v="805828208066"/>
    <n v="805828"/>
    <s v="THOBJI PATIDAR"/>
    <n v="208066"/>
    <s v="SHIV CORPORATION"/>
    <n v="10"/>
    <n v="25"/>
    <n v="60"/>
    <n v="50"/>
    <n v="34"/>
    <n v="44"/>
    <n v="38.5"/>
    <n v="261.5"/>
    <n v="37.357142857142854"/>
    <x v="4"/>
    <x v="26"/>
    <x v="9"/>
    <x v="2"/>
  </r>
  <r>
    <s v="811254208066"/>
    <n v="811254"/>
    <s v="BHARAT LAL PATIDAR"/>
    <n v="208066"/>
    <s v="SHIV CORPORATION"/>
    <n v="0"/>
    <n v="0"/>
    <n v="0"/>
    <n v="0"/>
    <n v="9.5"/>
    <n v="16"/>
    <n v="5"/>
    <n v="30.5"/>
    <n v="4.3571428571428568"/>
    <x v="1"/>
    <x v="26"/>
    <x v="9"/>
    <x v="2"/>
  </r>
  <r>
    <s v="816501119050"/>
    <n v="816501"/>
    <s v="AMBIKA CONSTRUCTION &amp; BUILDING"/>
    <n v="119050"/>
    <s v="RAJASTHAN CEMENT CORPORATION"/>
    <n v="0"/>
    <n v="0"/>
    <n v="0"/>
    <n v="0"/>
    <n v="0"/>
    <n v="15"/>
    <n v="0"/>
    <n v="15"/>
    <n v="2.1428571428571428"/>
    <x v="1"/>
    <x v="26"/>
    <x v="9"/>
    <x v="2"/>
  </r>
  <r>
    <s v="813834146402"/>
    <n v="813834"/>
    <s v="SIDDHI VINAYAK TIMBER AND KARS"/>
    <n v="146402"/>
    <s v="VIJAY KUMAR AJIT PRASAD"/>
    <n v="0"/>
    <n v="0"/>
    <n v="0"/>
    <n v="0"/>
    <n v="0"/>
    <n v="0"/>
    <n v="10"/>
    <n v="10"/>
    <n v="1.4285714285714286"/>
    <x v="1"/>
    <x v="26"/>
    <x v="9"/>
    <x v="2"/>
  </r>
  <r>
    <s v="816324146910"/>
    <n v="816324"/>
    <s v="MRP CONSTRUCTION AND SUPPLIERS"/>
    <n v="146910"/>
    <s v="KOTHARI KANTILAL SHANKARLAL"/>
    <n v="0"/>
    <n v="0"/>
    <n v="0"/>
    <n v="0"/>
    <n v="0"/>
    <n v="0"/>
    <n v="5"/>
    <n v="5"/>
    <n v="0.7142857142857143"/>
    <x v="1"/>
    <x v="26"/>
    <x v="9"/>
    <x v="2"/>
  </r>
  <r>
    <s v="812617173298"/>
    <n v="812617"/>
    <s v="SHREE GIRRAJ JI TRADERS"/>
    <n v="173298"/>
    <s v="RAKHI AGRO SALES"/>
    <n v="20"/>
    <n v="70"/>
    <n v="40"/>
    <n v="30"/>
    <n v="20"/>
    <n v="40"/>
    <n v="0"/>
    <n v="220"/>
    <n v="31.428571428571427"/>
    <x v="4"/>
    <x v="27"/>
    <x v="10"/>
    <x v="2"/>
  </r>
  <r>
    <s v="814693173298"/>
    <n v="814693"/>
    <s v="DOLI NAGAR ENTERPRISES"/>
    <n v="173298"/>
    <s v="RAKHI AGRO SALES"/>
    <n v="50"/>
    <n v="0"/>
    <n v="40"/>
    <n v="95"/>
    <n v="40"/>
    <n v="10"/>
    <n v="20"/>
    <n v="255"/>
    <n v="36.428571428571431"/>
    <x v="4"/>
    <x v="27"/>
    <x v="10"/>
    <x v="2"/>
  </r>
  <r>
    <s v="815314173298"/>
    <n v="815314"/>
    <s v="GIRIRAJ PRASAD NAGAR"/>
    <n v="173298"/>
    <s v="RAKHI AGRO SALES"/>
    <n v="0"/>
    <n v="0"/>
    <n v="0"/>
    <n v="0"/>
    <n v="30"/>
    <n v="20"/>
    <n v="20"/>
    <n v="70"/>
    <n v="10"/>
    <x v="2"/>
    <x v="27"/>
    <x v="10"/>
    <x v="2"/>
  </r>
  <r>
    <s v="815819173298"/>
    <n v="815819"/>
    <s v="HEMANT"/>
    <n v="173298"/>
    <s v="RAKHI AGRO SALES"/>
    <n v="0"/>
    <n v="0"/>
    <n v="0"/>
    <n v="0"/>
    <n v="30"/>
    <n v="70"/>
    <n v="60"/>
    <n v="160"/>
    <n v="22.857142857142858"/>
    <x v="0"/>
    <x v="27"/>
    <x v="10"/>
    <x v="2"/>
  </r>
  <r>
    <s v="811681173611"/>
    <n v="811681"/>
    <s v="DHAKER CEMENT AGENCY"/>
    <n v="173611"/>
    <s v="AMBIKA TRADERS"/>
    <n v="10"/>
    <n v="0"/>
    <n v="0"/>
    <n v="0"/>
    <n v="0"/>
    <n v="0"/>
    <n v="10"/>
    <n v="20"/>
    <n v="2.8571428571428572"/>
    <x v="1"/>
    <x v="27"/>
    <x v="10"/>
    <x v="2"/>
  </r>
  <r>
    <s v="811897173611"/>
    <n v="811897"/>
    <s v="SHREE DHAKAD BUILDING MATERIAL"/>
    <n v="173611"/>
    <s v="AMBIKA TRADERS"/>
    <n v="10"/>
    <n v="0"/>
    <n v="35"/>
    <n v="20"/>
    <n v="0"/>
    <n v="40"/>
    <n v="0"/>
    <n v="105"/>
    <n v="15"/>
    <x v="2"/>
    <x v="27"/>
    <x v="10"/>
    <x v="2"/>
  </r>
  <r>
    <s v="814507173611"/>
    <n v="814507"/>
    <s v="RAJARAM KUMAWAT"/>
    <n v="173611"/>
    <s v="AMBIKA TRADERS"/>
    <n v="30"/>
    <n v="10"/>
    <n v="0"/>
    <n v="10"/>
    <n v="0"/>
    <n v="0"/>
    <n v="10"/>
    <n v="60"/>
    <n v="8.5714285714285712"/>
    <x v="1"/>
    <x v="27"/>
    <x v="10"/>
    <x v="2"/>
  </r>
  <r>
    <s v="807305173865"/>
    <n v="807305"/>
    <s v="SUMAN CEMENT AGENCY"/>
    <n v="173865"/>
    <s v="BHARDWAJ TRADERS"/>
    <n v="0"/>
    <n v="0"/>
    <n v="20"/>
    <n v="25"/>
    <n v="0"/>
    <n v="0"/>
    <n v="0"/>
    <n v="45"/>
    <n v="6.4285714285714288"/>
    <x v="1"/>
    <x v="27"/>
    <x v="10"/>
    <x v="2"/>
  </r>
  <r>
    <s v="813099173865"/>
    <n v="813099"/>
    <s v="MAHADEV CEMENT AGENCY"/>
    <n v="173865"/>
    <s v="BHARDWAJ TRADERS"/>
    <n v="20"/>
    <n v="20"/>
    <n v="65"/>
    <n v="20"/>
    <n v="0"/>
    <n v="20"/>
    <n v="10"/>
    <n v="155"/>
    <n v="22.142857142857142"/>
    <x v="0"/>
    <x v="27"/>
    <x v="10"/>
    <x v="2"/>
  </r>
  <r>
    <s v="813101173865"/>
    <n v="813101"/>
    <s v="KRISHNA VATAR"/>
    <n v="173865"/>
    <s v="BHARDWAJ TRADERS"/>
    <n v="0"/>
    <n v="0"/>
    <n v="0"/>
    <n v="25"/>
    <n v="0"/>
    <n v="0"/>
    <n v="0"/>
    <n v="25"/>
    <n v="3.5714285714285716"/>
    <x v="1"/>
    <x v="27"/>
    <x v="10"/>
    <x v="2"/>
  </r>
  <r>
    <s v="813118173865"/>
    <n v="813118"/>
    <s v="SHUBH DEEP KRISHI MANDIR"/>
    <n v="173865"/>
    <s v="BHARDWAJ TRADERS"/>
    <n v="20"/>
    <n v="0"/>
    <n v="18.5"/>
    <n v="25"/>
    <n v="0"/>
    <n v="0"/>
    <n v="0"/>
    <n v="63.5"/>
    <n v="9.0714285714285712"/>
    <x v="1"/>
    <x v="27"/>
    <x v="10"/>
    <x v="2"/>
  </r>
  <r>
    <s v="815635173865"/>
    <n v="815635"/>
    <s v="MAHENDRA KUMAR"/>
    <n v="173865"/>
    <s v="BHARDWAJ TRADERS"/>
    <n v="0"/>
    <n v="0"/>
    <n v="0"/>
    <n v="42"/>
    <n v="40"/>
    <n v="0"/>
    <n v="35"/>
    <n v="117"/>
    <n v="16.714285714285715"/>
    <x v="2"/>
    <x v="27"/>
    <x v="10"/>
    <x v="2"/>
  </r>
  <r>
    <s v="811093176844"/>
    <n v="811093"/>
    <s v="YOGENDRA GOYAL"/>
    <n v="176844"/>
    <s v="MITTAL BUILDING MATERIAL"/>
    <n v="0"/>
    <n v="20"/>
    <n v="60"/>
    <n v="55"/>
    <n v="20"/>
    <n v="20"/>
    <n v="32"/>
    <n v="207"/>
    <n v="29.571428571428573"/>
    <x v="0"/>
    <x v="27"/>
    <x v="10"/>
    <x v="2"/>
  </r>
  <r>
    <s v="811165176844"/>
    <n v="811165"/>
    <s v="ROHIT KUMAR MITTAL"/>
    <n v="176844"/>
    <s v="MITTAL BUILDING MATERIAL"/>
    <n v="0"/>
    <n v="30"/>
    <n v="30"/>
    <n v="67"/>
    <n v="15"/>
    <n v="47"/>
    <n v="20"/>
    <n v="209"/>
    <n v="29.857142857142858"/>
    <x v="0"/>
    <x v="27"/>
    <x v="10"/>
    <x v="2"/>
  </r>
  <r>
    <s v="811681177425"/>
    <n v="811681"/>
    <s v="DHAKER CEMENT AGENCY"/>
    <n v="177425"/>
    <s v="KRISHNA FERTILIZERS"/>
    <n v="75"/>
    <n v="0"/>
    <n v="52"/>
    <n v="45"/>
    <n v="10"/>
    <n v="20"/>
    <n v="10"/>
    <n v="212"/>
    <n v="30.285714285714285"/>
    <x v="4"/>
    <x v="27"/>
    <x v="10"/>
    <x v="2"/>
  </r>
  <r>
    <s v="814539201654"/>
    <n v="814539"/>
    <s v="ARIHANT TRADERS"/>
    <n v="201654"/>
    <s v="GARG TRADERS"/>
    <n v="10"/>
    <n v="70"/>
    <n v="20"/>
    <n v="0"/>
    <n v="0"/>
    <n v="0"/>
    <n v="0"/>
    <n v="100"/>
    <n v="14.285714285714286"/>
    <x v="2"/>
    <x v="27"/>
    <x v="10"/>
    <x v="2"/>
  </r>
  <r>
    <s v="812723202980"/>
    <n v="812723"/>
    <s v="MAHAVEER MEHTA"/>
    <n v="202980"/>
    <s v="KAPIL TRADERS"/>
    <n v="147"/>
    <n v="126"/>
    <n v="146.5"/>
    <n v="154"/>
    <n v="0"/>
    <n v="0"/>
    <n v="0"/>
    <n v="573.5"/>
    <n v="81.928571428571431"/>
    <x v="3"/>
    <x v="27"/>
    <x v="10"/>
    <x v="2"/>
  </r>
  <r>
    <s v="815503202980"/>
    <n v="815503"/>
    <s v="JAY NARAYAN NAGAR"/>
    <n v="202980"/>
    <s v="KAPIL TRADERS"/>
    <n v="0"/>
    <n v="0"/>
    <n v="0"/>
    <n v="35"/>
    <n v="0"/>
    <n v="20"/>
    <n v="15"/>
    <n v="70"/>
    <n v="10"/>
    <x v="2"/>
    <x v="27"/>
    <x v="10"/>
    <x v="2"/>
  </r>
  <r>
    <s v="815822202980"/>
    <n v="815822"/>
    <s v="BAJRANG TILES &amp; SANITARY"/>
    <n v="202980"/>
    <s v="KAPIL TRADERS"/>
    <n v="0"/>
    <n v="0"/>
    <n v="0"/>
    <n v="0"/>
    <n v="0"/>
    <n v="41.95"/>
    <n v="42"/>
    <n v="83.95"/>
    <n v="11.992857142857144"/>
    <x v="2"/>
    <x v="27"/>
    <x v="10"/>
    <x v="2"/>
  </r>
  <r>
    <s v="814693204304"/>
    <n v="814693"/>
    <s v="DOLI NAGAR ENTERPRISES"/>
    <n v="204304"/>
    <s v="SHREE KRISHNA FERTILIZERS KRIS"/>
    <n v="0"/>
    <n v="0"/>
    <n v="0"/>
    <n v="0"/>
    <n v="0"/>
    <n v="34"/>
    <n v="0"/>
    <n v="34"/>
    <n v="4.8571428571428568"/>
    <x v="1"/>
    <x v="27"/>
    <x v="10"/>
    <x v="2"/>
  </r>
  <r>
    <s v="814992205620"/>
    <n v="814992"/>
    <s v="KANHIYA LAL"/>
    <n v="205620"/>
    <s v="NISHANT JAISWAL"/>
    <n v="0"/>
    <n v="0"/>
    <n v="0"/>
    <n v="5.25"/>
    <n v="0"/>
    <n v="0"/>
    <n v="0"/>
    <n v="5.25"/>
    <n v="0.75"/>
    <x v="1"/>
    <x v="27"/>
    <x v="10"/>
    <x v="2"/>
  </r>
  <r>
    <s v="814978207895"/>
    <n v="814978"/>
    <s v="SHRI RAM KRISHI SEVA KENDRA"/>
    <n v="207895"/>
    <s v="NISHANT ASSOCIATES"/>
    <n v="45"/>
    <n v="80"/>
    <n v="0"/>
    <n v="0"/>
    <n v="0"/>
    <n v="0"/>
    <n v="0"/>
    <n v="125"/>
    <n v="17.857142857142858"/>
    <x v="2"/>
    <x v="27"/>
    <x v="10"/>
    <x v="2"/>
  </r>
  <r>
    <s v="814992207895"/>
    <n v="814992"/>
    <s v="KANHIYA LAL"/>
    <n v="207895"/>
    <s v="NISHANT ASSOCIATES"/>
    <n v="331"/>
    <n v="434.5"/>
    <n v="284"/>
    <n v="158.75"/>
    <n v="30"/>
    <n v="223"/>
    <n v="33"/>
    <n v="1494.25"/>
    <n v="213.46428571428572"/>
    <x v="3"/>
    <x v="27"/>
    <x v="10"/>
    <x v="2"/>
  </r>
  <r>
    <s v="815027207895"/>
    <n v="815027"/>
    <s v="JAGDISH PRASAD MEWARA"/>
    <n v="207895"/>
    <s v="NISHANT ASSOCIATES"/>
    <n v="0"/>
    <n v="215.5"/>
    <n v="374.5"/>
    <n v="342.25"/>
    <n v="370.5"/>
    <n v="171.25"/>
    <n v="40"/>
    <n v="1514"/>
    <n v="216.28571428571428"/>
    <x v="3"/>
    <x v="27"/>
    <x v="10"/>
    <x v="2"/>
  </r>
  <r>
    <s v="815438208284"/>
    <n v="815438"/>
    <s v="RAMDEV GOCHAR"/>
    <n v="208284"/>
    <s v="SHREE AMAN TRADERS"/>
    <n v="0"/>
    <n v="0"/>
    <n v="0"/>
    <n v="21.5"/>
    <n v="10"/>
    <n v="10"/>
    <n v="0"/>
    <n v="41.5"/>
    <n v="5.9285714285714288"/>
    <x v="1"/>
    <x v="27"/>
    <x v="10"/>
    <x v="2"/>
  </r>
  <r>
    <s v="815905201654"/>
    <n v="815905"/>
    <s v="RAM SHWROOP GOSWAMI"/>
    <n v="201654"/>
    <s v="GARG TRADERS"/>
    <n v="0"/>
    <n v="0"/>
    <n v="0"/>
    <n v="0"/>
    <n v="0"/>
    <n v="0"/>
    <n v="67.5"/>
    <n v="67.5"/>
    <n v="9.6428571428571423"/>
    <x v="1"/>
    <x v="27"/>
    <x v="10"/>
    <x v="2"/>
  </r>
  <r>
    <s v="804888143113"/>
    <n v="804888"/>
    <s v="DEV TRADERS"/>
    <n v="143113"/>
    <s v="SHREE RADHE GOPAL TRDERS"/>
    <n v="43"/>
    <n v="105"/>
    <n v="95"/>
    <n v="136"/>
    <n v="152"/>
    <n v="158"/>
    <n v="109"/>
    <n v="798"/>
    <n v="114"/>
    <x v="3"/>
    <x v="28"/>
    <x v="10"/>
    <x v="2"/>
  </r>
  <r>
    <s v="807812143113"/>
    <n v="807812"/>
    <s v="SUWALKA CEMENT AGENCY"/>
    <n v="143113"/>
    <s v="SHREE RADHE GOPAL TRDERS"/>
    <n v="15"/>
    <n v="45"/>
    <n v="42"/>
    <n v="10"/>
    <n v="40"/>
    <n v="35"/>
    <n v="61"/>
    <n v="248"/>
    <n v="35.428571428571431"/>
    <x v="4"/>
    <x v="28"/>
    <x v="10"/>
    <x v="2"/>
  </r>
  <r>
    <s v="813022143113"/>
    <n v="813022"/>
    <s v="SHREE DEV TRADERS"/>
    <n v="143113"/>
    <s v="SHREE RADHE GOPAL TRDERS"/>
    <n v="22"/>
    <n v="0"/>
    <n v="0"/>
    <n v="0"/>
    <n v="0"/>
    <n v="0"/>
    <n v="0"/>
    <n v="22"/>
    <n v="3.1428571428571428"/>
    <x v="1"/>
    <x v="28"/>
    <x v="10"/>
    <x v="2"/>
  </r>
  <r>
    <s v="804746143114"/>
    <n v="804746"/>
    <s v="RANG LAL CONTRACTOR"/>
    <n v="143114"/>
    <s v="RAJESH TRADING COMPANY"/>
    <n v="45"/>
    <n v="10"/>
    <n v="20"/>
    <n v="13.5"/>
    <n v="20"/>
    <n v="5"/>
    <n v="0"/>
    <n v="113.5"/>
    <n v="16.214285714285715"/>
    <x v="2"/>
    <x v="28"/>
    <x v="10"/>
    <x v="2"/>
  </r>
  <r>
    <s v="804992143114"/>
    <n v="804992"/>
    <s v="SHRI GANPATI CONSTRUCTION &amp; BU"/>
    <n v="143114"/>
    <s v="RAJESH TRADING COMPANY"/>
    <n v="0"/>
    <n v="15"/>
    <n v="0"/>
    <n v="12.75"/>
    <n v="5"/>
    <n v="13"/>
    <n v="0"/>
    <n v="45.75"/>
    <n v="6.5357142857142856"/>
    <x v="1"/>
    <x v="28"/>
    <x v="10"/>
    <x v="2"/>
  </r>
  <r>
    <s v="807490143114"/>
    <n v="807490"/>
    <s v="MAA AASHAPALA CONSTRUCTION COM"/>
    <n v="143114"/>
    <s v="RAJESH TRADING COMPANY"/>
    <n v="0"/>
    <n v="0"/>
    <n v="0"/>
    <n v="0"/>
    <n v="0"/>
    <n v="7"/>
    <n v="0"/>
    <n v="7"/>
    <n v="1"/>
    <x v="1"/>
    <x v="28"/>
    <x v="10"/>
    <x v="2"/>
  </r>
  <r>
    <s v="808732143114"/>
    <n v="808732"/>
    <s v="MAA BHAGWATI CONSTRUCTION"/>
    <n v="143114"/>
    <s v="RAJESH TRADING COMPANY"/>
    <n v="86"/>
    <n v="50"/>
    <n v="60.95"/>
    <n v="26.5"/>
    <n v="37.5"/>
    <n v="76"/>
    <n v="55"/>
    <n v="391.95"/>
    <n v="55.99285714285714"/>
    <x v="3"/>
    <x v="28"/>
    <x v="10"/>
    <x v="2"/>
  </r>
  <r>
    <s v="811088143114"/>
    <n v="811088"/>
    <s v="DEVENDRA KUMAR JAIN"/>
    <n v="143114"/>
    <s v="RAJESH TRADING COMPANY"/>
    <n v="53"/>
    <n v="15"/>
    <n v="95.5"/>
    <n v="102.5"/>
    <n v="87.5"/>
    <n v="70"/>
    <n v="15"/>
    <n v="438.5"/>
    <n v="62.642857142857146"/>
    <x v="3"/>
    <x v="28"/>
    <x v="10"/>
    <x v="2"/>
  </r>
  <r>
    <s v="811588143114"/>
    <n v="811588"/>
    <s v="SATYA NARAYAN NAMA"/>
    <n v="143114"/>
    <s v="RAJESH TRADING COMPANY"/>
    <n v="0"/>
    <n v="0"/>
    <n v="20"/>
    <n v="0"/>
    <n v="0"/>
    <n v="0"/>
    <n v="0"/>
    <n v="20"/>
    <n v="2.8571428571428572"/>
    <x v="1"/>
    <x v="28"/>
    <x v="10"/>
    <x v="2"/>
  </r>
  <r>
    <s v="811891143114"/>
    <n v="811891"/>
    <s v="SHRI DEV CONTRACTOR"/>
    <n v="143114"/>
    <s v="RAJESH TRADING COMPANY"/>
    <n v="0"/>
    <n v="0"/>
    <n v="0"/>
    <n v="0"/>
    <n v="7"/>
    <n v="7"/>
    <n v="0"/>
    <n v="14"/>
    <n v="2"/>
    <x v="1"/>
    <x v="28"/>
    <x v="10"/>
    <x v="2"/>
  </r>
  <r>
    <s v="815275143114"/>
    <n v="815275"/>
    <s v="MEHTA TRADERS"/>
    <n v="143114"/>
    <s v="RAJESH TRADING COMPANY"/>
    <n v="0"/>
    <n v="0"/>
    <n v="0"/>
    <n v="4.5"/>
    <n v="0"/>
    <n v="2"/>
    <n v="0"/>
    <n v="6.5"/>
    <n v="0.9285714285714286"/>
    <x v="1"/>
    <x v="28"/>
    <x v="10"/>
    <x v="2"/>
  </r>
  <r>
    <s v="804365143148"/>
    <n v="804365"/>
    <s v="NAVEEN CEMENT AGENCY"/>
    <n v="143148"/>
    <s v="R.N. YADAV ARA MACHINE"/>
    <n v="15"/>
    <n v="20"/>
    <n v="35"/>
    <n v="45"/>
    <n v="0"/>
    <n v="0"/>
    <n v="20"/>
    <n v="135"/>
    <n v="19.285714285714285"/>
    <x v="2"/>
    <x v="28"/>
    <x v="10"/>
    <x v="2"/>
  </r>
  <r>
    <s v="805810143148"/>
    <n v="805810"/>
    <s v="JAI HANUMAN CEMENT AGENCY"/>
    <n v="143148"/>
    <s v="R.N. YADAV ARA MACHINE"/>
    <n v="37.5"/>
    <n v="52.5"/>
    <n v="91"/>
    <n v="45"/>
    <n v="29.5"/>
    <n v="25"/>
    <n v="52"/>
    <n v="332.5"/>
    <n v="47.5"/>
    <x v="5"/>
    <x v="28"/>
    <x v="10"/>
    <x v="2"/>
  </r>
  <r>
    <s v="805848143148"/>
    <n v="805848"/>
    <s v="HARI OM CEMENT AGENCY"/>
    <n v="143148"/>
    <s v="R.N. YADAV ARA MACHINE"/>
    <n v="15"/>
    <n v="25"/>
    <n v="21"/>
    <n v="22.5"/>
    <n v="0"/>
    <n v="0"/>
    <n v="0"/>
    <n v="83.5"/>
    <n v="11.928571428571429"/>
    <x v="2"/>
    <x v="28"/>
    <x v="10"/>
    <x v="2"/>
  </r>
  <r>
    <s v="807706143148"/>
    <n v="807706"/>
    <s v="VISHNU CEMENT AGENCY AND CONTR"/>
    <n v="143148"/>
    <s v="R.N. YADAV ARA MACHINE"/>
    <n v="30"/>
    <n v="55"/>
    <n v="45"/>
    <n v="57.5"/>
    <n v="0"/>
    <n v="35"/>
    <n v="50"/>
    <n v="272.5"/>
    <n v="38.928571428571431"/>
    <x v="4"/>
    <x v="28"/>
    <x v="10"/>
    <x v="2"/>
  </r>
  <r>
    <s v="815834143148"/>
    <n v="815834"/>
    <s v="JAI AMBAY SAINI"/>
    <n v="143148"/>
    <s v="R.N. YADAV ARA MACHINE"/>
    <n v="0"/>
    <n v="0"/>
    <n v="0"/>
    <n v="0"/>
    <n v="0"/>
    <n v="20"/>
    <n v="30"/>
    <n v="50"/>
    <n v="7.1428571428571432"/>
    <x v="1"/>
    <x v="28"/>
    <x v="10"/>
    <x v="2"/>
  </r>
  <r>
    <s v="805810172193"/>
    <n v="805810"/>
    <s v="JAI HANUMAN CEMENT AGENCY"/>
    <n v="172193"/>
    <s v="VARDHMAN CEMENT AGENCY"/>
    <n v="40"/>
    <n v="0"/>
    <n v="0"/>
    <n v="0"/>
    <n v="0"/>
    <n v="0"/>
    <n v="0"/>
    <n v="40"/>
    <n v="5.7142857142857144"/>
    <x v="1"/>
    <x v="28"/>
    <x v="10"/>
    <x v="2"/>
  </r>
  <r>
    <s v="810084172193"/>
    <n v="810084"/>
    <s v="BALAJI TRADERS"/>
    <n v="172193"/>
    <s v="VARDHMAN CEMENT AGENCY"/>
    <n v="10"/>
    <n v="20"/>
    <n v="15"/>
    <n v="13.5"/>
    <n v="16.5"/>
    <n v="3"/>
    <n v="0"/>
    <n v="78"/>
    <n v="11.142857142857142"/>
    <x v="2"/>
    <x v="28"/>
    <x v="10"/>
    <x v="2"/>
  </r>
  <r>
    <s v="812059172193"/>
    <n v="812059"/>
    <s v="HANUMAN PRASAD MEENA"/>
    <n v="172193"/>
    <s v="VARDHMAN CEMENT AGENCY"/>
    <n v="45"/>
    <n v="80"/>
    <n v="30"/>
    <n v="44.5"/>
    <n v="30"/>
    <n v="39"/>
    <n v="10"/>
    <n v="278.5"/>
    <n v="39.785714285714285"/>
    <x v="4"/>
    <x v="28"/>
    <x v="10"/>
    <x v="2"/>
  </r>
  <r>
    <s v="813023172193"/>
    <n v="813023"/>
    <s v="OMA SHANKAR MEENA"/>
    <n v="172193"/>
    <s v="VARDHMAN CEMENT AGENCY"/>
    <n v="0"/>
    <n v="0"/>
    <n v="0"/>
    <n v="3"/>
    <n v="3.5"/>
    <n v="3"/>
    <n v="0"/>
    <n v="9.5"/>
    <n v="1.3571428571428572"/>
    <x v="1"/>
    <x v="28"/>
    <x v="10"/>
    <x v="2"/>
  </r>
  <r>
    <s v="814298173749"/>
    <n v="814298"/>
    <s v="LEKHRAJ JAIN"/>
    <n v="173749"/>
    <s v="NIDHI ENTERPRISES"/>
    <n v="8.5"/>
    <n v="73"/>
    <n v="135.5"/>
    <n v="87.5"/>
    <n v="85"/>
    <n v="2.5"/>
    <n v="42.55"/>
    <n v="434.55"/>
    <n v="62.078571428571429"/>
    <x v="3"/>
    <x v="28"/>
    <x v="10"/>
    <x v="2"/>
  </r>
  <r>
    <s v="814436173749"/>
    <n v="814436"/>
    <s v="DEV CEMENT AGENCY"/>
    <n v="173749"/>
    <s v="NIDHI ENTERPRISES"/>
    <n v="17.5"/>
    <n v="16"/>
    <n v="0"/>
    <n v="10"/>
    <n v="9.75"/>
    <n v="2.5"/>
    <n v="10"/>
    <n v="65.75"/>
    <n v="9.3928571428571423"/>
    <x v="1"/>
    <x v="28"/>
    <x v="10"/>
    <x v="2"/>
  </r>
  <r>
    <s v="815306179891"/>
    <n v="815306"/>
    <s v="ARIF HUSSAIN"/>
    <n v="179891"/>
    <s v="DOSTI CONSTRUCTION"/>
    <n v="0"/>
    <n v="0"/>
    <n v="45"/>
    <n v="157"/>
    <n v="55"/>
    <n v="65"/>
    <n v="69"/>
    <n v="391"/>
    <n v="55.857142857142854"/>
    <x v="3"/>
    <x v="28"/>
    <x v="10"/>
    <x v="2"/>
  </r>
  <r>
    <s v="811588202204"/>
    <n v="811588"/>
    <s v="SATYA NARAYAN NAMA"/>
    <n v="202204"/>
    <s v="NEERAJ &amp; BROTHERS"/>
    <n v="47.5"/>
    <n v="0"/>
    <n v="65.5"/>
    <n v="93"/>
    <n v="10"/>
    <n v="104"/>
    <n v="35"/>
    <n v="355"/>
    <n v="50.714285714285715"/>
    <x v="3"/>
    <x v="28"/>
    <x v="10"/>
    <x v="2"/>
  </r>
  <r>
    <s v="812005202427"/>
    <n v="812005"/>
    <s v="LALURAM GURJAR"/>
    <n v="202427"/>
    <s v="JAIN KHAD BHANDAR"/>
    <n v="31"/>
    <n v="80"/>
    <n v="84"/>
    <n v="90"/>
    <n v="82.5"/>
    <n v="85.5"/>
    <n v="10"/>
    <n v="463"/>
    <n v="66.142857142857139"/>
    <x v="3"/>
    <x v="28"/>
    <x v="10"/>
    <x v="2"/>
  </r>
  <r>
    <s v="812572202428"/>
    <n v="812572"/>
    <s v="DESHRAJ KUMAWAT"/>
    <n v="202428"/>
    <s v="JAIN HARDWARE AND BUILDING MAT"/>
    <n v="0"/>
    <n v="20"/>
    <n v="27.5"/>
    <n v="17"/>
    <n v="34.1"/>
    <n v="52.85"/>
    <n v="0"/>
    <n v="151.44999999999999"/>
    <n v="21.635714285714283"/>
    <x v="0"/>
    <x v="28"/>
    <x v="10"/>
    <x v="2"/>
  </r>
  <r>
    <s v="812616202428"/>
    <n v="812616"/>
    <s v="JAI MATA DI ENTERPRISES &amp; CEME"/>
    <n v="202428"/>
    <s v="JAIN HARDWARE AND BUILDING MAT"/>
    <n v="50.75"/>
    <n v="20"/>
    <n v="182.5"/>
    <n v="52.25"/>
    <n v="63"/>
    <n v="71.650000000000006"/>
    <n v="0"/>
    <n v="440.15"/>
    <n v="62.878571428571426"/>
    <x v="3"/>
    <x v="28"/>
    <x v="10"/>
    <x v="2"/>
  </r>
  <r>
    <s v="815466202428"/>
    <n v="815466"/>
    <s v="DEV NARAYAN KRISHI SEWA KENDRA"/>
    <n v="202428"/>
    <s v="JAIN HARDWARE AND BUILDING MAT"/>
    <n v="0"/>
    <n v="0"/>
    <n v="0"/>
    <n v="60.5"/>
    <n v="47.9"/>
    <n v="31.5"/>
    <n v="0"/>
    <n v="139.9"/>
    <n v="19.985714285714288"/>
    <x v="2"/>
    <x v="28"/>
    <x v="10"/>
    <x v="2"/>
  </r>
  <r>
    <s v="807707207977"/>
    <n v="807707"/>
    <s v="SHUBHAM CEMENT AGENCY"/>
    <n v="207977"/>
    <s v="YASH TRADERS"/>
    <n v="0"/>
    <n v="0"/>
    <n v="0"/>
    <n v="10"/>
    <n v="20"/>
    <n v="39"/>
    <n v="15"/>
    <n v="84"/>
    <n v="12"/>
    <x v="2"/>
    <x v="28"/>
    <x v="10"/>
    <x v="2"/>
  </r>
  <r>
    <s v="811191207977"/>
    <n v="811191"/>
    <s v="MONU KUMAR TELI"/>
    <n v="207977"/>
    <s v="YASH TRADERS"/>
    <n v="20"/>
    <n v="35"/>
    <n v="20"/>
    <n v="27"/>
    <n v="30"/>
    <n v="6"/>
    <n v="10"/>
    <n v="148"/>
    <n v="21.142857142857142"/>
    <x v="0"/>
    <x v="28"/>
    <x v="10"/>
    <x v="2"/>
  </r>
  <r>
    <s v="811403207977"/>
    <n v="811403"/>
    <s v="AHASAN HUSSAIN CONTRACTOR"/>
    <n v="207977"/>
    <s v="YASH TRADERS"/>
    <n v="0"/>
    <n v="0"/>
    <n v="0"/>
    <n v="0"/>
    <n v="0"/>
    <n v="6"/>
    <n v="5"/>
    <n v="11"/>
    <n v="1.5714285714285714"/>
    <x v="1"/>
    <x v="28"/>
    <x v="10"/>
    <x v="2"/>
  </r>
  <r>
    <s v="813376207977"/>
    <n v="813376"/>
    <s v="SANJAY JAIN"/>
    <n v="207977"/>
    <s v="YASH TRADERS"/>
    <n v="50"/>
    <n v="55"/>
    <n v="135"/>
    <n v="97"/>
    <n v="50"/>
    <n v="68.05"/>
    <n v="70"/>
    <n v="525.04999999999995"/>
    <n v="75.007142857142853"/>
    <x v="3"/>
    <x v="28"/>
    <x v="10"/>
    <x v="2"/>
  </r>
  <r>
    <s v="813438207977"/>
    <n v="813438"/>
    <s v="JAY JAGDAMBA KRISHI SEWA KENDR"/>
    <n v="207977"/>
    <s v="YASH TRADERS"/>
    <n v="13"/>
    <n v="30"/>
    <n v="20"/>
    <n v="27"/>
    <n v="0"/>
    <n v="6"/>
    <n v="5"/>
    <n v="101"/>
    <n v="14.428571428571429"/>
    <x v="2"/>
    <x v="28"/>
    <x v="10"/>
    <x v="2"/>
  </r>
  <r>
    <s v="814031207977"/>
    <n v="814031"/>
    <s v="SHREE GURUKRIPA CEMENT AGENCY"/>
    <n v="207977"/>
    <s v="YASH TRADERS"/>
    <n v="0"/>
    <n v="0"/>
    <n v="0"/>
    <n v="0"/>
    <n v="0"/>
    <n v="6"/>
    <n v="10"/>
    <n v="16"/>
    <n v="2.2857142857142856"/>
    <x v="1"/>
    <x v="28"/>
    <x v="10"/>
    <x v="2"/>
  </r>
  <r>
    <s v="814483207977"/>
    <n v="814483"/>
    <s v="NAGAR ENTERPRISES"/>
    <n v="207977"/>
    <s v="YASH TRADERS"/>
    <n v="0"/>
    <n v="10"/>
    <n v="0"/>
    <n v="0"/>
    <n v="0"/>
    <n v="6"/>
    <n v="5"/>
    <n v="21"/>
    <n v="3"/>
    <x v="1"/>
    <x v="28"/>
    <x v="10"/>
    <x v="2"/>
  </r>
  <r>
    <s v="814522207977"/>
    <n v="814522"/>
    <s v="BALAJI CEMENT AGENCY"/>
    <n v="207977"/>
    <s v="YASH TRADERS"/>
    <n v="0"/>
    <n v="0"/>
    <n v="0"/>
    <n v="9.5"/>
    <n v="0"/>
    <n v="6"/>
    <n v="5"/>
    <n v="20.5"/>
    <n v="2.9285714285714284"/>
    <x v="1"/>
    <x v="28"/>
    <x v="10"/>
    <x v="2"/>
  </r>
  <r>
    <s v="814625207977"/>
    <n v="814625"/>
    <s v="SHRI RAM FERTILIZER"/>
    <n v="207977"/>
    <s v="YASH TRADERS"/>
    <n v="10"/>
    <n v="0"/>
    <n v="20"/>
    <n v="45"/>
    <n v="30"/>
    <n v="20"/>
    <n v="10"/>
    <n v="135"/>
    <n v="19.285714285714285"/>
    <x v="2"/>
    <x v="28"/>
    <x v="10"/>
    <x v="2"/>
  </r>
  <r>
    <s v="815274207977"/>
    <n v="815274"/>
    <s v="NEHA TRADERS"/>
    <n v="207977"/>
    <s v="YASH TRADERS"/>
    <n v="0"/>
    <n v="0"/>
    <n v="0"/>
    <n v="9.5"/>
    <n v="5"/>
    <n v="6"/>
    <n v="5"/>
    <n v="25.5"/>
    <n v="3.6428571428571428"/>
    <x v="1"/>
    <x v="28"/>
    <x v="10"/>
    <x v="2"/>
  </r>
  <r>
    <s v="815609207977"/>
    <n v="815609"/>
    <s v="PARMESWAR KUMAR BAHEDIYA"/>
    <n v="207977"/>
    <s v="YASH TRADERS"/>
    <n v="0"/>
    <n v="0"/>
    <n v="0"/>
    <n v="0"/>
    <n v="15"/>
    <n v="21"/>
    <n v="0"/>
    <n v="36"/>
    <n v="5.1428571428571432"/>
    <x v="1"/>
    <x v="28"/>
    <x v="10"/>
    <x v="2"/>
  </r>
  <r>
    <s v="816239207977"/>
    <n v="816239"/>
    <s v="HARSHITA ENTERPRISES"/>
    <n v="207977"/>
    <s v="YASH TRADERS"/>
    <n v="0"/>
    <n v="0"/>
    <n v="0"/>
    <n v="0"/>
    <n v="0"/>
    <n v="18"/>
    <n v="28"/>
    <n v="46"/>
    <n v="6.5714285714285712"/>
    <x v="1"/>
    <x v="28"/>
    <x v="10"/>
    <x v="2"/>
  </r>
  <r>
    <s v="807490173749"/>
    <n v="807490"/>
    <s v="MAA AASHAPALA CONSTRUCTION COM"/>
    <n v="173749"/>
    <s v="NIDHI ENTERPRISES"/>
    <n v="0"/>
    <n v="0"/>
    <n v="0"/>
    <n v="0"/>
    <n v="0"/>
    <n v="2.5"/>
    <n v="0"/>
    <n v="2.5"/>
    <n v="0.35714285714285715"/>
    <x v="1"/>
    <x v="28"/>
    <x v="10"/>
    <x v="2"/>
  </r>
  <r>
    <s v="811134173749"/>
    <n v="811134"/>
    <s v="ANKUR ENTERPRISES"/>
    <n v="173749"/>
    <s v="NIDHI ENTERPRISES"/>
    <n v="0"/>
    <n v="0"/>
    <n v="0"/>
    <n v="0"/>
    <n v="0"/>
    <n v="2.5"/>
    <n v="0"/>
    <n v="2.5"/>
    <n v="0.35714285714285715"/>
    <x v="1"/>
    <x v="28"/>
    <x v="10"/>
    <x v="2"/>
  </r>
  <r>
    <s v="811481179891"/>
    <n v="811481"/>
    <s v="M R NIYAJEE TRADERS"/>
    <n v="179891"/>
    <s v="DOSTI CONSTRUCTION"/>
    <n v="0"/>
    <n v="0"/>
    <n v="0"/>
    <n v="0"/>
    <n v="0"/>
    <n v="1"/>
    <n v="0"/>
    <n v="1"/>
    <n v="0.14285714285714285"/>
    <x v="1"/>
    <x v="28"/>
    <x v="10"/>
    <x v="2"/>
  </r>
  <r>
    <s v="812616207977"/>
    <n v="812616"/>
    <s v="JAI MATA DI ENTERPRISES &amp; CEME"/>
    <n v="207977"/>
    <s v="YASH TRADERS"/>
    <n v="0"/>
    <n v="0"/>
    <n v="0"/>
    <n v="0"/>
    <n v="0"/>
    <n v="5"/>
    <n v="0"/>
    <n v="5"/>
    <n v="0.7142857142857143"/>
    <x v="1"/>
    <x v="28"/>
    <x v="10"/>
    <x v="2"/>
  </r>
  <r>
    <s v="816576143114"/>
    <n v="816576"/>
    <s v="MAHAVEER TRADERS"/>
    <n v="143114"/>
    <s v="RAJESH TRADING COMPANY"/>
    <n v="0"/>
    <n v="0"/>
    <n v="0"/>
    <n v="0"/>
    <n v="0"/>
    <n v="5"/>
    <n v="0"/>
    <n v="5"/>
    <n v="0.7142857142857143"/>
    <x v="1"/>
    <x v="28"/>
    <x v="10"/>
    <x v="2"/>
  </r>
  <r>
    <s v="814381170958"/>
    <n v="814381"/>
    <s v="DHAKAD CONSTRUCTION"/>
    <n v="170958"/>
    <s v="JAI SHRI CONSTRUCTION"/>
    <n v="0"/>
    <n v="15"/>
    <n v="0"/>
    <n v="0"/>
    <n v="0"/>
    <n v="0"/>
    <n v="0"/>
    <n v="15"/>
    <n v="2.1428571428571428"/>
    <x v="1"/>
    <x v="29"/>
    <x v="10"/>
    <x v="2"/>
  </r>
  <r>
    <s v="814481170958"/>
    <n v="814481"/>
    <s v="DHAKAD KRISHI SEVA KENDRA"/>
    <n v="170958"/>
    <s v="JAI SHRI CONSTRUCTION"/>
    <n v="0"/>
    <n v="55"/>
    <n v="80"/>
    <n v="25"/>
    <n v="0"/>
    <n v="0"/>
    <n v="0"/>
    <n v="160"/>
    <n v="22.857142857142858"/>
    <x v="0"/>
    <x v="29"/>
    <x v="10"/>
    <x v="2"/>
  </r>
  <r>
    <s v="814504170958"/>
    <n v="814504"/>
    <s v="MAHAKAL ENTERPRISES"/>
    <n v="170958"/>
    <s v="JAI SHRI CONSTRUCTION"/>
    <n v="0"/>
    <n v="55"/>
    <n v="25"/>
    <n v="0"/>
    <n v="0"/>
    <n v="0"/>
    <n v="0"/>
    <n v="80"/>
    <n v="11.428571428571429"/>
    <x v="2"/>
    <x v="29"/>
    <x v="10"/>
    <x v="2"/>
  </r>
  <r>
    <s v="815830170958"/>
    <n v="815830"/>
    <s v="JAI MATA DI MATERIAL SUPPLIERS"/>
    <n v="170958"/>
    <s v="JAI SHRI CONSTRUCTION"/>
    <n v="0"/>
    <n v="0"/>
    <n v="0"/>
    <n v="0"/>
    <n v="7.5"/>
    <n v="50"/>
    <n v="25"/>
    <n v="82.5"/>
    <n v="11.785714285714286"/>
    <x v="2"/>
    <x v="29"/>
    <x v="10"/>
    <x v="2"/>
  </r>
  <r>
    <s v="812571173750"/>
    <n v="812571"/>
    <s v="DURGA TRADERS"/>
    <n v="173750"/>
    <s v="SISODIYA TRADERS"/>
    <n v="17.5"/>
    <n v="0"/>
    <n v="0"/>
    <n v="0"/>
    <n v="0"/>
    <n v="0"/>
    <n v="0"/>
    <n v="17.5"/>
    <n v="2.5"/>
    <x v="1"/>
    <x v="29"/>
    <x v="10"/>
    <x v="2"/>
  </r>
  <r>
    <s v="806360173865"/>
    <n v="806360"/>
    <s v="KAPIL TRADERS"/>
    <n v="173865"/>
    <s v="BHARDWAJ TRADERS"/>
    <n v="85"/>
    <n v="80"/>
    <n v="65"/>
    <n v="72"/>
    <n v="35"/>
    <n v="15"/>
    <n v="37"/>
    <n v="389"/>
    <n v="55.571428571428569"/>
    <x v="3"/>
    <x v="29"/>
    <x v="10"/>
    <x v="2"/>
  </r>
  <r>
    <s v="809004175662"/>
    <n v="809004"/>
    <s v="GOUR CEMENT AGENCY"/>
    <n v="175662"/>
    <s v="VINAYAK CONSTRUCTION COMPANY"/>
    <n v="30"/>
    <n v="30"/>
    <n v="71"/>
    <n v="40"/>
    <n v="0"/>
    <n v="35"/>
    <n v="0"/>
    <n v="206"/>
    <n v="29.428571428571427"/>
    <x v="0"/>
    <x v="29"/>
    <x v="10"/>
    <x v="2"/>
  </r>
  <r>
    <s v="812615177069"/>
    <n v="812615"/>
    <s v="LODHA BUILDING MATERIAL SUPPLI"/>
    <n v="177069"/>
    <s v="LOVEVANSHI ENTERPRISES"/>
    <n v="45"/>
    <n v="105"/>
    <n v="55"/>
    <n v="45"/>
    <n v="70"/>
    <n v="25"/>
    <n v="10"/>
    <n v="355"/>
    <n v="50.714285714285715"/>
    <x v="3"/>
    <x v="29"/>
    <x v="10"/>
    <x v="2"/>
  </r>
  <r>
    <s v="813053177069"/>
    <n v="813053"/>
    <s v="TANWAR CEMENT AGENCY"/>
    <n v="177069"/>
    <s v="LOVEVANSHI ENTERPRISES"/>
    <n v="0"/>
    <n v="25"/>
    <n v="55"/>
    <n v="0"/>
    <n v="0"/>
    <n v="30"/>
    <n v="0"/>
    <n v="110"/>
    <n v="15.714285714285714"/>
    <x v="2"/>
    <x v="29"/>
    <x v="10"/>
    <x v="2"/>
  </r>
  <r>
    <s v="815961177069"/>
    <n v="815961"/>
    <s v="JAIN TRADERS"/>
    <n v="177069"/>
    <s v="LOVEVANSHI ENTERPRISES"/>
    <n v="0"/>
    <n v="0"/>
    <n v="0"/>
    <n v="0"/>
    <n v="25"/>
    <n v="35"/>
    <n v="25"/>
    <n v="85"/>
    <n v="12.142857142857142"/>
    <x v="2"/>
    <x v="29"/>
    <x v="10"/>
    <x v="2"/>
  </r>
  <r>
    <s v="811549178150"/>
    <n v="811549"/>
    <s v="NISHA ENTERPRISES"/>
    <n v="178150"/>
    <s v="FALODI KIRANA STORE"/>
    <n v="0"/>
    <n v="10"/>
    <n v="20"/>
    <n v="25"/>
    <n v="15"/>
    <n v="22.5"/>
    <n v="15"/>
    <n v="107.5"/>
    <n v="15.357142857142858"/>
    <x v="2"/>
    <x v="29"/>
    <x v="10"/>
    <x v="2"/>
  </r>
  <r>
    <s v="811892178150"/>
    <n v="811892"/>
    <s v="FALODI KIRANA STORE"/>
    <n v="178150"/>
    <s v="FALODI KIRANA STORE"/>
    <n v="91.5"/>
    <n v="70"/>
    <n v="52.5"/>
    <n v="70"/>
    <n v="0"/>
    <n v="18"/>
    <n v="0"/>
    <n v="302"/>
    <n v="43.142857142857146"/>
    <x v="5"/>
    <x v="29"/>
    <x v="10"/>
    <x v="2"/>
  </r>
  <r>
    <s v="813633178150"/>
    <n v="813633"/>
    <s v="SISODIYA TRADING COMPANY"/>
    <n v="178150"/>
    <s v="FALODI KIRANA STORE"/>
    <n v="0"/>
    <n v="0"/>
    <n v="0"/>
    <n v="0"/>
    <n v="15"/>
    <n v="0"/>
    <n v="0"/>
    <n v="15"/>
    <n v="2.1428571428571428"/>
    <x v="1"/>
    <x v="29"/>
    <x v="10"/>
    <x v="2"/>
  </r>
  <r>
    <s v="814470178150"/>
    <n v="814470"/>
    <s v="FALODI CONSTRUCTION"/>
    <n v="178150"/>
    <s v="FALODI KIRANA STORE"/>
    <n v="62"/>
    <n v="130"/>
    <n v="55"/>
    <n v="114.5"/>
    <n v="110"/>
    <n v="167.5"/>
    <n v="62.5"/>
    <n v="701.5"/>
    <n v="100.21428571428571"/>
    <x v="3"/>
    <x v="29"/>
    <x v="10"/>
    <x v="2"/>
  </r>
  <r>
    <s v="812778179907"/>
    <n v="812778"/>
    <s v="SHREE SAI SUPPLIERS"/>
    <n v="179907"/>
    <s v="SWETA STONE"/>
    <n v="10"/>
    <n v="10"/>
    <n v="20"/>
    <n v="0"/>
    <n v="0"/>
    <n v="5"/>
    <n v="0"/>
    <n v="45"/>
    <n v="6.4285714285714288"/>
    <x v="1"/>
    <x v="29"/>
    <x v="10"/>
    <x v="2"/>
  </r>
  <r>
    <s v="806359179908"/>
    <n v="806359"/>
    <s v="CHANDRA SHREE ENTERPRISES"/>
    <n v="179908"/>
    <s v="SANWLA ENTERPRISES"/>
    <n v="15"/>
    <n v="0"/>
    <n v="15"/>
    <n v="0"/>
    <n v="0"/>
    <n v="0"/>
    <n v="0"/>
    <n v="30"/>
    <n v="4.2857142857142856"/>
    <x v="1"/>
    <x v="29"/>
    <x v="10"/>
    <x v="2"/>
  </r>
  <r>
    <s v="807439179908"/>
    <n v="807439"/>
    <s v="MANSURI TRADERS"/>
    <n v="179908"/>
    <s v="SANWLA ENTERPRISES"/>
    <n v="0"/>
    <n v="50"/>
    <n v="40"/>
    <n v="40"/>
    <n v="25"/>
    <n v="35"/>
    <n v="0"/>
    <n v="190"/>
    <n v="27.142857142857142"/>
    <x v="0"/>
    <x v="29"/>
    <x v="10"/>
    <x v="2"/>
  </r>
  <r>
    <s v="811546179908"/>
    <n v="811546"/>
    <s v="LUCKY BUILDING MATERIAL"/>
    <n v="179908"/>
    <s v="SANWLA ENTERPRISES"/>
    <n v="45"/>
    <n v="50"/>
    <n v="15"/>
    <n v="35"/>
    <n v="30"/>
    <n v="41"/>
    <n v="20"/>
    <n v="236"/>
    <n v="33.714285714285715"/>
    <x v="4"/>
    <x v="29"/>
    <x v="10"/>
    <x v="2"/>
  </r>
  <r>
    <s v="811547179908"/>
    <n v="811547"/>
    <s v="ADITYA ENTERPRISES"/>
    <n v="179908"/>
    <s v="SANWLA ENTERPRISES"/>
    <n v="15"/>
    <n v="10"/>
    <n v="0"/>
    <n v="7.5"/>
    <n v="0"/>
    <n v="0"/>
    <n v="0"/>
    <n v="32.5"/>
    <n v="4.6428571428571432"/>
    <x v="1"/>
    <x v="29"/>
    <x v="10"/>
    <x v="2"/>
  </r>
  <r>
    <s v="812060179908"/>
    <n v="812060"/>
    <s v="PATIDAR BROTHERS"/>
    <n v="179908"/>
    <s v="SANWLA ENTERPRISES"/>
    <n v="10"/>
    <n v="20"/>
    <n v="76"/>
    <n v="35"/>
    <n v="12.5"/>
    <n v="25"/>
    <n v="0"/>
    <n v="178.5"/>
    <n v="25.5"/>
    <x v="0"/>
    <x v="29"/>
    <x v="10"/>
    <x v="2"/>
  </r>
  <r>
    <s v="812065179908"/>
    <n v="812065"/>
    <s v="SISODIYA CONSTRUCTION AND SUPP"/>
    <n v="179908"/>
    <s v="SANWLA ENTERPRISES"/>
    <n v="35"/>
    <n v="0"/>
    <n v="0"/>
    <n v="35"/>
    <n v="0"/>
    <n v="22"/>
    <n v="0"/>
    <n v="92"/>
    <n v="13.142857142857142"/>
    <x v="2"/>
    <x v="29"/>
    <x v="10"/>
    <x v="2"/>
  </r>
  <r>
    <s v="813048179908"/>
    <n v="813048"/>
    <s v="BHAGWAN CONSTRUCTION"/>
    <n v="179908"/>
    <s v="SANWLA ENTERPRISES"/>
    <n v="0"/>
    <n v="10"/>
    <n v="0"/>
    <n v="0"/>
    <n v="0"/>
    <n v="30"/>
    <n v="0"/>
    <n v="40"/>
    <n v="5.7142857142857144"/>
    <x v="1"/>
    <x v="29"/>
    <x v="10"/>
    <x v="2"/>
  </r>
  <r>
    <s v="812409202225"/>
    <n v="812409"/>
    <s v="RATHORE CEMENT AGENCY"/>
    <n v="202225"/>
    <s v="ASTOLIA INDUSTRIES"/>
    <n v="72.5"/>
    <n v="52"/>
    <n v="13.5"/>
    <n v="35"/>
    <n v="15"/>
    <n v="15"/>
    <n v="0"/>
    <n v="203"/>
    <n v="29"/>
    <x v="0"/>
    <x v="29"/>
    <x v="10"/>
    <x v="2"/>
  </r>
  <r>
    <s v="812780202225"/>
    <n v="812780"/>
    <s v="SHREE KRISHANA BUILDING MATERI"/>
    <n v="202225"/>
    <s v="ASTOLIA INDUSTRIES"/>
    <n v="87.5"/>
    <n v="75"/>
    <n v="40"/>
    <n v="24"/>
    <n v="20"/>
    <n v="15"/>
    <n v="0"/>
    <n v="261.5"/>
    <n v="37.357142857142854"/>
    <x v="4"/>
    <x v="29"/>
    <x v="10"/>
    <x v="2"/>
  </r>
  <r>
    <s v="813150202225"/>
    <n v="813150"/>
    <s v="JAI DURGA TRADERS"/>
    <n v="202225"/>
    <s v="ASTOLIA INDUSTRIES"/>
    <n v="30"/>
    <n v="55"/>
    <n v="60"/>
    <n v="35"/>
    <n v="0"/>
    <n v="0"/>
    <n v="0"/>
    <n v="180"/>
    <n v="25.714285714285715"/>
    <x v="0"/>
    <x v="29"/>
    <x v="10"/>
    <x v="2"/>
  </r>
  <r>
    <s v="813635202225"/>
    <n v="813635"/>
    <s v="M R SHARMA BUILDING MATERIAL S"/>
    <n v="202225"/>
    <s v="ASTOLIA INDUSTRIES"/>
    <n v="124.5"/>
    <n v="69"/>
    <n v="50"/>
    <n v="56.5"/>
    <n v="30"/>
    <n v="42.5"/>
    <n v="15"/>
    <n v="387.5"/>
    <n v="55.357142857142854"/>
    <x v="3"/>
    <x v="29"/>
    <x v="10"/>
    <x v="2"/>
  </r>
  <r>
    <s v="814484202225"/>
    <n v="814484"/>
    <s v="GOLANIA TRADERS"/>
    <n v="202225"/>
    <s v="ASTOLIA INDUSTRIES"/>
    <n v="47.5"/>
    <n v="25"/>
    <n v="25"/>
    <n v="25"/>
    <n v="0"/>
    <n v="15"/>
    <n v="26"/>
    <n v="163.5"/>
    <n v="23.357142857142858"/>
    <x v="0"/>
    <x v="29"/>
    <x v="10"/>
    <x v="2"/>
  </r>
  <r>
    <s v="815636202225"/>
    <n v="815636"/>
    <s v="RAJLAXMI TRADERS"/>
    <n v="202225"/>
    <s v="ASTOLIA INDUSTRIES"/>
    <n v="0"/>
    <n v="0"/>
    <n v="0"/>
    <n v="10"/>
    <n v="0"/>
    <n v="25"/>
    <n v="20"/>
    <n v="55"/>
    <n v="7.8571428571428568"/>
    <x v="1"/>
    <x v="29"/>
    <x v="10"/>
    <x v="2"/>
  </r>
  <r>
    <s v="816013202225"/>
    <n v="816013"/>
    <s v="KHUSHBU TRADERS"/>
    <n v="202225"/>
    <s v="ASTOLIA INDUSTRIES"/>
    <n v="0"/>
    <n v="0"/>
    <n v="0"/>
    <n v="0"/>
    <n v="0"/>
    <n v="7.5"/>
    <n v="0"/>
    <n v="7.5"/>
    <n v="1.0714285714285714"/>
    <x v="1"/>
    <x v="29"/>
    <x v="10"/>
    <x v="2"/>
  </r>
  <r>
    <s v="814308204243"/>
    <n v="814308"/>
    <s v="LUCKY RET STACK"/>
    <n v="204243"/>
    <s v="SHRI SHIVAM TRADERS"/>
    <n v="10"/>
    <n v="35"/>
    <n v="0"/>
    <n v="0"/>
    <n v="10"/>
    <n v="0"/>
    <n v="0"/>
    <n v="55"/>
    <n v="7.8571428571428568"/>
    <x v="1"/>
    <x v="29"/>
    <x v="10"/>
    <x v="2"/>
  </r>
  <r>
    <s v="816114204243"/>
    <n v="816114"/>
    <s v="MAHADEV KISHAN SEVA KENDRA"/>
    <n v="204243"/>
    <s v="SHRI SHIVAM TRADERS"/>
    <n v="0"/>
    <n v="0"/>
    <n v="0"/>
    <n v="0"/>
    <n v="0"/>
    <n v="20"/>
    <n v="0"/>
    <n v="20"/>
    <n v="2.8571428571428572"/>
    <x v="1"/>
    <x v="29"/>
    <x v="10"/>
    <x v="2"/>
  </r>
  <r>
    <s v="811547204869"/>
    <n v="811547"/>
    <s v="ADITYA ENTERPRISES"/>
    <n v="204869"/>
    <s v="SISODIYA TRADERS"/>
    <n v="0"/>
    <n v="0"/>
    <n v="0"/>
    <n v="6.5"/>
    <n v="0"/>
    <n v="0"/>
    <n v="0"/>
    <n v="6.5"/>
    <n v="0.9285714285714286"/>
    <x v="1"/>
    <x v="29"/>
    <x v="10"/>
    <x v="2"/>
  </r>
  <r>
    <s v="811549204869"/>
    <n v="811549"/>
    <s v="NISHA ENTERPRISES"/>
    <n v="204869"/>
    <s v="SISODIYA TRADERS"/>
    <n v="0"/>
    <n v="0"/>
    <n v="0"/>
    <n v="0"/>
    <n v="15"/>
    <n v="0"/>
    <n v="0"/>
    <n v="15"/>
    <n v="2.1428571428571428"/>
    <x v="1"/>
    <x v="29"/>
    <x v="10"/>
    <x v="2"/>
  </r>
  <r>
    <s v="813377204869"/>
    <n v="813377"/>
    <s v="BALAJI ELECTRICALS AND HARDWAR"/>
    <n v="204869"/>
    <s v="SISODIYA TRADERS"/>
    <n v="15"/>
    <n v="30"/>
    <n v="0"/>
    <n v="0"/>
    <n v="0"/>
    <n v="0"/>
    <n v="0"/>
    <n v="45"/>
    <n v="6.4285714285714288"/>
    <x v="1"/>
    <x v="29"/>
    <x v="10"/>
    <x v="2"/>
  </r>
  <r>
    <s v="813632204869"/>
    <n v="813632"/>
    <s v="BALAJI ENTERPRISES"/>
    <n v="204869"/>
    <s v="SISODIYA TRADERS"/>
    <n v="9"/>
    <n v="38"/>
    <n v="103"/>
    <n v="155"/>
    <n v="0"/>
    <n v="126.5"/>
    <n v="85"/>
    <n v="516.5"/>
    <n v="73.785714285714292"/>
    <x v="3"/>
    <x v="29"/>
    <x v="10"/>
    <x v="2"/>
  </r>
  <r>
    <s v="813633204869"/>
    <n v="813633"/>
    <s v="SISODIYA TRADING COMPANY"/>
    <n v="204869"/>
    <s v="SISODIYA TRADERS"/>
    <n v="351.5"/>
    <n v="194.5"/>
    <n v="137.5"/>
    <n v="221"/>
    <n v="152.75"/>
    <n v="67"/>
    <n v="105"/>
    <n v="1229.25"/>
    <n v="175.60714285714286"/>
    <x v="3"/>
    <x v="29"/>
    <x v="10"/>
    <x v="2"/>
  </r>
  <r>
    <s v="813638204869"/>
    <n v="813638"/>
    <s v="SHREE ENTERPRISES"/>
    <n v="204869"/>
    <s v="SISODIYA TRADERS"/>
    <n v="34.5"/>
    <n v="12.5"/>
    <n v="12.5"/>
    <n v="42.5"/>
    <n v="0"/>
    <n v="0"/>
    <n v="25"/>
    <n v="127"/>
    <n v="18.142857142857142"/>
    <x v="2"/>
    <x v="29"/>
    <x v="10"/>
    <x v="2"/>
  </r>
  <r>
    <s v="815831207290"/>
    <n v="815831"/>
    <s v="DASAYA KRISHI SEVA KENDRA"/>
    <n v="207290"/>
    <s v="RAGESHWARI SUPPLIERS AND CONST"/>
    <n v="0"/>
    <n v="0"/>
    <n v="0"/>
    <n v="0"/>
    <n v="0"/>
    <n v="15"/>
    <n v="0"/>
    <n v="15"/>
    <n v="2.1428571428571428"/>
    <x v="1"/>
    <x v="29"/>
    <x v="10"/>
    <x v="2"/>
  </r>
  <r>
    <s v="815273207809"/>
    <n v="815273"/>
    <s v="SIDDHY VINAYAK IRRIGATION SHOP"/>
    <n v="207809"/>
    <s v="SHIV MAHIMA TRADERS"/>
    <n v="0"/>
    <n v="0"/>
    <n v="0"/>
    <n v="22.5"/>
    <n v="0"/>
    <n v="7.5"/>
    <n v="0"/>
    <n v="30"/>
    <n v="4.2857142857142856"/>
    <x v="1"/>
    <x v="29"/>
    <x v="10"/>
    <x v="2"/>
  </r>
  <r>
    <s v="816551202225"/>
    <n v="816551"/>
    <s v="DEV SHREE ENTERPRISES"/>
    <n v="202225"/>
    <s v="ASTOLIA INDUSTRIES"/>
    <n v="0"/>
    <n v="0"/>
    <n v="0"/>
    <n v="0"/>
    <n v="0"/>
    <n v="20"/>
    <n v="0"/>
    <n v="20"/>
    <n v="2.8571428571428572"/>
    <x v="1"/>
    <x v="29"/>
    <x v="10"/>
    <x v="2"/>
  </r>
  <r>
    <s v="816651209990"/>
    <n v="816651"/>
    <s v="HANUMAN TRADERS"/>
    <n v="209990"/>
    <s v="DHAKAD KRISHI SEVA KENDRA,"/>
    <n v="0"/>
    <n v="0"/>
    <n v="0"/>
    <n v="0"/>
    <n v="0"/>
    <n v="0"/>
    <n v="20"/>
    <n v="20"/>
    <n v="2.8571428571428572"/>
    <x v="1"/>
    <x v="29"/>
    <x v="10"/>
    <x v="2"/>
  </r>
  <r>
    <s v="811118141905"/>
    <n v="811118"/>
    <s v="PRIYANKA BUILDING CONTRACTOR"/>
    <n v="141905"/>
    <s v="BS ENTERPRISES"/>
    <n v="40"/>
    <n v="51"/>
    <n v="0"/>
    <n v="30"/>
    <n v="37"/>
    <n v="20"/>
    <n v="13"/>
    <n v="191"/>
    <n v="27.285714285714285"/>
    <x v="0"/>
    <x v="30"/>
    <x v="10"/>
    <x v="2"/>
  </r>
  <r>
    <s v="812195141905"/>
    <n v="812195"/>
    <s v="SHARMA CEMENT AGENCY"/>
    <n v="141905"/>
    <s v="BS ENTERPRISES"/>
    <n v="10"/>
    <n v="10"/>
    <n v="24.5"/>
    <n v="22"/>
    <n v="8"/>
    <n v="15.75"/>
    <n v="2.5"/>
    <n v="92.75"/>
    <n v="13.25"/>
    <x v="2"/>
    <x v="30"/>
    <x v="10"/>
    <x v="2"/>
  </r>
  <r>
    <s v="813056141905"/>
    <n v="813056"/>
    <s v="KRISHNA BUILDING MATERIAL SUPP"/>
    <n v="141905"/>
    <s v="BS ENTERPRISES"/>
    <n v="20"/>
    <n v="20"/>
    <n v="10"/>
    <n v="0"/>
    <n v="32.5"/>
    <n v="28.25"/>
    <n v="7.5"/>
    <n v="118.25"/>
    <n v="16.892857142857142"/>
    <x v="2"/>
    <x v="30"/>
    <x v="10"/>
    <x v="2"/>
  </r>
  <r>
    <s v="806999171578"/>
    <n v="806999"/>
    <s v="BABA TRADING COMPANY"/>
    <n v="171578"/>
    <s v="KOTA BUILDMAT"/>
    <n v="25"/>
    <n v="10"/>
    <n v="35"/>
    <n v="70"/>
    <n v="37.5"/>
    <n v="40"/>
    <n v="5"/>
    <n v="222.5"/>
    <n v="31.785714285714285"/>
    <x v="4"/>
    <x v="30"/>
    <x v="10"/>
    <x v="2"/>
  </r>
  <r>
    <s v="807570171578"/>
    <n v="807570"/>
    <s v="HARI ENTERPRISES"/>
    <n v="171578"/>
    <s v="KOTA BUILDMAT"/>
    <n v="15"/>
    <n v="55"/>
    <n v="25"/>
    <n v="55"/>
    <n v="12.5"/>
    <n v="55"/>
    <n v="20"/>
    <n v="237.5"/>
    <n v="33.928571428571431"/>
    <x v="4"/>
    <x v="30"/>
    <x v="10"/>
    <x v="2"/>
  </r>
  <r>
    <s v="807811171578"/>
    <n v="807811"/>
    <s v="SHRI GANESH STONE TRADERS"/>
    <n v="171578"/>
    <s v="KOTA BUILDMAT"/>
    <n v="0"/>
    <n v="0"/>
    <n v="10"/>
    <n v="0"/>
    <n v="0"/>
    <n v="0"/>
    <n v="0"/>
    <n v="10"/>
    <n v="1.4285714285714286"/>
    <x v="1"/>
    <x v="30"/>
    <x v="10"/>
    <x v="2"/>
  </r>
  <r>
    <s v="807975171578"/>
    <n v="807975"/>
    <s v="DEEP SHREE BUILDING MATERIAL"/>
    <n v="171578"/>
    <s v="KOTA BUILDMAT"/>
    <n v="20"/>
    <n v="20"/>
    <n v="0"/>
    <n v="0"/>
    <n v="0"/>
    <n v="0"/>
    <n v="0"/>
    <n v="40"/>
    <n v="5.7142857142857144"/>
    <x v="1"/>
    <x v="30"/>
    <x v="10"/>
    <x v="2"/>
  </r>
  <r>
    <s v="807987171578"/>
    <n v="807987"/>
    <s v="DHAKAD KRISHI SEVA KENDRA"/>
    <n v="171578"/>
    <s v="KOTA BUILDMAT"/>
    <n v="33.75"/>
    <n v="95"/>
    <n v="151.5"/>
    <n v="80"/>
    <n v="65"/>
    <n v="50"/>
    <n v="20"/>
    <n v="495.25"/>
    <n v="70.75"/>
    <x v="3"/>
    <x v="30"/>
    <x v="10"/>
    <x v="2"/>
  </r>
  <r>
    <s v="809295171578"/>
    <n v="809295"/>
    <s v="EXCELLENT  BUILDING MATERIAL S"/>
    <n v="171578"/>
    <s v="KOTA BUILDMAT"/>
    <n v="60"/>
    <n v="125"/>
    <n v="185"/>
    <n v="177"/>
    <n v="122"/>
    <n v="101"/>
    <n v="92"/>
    <n v="862"/>
    <n v="123.14285714285714"/>
    <x v="3"/>
    <x v="30"/>
    <x v="10"/>
    <x v="2"/>
  </r>
  <r>
    <s v="809656171578"/>
    <n v="809656"/>
    <s v="SAI TONU ENTERPRISES"/>
    <n v="171578"/>
    <s v="KOTA BUILDMAT"/>
    <n v="0"/>
    <n v="5"/>
    <n v="0"/>
    <n v="25"/>
    <n v="10"/>
    <n v="0"/>
    <n v="0"/>
    <n v="40"/>
    <n v="5.7142857142857144"/>
    <x v="1"/>
    <x v="30"/>
    <x v="10"/>
    <x v="2"/>
  </r>
  <r>
    <s v="813167171578"/>
    <n v="813167"/>
    <s v="KRISHNA TRADERS"/>
    <n v="171578"/>
    <s v="KOTA BUILDMAT"/>
    <n v="20"/>
    <n v="50"/>
    <n v="30"/>
    <n v="62.5"/>
    <n v="47.5"/>
    <n v="30"/>
    <n v="21"/>
    <n v="261"/>
    <n v="37.285714285714285"/>
    <x v="4"/>
    <x v="30"/>
    <x v="10"/>
    <x v="2"/>
  </r>
  <r>
    <s v="813215171578"/>
    <n v="813215"/>
    <s v="SHREE SHYAM ENTERPRISES"/>
    <n v="171578"/>
    <s v="KOTA BUILDMAT"/>
    <n v="46"/>
    <n v="10"/>
    <n v="10"/>
    <n v="56"/>
    <n v="52.5"/>
    <n v="40"/>
    <n v="42"/>
    <n v="256.5"/>
    <n v="36.642857142857146"/>
    <x v="4"/>
    <x v="30"/>
    <x v="10"/>
    <x v="2"/>
  </r>
  <r>
    <s v="813413171578"/>
    <n v="813413"/>
    <s v="M B TRADERS"/>
    <n v="171578"/>
    <s v="KOTA BUILDMAT"/>
    <n v="5"/>
    <n v="15"/>
    <n v="15"/>
    <n v="20"/>
    <n v="25"/>
    <n v="17.5"/>
    <n v="0"/>
    <n v="97.5"/>
    <n v="13.928571428571429"/>
    <x v="2"/>
    <x v="30"/>
    <x v="10"/>
    <x v="2"/>
  </r>
  <r>
    <s v="813802171578"/>
    <n v="813802"/>
    <s v="SHREE KRISHNA TRADERS"/>
    <n v="171578"/>
    <s v="KOTA BUILDMAT"/>
    <n v="0"/>
    <n v="10"/>
    <n v="0"/>
    <n v="0"/>
    <n v="10"/>
    <n v="25"/>
    <n v="10"/>
    <n v="55"/>
    <n v="7.8571428571428568"/>
    <x v="1"/>
    <x v="30"/>
    <x v="10"/>
    <x v="2"/>
  </r>
  <r>
    <s v="814768171578"/>
    <n v="814768"/>
    <s v="HETAKSHI BUILDMAT BUILDING MAT"/>
    <n v="171578"/>
    <s v="KOTA BUILDMAT"/>
    <n v="25"/>
    <n v="72.150000000000006"/>
    <n v="92.5"/>
    <n v="85"/>
    <n v="61.5"/>
    <n v="52.5"/>
    <n v="8"/>
    <n v="396.65"/>
    <n v="56.664285714285711"/>
    <x v="3"/>
    <x v="30"/>
    <x v="10"/>
    <x v="2"/>
  </r>
  <r>
    <s v="815084171578"/>
    <n v="815084"/>
    <s v="SHRI SAANWALIYA JI CERAMICS"/>
    <n v="171578"/>
    <s v="KOTA BUILDMAT"/>
    <n v="0"/>
    <n v="30"/>
    <n v="150"/>
    <n v="78.150000000000006"/>
    <n v="70"/>
    <n v="67"/>
    <n v="65"/>
    <n v="460.15"/>
    <n v="65.73571428571428"/>
    <x v="3"/>
    <x v="30"/>
    <x v="10"/>
    <x v="2"/>
  </r>
  <r>
    <s v="815111171578"/>
    <n v="815111"/>
    <s v="BALAJI BUILDING MATERIAL SUPPL"/>
    <n v="171578"/>
    <s v="KOTA BUILDMAT"/>
    <n v="0"/>
    <n v="0"/>
    <n v="110"/>
    <n v="107.5"/>
    <n v="50"/>
    <n v="67.5"/>
    <n v="20"/>
    <n v="355"/>
    <n v="50.714285714285715"/>
    <x v="3"/>
    <x v="30"/>
    <x v="10"/>
    <x v="2"/>
  </r>
  <r>
    <s v="815773171578"/>
    <n v="815773"/>
    <s v="AJAY TRADERS"/>
    <n v="171578"/>
    <s v="KOTA BUILDMAT"/>
    <n v="0"/>
    <n v="0"/>
    <n v="0"/>
    <n v="0"/>
    <n v="10"/>
    <n v="15"/>
    <n v="5"/>
    <n v="30"/>
    <n v="4.2857142857142856"/>
    <x v="1"/>
    <x v="30"/>
    <x v="10"/>
    <x v="2"/>
  </r>
  <r>
    <s v="815777171578"/>
    <n v="815777"/>
    <s v="GURUKRIPA UDYOG"/>
    <n v="171578"/>
    <s v="KOTA BUILDMAT"/>
    <n v="0"/>
    <n v="0"/>
    <n v="0"/>
    <n v="0"/>
    <n v="30"/>
    <n v="14"/>
    <n v="31"/>
    <n v="75"/>
    <n v="10.714285714285714"/>
    <x v="2"/>
    <x v="30"/>
    <x v="10"/>
    <x v="2"/>
  </r>
  <r>
    <s v="816154171578"/>
    <n v="816154"/>
    <s v="SHREE KANHA BUILDING MATERIAL"/>
    <n v="171578"/>
    <s v="KOTA BUILDMAT"/>
    <n v="0"/>
    <n v="0"/>
    <n v="0"/>
    <n v="0"/>
    <n v="10"/>
    <n v="20"/>
    <n v="25"/>
    <n v="55"/>
    <n v="7.8571428571428568"/>
    <x v="1"/>
    <x v="30"/>
    <x v="10"/>
    <x v="2"/>
  </r>
  <r>
    <s v="816210171578"/>
    <n v="816210"/>
    <s v="SHREE BALAJI BUILDING MATERIAL"/>
    <n v="171578"/>
    <s v="KOTA BUILDMAT"/>
    <n v="0"/>
    <n v="0"/>
    <n v="0"/>
    <n v="0"/>
    <n v="0"/>
    <n v="7.5"/>
    <n v="15"/>
    <n v="22.5"/>
    <n v="3.2142857142857144"/>
    <x v="1"/>
    <x v="30"/>
    <x v="10"/>
    <x v="2"/>
  </r>
  <r>
    <s v="807986171887"/>
    <n v="807986"/>
    <s v="RATHORE CEMENT AGENCY"/>
    <n v="171887"/>
    <s v="CHOHAN CEMENT AGENCY"/>
    <n v="15"/>
    <n v="40"/>
    <n v="30"/>
    <n v="26"/>
    <n v="10"/>
    <n v="17.5"/>
    <n v="20"/>
    <n v="158.5"/>
    <n v="22.642857142857142"/>
    <x v="0"/>
    <x v="30"/>
    <x v="10"/>
    <x v="2"/>
  </r>
  <r>
    <s v="809016171887"/>
    <n v="809016"/>
    <s v="BALAJI TRADERS"/>
    <n v="171887"/>
    <s v="CHOHAN CEMENT AGENCY"/>
    <n v="60"/>
    <n v="32"/>
    <n v="70"/>
    <n v="6.8"/>
    <n v="25"/>
    <n v="22.5"/>
    <n v="32"/>
    <n v="248.3"/>
    <n v="35.471428571428575"/>
    <x v="4"/>
    <x v="30"/>
    <x v="10"/>
    <x v="2"/>
  </r>
  <r>
    <s v="814595171887"/>
    <n v="814595"/>
    <s v="NAGAR KIRANA STORE"/>
    <n v="171887"/>
    <s v="CHOHAN CEMENT AGENCY"/>
    <n v="30"/>
    <n v="58"/>
    <n v="62"/>
    <n v="30"/>
    <n v="13"/>
    <n v="20"/>
    <n v="0"/>
    <n v="213"/>
    <n v="30.428571428571427"/>
    <x v="4"/>
    <x v="30"/>
    <x v="10"/>
    <x v="2"/>
  </r>
  <r>
    <s v="815575171887"/>
    <n v="815575"/>
    <s v="SAT KABIR BUILDING MATERIAL AN"/>
    <n v="171887"/>
    <s v="CHOHAN CEMENT AGENCY"/>
    <n v="0"/>
    <n v="0"/>
    <n v="0"/>
    <n v="20"/>
    <n v="15"/>
    <n v="20"/>
    <n v="10"/>
    <n v="65"/>
    <n v="9.2857142857142865"/>
    <x v="1"/>
    <x v="30"/>
    <x v="10"/>
    <x v="2"/>
  </r>
  <r>
    <s v="807438174166"/>
    <n v="807438"/>
    <s v="JAIN HIND TRADERS"/>
    <n v="174166"/>
    <s v="NAMOKAR STONE TRADERS"/>
    <n v="0"/>
    <n v="35"/>
    <n v="21.5"/>
    <n v="79"/>
    <n v="37.5"/>
    <n v="95.5"/>
    <n v="104"/>
    <n v="372.5"/>
    <n v="53.214285714285715"/>
    <x v="3"/>
    <x v="30"/>
    <x v="10"/>
    <x v="2"/>
  </r>
  <r>
    <s v="807811174166"/>
    <n v="807811"/>
    <s v="SHRI GANESH STONE TRADERS"/>
    <n v="174166"/>
    <s v="NAMOKAR STONE TRADERS"/>
    <n v="106"/>
    <n v="30"/>
    <n v="251.5"/>
    <n v="156.5"/>
    <n v="77.5"/>
    <n v="90"/>
    <n v="142"/>
    <n v="853.5"/>
    <n v="121.92857142857143"/>
    <x v="3"/>
    <x v="30"/>
    <x v="10"/>
    <x v="2"/>
  </r>
  <r>
    <s v="807987174166"/>
    <n v="807987"/>
    <s v="DHAKAD KRISHI SEVA KENDRA"/>
    <n v="174166"/>
    <s v="NAMOKAR STONE TRADERS"/>
    <n v="10"/>
    <n v="0"/>
    <n v="0"/>
    <n v="0"/>
    <n v="0"/>
    <n v="0"/>
    <n v="0"/>
    <n v="10"/>
    <n v="1.4285714285714286"/>
    <x v="1"/>
    <x v="30"/>
    <x v="10"/>
    <x v="2"/>
  </r>
  <r>
    <s v="808433174166"/>
    <n v="808433"/>
    <s v="GANPATI ENTERPRISES"/>
    <n v="174166"/>
    <s v="NAMOKAR STONE TRADERS"/>
    <n v="0"/>
    <n v="7.5"/>
    <n v="10"/>
    <n v="0"/>
    <n v="0"/>
    <n v="0"/>
    <n v="0"/>
    <n v="17.5"/>
    <n v="2.5"/>
    <x v="1"/>
    <x v="30"/>
    <x v="10"/>
    <x v="2"/>
  </r>
  <r>
    <s v="810434174166"/>
    <n v="810434"/>
    <s v="SHIVRAJ SINGH SOLANKI CONTRACT"/>
    <n v="174166"/>
    <s v="NAMOKAR STONE TRADERS"/>
    <n v="15"/>
    <n v="20"/>
    <n v="55"/>
    <n v="52.5"/>
    <n v="42.5"/>
    <n v="57.5"/>
    <n v="0"/>
    <n v="242.5"/>
    <n v="34.642857142857146"/>
    <x v="4"/>
    <x v="30"/>
    <x v="10"/>
    <x v="2"/>
  </r>
  <r>
    <s v="811136174166"/>
    <n v="811136"/>
    <s v="KASHAN ENTERPRISES"/>
    <n v="174166"/>
    <s v="NAMOKAR STONE TRADERS"/>
    <n v="177"/>
    <n v="141.25"/>
    <n v="155"/>
    <n v="140"/>
    <n v="107.5"/>
    <n v="110"/>
    <n v="83"/>
    <n v="913.75"/>
    <n v="130.53571428571428"/>
    <x v="3"/>
    <x v="30"/>
    <x v="10"/>
    <x v="2"/>
  </r>
  <r>
    <s v="811192174166"/>
    <n v="811192"/>
    <s v="MONIKA TRADERS"/>
    <n v="174166"/>
    <s v="NAMOKAR STONE TRADERS"/>
    <n v="0"/>
    <n v="30"/>
    <n v="65"/>
    <n v="30"/>
    <n v="42.5"/>
    <n v="52.5"/>
    <n v="41.85"/>
    <n v="261.85000000000002"/>
    <n v="37.407142857142858"/>
    <x v="4"/>
    <x v="30"/>
    <x v="10"/>
    <x v="2"/>
  </r>
  <r>
    <s v="812282174166"/>
    <n v="812282"/>
    <s v="ANKUR TRADERS"/>
    <n v="174166"/>
    <s v="NAMOKAR STONE TRADERS"/>
    <n v="117.6"/>
    <n v="40"/>
    <n v="133.75"/>
    <n v="93.4"/>
    <n v="70.5"/>
    <n v="94.95"/>
    <n v="56"/>
    <n v="606.20000000000005"/>
    <n v="86.600000000000009"/>
    <x v="3"/>
    <x v="30"/>
    <x v="10"/>
    <x v="2"/>
  </r>
  <r>
    <s v="812395174166"/>
    <n v="812395"/>
    <s v="P B GROVER AND SONS"/>
    <n v="174166"/>
    <s v="NAMOKAR STONE TRADERS"/>
    <n v="0"/>
    <n v="0"/>
    <n v="15"/>
    <n v="0"/>
    <n v="0"/>
    <n v="0"/>
    <n v="0"/>
    <n v="15"/>
    <n v="2.1428571428571428"/>
    <x v="1"/>
    <x v="30"/>
    <x v="10"/>
    <x v="2"/>
  </r>
  <r>
    <s v="812483174166"/>
    <n v="812483"/>
    <s v="SHREE PANCHMUKHI TRADERS"/>
    <n v="174166"/>
    <s v="NAMOKAR STONE TRADERS"/>
    <n v="0"/>
    <n v="10"/>
    <n v="0"/>
    <n v="25"/>
    <n v="30"/>
    <n v="20"/>
    <n v="10"/>
    <n v="95"/>
    <n v="13.571428571428571"/>
    <x v="2"/>
    <x v="30"/>
    <x v="10"/>
    <x v="2"/>
  </r>
  <r>
    <s v="814236174166"/>
    <n v="814236"/>
    <s v="RANO BUILDING MATERIAL"/>
    <n v="174166"/>
    <s v="NAMOKAR STONE TRADERS"/>
    <n v="126"/>
    <n v="57.5"/>
    <n v="45"/>
    <n v="111"/>
    <n v="40.5"/>
    <n v="50"/>
    <n v="125"/>
    <n v="555"/>
    <n v="79.285714285714292"/>
    <x v="3"/>
    <x v="30"/>
    <x v="10"/>
    <x v="2"/>
  </r>
  <r>
    <s v="814425174166"/>
    <n v="814425"/>
    <s v="ROHIT TRADERS"/>
    <n v="174166"/>
    <s v="NAMOKAR STONE TRADERS"/>
    <n v="121.9"/>
    <n v="42"/>
    <n v="182"/>
    <n v="60"/>
    <n v="40"/>
    <n v="65"/>
    <n v="55"/>
    <n v="565.9"/>
    <n v="80.842857142857142"/>
    <x v="3"/>
    <x v="30"/>
    <x v="10"/>
    <x v="2"/>
  </r>
  <r>
    <s v="814498174166"/>
    <n v="814498"/>
    <s v="MODERN STEEL AND CEMENT AGENCY"/>
    <n v="174166"/>
    <s v="NAMOKAR STONE TRADERS"/>
    <n v="10"/>
    <n v="45"/>
    <n v="56.5"/>
    <n v="60"/>
    <n v="20"/>
    <n v="0"/>
    <n v="0"/>
    <n v="191.5"/>
    <n v="27.357142857142858"/>
    <x v="0"/>
    <x v="30"/>
    <x v="10"/>
    <x v="2"/>
  </r>
  <r>
    <s v="814594174166"/>
    <n v="814594"/>
    <s v="AAYUSH ENTERPRISES"/>
    <n v="174166"/>
    <s v="NAMOKAR STONE TRADERS"/>
    <n v="0"/>
    <n v="5"/>
    <n v="16.5"/>
    <n v="0"/>
    <n v="22.5"/>
    <n v="17.5"/>
    <n v="20"/>
    <n v="81.5"/>
    <n v="11.642857142857142"/>
    <x v="2"/>
    <x v="30"/>
    <x v="10"/>
    <x v="2"/>
  </r>
  <r>
    <s v="814708174166"/>
    <n v="814708"/>
    <s v="SHIV SHAKTI TRADERS"/>
    <n v="174166"/>
    <s v="NAMOKAR STONE TRADERS"/>
    <n v="0"/>
    <n v="10"/>
    <n v="20"/>
    <n v="30"/>
    <n v="27.5"/>
    <n v="27.5"/>
    <n v="20"/>
    <n v="135"/>
    <n v="19.285714285714285"/>
    <x v="2"/>
    <x v="30"/>
    <x v="10"/>
    <x v="2"/>
  </r>
  <r>
    <s v="814767174166"/>
    <n v="814767"/>
    <s v="DHAKAD CONSTRUCTION AND MATERI"/>
    <n v="174166"/>
    <s v="NAMOKAR STONE TRADERS"/>
    <n v="5.65"/>
    <n v="85"/>
    <n v="76.5"/>
    <n v="124.5"/>
    <n v="66"/>
    <n v="57.5"/>
    <n v="125"/>
    <n v="540.15"/>
    <n v="77.164285714285711"/>
    <x v="3"/>
    <x v="30"/>
    <x v="10"/>
    <x v="2"/>
  </r>
  <r>
    <s v="815630174166"/>
    <n v="815630"/>
    <s v="SHIV TRADERS"/>
    <n v="174166"/>
    <s v="NAMOKAR STONE TRADERS"/>
    <n v="0"/>
    <n v="0"/>
    <n v="0"/>
    <n v="0"/>
    <n v="40"/>
    <n v="17.5"/>
    <n v="0"/>
    <n v="57.5"/>
    <n v="8.2142857142857135"/>
    <x v="1"/>
    <x v="30"/>
    <x v="10"/>
    <x v="2"/>
  </r>
  <r>
    <s v="815850174166"/>
    <n v="815850"/>
    <s v="BALAJI ASSOCIATES"/>
    <n v="174166"/>
    <s v="NAMOKAR STONE TRADERS"/>
    <n v="0"/>
    <n v="0"/>
    <n v="0"/>
    <n v="0"/>
    <n v="0"/>
    <n v="17.5"/>
    <n v="20"/>
    <n v="37.5"/>
    <n v="5.3571428571428568"/>
    <x v="1"/>
    <x v="30"/>
    <x v="10"/>
    <x v="2"/>
  </r>
  <r>
    <s v="816157174166"/>
    <n v="816157"/>
    <s v="NEW MARYAM CONSTRUCTION"/>
    <n v="174166"/>
    <s v="NAMOKAR STONE TRADERS"/>
    <n v="0"/>
    <n v="0"/>
    <n v="0"/>
    <n v="0"/>
    <n v="0"/>
    <n v="60"/>
    <n v="38"/>
    <n v="98"/>
    <n v="14"/>
    <x v="2"/>
    <x v="30"/>
    <x v="10"/>
    <x v="2"/>
  </r>
  <r>
    <s v="811182174316"/>
    <n v="811182"/>
    <s v="SHREE DHARNEDHAR JI BUILDING M"/>
    <n v="174316"/>
    <s v="DHAKAD BUILDING MATERIALS SUPP"/>
    <n v="54"/>
    <n v="67"/>
    <n v="40"/>
    <n v="37"/>
    <n v="30"/>
    <n v="25"/>
    <n v="20"/>
    <n v="273"/>
    <n v="39"/>
    <x v="4"/>
    <x v="30"/>
    <x v="10"/>
    <x v="2"/>
  </r>
  <r>
    <s v="812627174316"/>
    <n v="812627"/>
    <s v="NAGAR CEMENT AGENCY"/>
    <n v="174316"/>
    <s v="DHAKAD BUILDING MATERIALS SUPP"/>
    <n v="25"/>
    <n v="45"/>
    <n v="37"/>
    <n v="0"/>
    <n v="15"/>
    <n v="20"/>
    <n v="0"/>
    <n v="142"/>
    <n v="20.285714285714285"/>
    <x v="0"/>
    <x v="30"/>
    <x v="10"/>
    <x v="2"/>
  </r>
  <r>
    <s v="815490174384"/>
    <n v="815490"/>
    <s v="ISHIKA BUILDING MATERIAL SUPPL"/>
    <n v="174384"/>
    <s v="PANCHWATI GRANITES &amp; TILES"/>
    <n v="0"/>
    <n v="0"/>
    <n v="0"/>
    <n v="7"/>
    <n v="10"/>
    <n v="7.5"/>
    <n v="7.5"/>
    <n v="32"/>
    <n v="4.5714285714285712"/>
    <x v="1"/>
    <x v="30"/>
    <x v="10"/>
    <x v="2"/>
  </r>
  <r>
    <s v="809179175856"/>
    <n v="809179"/>
    <s v="KRISHNA ENTERPRISES"/>
    <n v="175856"/>
    <s v="SUMAN AGENCY"/>
    <n v="23"/>
    <n v="41"/>
    <n v="105"/>
    <n v="30"/>
    <n v="20"/>
    <n v="61"/>
    <n v="45"/>
    <n v="325"/>
    <n v="46.428571428571431"/>
    <x v="5"/>
    <x v="30"/>
    <x v="10"/>
    <x v="2"/>
  </r>
  <r>
    <s v="811136175856"/>
    <n v="811136"/>
    <s v="KASHAN ENTERPRISES"/>
    <n v="175856"/>
    <s v="SUMAN AGENCY"/>
    <n v="25"/>
    <n v="0"/>
    <n v="0"/>
    <n v="0"/>
    <n v="0"/>
    <n v="0"/>
    <n v="0"/>
    <n v="25"/>
    <n v="3.5714285714285716"/>
    <x v="1"/>
    <x v="30"/>
    <x v="10"/>
    <x v="2"/>
  </r>
  <r>
    <s v="812880175856"/>
    <n v="812880"/>
    <s v="AJAY BUILDING MATERIAL"/>
    <n v="175856"/>
    <s v="SUMAN AGENCY"/>
    <n v="0"/>
    <n v="5"/>
    <n v="25"/>
    <n v="14"/>
    <n v="10"/>
    <n v="0"/>
    <n v="10"/>
    <n v="64"/>
    <n v="9.1428571428571423"/>
    <x v="1"/>
    <x v="30"/>
    <x v="10"/>
    <x v="2"/>
  </r>
  <r>
    <s v="813009175856"/>
    <n v="813009"/>
    <s v="MEENA CEMENT AGENCY"/>
    <n v="175856"/>
    <s v="SUMAN AGENCY"/>
    <n v="20"/>
    <n v="30"/>
    <n v="20"/>
    <n v="20"/>
    <n v="10"/>
    <n v="39"/>
    <n v="0"/>
    <n v="139"/>
    <n v="19.857142857142858"/>
    <x v="2"/>
    <x v="30"/>
    <x v="10"/>
    <x v="2"/>
  </r>
  <r>
    <s v="813167175856"/>
    <n v="813167"/>
    <s v="KRISHNA TRADERS"/>
    <n v="175856"/>
    <s v="SUMAN AGENCY"/>
    <n v="0"/>
    <n v="0"/>
    <n v="0"/>
    <n v="13"/>
    <n v="0"/>
    <n v="0"/>
    <n v="0"/>
    <n v="13"/>
    <n v="1.8571428571428572"/>
    <x v="1"/>
    <x v="30"/>
    <x v="10"/>
    <x v="2"/>
  </r>
  <r>
    <s v="814909176363"/>
    <n v="814909"/>
    <s v="JAI MATA DI BUILDING MATERIAL"/>
    <n v="176363"/>
    <s v="SANWALIYA TRADERS"/>
    <n v="10"/>
    <n v="35"/>
    <n v="29"/>
    <n v="70"/>
    <n v="30"/>
    <n v="17.5"/>
    <n v="17.5"/>
    <n v="209"/>
    <n v="29.857142857142858"/>
    <x v="0"/>
    <x v="30"/>
    <x v="10"/>
    <x v="2"/>
  </r>
  <r>
    <s v="812884205620"/>
    <n v="812884"/>
    <s v="MAHAKAL ASSOCIATES"/>
    <n v="205620"/>
    <s v="NISHANT JAISWAL"/>
    <n v="200"/>
    <n v="42.5"/>
    <n v="30"/>
    <n v="0"/>
    <n v="0"/>
    <n v="0"/>
    <n v="0"/>
    <n v="272.5"/>
    <n v="38.928571428571431"/>
    <x v="4"/>
    <x v="30"/>
    <x v="10"/>
    <x v="2"/>
  </r>
  <r>
    <s v="813734205620"/>
    <n v="813734"/>
    <s v="KISHOR SINGH JHALA"/>
    <n v="205620"/>
    <s v="NISHANT JAISWAL"/>
    <n v="444.75"/>
    <n v="169.25"/>
    <n v="159"/>
    <n v="109.5"/>
    <n v="33.25"/>
    <n v="60"/>
    <n v="0"/>
    <n v="975.75"/>
    <n v="139.39285714285714"/>
    <x v="3"/>
    <x v="30"/>
    <x v="10"/>
    <x v="2"/>
  </r>
  <r>
    <s v="815342205620"/>
    <n v="815342"/>
    <s v="LUCKY CEMENT AND STEELS"/>
    <n v="205620"/>
    <s v="NISHANT JAISWAL"/>
    <n v="0"/>
    <n v="0"/>
    <n v="0"/>
    <n v="10.5"/>
    <n v="0"/>
    <n v="0"/>
    <n v="0"/>
    <n v="10.5"/>
    <n v="1.5"/>
    <x v="1"/>
    <x v="30"/>
    <x v="10"/>
    <x v="2"/>
  </r>
  <r>
    <s v="811896205840"/>
    <n v="811896"/>
    <s v="MEHATA KHAD BHANDAR"/>
    <n v="205840"/>
    <s v="KUCHHAL STEEL MARKETING"/>
    <n v="20"/>
    <n v="10"/>
    <n v="50"/>
    <n v="28"/>
    <n v="0"/>
    <n v="20"/>
    <n v="15"/>
    <n v="143"/>
    <n v="20.428571428571427"/>
    <x v="0"/>
    <x v="30"/>
    <x v="10"/>
    <x v="2"/>
  </r>
  <r>
    <s v="814117205840"/>
    <n v="814117"/>
    <s v="JAI AMBEY STEEL"/>
    <n v="205840"/>
    <s v="KUCHHAL STEEL MARKETING"/>
    <n v="5"/>
    <n v="15"/>
    <n v="25"/>
    <n v="10"/>
    <n v="0"/>
    <n v="0"/>
    <n v="15"/>
    <n v="70"/>
    <n v="10"/>
    <x v="2"/>
    <x v="30"/>
    <x v="10"/>
    <x v="2"/>
  </r>
  <r>
    <s v="814151205840"/>
    <n v="814151"/>
    <s v="KUCHHAL TRADING CORPORATION"/>
    <n v="205840"/>
    <s v="KUCHHAL STEEL MARKETING"/>
    <n v="22"/>
    <n v="37.75"/>
    <n v="130"/>
    <n v="72.5"/>
    <n v="22.25"/>
    <n v="90.75"/>
    <n v="88.3"/>
    <n v="463.55"/>
    <n v="66.221428571428575"/>
    <x v="3"/>
    <x v="30"/>
    <x v="10"/>
    <x v="2"/>
  </r>
  <r>
    <s v="813734207895"/>
    <n v="813734"/>
    <s v="KISHOR SINGH JHALA"/>
    <n v="207895"/>
    <s v="NISHANT ASSOCIATES"/>
    <n v="41"/>
    <n v="0"/>
    <n v="0"/>
    <n v="0"/>
    <n v="0"/>
    <n v="0"/>
    <n v="0"/>
    <n v="41"/>
    <n v="5.8571428571428568"/>
    <x v="1"/>
    <x v="30"/>
    <x v="10"/>
    <x v="2"/>
  </r>
  <r>
    <s v="815356207945"/>
    <n v="815356"/>
    <s v="SUFI BUILDING MATERIAL"/>
    <n v="207945"/>
    <s v="SUFI ENTERPRISES"/>
    <n v="0"/>
    <n v="0"/>
    <n v="0"/>
    <n v="101.75"/>
    <n v="15"/>
    <n v="63.5"/>
    <n v="10"/>
    <n v="190.25"/>
    <n v="27.178571428571427"/>
    <x v="0"/>
    <x v="30"/>
    <x v="10"/>
    <x v="2"/>
  </r>
  <r>
    <s v="815715207945"/>
    <n v="815715"/>
    <s v="UVESH ENTERPRISES"/>
    <n v="207945"/>
    <s v="SUFI ENTERPRISES"/>
    <n v="0"/>
    <n v="0"/>
    <n v="0"/>
    <n v="20"/>
    <n v="28"/>
    <n v="21"/>
    <n v="5.9"/>
    <n v="74.900000000000006"/>
    <n v="10.700000000000001"/>
    <x v="2"/>
    <x v="30"/>
    <x v="10"/>
    <x v="2"/>
  </r>
  <r>
    <s v="813167207977"/>
    <n v="813167"/>
    <s v="KRISHNA TRADERS"/>
    <n v="207977"/>
    <s v="YASH TRADERS"/>
    <n v="0"/>
    <n v="0"/>
    <n v="0"/>
    <n v="0"/>
    <n v="10"/>
    <n v="0"/>
    <n v="0"/>
    <n v="10"/>
    <n v="1.4285714285714286"/>
    <x v="1"/>
    <x v="30"/>
    <x v="10"/>
    <x v="2"/>
  </r>
  <r>
    <s v="815307208638"/>
    <n v="815307"/>
    <s v="KASHYAP ENTERPRISES"/>
    <n v="208638"/>
    <s v="SHRI GANESH CEMENT &amp; STEELS"/>
    <n v="0"/>
    <n v="0"/>
    <n v="5"/>
    <n v="0"/>
    <n v="10"/>
    <n v="12.05"/>
    <n v="0"/>
    <n v="27.05"/>
    <n v="3.8642857142857143"/>
    <x v="1"/>
    <x v="30"/>
    <x v="10"/>
    <x v="2"/>
  </r>
  <r>
    <s v="815342208638"/>
    <n v="815342"/>
    <s v="LUCKY CEMENT AND STEELS"/>
    <n v="208638"/>
    <s v="SHRI GANESH CEMENT &amp; STEELS"/>
    <n v="0"/>
    <n v="0"/>
    <n v="10"/>
    <n v="76"/>
    <n v="59.5"/>
    <n v="115"/>
    <n v="112.15"/>
    <n v="372.65"/>
    <n v="53.23571428571428"/>
    <x v="3"/>
    <x v="30"/>
    <x v="10"/>
    <x v="2"/>
  </r>
  <r>
    <s v="813056175856"/>
    <n v="813056"/>
    <s v="KRISHNA BUILDING MATERIAL SUPP"/>
    <n v="175856"/>
    <s v="SUMAN AGENCY"/>
    <n v="0"/>
    <n v="0"/>
    <n v="0"/>
    <n v="0"/>
    <n v="0"/>
    <n v="0"/>
    <n v="10"/>
    <n v="10"/>
    <n v="1.4285714285714286"/>
    <x v="1"/>
    <x v="30"/>
    <x v="10"/>
    <x v="2"/>
  </r>
  <r>
    <s v="816047207945"/>
    <n v="816047"/>
    <s v="GUDDU IRON ENTERPRISES"/>
    <n v="207945"/>
    <s v="SUFI ENTERPRISES"/>
    <n v="0"/>
    <n v="0"/>
    <n v="0"/>
    <n v="0"/>
    <n v="0"/>
    <n v="0"/>
    <n v="30"/>
    <n v="30"/>
    <n v="4.2857142857142856"/>
    <x v="1"/>
    <x v="30"/>
    <x v="10"/>
    <x v="2"/>
  </r>
  <r>
    <s v="816156174316"/>
    <n v="816156"/>
    <s v="YUHAN KRISHI SEWA KENDRA"/>
    <n v="174316"/>
    <s v="DHAKAD BUILDING MATERIALS SUPP"/>
    <n v="0"/>
    <n v="0"/>
    <n v="0"/>
    <n v="0"/>
    <n v="0"/>
    <n v="0"/>
    <n v="25"/>
    <n v="25"/>
    <n v="3.5714285714285716"/>
    <x v="1"/>
    <x v="30"/>
    <x v="10"/>
    <x v="2"/>
  </r>
  <r>
    <s v="816436171578"/>
    <n v="816436"/>
    <s v="ARVIND TRADERS"/>
    <n v="171578"/>
    <s v="KOTA BUILDMAT"/>
    <n v="0"/>
    <n v="0"/>
    <n v="0"/>
    <n v="0"/>
    <n v="0"/>
    <n v="0"/>
    <n v="10"/>
    <n v="10"/>
    <n v="1.4285714285714286"/>
    <x v="1"/>
    <x v="30"/>
    <x v="10"/>
    <x v="2"/>
  </r>
  <r>
    <s v="816601208638"/>
    <n v="816601"/>
    <s v="DIVISHA ENTERPRISES"/>
    <n v="208638"/>
    <s v="SHRI GANESH CEMENT &amp; STEELS"/>
    <n v="0"/>
    <n v="0"/>
    <n v="0"/>
    <n v="0"/>
    <n v="0"/>
    <n v="0"/>
    <n v="15"/>
    <n v="15"/>
    <n v="2.1428571428571428"/>
    <x v="1"/>
    <x v="30"/>
    <x v="10"/>
    <x v="2"/>
  </r>
  <r>
    <s v="801582119028"/>
    <n v="801582"/>
    <s v="KRISHNA CEMENT SUPPLIERS"/>
    <n v="119028"/>
    <s v="KANHAYALAL &amp; SONS"/>
    <n v="31"/>
    <n v="62"/>
    <n v="62"/>
    <n v="83"/>
    <n v="108"/>
    <n v="62"/>
    <n v="295"/>
    <n v="703"/>
    <n v="100.42857142857143"/>
    <x v="3"/>
    <x v="31"/>
    <x v="11"/>
    <x v="2"/>
  </r>
  <r>
    <s v="801766119028"/>
    <n v="801766"/>
    <s v="SURENDRA TRADERS"/>
    <n v="119028"/>
    <s v="KANHAYALAL &amp; SONS"/>
    <n v="31"/>
    <n v="0"/>
    <n v="155"/>
    <n v="93"/>
    <n v="47"/>
    <n v="0"/>
    <n v="0"/>
    <n v="326"/>
    <n v="46.571428571428569"/>
    <x v="5"/>
    <x v="31"/>
    <x v="11"/>
    <x v="2"/>
  </r>
  <r>
    <s v="801881119028"/>
    <n v="801881"/>
    <s v="DEVKRIPA CEMENT SUPPLIER'S"/>
    <n v="119028"/>
    <s v="KANHAYALAL &amp; SONS"/>
    <n v="149"/>
    <n v="186"/>
    <n v="155"/>
    <n v="165"/>
    <n v="224.5"/>
    <n v="266.5"/>
    <n v="310"/>
    <n v="1456"/>
    <n v="208"/>
    <x v="3"/>
    <x v="31"/>
    <x v="11"/>
    <x v="2"/>
  </r>
  <r>
    <s v="801920119028"/>
    <n v="801920"/>
    <s v="DATAR TRADING CO"/>
    <n v="119028"/>
    <s v="KANHAYALAL &amp; SONS"/>
    <n v="0"/>
    <n v="0"/>
    <n v="62"/>
    <n v="41"/>
    <n v="31"/>
    <n v="0"/>
    <n v="0"/>
    <n v="134"/>
    <n v="19.142857142857142"/>
    <x v="2"/>
    <x v="31"/>
    <x v="11"/>
    <x v="2"/>
  </r>
  <r>
    <s v="802012119028"/>
    <n v="802012"/>
    <s v="RADHEY CEMENT SUPPLILERS"/>
    <n v="119028"/>
    <s v="KANHAYALAL &amp; SONS"/>
    <n v="0"/>
    <n v="0"/>
    <n v="0"/>
    <n v="0"/>
    <n v="0"/>
    <n v="31"/>
    <n v="0"/>
    <n v="31"/>
    <n v="4.4285714285714288"/>
    <x v="1"/>
    <x v="31"/>
    <x v="11"/>
    <x v="2"/>
  </r>
  <r>
    <s v="802212119028"/>
    <n v="802212"/>
    <s v="DEEWANA CEMENT TRADERS"/>
    <n v="119028"/>
    <s v="KANHAYALAL &amp; SONS"/>
    <n v="10"/>
    <n v="31"/>
    <n v="62"/>
    <n v="87"/>
    <n v="33.5"/>
    <n v="31"/>
    <n v="62"/>
    <n v="316.5"/>
    <n v="45.214285714285715"/>
    <x v="5"/>
    <x v="31"/>
    <x v="11"/>
    <x v="2"/>
  </r>
  <r>
    <s v="803292119028"/>
    <n v="803292"/>
    <s v="HIMMAT SINGH MOTI SINGH CEMENT"/>
    <n v="119028"/>
    <s v="KANHAYALAL &amp; SONS"/>
    <n v="139"/>
    <n v="114"/>
    <n v="155"/>
    <n v="196"/>
    <n v="109"/>
    <n v="31"/>
    <n v="93"/>
    <n v="837"/>
    <n v="119.57142857142857"/>
    <x v="3"/>
    <x v="31"/>
    <x v="11"/>
    <x v="2"/>
  </r>
  <r>
    <s v="803690119028"/>
    <n v="803690"/>
    <s v="KRISHNA CEMENT SUPPLIERS"/>
    <n v="119028"/>
    <s v="KANHAYALAL &amp; SONS"/>
    <n v="0"/>
    <n v="62"/>
    <n v="31"/>
    <n v="150"/>
    <n v="93"/>
    <n v="0"/>
    <n v="31"/>
    <n v="367"/>
    <n v="52.428571428571431"/>
    <x v="3"/>
    <x v="31"/>
    <x v="11"/>
    <x v="2"/>
  </r>
  <r>
    <s v="803691119028"/>
    <n v="803691"/>
    <s v="JAI RAM BALAI TRADING COMPANY"/>
    <n v="119028"/>
    <s v="KANHAYALAL &amp; SONS"/>
    <n v="158"/>
    <n v="196"/>
    <n v="248"/>
    <n v="170"/>
    <n v="115.25"/>
    <n v="62"/>
    <n v="0"/>
    <n v="949.25"/>
    <n v="135.60714285714286"/>
    <x v="3"/>
    <x v="31"/>
    <x v="11"/>
    <x v="2"/>
  </r>
  <r>
    <s v="804165119028"/>
    <n v="804165"/>
    <s v="SHREE JI CONSTRUCTION MATERIAL"/>
    <n v="119028"/>
    <s v="KANHAYALAL &amp; SONS"/>
    <n v="31"/>
    <n v="31"/>
    <n v="93"/>
    <n v="88"/>
    <n v="31"/>
    <n v="0"/>
    <n v="0"/>
    <n v="274"/>
    <n v="39.142857142857146"/>
    <x v="4"/>
    <x v="31"/>
    <x v="11"/>
    <x v="2"/>
  </r>
  <r>
    <s v="804310119028"/>
    <n v="804310"/>
    <s v="BHERUNATH CERAMICS"/>
    <n v="119028"/>
    <s v="KANHAYALAL &amp; SONS"/>
    <n v="176"/>
    <n v="217"/>
    <n v="310"/>
    <n v="196"/>
    <n v="465"/>
    <n v="562.65"/>
    <n v="217"/>
    <n v="2143.65"/>
    <n v="306.23571428571432"/>
    <x v="3"/>
    <x v="31"/>
    <x v="11"/>
    <x v="2"/>
  </r>
  <r>
    <s v="804474119028"/>
    <n v="804474"/>
    <s v="GAURAV CEMENT AGENCY"/>
    <n v="119028"/>
    <s v="KANHAYALAL &amp; SONS"/>
    <n v="0"/>
    <n v="0"/>
    <n v="0"/>
    <n v="0"/>
    <n v="0"/>
    <n v="11"/>
    <n v="0"/>
    <n v="11"/>
    <n v="1.5714285714285714"/>
    <x v="1"/>
    <x v="31"/>
    <x v="11"/>
    <x v="2"/>
  </r>
  <r>
    <s v="804971119028"/>
    <n v="804971"/>
    <s v="SINGHAVI BROTHERS"/>
    <n v="119028"/>
    <s v="KANHAYALAL &amp; SONS"/>
    <n v="62"/>
    <n v="62"/>
    <n v="217"/>
    <n v="93"/>
    <n v="31"/>
    <n v="31"/>
    <n v="62"/>
    <n v="558"/>
    <n v="79.714285714285708"/>
    <x v="3"/>
    <x v="31"/>
    <x v="11"/>
    <x v="2"/>
  </r>
  <r>
    <s v="805323119028"/>
    <n v="805323"/>
    <s v="KARDHAR CEMENT SUPPLIERS"/>
    <n v="119028"/>
    <s v="KANHAYALAL &amp; SONS"/>
    <n v="0"/>
    <n v="0"/>
    <n v="0"/>
    <n v="7.5"/>
    <n v="0"/>
    <n v="15"/>
    <n v="0"/>
    <n v="22.5"/>
    <n v="3.2142857142857144"/>
    <x v="1"/>
    <x v="31"/>
    <x v="11"/>
    <x v="2"/>
  </r>
  <r>
    <s v="805324119028"/>
    <n v="805324"/>
    <s v="MATESHWARI CEMENT SUPPLIERS"/>
    <n v="119028"/>
    <s v="KANHAYALAL &amp; SONS"/>
    <n v="0"/>
    <n v="0"/>
    <n v="0"/>
    <n v="35"/>
    <n v="31"/>
    <n v="31"/>
    <n v="31"/>
    <n v="128"/>
    <n v="18.285714285714285"/>
    <x v="2"/>
    <x v="31"/>
    <x v="11"/>
    <x v="2"/>
  </r>
  <r>
    <s v="805351119028"/>
    <n v="805351"/>
    <s v="KHEDA DEVI BUILDING MATERIALS"/>
    <n v="119028"/>
    <s v="KANHAYALAL &amp; SONS"/>
    <n v="16"/>
    <n v="0"/>
    <n v="93"/>
    <n v="84"/>
    <n v="31"/>
    <n v="93"/>
    <n v="0"/>
    <n v="317"/>
    <n v="45.285714285714285"/>
    <x v="5"/>
    <x v="31"/>
    <x v="11"/>
    <x v="2"/>
  </r>
  <r>
    <s v="805624119028"/>
    <n v="805624"/>
    <s v="SHREE BHERUNATH CEMENT SUPPLIE"/>
    <n v="119028"/>
    <s v="KANHAYALAL &amp; SONS"/>
    <n v="0"/>
    <n v="0"/>
    <n v="0"/>
    <n v="53"/>
    <n v="15"/>
    <n v="31"/>
    <n v="0"/>
    <n v="99"/>
    <n v="14.142857142857142"/>
    <x v="2"/>
    <x v="31"/>
    <x v="11"/>
    <x v="2"/>
  </r>
  <r>
    <s v="805969119028"/>
    <n v="805969"/>
    <s v="JAY MAHADEV CONSTRUCTION"/>
    <n v="119028"/>
    <s v="KANHAYALAL &amp; SONS"/>
    <n v="10"/>
    <n v="0"/>
    <n v="93"/>
    <n v="88"/>
    <n v="93"/>
    <n v="62"/>
    <n v="62"/>
    <n v="408"/>
    <n v="58.285714285714285"/>
    <x v="3"/>
    <x v="31"/>
    <x v="11"/>
    <x v="2"/>
  </r>
  <r>
    <s v="806362119028"/>
    <n v="806362"/>
    <s v="BHERUNATH CEMENT SUPPLIERS"/>
    <n v="119028"/>
    <s v="KANHAYALAL &amp; SONS"/>
    <n v="62"/>
    <n v="124"/>
    <n v="124"/>
    <n v="88"/>
    <n v="93"/>
    <n v="62"/>
    <n v="0"/>
    <n v="553"/>
    <n v="79"/>
    <x v="3"/>
    <x v="31"/>
    <x v="11"/>
    <x v="2"/>
  </r>
  <r>
    <s v="806915119028"/>
    <n v="806915"/>
    <s v="VISHWAKARMA STONE SUPPLIER"/>
    <n v="119028"/>
    <s v="KANHAYALAL &amp; SONS"/>
    <n v="31"/>
    <n v="0"/>
    <n v="0"/>
    <n v="51"/>
    <n v="26"/>
    <n v="62"/>
    <n v="0"/>
    <n v="170"/>
    <n v="24.285714285714285"/>
    <x v="0"/>
    <x v="31"/>
    <x v="11"/>
    <x v="2"/>
  </r>
  <r>
    <s v="806943119028"/>
    <n v="806943"/>
    <s v="MANOHAR LAL"/>
    <n v="119028"/>
    <s v="KANHAYALAL &amp; SONS"/>
    <n v="0"/>
    <n v="0"/>
    <n v="0"/>
    <n v="0"/>
    <n v="30"/>
    <n v="31"/>
    <n v="0"/>
    <n v="61"/>
    <n v="8.7142857142857135"/>
    <x v="1"/>
    <x v="31"/>
    <x v="11"/>
    <x v="2"/>
  </r>
  <r>
    <s v="807681119028"/>
    <n v="807681"/>
    <s v="SALEEM MOHAMMAD"/>
    <n v="119028"/>
    <s v="KANHAYALAL &amp; SONS"/>
    <n v="31"/>
    <n v="0"/>
    <n v="31"/>
    <n v="0"/>
    <n v="15"/>
    <n v="10"/>
    <n v="0"/>
    <n v="87"/>
    <n v="12.428571428571429"/>
    <x v="2"/>
    <x v="31"/>
    <x v="11"/>
    <x v="2"/>
  </r>
  <r>
    <s v="808678119028"/>
    <n v="808678"/>
    <s v="SHREE HARI OM TRADERS"/>
    <n v="119028"/>
    <s v="KANHAYALAL &amp; SONS"/>
    <n v="0"/>
    <n v="0"/>
    <n v="0"/>
    <n v="2.5"/>
    <n v="0"/>
    <n v="0"/>
    <n v="31"/>
    <n v="33.5"/>
    <n v="4.7857142857142856"/>
    <x v="1"/>
    <x v="31"/>
    <x v="11"/>
    <x v="2"/>
  </r>
  <r>
    <s v="808820119028"/>
    <n v="808820"/>
    <s v="MAHIMA CONSTRUCTION"/>
    <n v="119028"/>
    <s v="KANHAYALAL &amp; SONS"/>
    <n v="93"/>
    <n v="62"/>
    <n v="93"/>
    <n v="62"/>
    <n v="41"/>
    <n v="31"/>
    <n v="31"/>
    <n v="413"/>
    <n v="59"/>
    <x v="3"/>
    <x v="31"/>
    <x v="11"/>
    <x v="2"/>
  </r>
  <r>
    <s v="809985119028"/>
    <n v="809985"/>
    <s v="PADAM AGENCIES"/>
    <n v="119028"/>
    <s v="KANHAYALAL &amp; SONS"/>
    <n v="41"/>
    <n v="62"/>
    <n v="155"/>
    <n v="72"/>
    <n v="78"/>
    <n v="31"/>
    <n v="31"/>
    <n v="470"/>
    <n v="67.142857142857139"/>
    <x v="3"/>
    <x v="31"/>
    <x v="11"/>
    <x v="2"/>
  </r>
  <r>
    <s v="809986119028"/>
    <n v="809986"/>
    <s v="TULSI RAM SALVI"/>
    <n v="119028"/>
    <s v="KANHAYALAL &amp; SONS"/>
    <n v="0"/>
    <n v="0"/>
    <n v="0"/>
    <n v="41"/>
    <n v="26"/>
    <n v="31"/>
    <n v="15"/>
    <n v="113"/>
    <n v="16.142857142857142"/>
    <x v="2"/>
    <x v="31"/>
    <x v="11"/>
    <x v="2"/>
  </r>
  <r>
    <s v="810224119028"/>
    <n v="810224"/>
    <s v="RADAJI KIRANA AND CEMENT SUPPL"/>
    <n v="119028"/>
    <s v="KANHAYALAL &amp; SONS"/>
    <n v="0"/>
    <n v="0"/>
    <n v="0"/>
    <n v="52"/>
    <n v="15"/>
    <n v="0"/>
    <n v="16"/>
    <n v="83"/>
    <n v="11.857142857142858"/>
    <x v="2"/>
    <x v="31"/>
    <x v="11"/>
    <x v="2"/>
  </r>
  <r>
    <s v="810512119028"/>
    <n v="810512"/>
    <s v="SHRI DEVASI CEMENT AGENCY"/>
    <n v="119028"/>
    <s v="KANHAYALAL &amp; SONS"/>
    <n v="37.5"/>
    <n v="0"/>
    <n v="62"/>
    <n v="56"/>
    <n v="26"/>
    <n v="2.25"/>
    <n v="0"/>
    <n v="183.75"/>
    <n v="26.25"/>
    <x v="0"/>
    <x v="31"/>
    <x v="11"/>
    <x v="2"/>
  </r>
  <r>
    <s v="811774119028"/>
    <n v="811774"/>
    <s v="HARI SINGH RAJPUT"/>
    <n v="119028"/>
    <s v="KANHAYALAL &amp; SONS"/>
    <n v="0"/>
    <n v="0"/>
    <n v="0"/>
    <n v="0"/>
    <n v="0"/>
    <n v="31"/>
    <n v="31"/>
    <n v="62"/>
    <n v="8.8571428571428577"/>
    <x v="1"/>
    <x v="31"/>
    <x v="11"/>
    <x v="2"/>
  </r>
  <r>
    <s v="811998119028"/>
    <n v="811998"/>
    <s v="JAI BHERUNATH KIRANA AND GENER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12003119028"/>
    <n v="812003"/>
    <s v="SHRI RAM CEMENT SUPPLIERS"/>
    <n v="119028"/>
    <s v="KANHAYALAL &amp; SONS"/>
    <n v="0"/>
    <n v="0"/>
    <n v="0"/>
    <n v="11"/>
    <n v="27"/>
    <n v="31"/>
    <n v="0"/>
    <n v="69"/>
    <n v="9.8571428571428577"/>
    <x v="1"/>
    <x v="31"/>
    <x v="11"/>
    <x v="2"/>
  </r>
  <r>
    <s v="812976119028"/>
    <n v="812976"/>
    <s v="MATESHWARI CEMENT SUPPLIERS"/>
    <n v="119028"/>
    <s v="KANHAYALAL &amp; SONS"/>
    <n v="4"/>
    <n v="0"/>
    <n v="31"/>
    <n v="43"/>
    <n v="41"/>
    <n v="31"/>
    <n v="0"/>
    <n v="150"/>
    <n v="21.428571428571427"/>
    <x v="0"/>
    <x v="31"/>
    <x v="11"/>
    <x v="2"/>
  </r>
  <r>
    <s v="813866119028"/>
    <n v="813866"/>
    <s v="CHARBHUJA TRADERS CEMENT SUPPL"/>
    <n v="119028"/>
    <s v="KANHAYALAL &amp; SONS"/>
    <n v="0"/>
    <n v="0"/>
    <n v="0"/>
    <n v="51"/>
    <n v="10"/>
    <n v="16"/>
    <n v="15"/>
    <n v="92"/>
    <n v="13.142857142857142"/>
    <x v="2"/>
    <x v="31"/>
    <x v="11"/>
    <x v="2"/>
  </r>
  <r>
    <s v="814108119028"/>
    <n v="814108"/>
    <s v="SHREE DEV CEMENT &amp; BUILDING MA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15756119028"/>
    <n v="815756"/>
    <s v="BHERUNATH CEMENT SUPPLIERS"/>
    <n v="119028"/>
    <s v="KANHAYALAL &amp; SONS"/>
    <n v="0"/>
    <n v="0"/>
    <n v="0"/>
    <n v="2.5"/>
    <n v="47"/>
    <n v="16.5"/>
    <n v="17.5"/>
    <n v="83.5"/>
    <n v="11.928571428571429"/>
    <x v="2"/>
    <x v="31"/>
    <x v="11"/>
    <x v="2"/>
  </r>
  <r>
    <s v="815757119028"/>
    <n v="815757"/>
    <s v="MATESHWARI TRADING COMPANY"/>
    <n v="119028"/>
    <s v="KANHAYALAL &amp; SONS"/>
    <n v="0"/>
    <n v="0"/>
    <n v="0"/>
    <n v="2.5"/>
    <n v="31"/>
    <n v="10"/>
    <n v="15"/>
    <n v="58.5"/>
    <n v="8.3571428571428577"/>
    <x v="1"/>
    <x v="31"/>
    <x v="11"/>
    <x v="2"/>
  </r>
  <r>
    <s v="816298119028"/>
    <n v="816298"/>
    <s v="JAI BHERUNATH ENTERPRISES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07603122282"/>
    <n v="807603"/>
    <s v="BABA RAMDEV CONTRACTOR"/>
    <n v="122282"/>
    <s v="PIPARA SALES"/>
    <n v="40"/>
    <n v="46"/>
    <n v="59"/>
    <n v="45"/>
    <n v="56"/>
    <n v="30.2"/>
    <n v="43"/>
    <n v="319.2"/>
    <n v="45.6"/>
    <x v="5"/>
    <x v="31"/>
    <x v="11"/>
    <x v="2"/>
  </r>
  <r>
    <s v="808173122282"/>
    <n v="808173"/>
    <s v="SIKANDAR KATHAT"/>
    <n v="122282"/>
    <s v="PIPARA SALES"/>
    <n v="40"/>
    <n v="45"/>
    <n v="47"/>
    <n v="44"/>
    <n v="52"/>
    <n v="27.5"/>
    <n v="10"/>
    <n v="265.5"/>
    <n v="37.928571428571431"/>
    <x v="4"/>
    <x v="31"/>
    <x v="11"/>
    <x v="2"/>
  </r>
  <r>
    <s v="814758122282"/>
    <n v="814758"/>
    <s v="MAN SINGH"/>
    <n v="122282"/>
    <s v="PIPARA SALES"/>
    <n v="20"/>
    <n v="20"/>
    <n v="41"/>
    <n v="30"/>
    <n v="27.5"/>
    <n v="16"/>
    <n v="5"/>
    <n v="159.5"/>
    <n v="22.785714285714285"/>
    <x v="0"/>
    <x v="31"/>
    <x v="11"/>
    <x v="2"/>
  </r>
  <r>
    <s v="802214172597"/>
    <n v="802214"/>
    <s v="GEETA CEMENT SUPPLIERS"/>
    <n v="172597"/>
    <s v="SONU TRADERS"/>
    <n v="2"/>
    <n v="0"/>
    <n v="10"/>
    <n v="0"/>
    <n v="0"/>
    <n v="20"/>
    <n v="15"/>
    <n v="47"/>
    <n v="6.7142857142857144"/>
    <x v="1"/>
    <x v="31"/>
    <x v="11"/>
    <x v="2"/>
  </r>
  <r>
    <s v="808553172597"/>
    <n v="808553"/>
    <s v="SHREE BHERUNATH ENTERPRISES"/>
    <n v="172597"/>
    <s v="SONU TRADERS"/>
    <n v="16"/>
    <n v="12.5"/>
    <n v="0"/>
    <n v="0"/>
    <n v="0"/>
    <n v="10"/>
    <n v="0"/>
    <n v="38.5"/>
    <n v="5.5"/>
    <x v="1"/>
    <x v="31"/>
    <x v="11"/>
    <x v="2"/>
  </r>
  <r>
    <s v="810741172597"/>
    <n v="810741"/>
    <s v="ASHAPURA KIRANA AND GENERAL ST"/>
    <n v="172597"/>
    <s v="SONU TRADERS"/>
    <n v="43"/>
    <n v="0"/>
    <n v="0"/>
    <n v="20"/>
    <n v="27.5"/>
    <n v="40"/>
    <n v="15"/>
    <n v="145.5"/>
    <n v="20.785714285714285"/>
    <x v="0"/>
    <x v="31"/>
    <x v="11"/>
    <x v="2"/>
  </r>
  <r>
    <s v="814530172597"/>
    <n v="814530"/>
    <s v="SAI TRADERS"/>
    <n v="172597"/>
    <s v="SONU TRADERS"/>
    <n v="62.5"/>
    <n v="0"/>
    <n v="10"/>
    <n v="0"/>
    <n v="12.5"/>
    <n v="12.5"/>
    <n v="0"/>
    <n v="97.5"/>
    <n v="13.928571428571429"/>
    <x v="2"/>
    <x v="31"/>
    <x v="11"/>
    <x v="2"/>
  </r>
  <r>
    <s v="815655172597"/>
    <n v="815655"/>
    <s v="DEVNARAYAN CONSTRUCTION"/>
    <n v="172597"/>
    <s v="SONU TRADERS"/>
    <n v="0"/>
    <n v="0"/>
    <n v="0"/>
    <n v="5"/>
    <n v="5"/>
    <n v="25"/>
    <n v="5"/>
    <n v="40"/>
    <n v="5.7142857142857144"/>
    <x v="1"/>
    <x v="31"/>
    <x v="11"/>
    <x v="2"/>
  </r>
  <r>
    <s v="808818172905"/>
    <n v="808818"/>
    <s v="KAILASH TRADING COMPANY"/>
    <n v="172905"/>
    <s v="SHRI CHARBHUJA CEMENT SUPPLIER"/>
    <n v="17.5"/>
    <n v="0"/>
    <n v="30"/>
    <n v="22.5"/>
    <n v="17.5"/>
    <n v="22.5"/>
    <n v="2.5"/>
    <n v="112.5"/>
    <n v="16.071428571428573"/>
    <x v="2"/>
    <x v="31"/>
    <x v="11"/>
    <x v="2"/>
  </r>
  <r>
    <s v="811045172905"/>
    <n v="811045"/>
    <s v="MATESHWARI CEMENT SUPPLIERS"/>
    <n v="172905"/>
    <s v="SHRI CHARBHUJA CEMENT SUPPLIER"/>
    <n v="0"/>
    <n v="0"/>
    <n v="0"/>
    <n v="0"/>
    <n v="5"/>
    <n v="20"/>
    <n v="10"/>
    <n v="35"/>
    <n v="5"/>
    <x v="1"/>
    <x v="31"/>
    <x v="11"/>
    <x v="2"/>
  </r>
  <r>
    <s v="812978172906"/>
    <n v="812978"/>
    <s v="BHAGVATI LAL RAMESH CHANDRA"/>
    <n v="172906"/>
    <s v="MAA KRIPA CEMENT &amp; BUILDING MA"/>
    <n v="0.85"/>
    <n v="15"/>
    <n v="52"/>
    <n v="21"/>
    <n v="72.5"/>
    <n v="15"/>
    <n v="0"/>
    <n v="176.35"/>
    <n v="25.192857142857143"/>
    <x v="0"/>
    <x v="31"/>
    <x v="11"/>
    <x v="2"/>
  </r>
  <r>
    <s v="807066176015"/>
    <n v="807066"/>
    <s v="DWARKESH KHAD BEEJ BHANDAR"/>
    <n v="176015"/>
    <s v="DEVNARAYAN TRADERS"/>
    <n v="15"/>
    <n v="0"/>
    <n v="25"/>
    <n v="35"/>
    <n v="35"/>
    <n v="44"/>
    <n v="9.5"/>
    <n v="163.5"/>
    <n v="23.357142857142858"/>
    <x v="0"/>
    <x v="31"/>
    <x v="11"/>
    <x v="2"/>
  </r>
  <r>
    <s v="816263176015"/>
    <n v="816263"/>
    <s v="MATESHWARI CEMENT SUPPLIERS"/>
    <n v="176015"/>
    <s v="DEVNARAYAN TRADERS"/>
    <n v="0"/>
    <n v="0"/>
    <n v="0"/>
    <n v="0"/>
    <n v="0"/>
    <n v="20"/>
    <n v="0"/>
    <n v="20"/>
    <n v="2.8571428571428572"/>
    <x v="1"/>
    <x v="31"/>
    <x v="11"/>
    <x v="2"/>
  </r>
  <r>
    <s v="812000179550"/>
    <n v="812000"/>
    <s v="AADESH JAY BABA RAMDEV STONE S"/>
    <n v="179550"/>
    <s v="PAWAN CEMENT &amp; HARDWARE CENTRE"/>
    <n v="0"/>
    <n v="0"/>
    <n v="5"/>
    <n v="0"/>
    <n v="0"/>
    <n v="7.3"/>
    <n v="0"/>
    <n v="12.3"/>
    <n v="1.7571428571428573"/>
    <x v="1"/>
    <x v="31"/>
    <x v="11"/>
    <x v="2"/>
  </r>
  <r>
    <s v="812047201838"/>
    <n v="812047"/>
    <s v="VISHU ENTERPRISES"/>
    <n v="201838"/>
    <s v="SUKHWAL KRISHI KENDER"/>
    <n v="0"/>
    <n v="0"/>
    <n v="0"/>
    <n v="0"/>
    <n v="0"/>
    <n v="5"/>
    <n v="0"/>
    <n v="5"/>
    <n v="0.7142857142857143"/>
    <x v="1"/>
    <x v="31"/>
    <x v="11"/>
    <x v="2"/>
  </r>
  <r>
    <s v="815835201838"/>
    <n v="815835"/>
    <s v="MAHAKAL TRADERS"/>
    <n v="201838"/>
    <s v="SUKHWAL KRISHI KENDER"/>
    <n v="0"/>
    <n v="0"/>
    <n v="0"/>
    <n v="0"/>
    <n v="20"/>
    <n v="33.75"/>
    <n v="10"/>
    <n v="63.75"/>
    <n v="9.1071428571428577"/>
    <x v="1"/>
    <x v="31"/>
    <x v="11"/>
    <x v="2"/>
  </r>
  <r>
    <s v="815755205778"/>
    <n v="815755"/>
    <s v="JAY MAA BHAWANI CEMENT"/>
    <n v="205778"/>
    <s v="VIKAS CEMENT AGENCY"/>
    <n v="0"/>
    <n v="0"/>
    <n v="0"/>
    <n v="5"/>
    <n v="15"/>
    <n v="15"/>
    <n v="0"/>
    <n v="35"/>
    <n v="5"/>
    <x v="1"/>
    <x v="31"/>
    <x v="11"/>
    <x v="2"/>
  </r>
  <r>
    <s v="816494119028"/>
    <n v="816494"/>
    <s v="SHREE KSHETRAPAL CEMENT SUPPLI"/>
    <n v="119028"/>
    <s v="KANHAYALAL &amp; SONS"/>
    <n v="0"/>
    <n v="0"/>
    <n v="0"/>
    <n v="0"/>
    <n v="0"/>
    <n v="31"/>
    <n v="0"/>
    <n v="31"/>
    <n v="4.4285714285714288"/>
    <x v="1"/>
    <x v="31"/>
    <x v="11"/>
    <x v="2"/>
  </r>
  <r>
    <s v="801800119026"/>
    <n v="801800"/>
    <s v="ANOP SINGH GAUTAM SINGH"/>
    <n v="119026"/>
    <s v="FRIENDS SUPPLIERS CO.(L"/>
    <n v="35"/>
    <n v="50"/>
    <n v="35"/>
    <n v="82.5"/>
    <n v="22.5"/>
    <n v="20"/>
    <n v="45"/>
    <n v="290"/>
    <n v="41.428571428571431"/>
    <x v="5"/>
    <x v="32"/>
    <x v="11"/>
    <x v="2"/>
  </r>
  <r>
    <s v="802213119026"/>
    <n v="802213"/>
    <s v="LALIT CEMENT SUPPLIERS"/>
    <n v="119026"/>
    <s v="FRIENDS SUPPLIERS CO.(L"/>
    <n v="35"/>
    <n v="10"/>
    <n v="40"/>
    <n v="32.5"/>
    <n v="0"/>
    <n v="0"/>
    <n v="30"/>
    <n v="147.5"/>
    <n v="21.071428571428573"/>
    <x v="0"/>
    <x v="32"/>
    <x v="11"/>
    <x v="2"/>
  </r>
  <r>
    <s v="806872119026"/>
    <n v="806872"/>
    <s v="LUCKY ENTERPRISES"/>
    <n v="119026"/>
    <s v="FRIENDS SUPPLIERS CO.(L"/>
    <n v="20"/>
    <n v="10"/>
    <n v="10"/>
    <n v="35"/>
    <n v="0"/>
    <n v="0"/>
    <n v="10"/>
    <n v="85"/>
    <n v="12.142857142857142"/>
    <x v="2"/>
    <x v="32"/>
    <x v="11"/>
    <x v="2"/>
  </r>
  <r>
    <s v="806883119026"/>
    <n v="806883"/>
    <s v="KUNAL DISTRIBUTORS"/>
    <n v="119026"/>
    <s v="FRIENDS SUPPLIERS CO.(L"/>
    <n v="112.5"/>
    <n v="13.5"/>
    <n v="118.5"/>
    <n v="25"/>
    <n v="45"/>
    <n v="67.5"/>
    <n v="77.95"/>
    <n v="459.95"/>
    <n v="65.707142857142856"/>
    <x v="3"/>
    <x v="32"/>
    <x v="11"/>
    <x v="2"/>
  </r>
  <r>
    <s v="807407119026"/>
    <n v="807407"/>
    <s v="NEELKANTH TRADERS"/>
    <n v="119026"/>
    <s v="FRIENDS SUPPLIERS CO.(L"/>
    <n v="30"/>
    <n v="20"/>
    <n v="0"/>
    <n v="0"/>
    <n v="0"/>
    <n v="10"/>
    <n v="0"/>
    <n v="60"/>
    <n v="8.5714285714285712"/>
    <x v="1"/>
    <x v="32"/>
    <x v="11"/>
    <x v="2"/>
  </r>
  <r>
    <s v="808914119026"/>
    <n v="808914"/>
    <s v="KRISHNA CEMENT SUPPLIERS"/>
    <n v="119026"/>
    <s v="FRIENDS SUPPLIERS CO.(L"/>
    <n v="30"/>
    <n v="51"/>
    <n v="40"/>
    <n v="94.75"/>
    <n v="35"/>
    <n v="0"/>
    <n v="12"/>
    <n v="262.75"/>
    <n v="37.535714285714285"/>
    <x v="4"/>
    <x v="32"/>
    <x v="11"/>
    <x v="2"/>
  </r>
  <r>
    <s v="809906119026"/>
    <n v="809906"/>
    <s v="HARI SINGH CHOUHAN"/>
    <n v="119026"/>
    <s v="FRIENDS SUPPLIERS CO.(L"/>
    <n v="57.5"/>
    <n v="0"/>
    <n v="132.5"/>
    <n v="47.5"/>
    <n v="40"/>
    <n v="57.5"/>
    <n v="41.5"/>
    <n v="376.5"/>
    <n v="53.785714285714285"/>
    <x v="3"/>
    <x v="32"/>
    <x v="11"/>
    <x v="2"/>
  </r>
  <r>
    <s v="810840119026"/>
    <n v="810840"/>
    <s v="BHERUNATH CEMENT SUPPLIERS"/>
    <n v="119026"/>
    <s v="FRIENDS SUPPLIERS CO.(L"/>
    <n v="104"/>
    <n v="52.55"/>
    <n v="156.25"/>
    <n v="151.49999999999997"/>
    <n v="105"/>
    <n v="145"/>
    <n v="30"/>
    <n v="744.3"/>
    <n v="106.32857142857142"/>
    <x v="3"/>
    <x v="32"/>
    <x v="11"/>
    <x v="2"/>
  </r>
  <r>
    <s v="812067119026"/>
    <n v="812067"/>
    <s v="KALRA BUILDING MATERIAL"/>
    <n v="119026"/>
    <s v="FRIENDS SUPPLIERS CO.(L"/>
    <n v="144.5"/>
    <n v="70"/>
    <n v="104.1"/>
    <n v="93.25"/>
    <n v="110"/>
    <n v="155.05000000000001"/>
    <n v="75.5"/>
    <n v="752.40000000000009"/>
    <n v="107.48571428571429"/>
    <x v="3"/>
    <x v="32"/>
    <x v="11"/>
    <x v="2"/>
  </r>
  <r>
    <s v="812218119026"/>
    <n v="812218"/>
    <s v="JAINICO DISTRIBUTORS"/>
    <n v="119026"/>
    <s v="FRIENDS SUPPLIERS CO.(L"/>
    <n v="50"/>
    <n v="0"/>
    <n v="5"/>
    <n v="62.5"/>
    <n v="20"/>
    <n v="15"/>
    <n v="10"/>
    <n v="162.5"/>
    <n v="23.214285714285715"/>
    <x v="0"/>
    <x v="32"/>
    <x v="11"/>
    <x v="2"/>
  </r>
  <r>
    <s v="814106119028"/>
    <n v="814106"/>
    <s v="SANWARIYA ENTERPRISE"/>
    <n v="119028"/>
    <s v="KANHAYALAL &amp; SONS"/>
    <n v="0"/>
    <n v="0"/>
    <n v="10"/>
    <n v="0"/>
    <n v="0"/>
    <n v="0"/>
    <n v="0"/>
    <n v="10"/>
    <n v="1.4285714285714286"/>
    <x v="1"/>
    <x v="32"/>
    <x v="11"/>
    <x v="2"/>
  </r>
  <r>
    <s v="802894140848"/>
    <n v="802894"/>
    <s v="BHERUNATH CEMENT SUPPLIERS"/>
    <n v="140848"/>
    <s v="PADAM CEMENT SUPPLIERS"/>
    <n v="10"/>
    <n v="50"/>
    <n v="30"/>
    <n v="42.5"/>
    <n v="22.5"/>
    <n v="20"/>
    <n v="20"/>
    <n v="195"/>
    <n v="27.857142857142858"/>
    <x v="0"/>
    <x v="32"/>
    <x v="11"/>
    <x v="2"/>
  </r>
  <r>
    <s v="803071140848"/>
    <n v="803071"/>
    <s v="JAGDISH CHANDRA S/O NATHULAL S"/>
    <n v="140848"/>
    <s v="PADAM CEMENT SUPPLIERS"/>
    <n v="116"/>
    <n v="168"/>
    <n v="217.5"/>
    <n v="150"/>
    <n v="100"/>
    <n v="65"/>
    <n v="50.95"/>
    <n v="867.45"/>
    <n v="123.92142857142858"/>
    <x v="3"/>
    <x v="32"/>
    <x v="11"/>
    <x v="2"/>
  </r>
  <r>
    <s v="806094140848"/>
    <n v="806094"/>
    <s v="SHIV CEMENT SUPPLIERS"/>
    <n v="140848"/>
    <s v="PADAM CEMENT SUPPLIERS"/>
    <n v="60"/>
    <n v="40"/>
    <n v="155"/>
    <n v="125"/>
    <n v="101"/>
    <n v="37.5"/>
    <n v="78.75"/>
    <n v="597.25"/>
    <n v="85.321428571428569"/>
    <x v="3"/>
    <x v="32"/>
    <x v="11"/>
    <x v="2"/>
  </r>
  <r>
    <s v="806827140848"/>
    <n v="806827"/>
    <s v="SWASTIK PANTS &amp; HARDWARE"/>
    <n v="140848"/>
    <s v="PADAM CEMENT SUPPLIERS"/>
    <n v="23.5"/>
    <n v="7.5"/>
    <n v="0"/>
    <n v="0"/>
    <n v="10"/>
    <n v="7.5"/>
    <n v="0"/>
    <n v="48.5"/>
    <n v="6.9285714285714288"/>
    <x v="1"/>
    <x v="32"/>
    <x v="11"/>
    <x v="2"/>
  </r>
  <r>
    <s v="808271140848"/>
    <n v="808271"/>
    <s v="RAJESH CEMENT SUPPLIERS"/>
    <n v="140848"/>
    <s v="PADAM CEMENT SUPPLIERS"/>
    <n v="81"/>
    <n v="65"/>
    <n v="182"/>
    <n v="117.5"/>
    <n v="107"/>
    <n v="27.25"/>
    <n v="65"/>
    <n v="644.75"/>
    <n v="92.107142857142861"/>
    <x v="3"/>
    <x v="32"/>
    <x v="11"/>
    <x v="2"/>
  </r>
  <r>
    <s v="808444140848"/>
    <n v="808444"/>
    <s v="JAI SHREE BHERUNATH CEMENT SUP"/>
    <n v="140848"/>
    <s v="PADAM CEMENT SUPPLIERS"/>
    <n v="10"/>
    <n v="10"/>
    <n v="10"/>
    <n v="0"/>
    <n v="21"/>
    <n v="0"/>
    <n v="10"/>
    <n v="61"/>
    <n v="8.7142857142857135"/>
    <x v="1"/>
    <x v="32"/>
    <x v="11"/>
    <x v="2"/>
  </r>
  <r>
    <s v="809020140848"/>
    <n v="809020"/>
    <s v="RAJ VIDYA CEMENT SUPPLIER"/>
    <n v="140848"/>
    <s v="PADAM CEMENT SUPPLIERS"/>
    <n v="36"/>
    <n v="41"/>
    <n v="36.5"/>
    <n v="52"/>
    <n v="48.5"/>
    <n v="46"/>
    <n v="45"/>
    <n v="305"/>
    <n v="43.571428571428569"/>
    <x v="5"/>
    <x v="32"/>
    <x v="11"/>
    <x v="2"/>
  </r>
  <r>
    <s v="809907140848"/>
    <n v="809907"/>
    <s v="HITESH CEMENT SUPPLIERS"/>
    <n v="140848"/>
    <s v="PADAM CEMENT SUPPLIERS"/>
    <n v="40"/>
    <n v="60"/>
    <n v="170"/>
    <n v="93.5"/>
    <n v="74.5"/>
    <n v="37.5"/>
    <n v="37.5"/>
    <n v="513"/>
    <n v="73.285714285714292"/>
    <x v="3"/>
    <x v="32"/>
    <x v="11"/>
    <x v="2"/>
  </r>
  <r>
    <s v="810157140848"/>
    <n v="810157"/>
    <s v="LAXMI SANITARY AND HARDWARE"/>
    <n v="140848"/>
    <s v="PADAM CEMENT SUPPLIERS"/>
    <n v="89"/>
    <n v="70"/>
    <n v="51"/>
    <n v="156.5"/>
    <n v="91.5"/>
    <n v="96.25"/>
    <n v="79"/>
    <n v="633.25"/>
    <n v="90.464285714285708"/>
    <x v="3"/>
    <x v="32"/>
    <x v="11"/>
    <x v="2"/>
  </r>
  <r>
    <s v="811274140848"/>
    <n v="811274"/>
    <s v="MAHENDRA SINGH RAJPUT"/>
    <n v="140848"/>
    <s v="PADAM CEMENT SUPPLIERS"/>
    <n v="20"/>
    <n v="40"/>
    <n v="20"/>
    <n v="37.5"/>
    <n v="41"/>
    <n v="40"/>
    <n v="10"/>
    <n v="208.5"/>
    <n v="29.785714285714285"/>
    <x v="0"/>
    <x v="32"/>
    <x v="11"/>
    <x v="2"/>
  </r>
  <r>
    <s v="813152140848"/>
    <n v="813152"/>
    <s v="MAHIPAL SINGH SARANGDEVOT"/>
    <n v="140848"/>
    <s v="PADAM CEMENT SUPPLIERS"/>
    <n v="50"/>
    <n v="68"/>
    <n v="80"/>
    <n v="82.5"/>
    <n v="90"/>
    <n v="13.5"/>
    <n v="43.5"/>
    <n v="427.5"/>
    <n v="61.071428571428569"/>
    <x v="3"/>
    <x v="32"/>
    <x v="11"/>
    <x v="2"/>
  </r>
  <r>
    <s v="813168140848"/>
    <n v="813168"/>
    <s v="VINOD DAS VAIRAGI"/>
    <n v="140848"/>
    <s v="PADAM CEMENT SUPPLIERS"/>
    <n v="40"/>
    <n v="60"/>
    <n v="65"/>
    <n v="39"/>
    <n v="33.5"/>
    <n v="2.5"/>
    <n v="10"/>
    <n v="250"/>
    <n v="35.714285714285715"/>
    <x v="4"/>
    <x v="32"/>
    <x v="11"/>
    <x v="2"/>
  </r>
  <r>
    <s v="813231140848"/>
    <n v="813231"/>
    <s v="LAXMAN LAL SUTHAR"/>
    <n v="140848"/>
    <s v="PADAM CEMENT SUPPLIERS"/>
    <n v="0"/>
    <n v="0"/>
    <n v="0"/>
    <n v="0"/>
    <n v="10"/>
    <n v="0"/>
    <n v="0"/>
    <n v="10"/>
    <n v="1.4285714285714286"/>
    <x v="1"/>
    <x v="32"/>
    <x v="11"/>
    <x v="2"/>
  </r>
  <r>
    <s v="803260140849"/>
    <n v="803260"/>
    <s v="PARAS STONE SUPPLIERS"/>
    <n v="140849"/>
    <s v="SAWALIYA CEMENT SUPPLIERS"/>
    <n v="20"/>
    <n v="40"/>
    <n v="0"/>
    <n v="25.5"/>
    <n v="28"/>
    <n v="0"/>
    <n v="0"/>
    <n v="113.5"/>
    <n v="16.214285714285715"/>
    <x v="2"/>
    <x v="32"/>
    <x v="11"/>
    <x v="2"/>
  </r>
  <r>
    <s v="803778140849"/>
    <n v="803778"/>
    <s v="AMBA LAL SUTHAR CONTRECTOR"/>
    <n v="140849"/>
    <s v="SAWALIYA CEMENT SUPPLIERS"/>
    <n v="0"/>
    <n v="10"/>
    <n v="0"/>
    <n v="1"/>
    <n v="26"/>
    <n v="10"/>
    <n v="0"/>
    <n v="47"/>
    <n v="6.7142857142857144"/>
    <x v="1"/>
    <x v="32"/>
    <x v="11"/>
    <x v="2"/>
  </r>
  <r>
    <s v="803809140849"/>
    <n v="803809"/>
    <s v="SHREE RAM STONE SUPPLIERS"/>
    <n v="140849"/>
    <s v="SAWALIYA CEMENT SUPPLIERS"/>
    <n v="65"/>
    <n v="80"/>
    <n v="133"/>
    <n v="16"/>
    <n v="35"/>
    <n v="80"/>
    <n v="25.5"/>
    <n v="434.5"/>
    <n v="62.071428571428569"/>
    <x v="3"/>
    <x v="32"/>
    <x v="11"/>
    <x v="2"/>
  </r>
  <r>
    <s v="803020140851"/>
    <n v="803020"/>
    <s v="RAMESH KUMAR KANHAYA LAL SUTHA"/>
    <n v="140851"/>
    <s v="PASHAWNATH CEMENT SUPPLIERS"/>
    <n v="20"/>
    <n v="30"/>
    <n v="45"/>
    <n v="25"/>
    <n v="20"/>
    <n v="10"/>
    <n v="0"/>
    <n v="150"/>
    <n v="21.428571428571427"/>
    <x v="0"/>
    <x v="32"/>
    <x v="11"/>
    <x v="2"/>
  </r>
  <r>
    <s v="803021140851"/>
    <n v="803021"/>
    <s v="SHANTI LAL SUTHAR"/>
    <n v="140851"/>
    <s v="PASHAWNATH CEMENT SUPPLIERS"/>
    <n v="50"/>
    <n v="40"/>
    <n v="60"/>
    <n v="30"/>
    <n v="44"/>
    <n v="22.5"/>
    <n v="25"/>
    <n v="271.5"/>
    <n v="38.785714285714285"/>
    <x v="4"/>
    <x v="32"/>
    <x v="11"/>
    <x v="2"/>
  </r>
  <r>
    <s v="803022140851"/>
    <n v="803022"/>
    <s v="LAXMI LAL KALU LAL JAIN"/>
    <n v="140851"/>
    <s v="PASHAWNATH CEMENT SUPPLIERS"/>
    <n v="10"/>
    <n v="10"/>
    <n v="30"/>
    <n v="25"/>
    <n v="0"/>
    <n v="0"/>
    <n v="0"/>
    <n v="75"/>
    <n v="10.714285714285714"/>
    <x v="2"/>
    <x v="32"/>
    <x v="11"/>
    <x v="2"/>
  </r>
  <r>
    <s v="803023140851"/>
    <n v="803023"/>
    <s v="KESAR SINGH"/>
    <n v="140851"/>
    <s v="PASHAWNATH CEMENT SUPPLIERS"/>
    <n v="45"/>
    <n v="20"/>
    <n v="40"/>
    <n v="27.5"/>
    <n v="30"/>
    <n v="20"/>
    <n v="10"/>
    <n v="192.5"/>
    <n v="27.5"/>
    <x v="0"/>
    <x v="32"/>
    <x v="11"/>
    <x v="2"/>
  </r>
  <r>
    <s v="803188140851"/>
    <n v="803188"/>
    <s v="PATEL CEMENT SUPPLIERS"/>
    <n v="140851"/>
    <s v="PASHAWNATH CEMENT SUPPLIERS"/>
    <n v="0"/>
    <n v="0"/>
    <n v="0"/>
    <n v="0"/>
    <n v="0"/>
    <n v="10"/>
    <n v="0"/>
    <n v="10"/>
    <n v="1.4285714285714286"/>
    <x v="1"/>
    <x v="32"/>
    <x v="11"/>
    <x v="2"/>
  </r>
  <r>
    <s v="803946140851"/>
    <n v="803946"/>
    <s v="MUKESH STONE SUPPLIERS"/>
    <n v="140851"/>
    <s v="PASHAWNATH CEMENT SUPPLIERS"/>
    <n v="60"/>
    <n v="50"/>
    <n v="95"/>
    <n v="37.5"/>
    <n v="30"/>
    <n v="20"/>
    <n v="0"/>
    <n v="292.5"/>
    <n v="41.785714285714285"/>
    <x v="5"/>
    <x v="32"/>
    <x v="11"/>
    <x v="2"/>
  </r>
  <r>
    <s v="810299140851"/>
    <n v="810299"/>
    <s v="PEMAJI SUTHAR"/>
    <n v="140851"/>
    <s v="PASHAWNATH CEMENT SUPPLIERS"/>
    <n v="5.5"/>
    <n v="10"/>
    <n v="20"/>
    <n v="25"/>
    <n v="0"/>
    <n v="10"/>
    <n v="0"/>
    <n v="70.5"/>
    <n v="10.071428571428571"/>
    <x v="2"/>
    <x v="32"/>
    <x v="11"/>
    <x v="2"/>
  </r>
  <r>
    <s v="812450140851"/>
    <n v="812450"/>
    <s v="RUPENDRA SINGH SHAKTAWAT"/>
    <n v="140851"/>
    <s v="PASHAWNATH CEMENT SUPPLIERS"/>
    <n v="45"/>
    <n v="0"/>
    <n v="45"/>
    <n v="62.5"/>
    <n v="10"/>
    <n v="40"/>
    <n v="7.5"/>
    <n v="210"/>
    <n v="30"/>
    <x v="4"/>
    <x v="32"/>
    <x v="11"/>
    <x v="2"/>
  </r>
  <r>
    <s v="813231140851"/>
    <n v="813231"/>
    <s v="LAXMAN LAL SUTHAR"/>
    <n v="140851"/>
    <s v="PASHAWNATH CEMENT SUPPLIERS"/>
    <n v="20"/>
    <n v="15"/>
    <n v="50"/>
    <n v="58.5"/>
    <n v="20"/>
    <n v="17.5"/>
    <n v="37.5"/>
    <n v="218.5"/>
    <n v="31.214285714285715"/>
    <x v="4"/>
    <x v="32"/>
    <x v="11"/>
    <x v="2"/>
  </r>
  <r>
    <s v="804968140852"/>
    <n v="804968"/>
    <s v="GANPATI BUILDING MATERIAL"/>
    <n v="140852"/>
    <s v="NEW KALPESH CEMENT AGENCY"/>
    <n v="31"/>
    <n v="45"/>
    <n v="32.5"/>
    <n v="22.5"/>
    <n v="43"/>
    <n v="27"/>
    <n v="6"/>
    <n v="207"/>
    <n v="29.571428571428573"/>
    <x v="0"/>
    <x v="32"/>
    <x v="11"/>
    <x v="2"/>
  </r>
  <r>
    <s v="808228140852"/>
    <n v="808228"/>
    <s v="CHOUBISA ENTERPRISES"/>
    <n v="140852"/>
    <s v="NEW KALPESH CEMENT AGENCY"/>
    <n v="6"/>
    <n v="35"/>
    <n v="20"/>
    <n v="80.25"/>
    <n v="16"/>
    <n v="49.5"/>
    <n v="5.5"/>
    <n v="212.25"/>
    <n v="30.321428571428573"/>
    <x v="4"/>
    <x v="32"/>
    <x v="11"/>
    <x v="2"/>
  </r>
  <r>
    <s v="814643140855"/>
    <n v="814643"/>
    <s v="SHIV STONE AND BUILDING MATERI"/>
    <n v="140855"/>
    <s v="MAHALAXMI CEMENT SUPPLIERS"/>
    <n v="77"/>
    <n v="57"/>
    <n v="89.5"/>
    <n v="83.5"/>
    <n v="62"/>
    <n v="15"/>
    <n v="10"/>
    <n v="394"/>
    <n v="56.285714285714285"/>
    <x v="3"/>
    <x v="32"/>
    <x v="11"/>
    <x v="2"/>
  </r>
  <r>
    <s v="815416140855"/>
    <n v="815416"/>
    <s v="JAI ZAWAR MATA BUILDING MATERI"/>
    <n v="140855"/>
    <s v="MAHALAXMI CEMENT SUPPLIERS"/>
    <n v="0"/>
    <n v="0"/>
    <n v="0"/>
    <n v="39"/>
    <n v="16.5"/>
    <n v="0"/>
    <n v="0"/>
    <n v="55.5"/>
    <n v="7.9285714285714288"/>
    <x v="1"/>
    <x v="32"/>
    <x v="11"/>
    <x v="2"/>
  </r>
  <r>
    <s v="813434140856"/>
    <n v="813434"/>
    <s v="CHAMUNDA BUILDING MATERIAL"/>
    <n v="140856"/>
    <s v="TIRUPATI BUILDING MATERIAL SUP"/>
    <n v="65"/>
    <n v="40"/>
    <n v="67"/>
    <n v="140"/>
    <n v="130"/>
    <n v="20"/>
    <n v="20"/>
    <n v="482"/>
    <n v="68.857142857142861"/>
    <x v="3"/>
    <x v="32"/>
    <x v="11"/>
    <x v="2"/>
  </r>
  <r>
    <s v="802893140857"/>
    <n v="802893"/>
    <s v="BHAWANI STONE SUPPLIERS"/>
    <n v="140857"/>
    <s v="MERAWAT CEMENT AGENCY"/>
    <n v="30"/>
    <n v="40"/>
    <n v="77.5"/>
    <n v="39.5"/>
    <n v="65"/>
    <n v="36.25"/>
    <n v="15"/>
    <n v="303.25"/>
    <n v="43.321428571428569"/>
    <x v="5"/>
    <x v="32"/>
    <x v="11"/>
    <x v="2"/>
  </r>
  <r>
    <s v="802923140857"/>
    <n v="802923"/>
    <s v="VISHWAKARMA STONE AGE CUTTING"/>
    <n v="140857"/>
    <s v="MERAWAT CEMENT AGENCY"/>
    <n v="30"/>
    <n v="39.25"/>
    <n v="10"/>
    <n v="17.5"/>
    <n v="35"/>
    <n v="20"/>
    <n v="31.5"/>
    <n v="183.25"/>
    <n v="26.178571428571427"/>
    <x v="0"/>
    <x v="32"/>
    <x v="11"/>
    <x v="2"/>
  </r>
  <r>
    <s v="803124140857"/>
    <n v="803124"/>
    <s v="MAHADEV CEMENT SUPPLIERS"/>
    <n v="140857"/>
    <s v="MERAWAT CEMENT AGENCY"/>
    <n v="0"/>
    <n v="0"/>
    <n v="0"/>
    <n v="7.5"/>
    <n v="10"/>
    <n v="0"/>
    <n v="0"/>
    <n v="17.5"/>
    <n v="2.5"/>
    <x v="1"/>
    <x v="32"/>
    <x v="11"/>
    <x v="2"/>
  </r>
  <r>
    <s v="803188140857"/>
    <n v="803188"/>
    <s v="PATEL CEMENT SUPPLIERS"/>
    <n v="140857"/>
    <s v="MERAWAT CEMENT AGENCY"/>
    <n v="0"/>
    <n v="25"/>
    <n v="40"/>
    <n v="67.5"/>
    <n v="34"/>
    <n v="55"/>
    <n v="10"/>
    <n v="231.5"/>
    <n v="33.071428571428569"/>
    <x v="4"/>
    <x v="32"/>
    <x v="11"/>
    <x v="2"/>
  </r>
  <r>
    <s v="804897140857"/>
    <n v="804897"/>
    <s v="SHREE NATH CEMENT AGENCY"/>
    <n v="140857"/>
    <s v="MERAWAT CEMENT AGENCY"/>
    <n v="10"/>
    <n v="18.25"/>
    <n v="85"/>
    <n v="37.5"/>
    <n v="80"/>
    <n v="30"/>
    <n v="20"/>
    <n v="280.75"/>
    <n v="40.107142857142854"/>
    <x v="5"/>
    <x v="32"/>
    <x v="11"/>
    <x v="2"/>
  </r>
  <r>
    <s v="807310140857"/>
    <n v="807310"/>
    <s v="SAVNA ENTERPRISES &amp; CONSTRUCTI"/>
    <n v="140857"/>
    <s v="MERAWAT CEMENT AGENCY"/>
    <n v="0"/>
    <n v="20"/>
    <n v="25"/>
    <n v="23.5"/>
    <n v="30"/>
    <n v="20"/>
    <n v="0"/>
    <n v="118.5"/>
    <n v="16.928571428571427"/>
    <x v="2"/>
    <x v="32"/>
    <x v="11"/>
    <x v="2"/>
  </r>
  <r>
    <s v="803991140858"/>
    <n v="803991"/>
    <s v="ABHAY STONE &amp; BUILDING MATERIA"/>
    <n v="140858"/>
    <s v="RAMESH CHANDRA JAI CHAND"/>
    <n v="60"/>
    <n v="30"/>
    <n v="65"/>
    <n v="40"/>
    <n v="60"/>
    <n v="52.5"/>
    <n v="35"/>
    <n v="342.5"/>
    <n v="48.928571428571431"/>
    <x v="5"/>
    <x v="32"/>
    <x v="11"/>
    <x v="2"/>
  </r>
  <r>
    <s v="804969140858"/>
    <n v="804969"/>
    <s v="MAA ASHAPURA CEMENT &amp; SANATRY"/>
    <n v="140858"/>
    <s v="RAMESH CHANDRA JAI CHAND"/>
    <n v="55"/>
    <n v="20"/>
    <n v="30"/>
    <n v="42.5"/>
    <n v="30"/>
    <n v="45"/>
    <n v="20"/>
    <n v="242.5"/>
    <n v="34.642857142857146"/>
    <x v="4"/>
    <x v="32"/>
    <x v="11"/>
    <x v="2"/>
  </r>
  <r>
    <s v="806996140858"/>
    <n v="806996"/>
    <s v="HATIMI IRON"/>
    <n v="140858"/>
    <s v="RAMESH CHANDRA JAI CHAND"/>
    <n v="8.5"/>
    <n v="10"/>
    <n v="10"/>
    <n v="15"/>
    <n v="40"/>
    <n v="47.5"/>
    <n v="35"/>
    <n v="166"/>
    <n v="23.714285714285715"/>
    <x v="0"/>
    <x v="32"/>
    <x v="11"/>
    <x v="2"/>
  </r>
  <r>
    <s v="807909140858"/>
    <n v="807909"/>
    <s v="HARENDRA CEMENT AGENCY"/>
    <n v="140858"/>
    <s v="RAMESH CHANDRA JAI CHAND"/>
    <n v="30"/>
    <n v="10"/>
    <n v="20"/>
    <n v="37.5"/>
    <n v="50"/>
    <n v="30"/>
    <n v="29"/>
    <n v="206.5"/>
    <n v="29.5"/>
    <x v="0"/>
    <x v="32"/>
    <x v="11"/>
    <x v="2"/>
  </r>
  <r>
    <s v="808498140858"/>
    <n v="808498"/>
    <s v="JAY GURUDEV BUILDING MATERIAL"/>
    <n v="140858"/>
    <s v="RAMESH CHANDRA JAI CHAND"/>
    <n v="86.5"/>
    <n v="70"/>
    <n v="90"/>
    <n v="92.5"/>
    <n v="100"/>
    <n v="60"/>
    <n v="30"/>
    <n v="529"/>
    <n v="75.571428571428569"/>
    <x v="3"/>
    <x v="32"/>
    <x v="11"/>
    <x v="2"/>
  </r>
  <r>
    <s v="808892140858"/>
    <n v="808892"/>
    <s v="BHAGYALAXMI TRADERS"/>
    <n v="140858"/>
    <s v="RAMESH CHANDRA JAI CHAND"/>
    <n v="60"/>
    <n v="30"/>
    <n v="65"/>
    <n v="82.75"/>
    <n v="51"/>
    <n v="43.75"/>
    <n v="20"/>
    <n v="352.5"/>
    <n v="50.357142857142854"/>
    <x v="3"/>
    <x v="32"/>
    <x v="11"/>
    <x v="2"/>
  </r>
  <r>
    <s v="810221140858"/>
    <n v="810221"/>
    <s v="KAHAKAL DEV CONSTRUCTION"/>
    <n v="140858"/>
    <s v="RAMESH CHANDRA JAI CHAND"/>
    <n v="57.5"/>
    <n v="76.5"/>
    <n v="45"/>
    <n v="46"/>
    <n v="55"/>
    <n v="57.5"/>
    <n v="52"/>
    <n v="389.5"/>
    <n v="55.642857142857146"/>
    <x v="3"/>
    <x v="32"/>
    <x v="11"/>
    <x v="2"/>
  </r>
  <r>
    <s v="812451140858"/>
    <n v="812451"/>
    <s v="SURESH KUMAR"/>
    <n v="140858"/>
    <s v="RAMESH CHANDRA JAI CHAND"/>
    <n v="20"/>
    <n v="10"/>
    <n v="45"/>
    <n v="50"/>
    <n v="45"/>
    <n v="38.5"/>
    <n v="25"/>
    <n v="233.5"/>
    <n v="33.357142857142854"/>
    <x v="4"/>
    <x v="32"/>
    <x v="11"/>
    <x v="2"/>
  </r>
  <r>
    <s v="814085140858"/>
    <n v="814085"/>
    <s v="ASHOKA MEENA"/>
    <n v="140858"/>
    <s v="RAMESH CHANDRA JAI CHAND"/>
    <n v="55"/>
    <n v="22.5"/>
    <n v="65"/>
    <n v="87.5"/>
    <n v="75"/>
    <n v="20"/>
    <n v="10"/>
    <n v="335"/>
    <n v="47.857142857142854"/>
    <x v="5"/>
    <x v="32"/>
    <x v="11"/>
    <x v="2"/>
  </r>
  <r>
    <s v="815666140858"/>
    <n v="815666"/>
    <s v="NEMINATH TRADING &amp; CEMENT SUPP"/>
    <n v="140858"/>
    <s v="RAMESH CHANDRA JAI CHAND"/>
    <n v="0"/>
    <n v="0"/>
    <n v="0"/>
    <n v="0"/>
    <n v="0"/>
    <n v="40"/>
    <n v="30"/>
    <n v="70"/>
    <n v="10"/>
    <x v="2"/>
    <x v="32"/>
    <x v="11"/>
    <x v="2"/>
  </r>
  <r>
    <s v="803258140859"/>
    <n v="803258"/>
    <s v="M.K. CEMENT AGENCY"/>
    <n v="140859"/>
    <s v="KESHRIYA JI HARDWARE &amp; METAL S"/>
    <n v="25"/>
    <n v="5"/>
    <n v="20"/>
    <n v="21"/>
    <n v="10"/>
    <n v="0"/>
    <n v="0"/>
    <n v="81"/>
    <n v="11.571428571428571"/>
    <x v="2"/>
    <x v="32"/>
    <x v="11"/>
    <x v="2"/>
  </r>
  <r>
    <s v="812266140859"/>
    <n v="812266"/>
    <s v="MEWADA BUILDING MATERIAL SUPPL"/>
    <n v="140859"/>
    <s v="KESHRIYA JI HARDWARE &amp; METAL S"/>
    <n v="22"/>
    <n v="30"/>
    <n v="50"/>
    <n v="81"/>
    <n v="61"/>
    <n v="0"/>
    <n v="0"/>
    <n v="244"/>
    <n v="34.857142857142854"/>
    <x v="4"/>
    <x v="32"/>
    <x v="11"/>
    <x v="2"/>
  </r>
  <r>
    <s v="813185140859"/>
    <n v="813185"/>
    <s v="NAVIN CONSTRUCTION"/>
    <n v="140859"/>
    <s v="KESHRIYA JI HARDWARE &amp; METAL S"/>
    <n v="0"/>
    <n v="0"/>
    <n v="0"/>
    <n v="11"/>
    <n v="20"/>
    <n v="0"/>
    <n v="40"/>
    <n v="71"/>
    <n v="10.142857142857142"/>
    <x v="2"/>
    <x v="32"/>
    <x v="11"/>
    <x v="2"/>
  </r>
  <r>
    <s v="813780140859"/>
    <n v="813780"/>
    <s v="SHRIRAM WELDING AND FURNITURE"/>
    <n v="140859"/>
    <s v="KESHRIYA JI HARDWARE &amp; METAL S"/>
    <n v="20"/>
    <n v="20"/>
    <n v="20"/>
    <n v="31"/>
    <n v="0"/>
    <n v="0"/>
    <n v="0"/>
    <n v="91"/>
    <n v="13"/>
    <x v="2"/>
    <x v="32"/>
    <x v="11"/>
    <x v="2"/>
  </r>
  <r>
    <s v="814106140859"/>
    <n v="814106"/>
    <s v="SANWARIYA ENTERPRISE"/>
    <n v="140859"/>
    <s v="KESHRIYA JI HARDWARE &amp; METAL S"/>
    <n v="10"/>
    <n v="35"/>
    <n v="10"/>
    <n v="15"/>
    <n v="10"/>
    <n v="10"/>
    <n v="0"/>
    <n v="90"/>
    <n v="12.857142857142858"/>
    <x v="2"/>
    <x v="32"/>
    <x v="11"/>
    <x v="2"/>
  </r>
  <r>
    <s v="816251140859"/>
    <n v="816251"/>
    <s v="GOTAM LAL"/>
    <n v="140859"/>
    <s v="KESHRIYA JI HARDWARE &amp; METAL S"/>
    <n v="0"/>
    <n v="0"/>
    <n v="0"/>
    <n v="0"/>
    <n v="0"/>
    <n v="5"/>
    <n v="0"/>
    <n v="5"/>
    <n v="0.7142857142857143"/>
    <x v="1"/>
    <x v="32"/>
    <x v="11"/>
    <x v="2"/>
  </r>
  <r>
    <s v="816407140859"/>
    <n v="816407"/>
    <s v="MAHIR CONSTRUCTION"/>
    <n v="140859"/>
    <s v="KESHRIYA JI HARDWARE &amp; METAL S"/>
    <n v="0"/>
    <n v="0"/>
    <n v="0"/>
    <n v="0"/>
    <n v="0"/>
    <n v="20"/>
    <n v="0"/>
    <n v="20"/>
    <n v="2.8571428571428572"/>
    <x v="1"/>
    <x v="32"/>
    <x v="11"/>
    <x v="2"/>
  </r>
  <r>
    <s v="803049140860"/>
    <n v="803049"/>
    <s v="GANESH LAL RATAN LAL"/>
    <n v="140860"/>
    <s v="VIPUL CEMENT SUPPLIERS"/>
    <n v="30"/>
    <n v="10"/>
    <n v="30"/>
    <n v="52.5"/>
    <n v="30"/>
    <n v="15"/>
    <n v="20"/>
    <n v="187.5"/>
    <n v="26.785714285714285"/>
    <x v="0"/>
    <x v="32"/>
    <x v="11"/>
    <x v="2"/>
  </r>
  <r>
    <s v="803992140860"/>
    <n v="803992"/>
    <s v="RATAN LAL SUTHAR"/>
    <n v="140860"/>
    <s v="VIPUL CEMENT SUPPLIERS"/>
    <n v="10"/>
    <n v="20"/>
    <n v="40"/>
    <n v="42.5"/>
    <n v="25"/>
    <n v="20"/>
    <n v="10"/>
    <n v="167.5"/>
    <n v="23.928571428571427"/>
    <x v="0"/>
    <x v="32"/>
    <x v="11"/>
    <x v="2"/>
  </r>
  <r>
    <s v="803993140860"/>
    <n v="803993"/>
    <s v="KACHARU LAL PREMJI PATEL"/>
    <n v="140860"/>
    <s v="VIPUL CEMENT SUPPLIERS"/>
    <n v="30"/>
    <n v="20"/>
    <n v="90"/>
    <n v="45"/>
    <n v="60"/>
    <n v="40"/>
    <n v="0"/>
    <n v="285"/>
    <n v="40.714285714285715"/>
    <x v="5"/>
    <x v="32"/>
    <x v="11"/>
    <x v="2"/>
  </r>
  <r>
    <s v="809241140860"/>
    <n v="809241"/>
    <s v="UDAY SINGH"/>
    <n v="140860"/>
    <s v="VIPUL CEMENT SUPPLIERS"/>
    <n v="20"/>
    <n v="50"/>
    <n v="30"/>
    <n v="60"/>
    <n v="52"/>
    <n v="30"/>
    <n v="0"/>
    <n v="242"/>
    <n v="34.571428571428569"/>
    <x v="4"/>
    <x v="32"/>
    <x v="11"/>
    <x v="2"/>
  </r>
  <r>
    <s v="810871140860"/>
    <n v="810871"/>
    <s v="FATEH LAL VAYA"/>
    <n v="140860"/>
    <s v="VIPUL CEMENT SUPPLIERS"/>
    <n v="0"/>
    <n v="0"/>
    <n v="0"/>
    <n v="30"/>
    <n v="43"/>
    <n v="10"/>
    <n v="0"/>
    <n v="83"/>
    <n v="11.857142857142858"/>
    <x v="2"/>
    <x v="32"/>
    <x v="11"/>
    <x v="2"/>
  </r>
  <r>
    <s v="809222140958"/>
    <n v="809222"/>
    <s v="NITESH CEMENT AGENCY"/>
    <n v="140958"/>
    <s v="HEMRAJ SUTHAR CONTRACTOR"/>
    <n v="0"/>
    <n v="0"/>
    <n v="21"/>
    <n v="25"/>
    <n v="20"/>
    <n v="10"/>
    <n v="20"/>
    <n v="96"/>
    <n v="13.714285714285714"/>
    <x v="2"/>
    <x v="32"/>
    <x v="11"/>
    <x v="2"/>
  </r>
  <r>
    <s v="809284140958"/>
    <n v="809284"/>
    <s v="RADHE SHYAM CEMENT SUPPLIERS"/>
    <n v="140958"/>
    <s v="HEMRAJ SUTHAR CONTRACTOR"/>
    <n v="10"/>
    <n v="50"/>
    <n v="133.75"/>
    <n v="65"/>
    <n v="30"/>
    <n v="60"/>
    <n v="0"/>
    <n v="348.75"/>
    <n v="49.821428571428569"/>
    <x v="5"/>
    <x v="32"/>
    <x v="11"/>
    <x v="2"/>
  </r>
  <r>
    <s v="810583140958"/>
    <n v="810583"/>
    <s v="HARSHAD LAL KIKOD"/>
    <n v="140958"/>
    <s v="HEMRAJ SUTHAR CONTRACTOR"/>
    <n v="10"/>
    <n v="20"/>
    <n v="10"/>
    <n v="52.5"/>
    <n v="30.5"/>
    <n v="0"/>
    <n v="10"/>
    <n v="133"/>
    <n v="19"/>
    <x v="2"/>
    <x v="32"/>
    <x v="11"/>
    <x v="2"/>
  </r>
  <r>
    <s v="813170140958"/>
    <n v="813170"/>
    <s v="RAMESH KALAL"/>
    <n v="140958"/>
    <s v="HEMRAJ SUTHAR CONTRACTOR"/>
    <n v="10"/>
    <n v="25"/>
    <n v="60"/>
    <n v="50"/>
    <n v="10"/>
    <n v="40"/>
    <n v="50"/>
    <n v="245"/>
    <n v="35"/>
    <x v="4"/>
    <x v="32"/>
    <x v="11"/>
    <x v="2"/>
  </r>
  <r>
    <s v="813190140958"/>
    <n v="813190"/>
    <s v="RAJENDRA SINGH CHOUHAN"/>
    <n v="140958"/>
    <s v="HEMRAJ SUTHAR CONTRACTOR"/>
    <n v="11"/>
    <n v="0"/>
    <n v="95"/>
    <n v="60"/>
    <n v="0"/>
    <n v="30"/>
    <n v="0"/>
    <n v="196"/>
    <n v="28"/>
    <x v="0"/>
    <x v="32"/>
    <x v="11"/>
    <x v="2"/>
  </r>
  <r>
    <s v="802925140963"/>
    <n v="802925"/>
    <s v="PARSHWANATH FERTILIZERS &amp; CHEM"/>
    <n v="140963"/>
    <s v="ADINATH CEMENT SUPPLIERS"/>
    <n v="10"/>
    <n v="35"/>
    <n v="30"/>
    <n v="35"/>
    <n v="10"/>
    <n v="30"/>
    <n v="10"/>
    <n v="160"/>
    <n v="22.857142857142858"/>
    <x v="0"/>
    <x v="32"/>
    <x v="11"/>
    <x v="2"/>
  </r>
  <r>
    <s v="804006140966"/>
    <n v="804006"/>
    <s v="SINGHVI HARDWARE"/>
    <n v="140966"/>
    <s v="SWASTIK SALES"/>
    <n v="20"/>
    <n v="0"/>
    <n v="0"/>
    <n v="5"/>
    <n v="0"/>
    <n v="0"/>
    <n v="0"/>
    <n v="25"/>
    <n v="3.5714285714285716"/>
    <x v="1"/>
    <x v="32"/>
    <x v="11"/>
    <x v="2"/>
  </r>
  <r>
    <s v="801757140967"/>
    <n v="801757"/>
    <s v="LAXMI PATHAR GODAM"/>
    <n v="140967"/>
    <s v="B.L.JAIN &amp; SONS"/>
    <n v="0"/>
    <n v="0"/>
    <n v="0"/>
    <n v="0"/>
    <n v="0"/>
    <n v="144.5"/>
    <n v="75.5"/>
    <n v="220"/>
    <n v="31.428571428571427"/>
    <x v="4"/>
    <x v="32"/>
    <x v="11"/>
    <x v="2"/>
  </r>
  <r>
    <s v="802895140967"/>
    <n v="802895"/>
    <s v="SHIV SHAKTI  CEMENT SUPPLIERS"/>
    <n v="140967"/>
    <s v="B.L.JAIN &amp; SONS"/>
    <n v="75"/>
    <n v="35"/>
    <n v="130"/>
    <n v="215"/>
    <n v="43.25"/>
    <n v="185"/>
    <n v="92.5"/>
    <n v="775.75"/>
    <n v="110.82142857142857"/>
    <x v="3"/>
    <x v="32"/>
    <x v="11"/>
    <x v="2"/>
  </r>
  <r>
    <s v="802896140967"/>
    <n v="802896"/>
    <s v="KAMLESH KIRANA STORE"/>
    <n v="140967"/>
    <s v="B.L.JAIN &amp; SONS"/>
    <n v="20"/>
    <n v="30"/>
    <n v="25"/>
    <n v="32.5"/>
    <n v="25"/>
    <n v="0"/>
    <n v="0"/>
    <n v="132.5"/>
    <n v="18.928571428571427"/>
    <x v="2"/>
    <x v="32"/>
    <x v="11"/>
    <x v="2"/>
  </r>
  <r>
    <s v="804057140967"/>
    <n v="804057"/>
    <s v="NAVNEET KUMAR MOHAN LAL JAIN"/>
    <n v="140967"/>
    <s v="B.L.JAIN &amp; SONS"/>
    <n v="0"/>
    <n v="67"/>
    <n v="50"/>
    <n v="120"/>
    <n v="35"/>
    <n v="29"/>
    <n v="0"/>
    <n v="301"/>
    <n v="43"/>
    <x v="5"/>
    <x v="32"/>
    <x v="11"/>
    <x v="2"/>
  </r>
  <r>
    <s v="804131140967"/>
    <n v="804131"/>
    <s v="MOTI LAL PARASKUMAR JAIN"/>
    <n v="140967"/>
    <s v="B.L.JAIN &amp; SONS"/>
    <n v="210"/>
    <n v="159"/>
    <n v="259"/>
    <n v="110"/>
    <n v="85"/>
    <n v="297.5"/>
    <n v="101"/>
    <n v="1221.5"/>
    <n v="174.5"/>
    <x v="3"/>
    <x v="32"/>
    <x v="11"/>
    <x v="2"/>
  </r>
  <r>
    <s v="806095140967"/>
    <n v="806095"/>
    <s v="GANESH LAL SHARMA"/>
    <n v="140967"/>
    <s v="B.L.JAIN &amp; SONS"/>
    <n v="90"/>
    <n v="185"/>
    <n v="185"/>
    <n v="172.5"/>
    <n v="110"/>
    <n v="75"/>
    <n v="10"/>
    <n v="827.5"/>
    <n v="118.21428571428571"/>
    <x v="3"/>
    <x v="32"/>
    <x v="11"/>
    <x v="2"/>
  </r>
  <r>
    <s v="807568140967"/>
    <n v="807568"/>
    <s v="ASHAPURA STONE SUPPLIERS"/>
    <n v="140967"/>
    <s v="B.L.JAIN &amp; SONS"/>
    <n v="30"/>
    <n v="16"/>
    <n v="80"/>
    <n v="75"/>
    <n v="112.5"/>
    <n v="0"/>
    <n v="10"/>
    <n v="323.5"/>
    <n v="46.214285714285715"/>
    <x v="5"/>
    <x v="32"/>
    <x v="11"/>
    <x v="2"/>
  </r>
  <r>
    <s v="808087140967"/>
    <n v="808087"/>
    <s v="LAXMI TRADERS AND STONE SUPPLI"/>
    <n v="140967"/>
    <s v="B.L.JAIN &amp; SONS"/>
    <n v="20"/>
    <n v="0"/>
    <n v="0"/>
    <n v="0"/>
    <n v="0"/>
    <n v="0"/>
    <n v="0"/>
    <n v="20"/>
    <n v="2.8571428571428572"/>
    <x v="1"/>
    <x v="32"/>
    <x v="11"/>
    <x v="2"/>
  </r>
  <r>
    <s v="808088140967"/>
    <n v="808088"/>
    <s v="BALAJI BUILDING MATERIAL SUPPL"/>
    <n v="140967"/>
    <s v="B.L.JAIN &amp; SONS"/>
    <n v="20"/>
    <n v="30"/>
    <n v="0"/>
    <n v="10"/>
    <n v="10"/>
    <n v="0"/>
    <n v="0"/>
    <n v="70"/>
    <n v="10"/>
    <x v="2"/>
    <x v="32"/>
    <x v="11"/>
    <x v="2"/>
  </r>
  <r>
    <s v="808152140967"/>
    <n v="808152"/>
    <s v="RAJASTHAN PATTHAR GODAM"/>
    <n v="140967"/>
    <s v="B.L.JAIN &amp; SONS"/>
    <n v="20"/>
    <n v="35"/>
    <n v="0"/>
    <n v="17.5"/>
    <n v="30"/>
    <n v="30"/>
    <n v="30"/>
    <n v="162.5"/>
    <n v="23.214285714285715"/>
    <x v="0"/>
    <x v="32"/>
    <x v="11"/>
    <x v="2"/>
  </r>
  <r>
    <s v="808272140967"/>
    <n v="808272"/>
    <s v="SHREE BHERU BHAWANI STONE &amp; CE"/>
    <n v="140967"/>
    <s v="B.L.JAIN &amp; SONS"/>
    <n v="20"/>
    <n v="0"/>
    <n v="0"/>
    <n v="77.5"/>
    <n v="112.5"/>
    <n v="25"/>
    <n v="25"/>
    <n v="260"/>
    <n v="37.142857142857146"/>
    <x v="4"/>
    <x v="32"/>
    <x v="11"/>
    <x v="2"/>
  </r>
  <r>
    <s v="808554140967"/>
    <n v="808554"/>
    <s v="VISHVAKARMA PATTHAR GODAM"/>
    <n v="140967"/>
    <s v="B.L.JAIN &amp; SONS"/>
    <n v="10"/>
    <n v="0"/>
    <n v="25"/>
    <n v="7.5"/>
    <n v="30"/>
    <n v="0"/>
    <n v="0"/>
    <n v="72.5"/>
    <n v="10.357142857142858"/>
    <x v="2"/>
    <x v="32"/>
    <x v="11"/>
    <x v="2"/>
  </r>
  <r>
    <s v="809115140967"/>
    <n v="809115"/>
    <s v="BASANTI LAL JAIN"/>
    <n v="140967"/>
    <s v="B.L.JAIN &amp; SONS"/>
    <n v="35"/>
    <n v="150"/>
    <n v="37.5"/>
    <n v="35"/>
    <n v="70"/>
    <n v="15"/>
    <n v="25"/>
    <n v="367.5"/>
    <n v="52.5"/>
    <x v="3"/>
    <x v="32"/>
    <x v="11"/>
    <x v="2"/>
  </r>
  <r>
    <s v="809281140967"/>
    <n v="809281"/>
    <s v="ARIHANT KIRANA AND BULDING MAT"/>
    <n v="140967"/>
    <s v="B.L.JAIN &amp; SONS"/>
    <n v="0"/>
    <n v="0"/>
    <n v="0"/>
    <n v="10"/>
    <n v="35"/>
    <n v="0"/>
    <n v="10"/>
    <n v="55"/>
    <n v="7.8571428571428568"/>
    <x v="1"/>
    <x v="32"/>
    <x v="11"/>
    <x v="2"/>
  </r>
  <r>
    <s v="809285140967"/>
    <n v="809285"/>
    <s v="JINAL CONSTRUCTION"/>
    <n v="140967"/>
    <s v="B.L.JAIN &amp; SONS"/>
    <n v="35"/>
    <n v="45"/>
    <n v="135"/>
    <n v="35"/>
    <n v="100"/>
    <n v="20"/>
    <n v="20"/>
    <n v="390"/>
    <n v="55.714285714285715"/>
    <x v="3"/>
    <x v="32"/>
    <x v="11"/>
    <x v="2"/>
  </r>
  <r>
    <s v="810305140967"/>
    <n v="810305"/>
    <s v="SIDHI VINAYAK BUILDING MATERIA"/>
    <n v="140967"/>
    <s v="B.L.JAIN &amp; SONS"/>
    <n v="10"/>
    <n v="75"/>
    <n v="125"/>
    <n v="75"/>
    <n v="70"/>
    <n v="0"/>
    <n v="0"/>
    <n v="355"/>
    <n v="50.714285714285715"/>
    <x v="3"/>
    <x v="32"/>
    <x v="11"/>
    <x v="2"/>
  </r>
  <r>
    <s v="811187140967"/>
    <n v="811187"/>
    <s v="BHANWAR LAL SUTHAR"/>
    <n v="140967"/>
    <s v="B.L.JAIN &amp; SONS"/>
    <n v="30"/>
    <n v="10"/>
    <n v="0"/>
    <n v="20"/>
    <n v="85"/>
    <n v="0"/>
    <n v="0"/>
    <n v="145"/>
    <n v="20.714285714285715"/>
    <x v="0"/>
    <x v="32"/>
    <x v="11"/>
    <x v="2"/>
  </r>
  <r>
    <s v="811512140967"/>
    <n v="811512"/>
    <s v="RATAN LAL NAGDA"/>
    <n v="140967"/>
    <s v="B.L.JAIN &amp; SONS"/>
    <n v="10"/>
    <n v="15"/>
    <n v="25"/>
    <n v="62.5"/>
    <n v="45"/>
    <n v="10"/>
    <n v="0"/>
    <n v="167.5"/>
    <n v="23.928571428571427"/>
    <x v="0"/>
    <x v="32"/>
    <x v="11"/>
    <x v="2"/>
  </r>
  <r>
    <s v="812177140967"/>
    <n v="812177"/>
    <s v="BHERU LAL KUMHAR"/>
    <n v="140967"/>
    <s v="B.L.JAIN &amp; SONS"/>
    <n v="25"/>
    <n v="25"/>
    <n v="0"/>
    <n v="17.5"/>
    <n v="35"/>
    <n v="0"/>
    <n v="0"/>
    <n v="102.5"/>
    <n v="14.642857142857142"/>
    <x v="2"/>
    <x v="32"/>
    <x v="11"/>
    <x v="2"/>
  </r>
  <r>
    <s v="813572140967"/>
    <n v="813572"/>
    <s v="SHIVSAGAR BUILDING MATERIAL"/>
    <n v="140967"/>
    <s v="B.L.JAIN &amp; SONS"/>
    <n v="20"/>
    <n v="50"/>
    <n v="45"/>
    <n v="35"/>
    <n v="35"/>
    <n v="0"/>
    <n v="0"/>
    <n v="185"/>
    <n v="26.428571428571427"/>
    <x v="0"/>
    <x v="32"/>
    <x v="11"/>
    <x v="2"/>
  </r>
  <r>
    <s v="814876140967"/>
    <n v="814876"/>
    <s v="MADHU LAL MEENA"/>
    <n v="140967"/>
    <s v="B.L.JAIN &amp; SONS"/>
    <n v="0"/>
    <n v="0"/>
    <n v="0"/>
    <n v="65"/>
    <n v="35"/>
    <n v="0"/>
    <n v="0"/>
    <n v="100"/>
    <n v="14.285714285714286"/>
    <x v="2"/>
    <x v="32"/>
    <x v="11"/>
    <x v="2"/>
  </r>
  <r>
    <s v="802147141115"/>
    <n v="802147"/>
    <s v="BHERUNATH  CEMENT AGENCY"/>
    <n v="141115"/>
    <s v="KALPESH CEMENT AGENCY"/>
    <n v="54.5"/>
    <n v="40"/>
    <n v="50"/>
    <n v="10"/>
    <n v="23.5"/>
    <n v="3"/>
    <n v="16"/>
    <n v="197"/>
    <n v="28.142857142857142"/>
    <x v="0"/>
    <x v="32"/>
    <x v="11"/>
    <x v="2"/>
  </r>
  <r>
    <s v="802148141115"/>
    <n v="802148"/>
    <s v="SHREEYA DEVI CEMENT SUPPLIERS"/>
    <n v="141115"/>
    <s v="KALPESH CEMENT AGENCY"/>
    <n v="115"/>
    <n v="147.6"/>
    <n v="139.25"/>
    <n v="123.75"/>
    <n v="100"/>
    <n v="106.75"/>
    <n v="55"/>
    <n v="787.35"/>
    <n v="112.47857142857143"/>
    <x v="3"/>
    <x v="32"/>
    <x v="11"/>
    <x v="2"/>
  </r>
  <r>
    <s v="802370141115"/>
    <n v="802370"/>
    <s v="DATTAR CEMENT AGENCIES"/>
    <n v="141115"/>
    <s v="KALPESH CEMENT AGENCY"/>
    <n v="0"/>
    <n v="0"/>
    <n v="0"/>
    <n v="22.5"/>
    <n v="30"/>
    <n v="0"/>
    <n v="20"/>
    <n v="72.5"/>
    <n v="10.357142857142858"/>
    <x v="2"/>
    <x v="32"/>
    <x v="11"/>
    <x v="2"/>
  </r>
  <r>
    <s v="802921141115"/>
    <n v="802921"/>
    <s v="MATESHWARI CEMENT SUPPLIERS"/>
    <n v="141115"/>
    <s v="KALPESH CEMENT AGENCY"/>
    <n v="0"/>
    <n v="9"/>
    <n v="0"/>
    <n v="40"/>
    <n v="0"/>
    <n v="14"/>
    <n v="0"/>
    <n v="63"/>
    <n v="9"/>
    <x v="1"/>
    <x v="32"/>
    <x v="11"/>
    <x v="2"/>
  </r>
  <r>
    <s v="803534141115"/>
    <n v="803534"/>
    <s v="JHAMESHWAR CEMENT SUPPLIERS"/>
    <n v="141115"/>
    <s v="KALPESH CEMENT AGENCY"/>
    <n v="138.55000000000001"/>
    <n v="60"/>
    <n v="125"/>
    <n v="157"/>
    <n v="101.5"/>
    <n v="116.5"/>
    <n v="45"/>
    <n v="743.55"/>
    <n v="106.22142857142856"/>
    <x v="3"/>
    <x v="32"/>
    <x v="11"/>
    <x v="2"/>
  </r>
  <r>
    <s v="804058141115"/>
    <n v="804058"/>
    <s v="NAKODA CEMENT AGENCY"/>
    <n v="141115"/>
    <s v="KALPESH CEMENT AGENCY"/>
    <n v="152"/>
    <n v="62.5"/>
    <n v="220.05"/>
    <n v="229.75"/>
    <n v="200.25"/>
    <n v="210.9"/>
    <n v="189.5"/>
    <n v="1264.95"/>
    <n v="180.70714285714286"/>
    <x v="3"/>
    <x v="32"/>
    <x v="11"/>
    <x v="2"/>
  </r>
  <r>
    <s v="804432141115"/>
    <n v="804432"/>
    <s v="SISODIA CEMENT AGENCIES"/>
    <n v="141115"/>
    <s v="KALPESH CEMENT AGENCY"/>
    <n v="93.5"/>
    <n v="118.45"/>
    <n v="128.25"/>
    <n v="119.5"/>
    <n v="99.5"/>
    <n v="134.75"/>
    <n v="69.25"/>
    <n v="763.2"/>
    <n v="109.02857142857144"/>
    <x v="3"/>
    <x v="32"/>
    <x v="11"/>
    <x v="2"/>
  </r>
  <r>
    <s v="804632141115"/>
    <n v="804632"/>
    <s v="MATESHWARI ENTERPRISES AND STO"/>
    <n v="141115"/>
    <s v="KALPESH CEMENT AGENCY"/>
    <n v="80"/>
    <n v="50"/>
    <n v="100"/>
    <n v="89.5"/>
    <n v="68.5"/>
    <n v="82.5"/>
    <n v="45"/>
    <n v="515.5"/>
    <n v="73.642857142857139"/>
    <x v="3"/>
    <x v="32"/>
    <x v="11"/>
    <x v="2"/>
  </r>
  <r>
    <s v="806973141115"/>
    <n v="806973"/>
    <s v="SHREE ANNAPURNA CEMENT SUPPLIE"/>
    <n v="141115"/>
    <s v="KALPESH CEMENT AGENCY"/>
    <n v="0"/>
    <n v="0"/>
    <n v="108"/>
    <n v="0"/>
    <n v="32.5"/>
    <n v="33.5"/>
    <n v="0"/>
    <n v="174"/>
    <n v="24.857142857142858"/>
    <x v="0"/>
    <x v="32"/>
    <x v="11"/>
    <x v="2"/>
  </r>
  <r>
    <s v="806975141115"/>
    <n v="806975"/>
    <s v="MENARIA CEMENT AGENCY"/>
    <n v="141115"/>
    <s v="KALPESH CEMENT AGENCY"/>
    <n v="60"/>
    <n v="61.25"/>
    <n v="49"/>
    <n v="52.5"/>
    <n v="58.75"/>
    <n v="62"/>
    <n v="55"/>
    <n v="398.5"/>
    <n v="56.928571428571431"/>
    <x v="3"/>
    <x v="32"/>
    <x v="11"/>
    <x v="2"/>
  </r>
  <r>
    <s v="807187141115"/>
    <n v="807187"/>
    <s v="RAGHUNATH SINGH"/>
    <n v="141115"/>
    <s v="KALPESH CEMENT AGENCY"/>
    <n v="32.5"/>
    <n v="34.5"/>
    <n v="57.5"/>
    <n v="31.5"/>
    <n v="35"/>
    <n v="36"/>
    <n v="20"/>
    <n v="247"/>
    <n v="35.285714285714285"/>
    <x v="4"/>
    <x v="32"/>
    <x v="11"/>
    <x v="2"/>
  </r>
  <r>
    <s v="807261141115"/>
    <n v="807261"/>
    <s v="MAHAVEER STEEL AND SANITARY"/>
    <n v="141115"/>
    <s v="KALPESH CEMENT AGENCY"/>
    <n v="10"/>
    <n v="0"/>
    <n v="0"/>
    <n v="37.5"/>
    <n v="26"/>
    <n v="0"/>
    <n v="0"/>
    <n v="73.5"/>
    <n v="10.5"/>
    <x v="2"/>
    <x v="32"/>
    <x v="11"/>
    <x v="2"/>
  </r>
  <r>
    <s v="807719141115"/>
    <n v="807719"/>
    <s v="SHREE NARAYAN ENTERPRISES"/>
    <n v="141115"/>
    <s v="KALPESH CEMENT AGENCY"/>
    <n v="273.75"/>
    <n v="204.25"/>
    <n v="249.75"/>
    <n v="285.25"/>
    <n v="200"/>
    <n v="351.5"/>
    <n v="241.5"/>
    <n v="1806"/>
    <n v="258"/>
    <x v="3"/>
    <x v="32"/>
    <x v="11"/>
    <x v="2"/>
  </r>
  <r>
    <s v="808184141115"/>
    <n v="808184"/>
    <s v="KACHHARA CEMENT SUPPLIERS"/>
    <n v="141115"/>
    <s v="KALPESH CEMENT AGENCY"/>
    <n v="114.75"/>
    <n v="50"/>
    <n v="151.80000000000001"/>
    <n v="87"/>
    <n v="65.75"/>
    <n v="77"/>
    <n v="78.5"/>
    <n v="624.79999999999995"/>
    <n v="89.257142857142853"/>
    <x v="3"/>
    <x v="32"/>
    <x v="11"/>
    <x v="2"/>
  </r>
  <r>
    <s v="810480141115"/>
    <n v="810480"/>
    <s v="BAYA CEMENT AND SANITARY"/>
    <n v="141115"/>
    <s v="KALPESH CEMENT AGENCY"/>
    <n v="27.4"/>
    <n v="26.5"/>
    <n v="48.5"/>
    <n v="60.5"/>
    <n v="23.5"/>
    <n v="0"/>
    <n v="0"/>
    <n v="186.4"/>
    <n v="26.62857142857143"/>
    <x v="0"/>
    <x v="32"/>
    <x v="11"/>
    <x v="2"/>
  </r>
  <r>
    <s v="811271141115"/>
    <n v="811271"/>
    <s v="ASHAPURA PAINTS"/>
    <n v="141115"/>
    <s v="KALPESH CEMENT AGENCY"/>
    <n v="51.5"/>
    <n v="0"/>
    <n v="0"/>
    <n v="61.5"/>
    <n v="30"/>
    <n v="0"/>
    <n v="90"/>
    <n v="233"/>
    <n v="33.285714285714285"/>
    <x v="4"/>
    <x v="32"/>
    <x v="11"/>
    <x v="2"/>
  </r>
  <r>
    <s v="812067141115"/>
    <n v="812067"/>
    <s v="KALRA BUILDING MATERIAL"/>
    <n v="141115"/>
    <s v="KALPESH CEMENT AGENCY"/>
    <n v="0"/>
    <n v="0"/>
    <n v="10"/>
    <n v="0"/>
    <n v="0"/>
    <n v="0"/>
    <n v="0"/>
    <n v="10"/>
    <n v="1.4285714285714286"/>
    <x v="1"/>
    <x v="32"/>
    <x v="11"/>
    <x v="2"/>
  </r>
  <r>
    <s v="812175141115"/>
    <n v="812175"/>
    <s v="NAKODA IRON AND CEMENT"/>
    <n v="141115"/>
    <s v="KALPESH CEMENT AGENCY"/>
    <n v="10"/>
    <n v="0"/>
    <n v="0"/>
    <n v="22.5"/>
    <n v="35"/>
    <n v="35"/>
    <n v="30"/>
    <n v="132.5"/>
    <n v="18.928571428571427"/>
    <x v="2"/>
    <x v="32"/>
    <x v="11"/>
    <x v="2"/>
  </r>
  <r>
    <s v="812265141115"/>
    <n v="812265"/>
    <s v="NIKHIL NENAWA"/>
    <n v="141115"/>
    <s v="KALPESH CEMENT AGENCY"/>
    <n v="0"/>
    <n v="0"/>
    <n v="0"/>
    <n v="10"/>
    <n v="35"/>
    <n v="0"/>
    <n v="0"/>
    <n v="45"/>
    <n v="6.4285714285714288"/>
    <x v="1"/>
    <x v="32"/>
    <x v="11"/>
    <x v="2"/>
  </r>
  <r>
    <s v="813019141115"/>
    <n v="813019"/>
    <s v="KATARA BUILDING MATERIAL"/>
    <n v="141115"/>
    <s v="KALPESH CEMENT AGENCY"/>
    <n v="73.5"/>
    <n v="45"/>
    <n v="179.4"/>
    <n v="99"/>
    <n v="35"/>
    <n v="35.5"/>
    <n v="20"/>
    <n v="487.4"/>
    <n v="69.628571428571419"/>
    <x v="3"/>
    <x v="32"/>
    <x v="11"/>
    <x v="2"/>
  </r>
  <r>
    <s v="813731141115"/>
    <n v="813731"/>
    <s v="CHHAJED CEMENT SUPPLIERS"/>
    <n v="141115"/>
    <s v="KALPESH CEMENT AGENCY"/>
    <n v="43"/>
    <n v="20"/>
    <n v="41.7"/>
    <n v="59.5"/>
    <n v="30"/>
    <n v="0"/>
    <n v="39.75"/>
    <n v="233.95"/>
    <n v="33.421428571428571"/>
    <x v="4"/>
    <x v="32"/>
    <x v="11"/>
    <x v="2"/>
  </r>
  <r>
    <s v="813778141115"/>
    <n v="813778"/>
    <s v="BHERUNATH CEMENT SUPPLIERS"/>
    <n v="141115"/>
    <s v="KALPESH CEMENT AGENCY"/>
    <n v="84.5"/>
    <n v="0"/>
    <n v="45"/>
    <n v="62.35"/>
    <n v="50.5"/>
    <n v="54"/>
    <n v="40"/>
    <n v="336.35"/>
    <n v="48.050000000000004"/>
    <x v="5"/>
    <x v="32"/>
    <x v="11"/>
    <x v="2"/>
  </r>
  <r>
    <s v="814004141115"/>
    <n v="814004"/>
    <s v="SHRI MAHADEV BUILDING MATERIAL"/>
    <n v="141115"/>
    <s v="KALPESH CEMENT AGENCY"/>
    <n v="10"/>
    <n v="0"/>
    <n v="0"/>
    <n v="20"/>
    <n v="30.25"/>
    <n v="0"/>
    <n v="0"/>
    <n v="60.25"/>
    <n v="8.6071428571428577"/>
    <x v="1"/>
    <x v="32"/>
    <x v="11"/>
    <x v="2"/>
  </r>
  <r>
    <s v="814086141115"/>
    <n v="814086"/>
    <s v="HIND ENTERPRISES"/>
    <n v="141115"/>
    <s v="KALPESH CEMENT AGENCY"/>
    <n v="0"/>
    <n v="0"/>
    <n v="0"/>
    <n v="15"/>
    <n v="0"/>
    <n v="0"/>
    <n v="0"/>
    <n v="15"/>
    <n v="2.1428571428571428"/>
    <x v="1"/>
    <x v="32"/>
    <x v="11"/>
    <x v="2"/>
  </r>
  <r>
    <s v="814223141115"/>
    <n v="814223"/>
    <s v="SHUBHAM SARIYA"/>
    <n v="141115"/>
    <s v="KALPESH CEMENT AGENCY"/>
    <n v="25"/>
    <n v="0"/>
    <n v="0"/>
    <n v="0"/>
    <n v="0"/>
    <n v="0"/>
    <n v="0"/>
    <n v="25"/>
    <n v="3.5714285714285716"/>
    <x v="1"/>
    <x v="32"/>
    <x v="11"/>
    <x v="2"/>
  </r>
  <r>
    <s v="816247141115"/>
    <n v="816247"/>
    <s v="SHIV SHANKAR BUILDING MATERIAL"/>
    <n v="141115"/>
    <s v="KALPESH CEMENT AGENCY"/>
    <n v="0"/>
    <n v="0"/>
    <n v="0"/>
    <n v="0"/>
    <n v="0"/>
    <n v="50"/>
    <n v="80"/>
    <n v="130"/>
    <n v="18.571428571428573"/>
    <x v="2"/>
    <x v="32"/>
    <x v="11"/>
    <x v="2"/>
  </r>
  <r>
    <s v="814220141311"/>
    <n v="814220"/>
    <s v="PRINCE CEMENT SUPPLIER"/>
    <n v="141311"/>
    <s v="SHANTI LAL BHANAWAT"/>
    <n v="57.75"/>
    <n v="60"/>
    <n v="73.5"/>
    <n v="126"/>
    <n v="75.5"/>
    <n v="36"/>
    <n v="50"/>
    <n v="478.75"/>
    <n v="68.392857142857139"/>
    <x v="3"/>
    <x v="32"/>
    <x v="11"/>
    <x v="2"/>
  </r>
  <r>
    <s v="811121143607"/>
    <n v="811121"/>
    <s v="AMRIT LAL PATEL"/>
    <n v="143607"/>
    <s v="KRISHNA AGENCIES"/>
    <n v="10"/>
    <n v="60"/>
    <n v="25"/>
    <n v="39"/>
    <n v="40"/>
    <n v="13"/>
    <n v="20"/>
    <n v="207"/>
    <n v="29.571428571428573"/>
    <x v="0"/>
    <x v="32"/>
    <x v="11"/>
    <x v="2"/>
  </r>
  <r>
    <s v="811186143607"/>
    <n v="811186"/>
    <s v="SHUBHAM ENTERPRISES"/>
    <n v="143607"/>
    <s v="KRISHNA AGENCIES"/>
    <n v="37"/>
    <n v="60"/>
    <n v="50"/>
    <n v="72"/>
    <n v="77"/>
    <n v="38"/>
    <n v="10"/>
    <n v="344"/>
    <n v="49.142857142857146"/>
    <x v="5"/>
    <x v="32"/>
    <x v="11"/>
    <x v="2"/>
  </r>
  <r>
    <s v="807025146968"/>
    <n v="807025"/>
    <s v="HITESH BUILDING MATERIAL"/>
    <n v="146968"/>
    <s v="BHARAT BUILDCON"/>
    <n v="114"/>
    <n v="104.25"/>
    <n v="108.5"/>
    <n v="83.25"/>
    <n v="50"/>
    <n v="77.75"/>
    <n v="35.25"/>
    <n v="573"/>
    <n v="81.857142857142861"/>
    <x v="3"/>
    <x v="32"/>
    <x v="11"/>
    <x v="2"/>
  </r>
  <r>
    <s v="807718146968"/>
    <n v="807718"/>
    <s v="RAMILA BUILDING MATERIAL"/>
    <n v="146968"/>
    <s v="BHARAT BUILDCON"/>
    <n v="50"/>
    <n v="29.9"/>
    <n v="62"/>
    <n v="48"/>
    <n v="32.5"/>
    <n v="25"/>
    <n v="20"/>
    <n v="267.39999999999998"/>
    <n v="38.199999999999996"/>
    <x v="4"/>
    <x v="32"/>
    <x v="11"/>
    <x v="2"/>
  </r>
  <r>
    <s v="808912146968"/>
    <n v="808912"/>
    <s v="DURGESHWARI BUILDING MATERIAL"/>
    <n v="146968"/>
    <s v="BHARAT BUILDCON"/>
    <n v="23"/>
    <n v="5"/>
    <n v="0"/>
    <n v="7.5"/>
    <n v="7.5"/>
    <n v="7.5"/>
    <n v="19"/>
    <n v="69.5"/>
    <n v="9.9285714285714288"/>
    <x v="1"/>
    <x v="32"/>
    <x v="11"/>
    <x v="2"/>
  </r>
  <r>
    <s v="809012146968"/>
    <n v="809012"/>
    <s v="PRATHVI BUILDING MATERIAL"/>
    <n v="146968"/>
    <s v="BHARAT BUILDCON"/>
    <n v="10"/>
    <n v="8.6"/>
    <n v="12"/>
    <n v="18.5"/>
    <n v="7.5"/>
    <n v="0"/>
    <n v="0"/>
    <n v="56.6"/>
    <n v="8.0857142857142854"/>
    <x v="1"/>
    <x v="32"/>
    <x v="11"/>
    <x v="2"/>
  </r>
  <r>
    <s v="809455146968"/>
    <n v="809455"/>
    <s v="AJIT KIRANA STORE"/>
    <n v="146968"/>
    <s v="BHARAT BUILDCON"/>
    <n v="20"/>
    <n v="47.5"/>
    <n v="50"/>
    <n v="32.5"/>
    <n v="22.5"/>
    <n v="22.5"/>
    <n v="37"/>
    <n v="232"/>
    <n v="33.142857142857146"/>
    <x v="4"/>
    <x v="32"/>
    <x v="11"/>
    <x v="2"/>
  </r>
  <r>
    <s v="811872146968"/>
    <n v="811872"/>
    <s v="BALESHWAR IRON AND STEEL"/>
    <n v="146968"/>
    <s v="BHARAT BUILDCON"/>
    <n v="23"/>
    <n v="20"/>
    <n v="10"/>
    <n v="35"/>
    <n v="28.95"/>
    <n v="29"/>
    <n v="32"/>
    <n v="177.95"/>
    <n v="25.421428571428571"/>
    <x v="0"/>
    <x v="32"/>
    <x v="11"/>
    <x v="2"/>
  </r>
  <r>
    <s v="814709146968"/>
    <n v="814709"/>
    <s v="LAVISH BUILDING MATERIAL"/>
    <n v="146968"/>
    <s v="BHARAT BUILDCON"/>
    <n v="38.5"/>
    <n v="20"/>
    <n v="10"/>
    <n v="17.5"/>
    <n v="0"/>
    <n v="0"/>
    <n v="0"/>
    <n v="86"/>
    <n v="12.285714285714286"/>
    <x v="2"/>
    <x v="32"/>
    <x v="11"/>
    <x v="2"/>
  </r>
  <r>
    <s v="814876146968"/>
    <n v="814876"/>
    <s v="MADHU LAL MEENA"/>
    <n v="146968"/>
    <s v="BHARAT BUILDCON"/>
    <n v="0"/>
    <n v="0"/>
    <n v="0"/>
    <n v="10"/>
    <n v="0"/>
    <n v="0"/>
    <n v="0"/>
    <n v="10"/>
    <n v="1.4285714285714286"/>
    <x v="1"/>
    <x v="32"/>
    <x v="11"/>
    <x v="2"/>
  </r>
  <r>
    <s v="813489147364"/>
    <n v="813489"/>
    <s v="RODAWAT BUILDMART"/>
    <n v="147364"/>
    <s v="RAJASTHAN ROYAL BUILDHOME SOLU"/>
    <n v="38"/>
    <n v="10"/>
    <n v="145.5"/>
    <n v="92.5"/>
    <n v="87.5"/>
    <n v="31"/>
    <n v="10"/>
    <n v="414.5"/>
    <n v="59.214285714285715"/>
    <x v="3"/>
    <x v="32"/>
    <x v="11"/>
    <x v="2"/>
  </r>
  <r>
    <s v="814505147364"/>
    <n v="814505"/>
    <s v="GANPATI BUILDING MATERIAL"/>
    <n v="147364"/>
    <s v="RAJASTHAN ROYAL BUILDHOME SOLU"/>
    <n v="35.5"/>
    <n v="10"/>
    <n v="10"/>
    <n v="0"/>
    <n v="0"/>
    <n v="0"/>
    <n v="0"/>
    <n v="55.5"/>
    <n v="7.9285714285714288"/>
    <x v="1"/>
    <x v="32"/>
    <x v="11"/>
    <x v="2"/>
  </r>
  <r>
    <s v="815841147364"/>
    <n v="815841"/>
    <s v="SHANTI STONE AND STEEL"/>
    <n v="147364"/>
    <s v="RAJASTHAN ROYAL BUILDHOME SOLU"/>
    <n v="0"/>
    <n v="0"/>
    <n v="0"/>
    <n v="0"/>
    <n v="37.5"/>
    <n v="50"/>
    <n v="22.5"/>
    <n v="110"/>
    <n v="15.714285714285714"/>
    <x v="2"/>
    <x v="32"/>
    <x v="11"/>
    <x v="2"/>
  </r>
  <r>
    <s v="812176170059"/>
    <n v="812176"/>
    <s v="SANWARIYA CONSTRUCTION AND BUI"/>
    <n v="170059"/>
    <s v="SHREE OM CEMENT &amp; STONE SUPPLI"/>
    <n v="10"/>
    <n v="0"/>
    <n v="25"/>
    <n v="0"/>
    <n v="0"/>
    <n v="0"/>
    <n v="0"/>
    <n v="35"/>
    <n v="5"/>
    <x v="1"/>
    <x v="32"/>
    <x v="11"/>
    <x v="2"/>
  </r>
  <r>
    <s v="813021170059"/>
    <n v="813021"/>
    <s v="SANWARIYA BUILDING MATERIAL SU"/>
    <n v="170059"/>
    <s v="SHREE OM CEMENT &amp; STONE SUPPLI"/>
    <n v="0"/>
    <n v="0"/>
    <n v="0"/>
    <n v="65"/>
    <n v="63"/>
    <n v="58"/>
    <n v="55"/>
    <n v="241"/>
    <n v="34.428571428571431"/>
    <x v="4"/>
    <x v="32"/>
    <x v="11"/>
    <x v="2"/>
  </r>
  <r>
    <s v="804081170501"/>
    <n v="804081"/>
    <s v="BHERUNATH CEMENT SUPPLIER"/>
    <n v="170501"/>
    <s v="GURU OM KRIPA CEMENT SUPPLIERS"/>
    <n v="28.5"/>
    <n v="17.5"/>
    <n v="57.5"/>
    <n v="42.5"/>
    <n v="27.5"/>
    <n v="22.5"/>
    <n v="20"/>
    <n v="216"/>
    <n v="30.857142857142858"/>
    <x v="4"/>
    <x v="32"/>
    <x v="11"/>
    <x v="2"/>
  </r>
  <r>
    <s v="811070170501"/>
    <n v="811070"/>
    <s v="SHRI BHAIRUNATH CEMENT SUPPLIE"/>
    <n v="170501"/>
    <s v="GURU OM KRIPA CEMENT SUPPLIERS"/>
    <n v="23.75"/>
    <n v="5"/>
    <n v="33"/>
    <n v="21"/>
    <n v="7.5"/>
    <n v="5"/>
    <n v="0"/>
    <n v="95.25"/>
    <n v="13.607142857142858"/>
    <x v="2"/>
    <x v="32"/>
    <x v="11"/>
    <x v="2"/>
  </r>
  <r>
    <s v="811273170501"/>
    <n v="811273"/>
    <s v="PATEL CEMENT SUPPLEIRS"/>
    <n v="170501"/>
    <s v="GURU OM KRIPA CEMENT SUPPLIERS"/>
    <n v="0"/>
    <n v="10"/>
    <n v="10"/>
    <n v="9.5"/>
    <n v="0"/>
    <n v="0"/>
    <n v="0"/>
    <n v="29.5"/>
    <n v="4.2142857142857144"/>
    <x v="1"/>
    <x v="32"/>
    <x v="11"/>
    <x v="2"/>
  </r>
  <r>
    <s v="814221170501"/>
    <n v="814221"/>
    <s v="BHAGWAN LAL DANGI"/>
    <n v="170501"/>
    <s v="GURU OM KRIPA CEMENT SUPPLIERS"/>
    <n v="27.5"/>
    <n v="0"/>
    <n v="0"/>
    <n v="18.5"/>
    <n v="26"/>
    <n v="17.5"/>
    <n v="29.5"/>
    <n v="119"/>
    <n v="17"/>
    <x v="2"/>
    <x v="32"/>
    <x v="11"/>
    <x v="2"/>
  </r>
  <r>
    <s v="808206172338"/>
    <n v="808206"/>
    <s v="NAGANARAI BUILDING MATERIAL"/>
    <n v="172338"/>
    <s v="KHILJEE BUILDING MATERIAL"/>
    <n v="0"/>
    <n v="15"/>
    <n v="20"/>
    <n v="55"/>
    <n v="19.899999999999999"/>
    <n v="20"/>
    <n v="10"/>
    <n v="139.9"/>
    <n v="19.985714285714288"/>
    <x v="2"/>
    <x v="32"/>
    <x v="11"/>
    <x v="2"/>
  </r>
  <r>
    <s v="809312173729"/>
    <n v="809312"/>
    <s v="KHYALI LAL SUTHAR"/>
    <n v="173729"/>
    <s v="V. KAMLESH &amp; COMPANY"/>
    <n v="0"/>
    <n v="0"/>
    <n v="32.5"/>
    <n v="22"/>
    <n v="10"/>
    <n v="0"/>
    <n v="0"/>
    <n v="64.5"/>
    <n v="9.2142857142857135"/>
    <x v="1"/>
    <x v="32"/>
    <x v="11"/>
    <x v="2"/>
  </r>
  <r>
    <s v="809348173729"/>
    <n v="809348"/>
    <s v="HARI OM STONE SUPPLIERS"/>
    <n v="173729"/>
    <s v="V. KAMLESH &amp; COMPANY"/>
    <n v="20.5"/>
    <n v="55"/>
    <n v="63.5"/>
    <n v="49"/>
    <n v="25"/>
    <n v="21.5"/>
    <n v="0"/>
    <n v="234.5"/>
    <n v="33.5"/>
    <x v="4"/>
    <x v="32"/>
    <x v="11"/>
    <x v="2"/>
  </r>
  <r>
    <s v="815402173729"/>
    <n v="815402"/>
    <s v="V K TRADERS"/>
    <n v="173729"/>
    <s v="V. KAMLESH &amp; COMPANY"/>
    <n v="0"/>
    <n v="0"/>
    <n v="0"/>
    <n v="70"/>
    <n v="35"/>
    <n v="39.5"/>
    <n v="55"/>
    <n v="199.5"/>
    <n v="28.5"/>
    <x v="0"/>
    <x v="32"/>
    <x v="11"/>
    <x v="2"/>
  </r>
  <r>
    <s v="807406173748"/>
    <n v="807406"/>
    <s v="SARDAR CEMENT SUPPLIERS"/>
    <n v="173748"/>
    <s v="LAMPS SARADA"/>
    <n v="20"/>
    <n v="45"/>
    <n v="80"/>
    <n v="24"/>
    <n v="56"/>
    <n v="32.5"/>
    <n v="0"/>
    <n v="257.5"/>
    <n v="36.785714285714285"/>
    <x v="4"/>
    <x v="32"/>
    <x v="11"/>
    <x v="2"/>
  </r>
  <r>
    <s v="814623173748"/>
    <n v="814623"/>
    <s v="GANESH"/>
    <n v="173748"/>
    <s v="LAMPS SARADA"/>
    <n v="20"/>
    <n v="20"/>
    <n v="25"/>
    <n v="15"/>
    <n v="10"/>
    <n v="27.5"/>
    <n v="0"/>
    <n v="117.5"/>
    <n v="16.785714285714285"/>
    <x v="2"/>
    <x v="32"/>
    <x v="11"/>
    <x v="2"/>
  </r>
  <r>
    <s v="805627175775"/>
    <n v="805627"/>
    <s v="SANWALIYA CEMENT SUPPLIERS"/>
    <n v="175775"/>
    <s v="CHARBHUJA ELECTRICALS &amp; HARDWA"/>
    <n v="0"/>
    <n v="0"/>
    <n v="0"/>
    <n v="44.5"/>
    <n v="53"/>
    <n v="37.5"/>
    <n v="0"/>
    <n v="135"/>
    <n v="19.285714285714285"/>
    <x v="2"/>
    <x v="32"/>
    <x v="11"/>
    <x v="2"/>
  </r>
  <r>
    <s v="802925176098"/>
    <n v="802925"/>
    <s v="PARSHWANATH FERTILIZERS &amp; CHEM"/>
    <n v="176098"/>
    <s v="ADINATH CEMENT AGENCY"/>
    <n v="0"/>
    <n v="0"/>
    <n v="10"/>
    <n v="0"/>
    <n v="0"/>
    <n v="0"/>
    <n v="0"/>
    <n v="10"/>
    <n v="1.4285714285714286"/>
    <x v="1"/>
    <x v="32"/>
    <x v="11"/>
    <x v="2"/>
  </r>
  <r>
    <s v="812947178226"/>
    <n v="812947"/>
    <s v="VIAAN ASSOCIATES"/>
    <n v="178226"/>
    <s v="PANKAJ TRADING COMPANY"/>
    <n v="27"/>
    <n v="35.5"/>
    <n v="40"/>
    <n v="80"/>
    <n v="80"/>
    <n v="22.5"/>
    <n v="70"/>
    <n v="355"/>
    <n v="50.714285714285715"/>
    <x v="3"/>
    <x v="32"/>
    <x v="11"/>
    <x v="2"/>
  </r>
  <r>
    <s v="816275178226"/>
    <n v="816275"/>
    <s v="RISHABH DEV TRADING CO"/>
    <n v="178226"/>
    <s v="PANKAJ TRADING COMPANY"/>
    <n v="0"/>
    <n v="0"/>
    <n v="0"/>
    <n v="0"/>
    <n v="0"/>
    <n v="20"/>
    <n v="20"/>
    <n v="40"/>
    <n v="5.7142857142857144"/>
    <x v="1"/>
    <x v="32"/>
    <x v="11"/>
    <x v="2"/>
  </r>
  <r>
    <s v="812776178287"/>
    <n v="812776"/>
    <s v="SHREE MAA RUDHRANI BUILDING MA"/>
    <n v="178287"/>
    <s v="ADINATH BUILDCON"/>
    <n v="25"/>
    <n v="0"/>
    <n v="0"/>
    <n v="0"/>
    <n v="0"/>
    <n v="0"/>
    <n v="0"/>
    <n v="25"/>
    <n v="3.5714285714285716"/>
    <x v="1"/>
    <x v="32"/>
    <x v="11"/>
    <x v="2"/>
  </r>
  <r>
    <s v="814773178287"/>
    <n v="814773"/>
    <s v="HANUMAN BUILDING MATERIAL"/>
    <n v="178287"/>
    <s v="ADINATH BUILDCON"/>
    <n v="34"/>
    <n v="15"/>
    <n v="25"/>
    <n v="71.75"/>
    <n v="21"/>
    <n v="24.5"/>
    <n v="25"/>
    <n v="216.25"/>
    <n v="30.892857142857142"/>
    <x v="4"/>
    <x v="32"/>
    <x v="11"/>
    <x v="2"/>
  </r>
  <r>
    <s v="808959178669"/>
    <n v="808959"/>
    <s v="PURNIMA BUILDING MATERIAL SANI"/>
    <n v="178669"/>
    <s v="JAIN STONE SUPPLIERS"/>
    <n v="0"/>
    <n v="0"/>
    <n v="0"/>
    <n v="0"/>
    <n v="0"/>
    <n v="35"/>
    <n v="10"/>
    <n v="45"/>
    <n v="6.4285714285714288"/>
    <x v="1"/>
    <x v="32"/>
    <x v="11"/>
    <x v="2"/>
  </r>
  <r>
    <s v="802265179560"/>
    <n v="802265"/>
    <s v="PRIYA CEMENT &amp; SANITORY"/>
    <n v="179560"/>
    <s v="TIRUPATI TRADING COMPANY"/>
    <n v="5"/>
    <n v="0"/>
    <n v="0"/>
    <n v="0"/>
    <n v="7.5"/>
    <n v="20"/>
    <n v="15"/>
    <n v="47.5"/>
    <n v="6.7857142857142856"/>
    <x v="1"/>
    <x v="32"/>
    <x v="11"/>
    <x v="2"/>
  </r>
  <r>
    <s v="802848179560"/>
    <n v="802848"/>
    <s v="DEV BUILD MATS"/>
    <n v="179560"/>
    <s v="TIRUPATI TRADING COMPANY"/>
    <n v="20"/>
    <n v="20"/>
    <n v="45"/>
    <n v="47.85"/>
    <n v="55"/>
    <n v="65"/>
    <n v="31"/>
    <n v="283.85000000000002"/>
    <n v="40.550000000000004"/>
    <x v="5"/>
    <x v="32"/>
    <x v="11"/>
    <x v="2"/>
  </r>
  <r>
    <s v="811270179560"/>
    <n v="811270"/>
    <s v="VARDHMAN AGENCIES"/>
    <n v="179560"/>
    <s v="TIRUPATI TRADING COMPANY"/>
    <n v="33.5"/>
    <n v="55"/>
    <n v="95"/>
    <n v="154.80000000000001"/>
    <n v="234.5"/>
    <n v="206.25"/>
    <n v="54"/>
    <n v="833.05"/>
    <n v="119.00714285714285"/>
    <x v="3"/>
    <x v="32"/>
    <x v="11"/>
    <x v="2"/>
  </r>
  <r>
    <s v="811387179560"/>
    <n v="811387"/>
    <s v="ASHISH KHANDELWAL"/>
    <n v="179560"/>
    <s v="TIRUPATI TRADING COMPANY"/>
    <n v="21"/>
    <n v="0"/>
    <n v="27.5"/>
    <n v="45"/>
    <n v="27.5"/>
    <n v="25"/>
    <n v="0"/>
    <n v="146"/>
    <n v="20.857142857142858"/>
    <x v="0"/>
    <x v="32"/>
    <x v="11"/>
    <x v="2"/>
  </r>
  <r>
    <s v="811623179560"/>
    <n v="811623"/>
    <s v="PARSHWANATH BUILDING MATERIAL"/>
    <n v="179560"/>
    <s v="TIRUPATI TRADING COMPANY"/>
    <n v="45"/>
    <n v="42"/>
    <n v="81.5"/>
    <n v="64.25"/>
    <n v="66.5"/>
    <n v="47.5"/>
    <n v="15"/>
    <n v="361.75"/>
    <n v="51.678571428571431"/>
    <x v="3"/>
    <x v="32"/>
    <x v="11"/>
    <x v="2"/>
  </r>
  <r>
    <s v="811624179560"/>
    <n v="811624"/>
    <s v="KUBER ENTERPRISES"/>
    <n v="179560"/>
    <s v="TIRUPATI TRADING COMPANY"/>
    <n v="0"/>
    <n v="10"/>
    <n v="35"/>
    <n v="41.85"/>
    <n v="65"/>
    <n v="82.5"/>
    <n v="20"/>
    <n v="254.35"/>
    <n v="36.335714285714282"/>
    <x v="4"/>
    <x v="32"/>
    <x v="11"/>
    <x v="2"/>
  </r>
  <r>
    <s v="811733179560"/>
    <n v="811733"/>
    <s v="NATIONAL CEMENT SUPPLIERS"/>
    <n v="179560"/>
    <s v="TIRUPATI TRADING COMPANY"/>
    <n v="0"/>
    <n v="10"/>
    <n v="25"/>
    <n v="25.85"/>
    <n v="0"/>
    <n v="2.5"/>
    <n v="0"/>
    <n v="63.35"/>
    <n v="9.0500000000000007"/>
    <x v="1"/>
    <x v="32"/>
    <x v="11"/>
    <x v="2"/>
  </r>
  <r>
    <s v="812176179560"/>
    <n v="812176"/>
    <s v="SANWARIYA CONSTRUCTION AND BUI"/>
    <n v="179560"/>
    <s v="TIRUPATI TRADING COMPANY"/>
    <n v="25"/>
    <n v="45"/>
    <n v="25"/>
    <n v="55"/>
    <n v="45.5"/>
    <n v="40"/>
    <n v="25"/>
    <n v="260.5"/>
    <n v="37.214285714285715"/>
    <x v="4"/>
    <x v="32"/>
    <x v="11"/>
    <x v="2"/>
  </r>
  <r>
    <s v="812289179560"/>
    <n v="812289"/>
    <s v="MAHALAXMI BUILDING MATERIAL"/>
    <n v="179560"/>
    <s v="TIRUPATI TRADING COMPANY"/>
    <n v="73"/>
    <n v="30"/>
    <n v="25"/>
    <n v="60"/>
    <n v="62.5"/>
    <n v="72.5"/>
    <n v="33.5"/>
    <n v="356.5"/>
    <n v="50.928571428571431"/>
    <x v="3"/>
    <x v="32"/>
    <x v="11"/>
    <x v="2"/>
  </r>
  <r>
    <s v="813161179560"/>
    <n v="813161"/>
    <s v="SHREE IDANA MAA BUILDING MATER"/>
    <n v="179560"/>
    <s v="TIRUPATI TRADING COMPANY"/>
    <n v="0"/>
    <n v="20"/>
    <n v="26"/>
    <n v="42.5"/>
    <n v="30"/>
    <n v="0"/>
    <n v="10"/>
    <n v="128.5"/>
    <n v="18.357142857142858"/>
    <x v="2"/>
    <x v="32"/>
    <x v="11"/>
    <x v="2"/>
  </r>
  <r>
    <s v="813229179560"/>
    <n v="813229"/>
    <s v="GANPATI BULDIMAT"/>
    <n v="179560"/>
    <s v="TIRUPATI TRADING COMPANY"/>
    <n v="50"/>
    <n v="20"/>
    <n v="50"/>
    <n v="62.5"/>
    <n v="42.5"/>
    <n v="73"/>
    <n v="55"/>
    <n v="353"/>
    <n v="50.428571428571431"/>
    <x v="3"/>
    <x v="32"/>
    <x v="11"/>
    <x v="2"/>
  </r>
  <r>
    <s v="816248179560"/>
    <n v="816248"/>
    <s v="ADINDA PARSHWANATH TRADERS"/>
    <n v="179560"/>
    <s v="TIRUPATI TRADING COMPANY"/>
    <n v="0"/>
    <n v="0"/>
    <n v="0"/>
    <n v="0"/>
    <n v="0"/>
    <n v="42.5"/>
    <n v="40"/>
    <n v="82.5"/>
    <n v="11.785714285714286"/>
    <x v="2"/>
    <x v="32"/>
    <x v="11"/>
    <x v="2"/>
  </r>
  <r>
    <s v="811674179784"/>
    <n v="811674"/>
    <s v="ISHWAR PATEL"/>
    <n v="179784"/>
    <s v="NEW KRISHNA STONE AND BUILDING"/>
    <n v="93.5"/>
    <n v="117.5"/>
    <n v="126.5"/>
    <n v="51"/>
    <n v="60.5"/>
    <n v="57.25"/>
    <n v="83.55"/>
    <n v="589.79999999999995"/>
    <n v="84.257142857142853"/>
    <x v="3"/>
    <x v="32"/>
    <x v="11"/>
    <x v="2"/>
  </r>
  <r>
    <s v="811676179784"/>
    <n v="811676"/>
    <s v="SHIV NARAYAN PATEL"/>
    <n v="179784"/>
    <s v="NEW KRISHNA STONE AND BUILDING"/>
    <n v="45.85"/>
    <n v="50"/>
    <n v="55"/>
    <n v="30"/>
    <n v="35"/>
    <n v="27.5"/>
    <n v="0"/>
    <n v="243.35"/>
    <n v="34.764285714285712"/>
    <x v="4"/>
    <x v="32"/>
    <x v="11"/>
    <x v="2"/>
  </r>
  <r>
    <s v="815472179784"/>
    <n v="815472"/>
    <s v="SURAJMAL"/>
    <n v="179784"/>
    <s v="NEW KRISHNA STONE AND BUILDING"/>
    <n v="0"/>
    <n v="0"/>
    <n v="0"/>
    <n v="20"/>
    <n v="24.5"/>
    <n v="15"/>
    <n v="10"/>
    <n v="69.5"/>
    <n v="9.9285714285714288"/>
    <x v="1"/>
    <x v="32"/>
    <x v="11"/>
    <x v="2"/>
  </r>
  <r>
    <s v="812752203649"/>
    <n v="812752"/>
    <s v="RADHE SHYAM GURJAR"/>
    <n v="203649"/>
    <s v="ANANTRAJ ENTERPRISES"/>
    <n v="50"/>
    <n v="20.5"/>
    <n v="12"/>
    <n v="34.5"/>
    <n v="12.5"/>
    <n v="7.5"/>
    <n v="7.5"/>
    <n v="144.5"/>
    <n v="20.642857142857142"/>
    <x v="0"/>
    <x v="32"/>
    <x v="11"/>
    <x v="2"/>
  </r>
  <r>
    <s v="813194204034"/>
    <n v="813194"/>
    <s v="SHEETAL BUILDING MATERIAL AND"/>
    <n v="204034"/>
    <s v="PATEL CEMENT SUPPLIERS"/>
    <n v="45"/>
    <n v="20"/>
    <n v="140"/>
    <n v="47.5"/>
    <n v="87.5"/>
    <n v="90.5"/>
    <n v="105"/>
    <n v="535.5"/>
    <n v="76.5"/>
    <x v="3"/>
    <x v="32"/>
    <x v="11"/>
    <x v="2"/>
  </r>
  <r>
    <s v="813936204034"/>
    <n v="813936"/>
    <s v="MANISHA TRADING COMPANY"/>
    <n v="204034"/>
    <s v="PATEL CEMENT SUPPLIERS"/>
    <n v="75.5"/>
    <n v="71.5"/>
    <n v="175"/>
    <n v="127.5"/>
    <n v="147"/>
    <n v="297.5"/>
    <n v="123.5"/>
    <n v="1017.5"/>
    <n v="145.35714285714286"/>
    <x v="3"/>
    <x v="32"/>
    <x v="11"/>
    <x v="2"/>
  </r>
  <r>
    <s v="814914204034"/>
    <n v="814914"/>
    <s v="PRAJAPATI BUILDING MATERIAL"/>
    <n v="204034"/>
    <s v="PATEL CEMENT SUPPLIERS"/>
    <n v="0"/>
    <n v="0"/>
    <n v="0"/>
    <n v="93"/>
    <n v="113"/>
    <n v="71.5"/>
    <n v="135.5"/>
    <n v="413"/>
    <n v="59"/>
    <x v="3"/>
    <x v="32"/>
    <x v="11"/>
    <x v="2"/>
  </r>
  <r>
    <s v="815826204034"/>
    <n v="815826"/>
    <s v="CHANDRA CEMENT AND SANITARY"/>
    <n v="204034"/>
    <s v="PATEL CEMENT SUPPLIERS"/>
    <n v="0"/>
    <n v="0"/>
    <n v="0"/>
    <n v="0"/>
    <n v="71.5"/>
    <n v="27.5"/>
    <n v="20"/>
    <n v="119"/>
    <n v="17"/>
    <x v="2"/>
    <x v="32"/>
    <x v="11"/>
    <x v="2"/>
  </r>
  <r>
    <s v="815958204034"/>
    <n v="815958"/>
    <s v="PARAS BUILDING MATERIAL"/>
    <n v="204034"/>
    <s v="PATEL CEMENT SUPPLIERS"/>
    <n v="0"/>
    <n v="0"/>
    <n v="0"/>
    <n v="0"/>
    <n v="0"/>
    <n v="39.5"/>
    <n v="53.25"/>
    <n v="92.75"/>
    <n v="13.25"/>
    <x v="2"/>
    <x v="32"/>
    <x v="11"/>
    <x v="2"/>
  </r>
  <r>
    <s v="809114205966"/>
    <n v="809114"/>
    <s v="NARESH KUMAR"/>
    <n v="205966"/>
    <s v="POKHARNA CEMENT SUPPLIERS"/>
    <n v="5"/>
    <n v="55"/>
    <n v="5"/>
    <n v="21"/>
    <n v="15"/>
    <n v="15"/>
    <n v="7.5"/>
    <n v="123.5"/>
    <n v="17.642857142857142"/>
    <x v="2"/>
    <x v="32"/>
    <x v="11"/>
    <x v="2"/>
  </r>
  <r>
    <s v="809551205966"/>
    <n v="809551"/>
    <s v="DEVI LAL KUMAWAT"/>
    <n v="205966"/>
    <s v="POKHARNA CEMENT SUPPLIERS"/>
    <n v="0"/>
    <n v="30"/>
    <n v="15"/>
    <n v="19.5"/>
    <n v="16"/>
    <n v="10"/>
    <n v="7.5"/>
    <n v="98"/>
    <n v="14"/>
    <x v="2"/>
    <x v="32"/>
    <x v="11"/>
    <x v="2"/>
  </r>
  <r>
    <s v="814222205966"/>
    <n v="814222"/>
    <s v="PYAR CHANDRA LOHAR"/>
    <n v="205966"/>
    <s v="POKHARNA CEMENT SUPPLIERS"/>
    <n v="0"/>
    <n v="32.25"/>
    <n v="6"/>
    <n v="1"/>
    <n v="0"/>
    <n v="0"/>
    <n v="0"/>
    <n v="39.25"/>
    <n v="5.6071428571428568"/>
    <x v="1"/>
    <x v="32"/>
    <x v="11"/>
    <x v="2"/>
  </r>
  <r>
    <s v="814310205966"/>
    <n v="814310"/>
    <s v="MANGI LAL"/>
    <n v="205966"/>
    <s v="POKHARNA CEMENT SUPPLIERS"/>
    <n v="10"/>
    <n v="45"/>
    <n v="5"/>
    <n v="1"/>
    <n v="0"/>
    <n v="10"/>
    <n v="0"/>
    <n v="71"/>
    <n v="10.142857142857142"/>
    <x v="2"/>
    <x v="32"/>
    <x v="11"/>
    <x v="2"/>
  </r>
  <r>
    <s v="814446205966"/>
    <n v="814446"/>
    <s v="JAGDISH KUMAR KASOTA"/>
    <n v="205966"/>
    <s v="POKHARNA CEMENT SUPPLIERS"/>
    <n v="0"/>
    <n v="0"/>
    <n v="0"/>
    <n v="6"/>
    <n v="0"/>
    <n v="0"/>
    <n v="0"/>
    <n v="6"/>
    <n v="0.8571428571428571"/>
    <x v="1"/>
    <x v="32"/>
    <x v="11"/>
    <x v="2"/>
  </r>
  <r>
    <s v="814913205966"/>
    <n v="814913"/>
    <s v="THE TIGER CONSTRUCTION"/>
    <n v="205966"/>
    <s v="POKHARNA CEMENT SUPPLIERS"/>
    <n v="5"/>
    <n v="0"/>
    <n v="0"/>
    <n v="13.5"/>
    <n v="0"/>
    <n v="15"/>
    <n v="15"/>
    <n v="48.5"/>
    <n v="6.9285714285714288"/>
    <x v="1"/>
    <x v="32"/>
    <x v="11"/>
    <x v="2"/>
  </r>
  <r>
    <s v="806176205969"/>
    <n v="806176"/>
    <s v="ABBAS ALI"/>
    <n v="205969"/>
    <s v="AKBAR ALI KHAKHADWALA AND SONS"/>
    <n v="90"/>
    <n v="37.5"/>
    <n v="65"/>
    <n v="118.25"/>
    <n v="70"/>
    <n v="81.5"/>
    <n v="76.400000000000006"/>
    <n v="538.65"/>
    <n v="76.95"/>
    <x v="3"/>
    <x v="32"/>
    <x v="11"/>
    <x v="2"/>
  </r>
  <r>
    <s v="815431205969"/>
    <n v="815431"/>
    <s v="RASHIDA BAI QAYUM ALI"/>
    <n v="205969"/>
    <s v="AKBAR ALI KHAKHADWALA AND SONS"/>
    <n v="0"/>
    <n v="0"/>
    <n v="0"/>
    <n v="54.5"/>
    <n v="41.5"/>
    <n v="40"/>
    <n v="25"/>
    <n v="161"/>
    <n v="23"/>
    <x v="0"/>
    <x v="32"/>
    <x v="11"/>
    <x v="2"/>
  </r>
  <r>
    <s v="814087205989"/>
    <n v="814087"/>
    <s v="S R BUILDING MATERIAL SUPPLIER"/>
    <n v="205989"/>
    <s v="JAGDISH BUILDING MATERIAL SUPP"/>
    <n v="7.5"/>
    <n v="0"/>
    <n v="7.5"/>
    <n v="32.5"/>
    <n v="7.5"/>
    <n v="0"/>
    <n v="45"/>
    <n v="100"/>
    <n v="14.285714285714286"/>
    <x v="2"/>
    <x v="32"/>
    <x v="11"/>
    <x v="2"/>
  </r>
  <r>
    <s v="814225205989"/>
    <n v="814225"/>
    <s v="VISHAL TANKERS"/>
    <n v="205989"/>
    <s v="JAGDISH BUILDING MATERIAL SUPP"/>
    <n v="12.5"/>
    <n v="0"/>
    <n v="37.5"/>
    <n v="47.5"/>
    <n v="27.5"/>
    <n v="37.5"/>
    <n v="0"/>
    <n v="162.5"/>
    <n v="23.214285714285715"/>
    <x v="0"/>
    <x v="32"/>
    <x v="11"/>
    <x v="2"/>
  </r>
  <r>
    <s v="814702205989"/>
    <n v="814702"/>
    <s v="NARAYAN LAL TELI"/>
    <n v="205989"/>
    <s v="JAGDISH BUILDING MATERIAL SUPP"/>
    <n v="10"/>
    <n v="0"/>
    <n v="22.5"/>
    <n v="30.5"/>
    <n v="45"/>
    <n v="42.5"/>
    <n v="35"/>
    <n v="185.5"/>
    <n v="26.5"/>
    <x v="0"/>
    <x v="32"/>
    <x v="11"/>
    <x v="2"/>
  </r>
  <r>
    <s v="808911205992"/>
    <n v="808911"/>
    <s v="MONIKA SANITARY &amp; HARDWARE AND"/>
    <n v="205992"/>
    <s v="SISPURIA BUILDING MATERIAL"/>
    <n v="0"/>
    <n v="0"/>
    <n v="10"/>
    <n v="0"/>
    <n v="0"/>
    <n v="0"/>
    <n v="0"/>
    <n v="10"/>
    <n v="1.4285714285714286"/>
    <x v="1"/>
    <x v="32"/>
    <x v="11"/>
    <x v="2"/>
  </r>
  <r>
    <s v="814107205992"/>
    <n v="814107"/>
    <s v="ASHOK BRIJLAL JAIN"/>
    <n v="205992"/>
    <s v="SISPURIA BUILDING MATERIAL"/>
    <n v="39"/>
    <n v="51"/>
    <n v="145.5"/>
    <n v="128.5"/>
    <n v="106.65"/>
    <n v="57.45"/>
    <n v="83.5"/>
    <n v="611.6"/>
    <n v="87.371428571428581"/>
    <x v="3"/>
    <x v="32"/>
    <x v="11"/>
    <x v="2"/>
  </r>
  <r>
    <s v="814641205992"/>
    <n v="814641"/>
    <s v="DINESH KUMAR AND BROTHERS"/>
    <n v="205992"/>
    <s v="SISPURIA BUILDING MATERIAL"/>
    <n v="39.450000000000003"/>
    <n v="53"/>
    <n v="99.5"/>
    <n v="67.5"/>
    <n v="35"/>
    <n v="10"/>
    <n v="0"/>
    <n v="304.45"/>
    <n v="43.49285714285714"/>
    <x v="5"/>
    <x v="32"/>
    <x v="11"/>
    <x v="2"/>
  </r>
  <r>
    <s v="814916205992"/>
    <n v="814916"/>
    <s v="AMBIKA KIRANA STORE AND BUILDI"/>
    <n v="205992"/>
    <s v="SISPURIA BUILDING MATERIAL"/>
    <n v="0"/>
    <n v="0"/>
    <n v="0"/>
    <n v="0"/>
    <n v="22.5"/>
    <n v="0"/>
    <n v="0"/>
    <n v="22.5"/>
    <n v="3.2142857142857144"/>
    <x v="1"/>
    <x v="32"/>
    <x v="11"/>
    <x v="2"/>
  </r>
  <r>
    <s v="815471205992"/>
    <n v="815471"/>
    <s v="LAXMI CONSTRUCTION"/>
    <n v="205992"/>
    <s v="SISPURIA BUILDING MATERIAL"/>
    <n v="0"/>
    <n v="0"/>
    <n v="0"/>
    <n v="57.5"/>
    <n v="70"/>
    <n v="30"/>
    <n v="20"/>
    <n v="177.5"/>
    <n v="25.357142857142858"/>
    <x v="0"/>
    <x v="32"/>
    <x v="11"/>
    <x v="2"/>
  </r>
  <r>
    <s v="814224206073"/>
    <n v="814224"/>
    <s v="FATEH SINGH RAJPUT"/>
    <n v="206073"/>
    <s v="SHREE TIRUPATI BALAJI BUILDING"/>
    <n v="75"/>
    <n v="20"/>
    <n v="65"/>
    <n v="55"/>
    <n v="20"/>
    <n v="50"/>
    <n v="0"/>
    <n v="285"/>
    <n v="40.714285714285715"/>
    <x v="5"/>
    <x v="32"/>
    <x v="11"/>
    <x v="2"/>
  </r>
  <r>
    <s v="814766206073"/>
    <n v="814766"/>
    <s v="VIJAY SEN"/>
    <n v="206073"/>
    <s v="SHREE TIRUPATI BALAJI BUILDING"/>
    <n v="70"/>
    <n v="30"/>
    <n v="85"/>
    <n v="90"/>
    <n v="137.5"/>
    <n v="116"/>
    <n v="68.599999999999994"/>
    <n v="597.1"/>
    <n v="85.3"/>
    <x v="3"/>
    <x v="32"/>
    <x v="11"/>
    <x v="2"/>
  </r>
  <r>
    <s v="815278206073"/>
    <n v="815278"/>
    <s v="SHYAM STONE AND CEMENT SUPPLIE"/>
    <n v="206073"/>
    <s v="SHREE TIRUPATI BALAJI BUILDING"/>
    <n v="0"/>
    <n v="0"/>
    <n v="0"/>
    <n v="0"/>
    <n v="50"/>
    <n v="20"/>
    <n v="10"/>
    <n v="80"/>
    <n v="11.428571428571429"/>
    <x v="2"/>
    <x v="32"/>
    <x v="11"/>
    <x v="2"/>
  </r>
  <r>
    <s v="815470206073"/>
    <n v="815470"/>
    <s v="KULDEVI TRADERS"/>
    <n v="206073"/>
    <s v="SHREE TIRUPATI BALAJI BUILDING"/>
    <n v="0"/>
    <n v="0"/>
    <n v="0"/>
    <n v="35"/>
    <n v="10"/>
    <n v="27.5"/>
    <n v="40"/>
    <n v="112.5"/>
    <n v="16.071428571428573"/>
    <x v="2"/>
    <x v="32"/>
    <x v="11"/>
    <x v="2"/>
  </r>
  <r>
    <s v="815469208776"/>
    <n v="815469"/>
    <s v="MAHIMA CONSTRUCTION"/>
    <n v="208776"/>
    <s v="ABHIS BUILDTECH"/>
    <n v="0"/>
    <n v="0"/>
    <n v="0"/>
    <n v="20"/>
    <n v="0"/>
    <n v="0"/>
    <n v="0"/>
    <n v="20"/>
    <n v="2.8571428571428572"/>
    <x v="1"/>
    <x v="32"/>
    <x v="11"/>
    <x v="2"/>
  </r>
  <r>
    <s v="815817208776"/>
    <n v="815817"/>
    <s v="BAYA CEMENT SUPPLIERS"/>
    <n v="208776"/>
    <s v="ABHIS BUILDTECH"/>
    <n v="0"/>
    <n v="0"/>
    <n v="0"/>
    <n v="0"/>
    <n v="52.5"/>
    <n v="40"/>
    <n v="5"/>
    <n v="97.5"/>
    <n v="13.928571428571429"/>
    <x v="2"/>
    <x v="32"/>
    <x v="11"/>
    <x v="2"/>
  </r>
  <r>
    <s v="815818208776"/>
    <n v="815818"/>
    <s v="DRISHTI ENTERPRISES"/>
    <n v="208776"/>
    <s v="ABHIS BUILDTECH"/>
    <n v="0"/>
    <n v="0"/>
    <n v="0"/>
    <n v="0"/>
    <n v="122.5"/>
    <n v="87.5"/>
    <n v="21"/>
    <n v="231"/>
    <n v="33"/>
    <x v="4"/>
    <x v="32"/>
    <x v="11"/>
    <x v="2"/>
  </r>
  <r>
    <s v="815840208776"/>
    <n v="815840"/>
    <s v="GUJARAT IRON STORE"/>
    <n v="208776"/>
    <s v="ABHIS BUILDTECH"/>
    <n v="0"/>
    <n v="0"/>
    <n v="0"/>
    <n v="0"/>
    <n v="142.5"/>
    <n v="187.5"/>
    <n v="126.25"/>
    <n v="456.25"/>
    <n v="65.178571428571431"/>
    <x v="3"/>
    <x v="32"/>
    <x v="11"/>
    <x v="2"/>
  </r>
  <r>
    <s v="815907208776"/>
    <n v="815907"/>
    <s v="SAINATH TRADERS"/>
    <n v="208776"/>
    <s v="ABHIS BUILDTECH"/>
    <n v="0"/>
    <n v="0"/>
    <n v="0"/>
    <n v="0"/>
    <n v="32.5"/>
    <n v="52.5"/>
    <n v="15"/>
    <n v="100"/>
    <n v="14.285714285714286"/>
    <x v="2"/>
    <x v="32"/>
    <x v="11"/>
    <x v="2"/>
  </r>
  <r>
    <s v="808084209796"/>
    <n v="808084"/>
    <s v="LAXMI BUILDING MATERIAL"/>
    <n v="209796"/>
    <s v="SHAKTAWAT BUILDING MATERIAL"/>
    <n v="0"/>
    <n v="0"/>
    <n v="0"/>
    <n v="0"/>
    <n v="0"/>
    <n v="50"/>
    <n v="67.5"/>
    <n v="117.5"/>
    <n v="16.785714285714285"/>
    <x v="2"/>
    <x v="32"/>
    <x v="11"/>
    <x v="2"/>
  </r>
  <r>
    <s v="806972147364"/>
    <n v="806972"/>
    <s v="ROYAL BUILDING MATERIAL"/>
    <n v="147364"/>
    <s v="RAJASTHAN ROYAL BUILDHOME SOLU"/>
    <n v="0"/>
    <n v="0"/>
    <n v="0"/>
    <n v="0"/>
    <n v="0"/>
    <n v="30"/>
    <n v="0"/>
    <n v="30"/>
    <n v="4.2857142857142856"/>
    <x v="1"/>
    <x v="32"/>
    <x v="11"/>
    <x v="2"/>
  </r>
  <r>
    <s v="804132179560"/>
    <n v="804132"/>
    <s v="SURBHI SANITATION"/>
    <n v="179560"/>
    <s v="TIRUPATI TRADING COMPANY"/>
    <n v="0"/>
    <n v="0"/>
    <n v="0"/>
    <n v="0"/>
    <n v="0"/>
    <n v="0"/>
    <n v="10"/>
    <n v="10"/>
    <n v="1.4285714285714286"/>
    <x v="1"/>
    <x v="32"/>
    <x v="11"/>
    <x v="2"/>
  </r>
  <r>
    <s v="807016140967"/>
    <n v="807016"/>
    <s v="MATESHWARI BUILDING MATERIAL S"/>
    <n v="140967"/>
    <s v="B.L.JAIN &amp; SONS"/>
    <n v="0"/>
    <n v="0"/>
    <n v="0"/>
    <n v="0"/>
    <n v="0"/>
    <n v="0"/>
    <n v="18"/>
    <n v="18"/>
    <n v="2.5714285714285716"/>
    <x v="1"/>
    <x v="32"/>
    <x v="11"/>
    <x v="2"/>
  </r>
  <r>
    <s v="808163140967"/>
    <n v="808163"/>
    <s v="VIJAY LAXMI BUILDING MATERIAL"/>
    <n v="140967"/>
    <s v="B.L.JAIN &amp; SONS"/>
    <n v="0"/>
    <n v="0"/>
    <n v="0"/>
    <n v="0"/>
    <n v="0"/>
    <n v="0"/>
    <n v="20"/>
    <n v="20"/>
    <n v="2.8571428571428572"/>
    <x v="1"/>
    <x v="32"/>
    <x v="11"/>
    <x v="2"/>
  </r>
  <r>
    <s v="816140140856"/>
    <n v="816140"/>
    <s v="SHREE KALYAN BUILDING MATERIAL"/>
    <n v="140856"/>
    <s v="TIRUPATI BUILDING MATERIAL SUP"/>
    <n v="0"/>
    <n v="0"/>
    <n v="0"/>
    <n v="0"/>
    <n v="0"/>
    <n v="0"/>
    <n v="10"/>
    <n v="10"/>
    <n v="1.4285714285714286"/>
    <x v="1"/>
    <x v="32"/>
    <x v="11"/>
    <x v="2"/>
  </r>
  <r>
    <s v="816736209796"/>
    <n v="816736"/>
    <s v="PRAVITRA BUILDING MATERIAL SUP"/>
    <n v="209796"/>
    <s v="SHAKTAWAT BUILDING MATERIAL"/>
    <n v="0"/>
    <n v="0"/>
    <n v="0"/>
    <n v="0"/>
    <n v="0"/>
    <n v="0"/>
    <n v="33.5"/>
    <n v="33.5"/>
    <n v="4.7857142857142856"/>
    <x v="1"/>
    <x v="32"/>
    <x v="1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66">
  <r>
    <x v="0"/>
    <n v="801582"/>
    <s v="KRISHNA CEMENT SUPPLIERS"/>
    <n v="119028"/>
    <s v="KANHAYALAL &amp; SONS"/>
    <n v="31"/>
    <n v="62"/>
    <n v="62"/>
    <n v="83"/>
    <n v="108"/>
    <n v="62"/>
    <n v="388"/>
    <n v="124"/>
    <n v="158"/>
    <n v="31"/>
    <n v="103"/>
    <n v="62"/>
    <n v="1274"/>
  </r>
  <r>
    <x v="1"/>
    <n v="801583"/>
    <s v="GAUTAM CEMENT AGENCIES"/>
    <n v="119044"/>
    <s v="PANWAR TRADING CORPORATION LTD"/>
    <n v="70"/>
    <n v="0"/>
    <n v="179"/>
    <n v="65"/>
    <n v="2.5"/>
    <n v="0"/>
    <n v="0"/>
    <n v="0"/>
    <n v="65"/>
    <n v="42"/>
    <n v="60"/>
    <n v="120"/>
    <n v="603.5"/>
  </r>
  <r>
    <x v="2"/>
    <n v="801588"/>
    <s v="AGARWAL CEMENT AGENCY"/>
    <n v="119047"/>
    <s v="BANSAL TRADING COMPANY"/>
    <n v="194"/>
    <n v="174.5"/>
    <n v="221.5"/>
    <n v="175.3"/>
    <n v="187"/>
    <n v="139"/>
    <n v="127"/>
    <n v="121"/>
    <n v="102.5"/>
    <n v="156"/>
    <n v="144"/>
    <n v="149"/>
    <n v="1890.8"/>
  </r>
  <r>
    <x v="3"/>
    <n v="801589"/>
    <s v="MAA BHAGWATI TRADERS"/>
    <n v="119047"/>
    <s v="BANSAL TRADING COMPANY"/>
    <n v="41.5"/>
    <n v="20"/>
    <n v="35"/>
    <n v="21.5"/>
    <n v="27"/>
    <n v="20"/>
    <n v="77"/>
    <n v="0"/>
    <n v="0"/>
    <n v="33"/>
    <n v="40"/>
    <n v="42"/>
    <n v="357"/>
  </r>
  <r>
    <x v="4"/>
    <n v="801590"/>
    <s v="MANGAL BUILDING MATERIAL STORE"/>
    <n v="119047"/>
    <s v="BANSAL TRADING COMPANY"/>
    <n v="41.5"/>
    <n v="41.5"/>
    <n v="99.5"/>
    <n v="72"/>
    <n v="20"/>
    <n v="42"/>
    <n v="64"/>
    <n v="47"/>
    <n v="30"/>
    <n v="71"/>
    <n v="74"/>
    <n v="47.5"/>
    <n v="650"/>
  </r>
  <r>
    <x v="5"/>
    <n v="801627"/>
    <s v="SHREE GOPAL TRADING CO"/>
    <n v="202865"/>
    <s v="DEEPAK TRADERS"/>
    <n v="84"/>
    <n v="131"/>
    <n v="110"/>
    <n v="86.5"/>
    <n v="83"/>
    <n v="84"/>
    <n v="22"/>
    <n v="41"/>
    <n v="104.5"/>
    <n v="0"/>
    <n v="42"/>
    <n v="42"/>
    <n v="830"/>
  </r>
  <r>
    <x v="6"/>
    <n v="801716"/>
    <s v="RIDHI SIDHI TRADERS"/>
    <n v="119261"/>
    <s v="DURGESH ENTERPRISES"/>
    <n v="50"/>
    <n v="50"/>
    <n v="31"/>
    <n v="83"/>
    <n v="21"/>
    <n v="1"/>
    <n v="146"/>
    <n v="201"/>
    <n v="100"/>
    <n v="105.75"/>
    <n v="118"/>
    <n v="150"/>
    <n v="1056.75"/>
  </r>
  <r>
    <x v="7"/>
    <n v="801727"/>
    <s v="RAMESH KUMAR DHAN RAJ JI"/>
    <n v="170904"/>
    <s v="ASHAPURA CEMENT SALES"/>
    <n v="0"/>
    <n v="0"/>
    <n v="0"/>
    <n v="0"/>
    <n v="0"/>
    <n v="5"/>
    <n v="0"/>
    <n v="0"/>
    <n v="0"/>
    <n v="0"/>
    <n v="0"/>
    <n v="0"/>
    <n v="5"/>
  </r>
  <r>
    <x v="8"/>
    <n v="801729"/>
    <s v="AGARWAL BUILDING MATERIAL SUPP"/>
    <n v="119261"/>
    <s v="DURGESH ENTERPRISES"/>
    <n v="30"/>
    <n v="0"/>
    <n v="50"/>
    <n v="22"/>
    <n v="50"/>
    <n v="0"/>
    <n v="0"/>
    <n v="50"/>
    <n v="21"/>
    <n v="0"/>
    <n v="0"/>
    <n v="0"/>
    <n v="223"/>
  </r>
  <r>
    <x v="9"/>
    <n v="801757"/>
    <s v="LAXMI PATHAR GODAM"/>
    <n v="140967"/>
    <s v="B.L.JAIN &amp; SONS"/>
    <n v="0"/>
    <n v="0"/>
    <n v="0"/>
    <n v="0"/>
    <n v="0"/>
    <n v="144.5"/>
    <n v="120.5"/>
    <n v="25"/>
    <n v="25"/>
    <n v="45"/>
    <n v="0"/>
    <n v="50.5"/>
    <n v="410.5"/>
  </r>
  <r>
    <x v="10"/>
    <n v="801764"/>
    <s v="NIHAL CHAND SRISRIMAL"/>
    <n v="170692"/>
    <s v="JAIN TRADERS"/>
    <n v="66"/>
    <n v="97.5"/>
    <n v="80"/>
    <n v="65.5"/>
    <n v="48.65"/>
    <n v="43"/>
    <n v="30"/>
    <n v="13.15"/>
    <n v="37.5"/>
    <n v="88.5"/>
    <n v="73.75"/>
    <n v="111.75"/>
    <n v="755.3"/>
  </r>
  <r>
    <x v="11"/>
    <n v="801766"/>
    <s v="SURENDRA TRADERS"/>
    <n v="119028"/>
    <s v="KANHAYALAL &amp; SONS"/>
    <n v="31"/>
    <n v="0"/>
    <n v="155"/>
    <n v="93"/>
    <n v="47"/>
    <n v="0"/>
    <n v="0"/>
    <n v="0"/>
    <n v="36"/>
    <n v="47"/>
    <n v="25"/>
    <n v="0"/>
    <n v="434"/>
  </r>
  <r>
    <x v="12"/>
    <n v="801796"/>
    <s v="AL MANSOOR TRADERS"/>
    <n v="119066"/>
    <s v="RAJENDRA KUMAR RATAN LAL JAIN"/>
    <n v="0"/>
    <n v="0"/>
    <n v="50"/>
    <n v="0"/>
    <n v="17"/>
    <n v="0"/>
    <n v="20"/>
    <n v="0"/>
    <n v="0"/>
    <n v="27"/>
    <n v="50"/>
    <n v="0"/>
    <n v="164"/>
  </r>
  <r>
    <x v="13"/>
    <n v="801800"/>
    <s v="ANOP SINGH GAUTAM SINGH"/>
    <n v="119026"/>
    <s v="FRIENDS SUPPLIERS CO.(L"/>
    <n v="35"/>
    <n v="50"/>
    <n v="35"/>
    <n v="82.5"/>
    <n v="22.5"/>
    <n v="20"/>
    <n v="89.5"/>
    <n v="15"/>
    <n v="40"/>
    <n v="60"/>
    <n v="100"/>
    <n v="80"/>
    <n v="629.5"/>
  </r>
  <r>
    <x v="14"/>
    <n v="801837"/>
    <s v="GANESH KUMAR UPADDAYA"/>
    <n v="119154"/>
    <s v="SHRI GANPATI ENTERPRISES"/>
    <n v="20"/>
    <n v="60"/>
    <n v="25"/>
    <n v="35"/>
    <n v="2.5"/>
    <n v="0"/>
    <n v="0"/>
    <n v="0"/>
    <n v="0"/>
    <n v="0"/>
    <n v="45"/>
    <n v="125"/>
    <n v="312.5"/>
  </r>
  <r>
    <x v="15"/>
    <n v="801838"/>
    <s v="OM PRAKASH SHARMA"/>
    <n v="119154"/>
    <s v="SHRI GANPATI ENTERPRISES"/>
    <n v="130"/>
    <n v="50"/>
    <n v="140"/>
    <n v="135"/>
    <n v="17.5"/>
    <n v="180"/>
    <n v="121.5"/>
    <n v="25"/>
    <n v="240"/>
    <n v="252"/>
    <n v="160"/>
    <n v="302"/>
    <n v="1753"/>
  </r>
  <r>
    <x v="16"/>
    <n v="801867"/>
    <s v="KRISHNA ENTERPRISES"/>
    <n v="119042"/>
    <s v="SARAS ENTERPRISES"/>
    <n v="30"/>
    <n v="10"/>
    <n v="39"/>
    <n v="10"/>
    <n v="25"/>
    <n v="20"/>
    <n v="0"/>
    <n v="10"/>
    <n v="10"/>
    <n v="0"/>
    <n v="0"/>
    <n v="0"/>
    <n v="154"/>
  </r>
  <r>
    <x v="17"/>
    <n v="801868"/>
    <s v="SURAJ TRADERS"/>
    <n v="119042"/>
    <s v="SARAS ENTERPRISES"/>
    <n v="30"/>
    <n v="25"/>
    <n v="30"/>
    <n v="45"/>
    <n v="40"/>
    <n v="47.5"/>
    <n v="35"/>
    <n v="15"/>
    <n v="29.5"/>
    <n v="42.5"/>
    <n v="30"/>
    <n v="37.5"/>
    <n v="407"/>
  </r>
  <r>
    <x v="18"/>
    <n v="801869"/>
    <s v="LALCHAND PRAJAPATI MATERIALS S"/>
    <n v="119042"/>
    <s v="SARAS ENTERPRISES"/>
    <n v="50"/>
    <n v="37"/>
    <n v="55"/>
    <n v="45"/>
    <n v="50"/>
    <n v="50"/>
    <n v="35"/>
    <n v="30"/>
    <n v="35"/>
    <n v="42.5"/>
    <n v="37.5"/>
    <n v="0"/>
    <n v="467"/>
  </r>
  <r>
    <x v="19"/>
    <n v="801871"/>
    <s v="PUJA CEMENT SUPPLIERS"/>
    <n v="119042"/>
    <s v="SARAS ENTERPRISES"/>
    <n v="0"/>
    <n v="0"/>
    <n v="0"/>
    <n v="15"/>
    <n v="25"/>
    <n v="20"/>
    <n v="10"/>
    <n v="5"/>
    <n v="0"/>
    <n v="0"/>
    <n v="0"/>
    <n v="12.5"/>
    <n v="87.5"/>
  </r>
  <r>
    <x v="20"/>
    <n v="801876"/>
    <s v="BHAIRAV BUILDING MATERIAL SUPP"/>
    <n v="119261"/>
    <s v="DURGESH ENTERPRISES"/>
    <n v="51"/>
    <n v="0"/>
    <n v="30"/>
    <n v="22"/>
    <n v="10"/>
    <n v="0"/>
    <n v="51"/>
    <n v="20"/>
    <n v="0"/>
    <n v="50"/>
    <n v="0"/>
    <n v="0"/>
    <n v="234"/>
  </r>
  <r>
    <x v="21"/>
    <n v="801878"/>
    <s v="CHAMUNDA CEMENT AGENCY"/>
    <n v="176773"/>
    <s v="MANIK CHAND LAKHMI CHAND"/>
    <n v="70.5"/>
    <n v="147.05000000000001"/>
    <n v="136.5"/>
    <n v="107.2"/>
    <n v="84"/>
    <n v="50.25"/>
    <n v="50.85"/>
    <n v="45.15"/>
    <n v="107.5"/>
    <n v="137.5"/>
    <n v="103.55"/>
    <n v="65"/>
    <n v="1105.05"/>
  </r>
  <r>
    <x v="22"/>
    <n v="801881"/>
    <s v="DEVKRIPA CEMENT SUPPLIER'S"/>
    <n v="119028"/>
    <s v="KANHAYALAL &amp; SONS"/>
    <n v="149"/>
    <n v="186"/>
    <n v="155"/>
    <n v="165"/>
    <n v="224.5"/>
    <n v="266.5"/>
    <n v="372"/>
    <n v="93"/>
    <n v="103"/>
    <n v="155"/>
    <n v="136.5"/>
    <n v="496"/>
    <n v="2501.5"/>
  </r>
  <r>
    <x v="23"/>
    <n v="801883"/>
    <s v="SHRI RAM TRADERS"/>
    <n v="176773"/>
    <s v="MANIK CHAND LAKHMI CHAND"/>
    <n v="90"/>
    <n v="216.5"/>
    <n v="246.5"/>
    <n v="366.5"/>
    <n v="328.25"/>
    <n v="146.25"/>
    <n v="233.1"/>
    <n v="120.15"/>
    <n v="367.85"/>
    <n v="350.9"/>
    <n v="226.05"/>
    <n v="241.75"/>
    <n v="2933.8"/>
  </r>
  <r>
    <x v="24"/>
    <n v="801915"/>
    <s v="MADINA BUILDERS"/>
    <n v="119044"/>
    <s v="PANWAR TRADING CORPORATION LTD"/>
    <n v="65"/>
    <n v="50"/>
    <n v="70"/>
    <n v="100"/>
    <n v="35"/>
    <n v="0"/>
    <n v="35"/>
    <n v="0"/>
    <n v="70"/>
    <n v="0"/>
    <n v="50"/>
    <n v="30"/>
    <n v="505"/>
  </r>
  <r>
    <x v="25"/>
    <n v="801916"/>
    <s v="SHREE RAM KIRANA STORE"/>
    <n v="119050"/>
    <s v="RAJASTHAN CEMENT CORPORATION"/>
    <n v="20"/>
    <n v="0"/>
    <n v="10"/>
    <n v="0"/>
    <n v="0"/>
    <n v="22.5"/>
    <n v="5"/>
    <n v="5"/>
    <n v="0"/>
    <n v="0"/>
    <n v="15"/>
    <n v="0"/>
    <n v="77.5"/>
  </r>
  <r>
    <x v="26"/>
    <n v="801918"/>
    <s v="MOHIRAJ BUILDING MATERIALS"/>
    <n v="178764"/>
    <s v="PERFECT TRADERS"/>
    <n v="0"/>
    <n v="70"/>
    <n v="55"/>
    <n v="30"/>
    <n v="65"/>
    <n v="40"/>
    <n v="40"/>
    <n v="45"/>
    <n v="35"/>
    <n v="45"/>
    <n v="70"/>
    <n v="110.5"/>
    <n v="605.5"/>
  </r>
  <r>
    <x v="27"/>
    <n v="801920"/>
    <s v="DATAR TRADING CO"/>
    <n v="119028"/>
    <s v="KANHAYALAL &amp; SONS"/>
    <n v="0"/>
    <n v="0"/>
    <n v="62"/>
    <n v="41"/>
    <n v="31"/>
    <n v="0"/>
    <n v="0"/>
    <n v="0"/>
    <n v="16"/>
    <n v="0"/>
    <n v="0"/>
    <n v="0"/>
    <n v="150"/>
  </r>
  <r>
    <x v="28"/>
    <n v="801965"/>
    <s v="AGARWAL AGENCIES"/>
    <n v="119261"/>
    <s v="DURGESH ENTERPRISES"/>
    <n v="0"/>
    <n v="0"/>
    <n v="0"/>
    <n v="50.75"/>
    <n v="52.5"/>
    <n v="21"/>
    <n v="20"/>
    <n v="0"/>
    <n v="52"/>
    <n v="50"/>
    <n v="0"/>
    <n v="30"/>
    <n v="276.25"/>
  </r>
  <r>
    <x v="29"/>
    <n v="801966"/>
    <s v="TANWAR TRADING CO"/>
    <n v="119261"/>
    <s v="DURGESH ENTERPRISES"/>
    <n v="0"/>
    <n v="0"/>
    <n v="0"/>
    <n v="20"/>
    <n v="12"/>
    <n v="20.5"/>
    <n v="30"/>
    <n v="30"/>
    <n v="21"/>
    <n v="0"/>
    <n v="0"/>
    <n v="0"/>
    <n v="133.5"/>
  </r>
  <r>
    <x v="30"/>
    <n v="801967"/>
    <s v="SHIV TRADERS"/>
    <n v="119261"/>
    <s v="DURGESH ENTERPRISES"/>
    <n v="0"/>
    <n v="0"/>
    <n v="0"/>
    <n v="32"/>
    <n v="20.5"/>
    <n v="0"/>
    <n v="20"/>
    <n v="10"/>
    <n v="13.5"/>
    <n v="0"/>
    <n v="20"/>
    <n v="0"/>
    <n v="116"/>
  </r>
  <r>
    <x v="31"/>
    <n v="801999"/>
    <s v="MAHENDRA TRADERS"/>
    <n v="176773"/>
    <s v="MANIK CHAND LAKHMI CHAND"/>
    <n v="138"/>
    <n v="204.5"/>
    <n v="199.05"/>
    <n v="241.1"/>
    <n v="179.5"/>
    <n v="129.15"/>
    <n v="165.65"/>
    <n v="94.5"/>
    <n v="156"/>
    <n v="175.35"/>
    <n v="76.75"/>
    <n v="143.25"/>
    <n v="1902.8"/>
  </r>
  <r>
    <x v="32"/>
    <n v="802012"/>
    <s v="RADHEY CEMENT SUPPLILERS"/>
    <n v="119028"/>
    <s v="KANHAYALAL &amp; SONS"/>
    <n v="0"/>
    <n v="0"/>
    <n v="0"/>
    <n v="0"/>
    <n v="0"/>
    <n v="31"/>
    <n v="0"/>
    <n v="16"/>
    <n v="8"/>
    <n v="0"/>
    <n v="15"/>
    <n v="0"/>
    <n v="70"/>
  </r>
  <r>
    <x v="33"/>
    <n v="802044"/>
    <s v="PAWAN SALES AGENCIES"/>
    <n v="176773"/>
    <s v="MANIK CHAND LAKHMI CHAND"/>
    <n v="50"/>
    <n v="80"/>
    <n v="91.5"/>
    <n v="78"/>
    <n v="42.5"/>
    <n v="25"/>
    <n v="72.5"/>
    <n v="20"/>
    <n v="90.5"/>
    <n v="60"/>
    <n v="60"/>
    <n v="80"/>
    <n v="750"/>
  </r>
  <r>
    <x v="34"/>
    <n v="802068"/>
    <s v="JAI BAJRANG PAD STORE"/>
    <n v="141556"/>
    <s v="GYANI BUILDING MATERIALS"/>
    <n v="35"/>
    <n v="40"/>
    <n v="32"/>
    <n v="33"/>
    <n v="15"/>
    <n v="30"/>
    <n v="10"/>
    <n v="5"/>
    <n v="21.5"/>
    <n v="25"/>
    <n v="15"/>
    <n v="15"/>
    <n v="276.5"/>
  </r>
  <r>
    <x v="35"/>
    <n v="802073"/>
    <s v="ABHISHEK CHODHARY &amp; COMPANY"/>
    <n v="119261"/>
    <s v="DURGESH ENTERPRISES"/>
    <n v="30"/>
    <n v="0"/>
    <n v="30"/>
    <n v="22"/>
    <n v="0"/>
    <n v="13.95"/>
    <n v="20"/>
    <n v="20"/>
    <n v="13.5"/>
    <n v="0"/>
    <n v="0"/>
    <n v="0"/>
    <n v="149.44999999999999"/>
  </r>
  <r>
    <x v="36"/>
    <n v="802088"/>
    <s v="RISHABH TRADERS"/>
    <n v="170248"/>
    <s v="MAHAVEER ENTERPRISES"/>
    <n v="10"/>
    <n v="0"/>
    <n v="10"/>
    <n v="10"/>
    <n v="22"/>
    <n v="22.5"/>
    <n v="0"/>
    <n v="0"/>
    <n v="16.95"/>
    <n v="7"/>
    <n v="0"/>
    <n v="0"/>
    <n v="98.45"/>
  </r>
  <r>
    <x v="37"/>
    <n v="802089"/>
    <s v="RAKESH AGENCIES"/>
    <n v="176773"/>
    <s v="MANIK CHAND LAKHMI CHAND"/>
    <n v="103.9"/>
    <n v="122.5"/>
    <n v="103.5"/>
    <n v="120"/>
    <n v="135"/>
    <n v="111.55"/>
    <n v="131.5"/>
    <n v="88"/>
    <n v="200.65"/>
    <n v="185.75"/>
    <n v="190"/>
    <n v="236.65"/>
    <n v="1729"/>
  </r>
  <r>
    <x v="38"/>
    <n v="802094"/>
    <s v="HANUMAN TRADERS"/>
    <n v="122282"/>
    <s v="PIPARA SALES"/>
    <n v="25.5"/>
    <n v="30"/>
    <n v="40"/>
    <n v="41"/>
    <n v="35"/>
    <n v="16"/>
    <n v="33"/>
    <n v="18"/>
    <n v="21"/>
    <n v="25"/>
    <n v="38"/>
    <n v="79"/>
    <n v="401.5"/>
  </r>
  <r>
    <x v="39"/>
    <n v="802095"/>
    <s v="MAWADA TRADERS"/>
    <n v="122282"/>
    <s v="PIPARA SALES"/>
    <n v="30"/>
    <n v="40"/>
    <n v="48"/>
    <n v="41"/>
    <n v="36"/>
    <n v="8.5"/>
    <n v="36.75"/>
    <n v="23"/>
    <n v="46"/>
    <n v="66"/>
    <n v="47"/>
    <n v="66"/>
    <n v="488.25"/>
  </r>
  <r>
    <x v="40"/>
    <n v="802100"/>
    <s v="RAWAT CEMENT SUPPLIERS"/>
    <n v="122282"/>
    <s v="PIPARA SALES"/>
    <n v="23"/>
    <n v="25"/>
    <n v="10"/>
    <n v="37"/>
    <n v="25.5"/>
    <n v="8.5"/>
    <n v="27"/>
    <n v="15"/>
    <n v="24"/>
    <n v="27"/>
    <n v="19"/>
    <n v="26"/>
    <n v="267"/>
  </r>
  <r>
    <x v="41"/>
    <n v="802105"/>
    <s v="GOYAL CONTRACTER &amp; SUPPLIARS"/>
    <n v="209002"/>
    <s v="GUPTA CEMENT AGENCY"/>
    <n v="0"/>
    <n v="0"/>
    <n v="0"/>
    <n v="0"/>
    <n v="30"/>
    <n v="105"/>
    <n v="65"/>
    <n v="22.5"/>
    <n v="60"/>
    <n v="79.5"/>
    <n v="105"/>
    <n v="193.3"/>
    <n v="660.3"/>
  </r>
  <r>
    <x v="42"/>
    <n v="802117"/>
    <s v="GAYTRI TRADING COMPANY"/>
    <n v="176773"/>
    <s v="MANIK CHAND LAKHMI CHAND"/>
    <n v="165"/>
    <n v="215"/>
    <n v="225"/>
    <n v="277"/>
    <n v="208.5"/>
    <n v="175"/>
    <n v="197.5"/>
    <n v="137.5"/>
    <n v="319.64999999999998"/>
    <n v="254.15"/>
    <n v="259.55"/>
    <n v="334"/>
    <n v="2767.8500000000004"/>
  </r>
  <r>
    <x v="43"/>
    <n v="802147"/>
    <s v="BHERUNATH  CEMENT AGENCY"/>
    <n v="141115"/>
    <s v="KALPESH CEMENT AGENCY"/>
    <n v="54.5"/>
    <n v="40"/>
    <n v="50"/>
    <n v="10"/>
    <n v="23.5"/>
    <n v="3"/>
    <n v="56"/>
    <n v="0"/>
    <n v="110"/>
    <n v="70"/>
    <n v="35"/>
    <n v="146.80000000000001"/>
    <n v="598.79999999999995"/>
  </r>
  <r>
    <x v="44"/>
    <n v="802148"/>
    <s v="SHREEYA DEVI CEMENT SUPPLIERS"/>
    <n v="141115"/>
    <s v="KALPESH CEMENT AGENCY"/>
    <n v="115"/>
    <n v="147.6"/>
    <n v="139.25"/>
    <n v="123.75"/>
    <n v="100"/>
    <n v="106.75"/>
    <n v="55"/>
    <n v="105"/>
    <n v="99"/>
    <n v="76"/>
    <n v="141"/>
    <n v="50"/>
    <n v="1258.3499999999999"/>
  </r>
  <r>
    <x v="45"/>
    <n v="802149"/>
    <s v="PARINARY SANATRY AND COLOUR"/>
    <n v="119050"/>
    <s v="RAJASTHAN CEMENT CORPORATION"/>
    <n v="42.5"/>
    <n v="15"/>
    <n v="47"/>
    <n v="67.5"/>
    <n v="67"/>
    <n v="37"/>
    <n v="90.5"/>
    <n v="103.5"/>
    <n v="47.5"/>
    <n v="55"/>
    <n v="25"/>
    <n v="75"/>
    <n v="672.5"/>
  </r>
  <r>
    <x v="46"/>
    <n v="802151"/>
    <s v="AMUL KUMAR ISHWAR LAL"/>
    <n v="121706"/>
    <s v="ANKIT TRADERS"/>
    <n v="70"/>
    <n v="98"/>
    <n v="268"/>
    <n v="275"/>
    <n v="369"/>
    <n v="277"/>
    <n v="282"/>
    <n v="213"/>
    <n v="339"/>
    <n v="265"/>
    <n v="320"/>
    <n v="212"/>
    <n v="2988"/>
  </r>
  <r>
    <x v="47"/>
    <n v="802156"/>
    <s v="MANGAL TRADERS"/>
    <n v="211138"/>
    <s v="LAXMIKANT BUILDING MATERIAL"/>
    <n v="0"/>
    <n v="0"/>
    <n v="0"/>
    <n v="0"/>
    <n v="0"/>
    <n v="0"/>
    <n v="0"/>
    <n v="0"/>
    <n v="0"/>
    <n v="105"/>
    <n v="0"/>
    <n v="105"/>
    <n v="210"/>
  </r>
  <r>
    <x v="48"/>
    <n v="802161"/>
    <s v="KISAN BUILDING MATERIAL"/>
    <n v="170248"/>
    <s v="MAHAVEER ENTERPRISES"/>
    <n v="15"/>
    <n v="18.5"/>
    <n v="20"/>
    <n v="25"/>
    <n v="48.5"/>
    <n v="27.5"/>
    <n v="35.25"/>
    <n v="28.5"/>
    <n v="25.5"/>
    <n v="20"/>
    <n v="17.75"/>
    <n v="10"/>
    <n v="291.5"/>
  </r>
  <r>
    <x v="49"/>
    <n v="802164"/>
    <s v="SHYORAM MALI"/>
    <n v="119208"/>
    <s v="SURAJMAL TANSUKH RAI"/>
    <n v="95"/>
    <n v="70"/>
    <n v="114"/>
    <n v="167"/>
    <n v="0"/>
    <n v="105"/>
    <n v="0"/>
    <n v="80"/>
    <n v="35"/>
    <n v="97"/>
    <n v="0"/>
    <n v="35"/>
    <n v="798"/>
  </r>
  <r>
    <x v="50"/>
    <n v="802165"/>
    <s v="DEEPAK TRADING CO"/>
    <n v="143531"/>
    <s v="JAIN KHAD BEEJ BHANDAR"/>
    <n v="42"/>
    <n v="61.5"/>
    <n v="124.5"/>
    <n v="42"/>
    <n v="46.5"/>
    <n v="12.5"/>
    <n v="25"/>
    <n v="25"/>
    <n v="50"/>
    <n v="41.5"/>
    <n v="42"/>
    <n v="12.5"/>
    <n v="525"/>
  </r>
  <r>
    <x v="51"/>
    <n v="802196"/>
    <s v="BHERV SINGH BHATI"/>
    <n v="122282"/>
    <s v="PIPARA SALES"/>
    <n v="32.5"/>
    <n v="28"/>
    <n v="27"/>
    <n v="37"/>
    <n v="25"/>
    <n v="14.5"/>
    <n v="15"/>
    <n v="15"/>
    <n v="30"/>
    <n v="19"/>
    <n v="18"/>
    <n v="29"/>
    <n v="290"/>
  </r>
  <r>
    <x v="52"/>
    <n v="802210"/>
    <s v="ANNAPURNA CEMENT SUPPLIERS"/>
    <n v="174756"/>
    <s v="SHAH TRADERS"/>
    <n v="30"/>
    <n v="10"/>
    <n v="25"/>
    <n v="67.5"/>
    <n v="20"/>
    <n v="0"/>
    <n v="35"/>
    <n v="10"/>
    <n v="27.5"/>
    <n v="12"/>
    <n v="52.5"/>
    <n v="73"/>
    <n v="362.5"/>
  </r>
  <r>
    <x v="53"/>
    <n v="802212"/>
    <s v="DEEWANA CEMENT TRADERS"/>
    <n v="119028"/>
    <s v="KANHAYALAL &amp; SONS"/>
    <n v="10"/>
    <n v="31"/>
    <n v="62"/>
    <n v="87"/>
    <n v="33.5"/>
    <n v="31"/>
    <n v="62"/>
    <n v="0"/>
    <n v="57"/>
    <n v="31"/>
    <n v="41"/>
    <n v="0"/>
    <n v="445.5"/>
  </r>
  <r>
    <x v="54"/>
    <n v="802213"/>
    <s v="LALIT CEMENT SUPPLIERS"/>
    <n v="119026"/>
    <s v="FRIENDS SUPPLIERS CO.(L"/>
    <n v="35"/>
    <n v="10"/>
    <n v="40"/>
    <n v="32.5"/>
    <n v="0"/>
    <n v="0"/>
    <n v="30"/>
    <n v="0"/>
    <n v="0"/>
    <n v="106"/>
    <n v="25"/>
    <n v="0"/>
    <n v="278.5"/>
  </r>
  <r>
    <x v="55"/>
    <n v="802214"/>
    <s v="GEETA CEMENT SUPPLIERS"/>
    <n v="172597"/>
    <s v="SONU TRADERS"/>
    <n v="2"/>
    <n v="0"/>
    <n v="10"/>
    <n v="0"/>
    <n v="0"/>
    <n v="20"/>
    <n v="15"/>
    <n v="0"/>
    <n v="10"/>
    <n v="35"/>
    <n v="0"/>
    <n v="0"/>
    <n v="92"/>
  </r>
  <r>
    <x v="56"/>
    <n v="802265"/>
    <s v="PRIYA CEMENT &amp; SANITORY"/>
    <n v="179560"/>
    <s v="TIRUPATI TRADING COMPANY"/>
    <n v="5"/>
    <n v="0"/>
    <n v="0"/>
    <n v="0"/>
    <n v="7.5"/>
    <n v="20"/>
    <n v="15"/>
    <n v="0"/>
    <n v="15"/>
    <n v="0"/>
    <n v="0"/>
    <n v="0"/>
    <n v="62.5"/>
  </r>
  <r>
    <x v="57"/>
    <n v="802370"/>
    <s v="DATTAR CEMENT AGENCIES"/>
    <n v="141115"/>
    <s v="KALPESH CEMENT AGENCY"/>
    <n v="0"/>
    <n v="0"/>
    <n v="0"/>
    <n v="22.5"/>
    <n v="30"/>
    <n v="0"/>
    <n v="20"/>
    <n v="30"/>
    <n v="0"/>
    <n v="103.25"/>
    <n v="27"/>
    <n v="0"/>
    <n v="232.75"/>
  </r>
  <r>
    <x v="58"/>
    <n v="802371"/>
    <s v="PATIDAR TRADING COMPANY"/>
    <n v="174756"/>
    <s v="SHAH TRADERS"/>
    <n v="12"/>
    <n v="15"/>
    <n v="20"/>
    <n v="56.5"/>
    <n v="35"/>
    <n v="7.5"/>
    <n v="72.5"/>
    <n v="20"/>
    <n v="57"/>
    <n v="95"/>
    <n v="96"/>
    <n v="40"/>
    <n v="526.5"/>
  </r>
  <r>
    <x v="59"/>
    <n v="802376"/>
    <s v="CHHABRA BUILDING MATERIAL STOR"/>
    <n v="119031"/>
    <s v="RAMESH CHANDRA RAJENDRA KUMAR"/>
    <n v="125"/>
    <n v="130"/>
    <n v="30"/>
    <n v="60"/>
    <n v="10"/>
    <n v="0"/>
    <n v="55"/>
    <n v="52"/>
    <n v="60.5"/>
    <n v="0"/>
    <n v="0"/>
    <n v="79"/>
    <n v="601.5"/>
  </r>
  <r>
    <x v="60"/>
    <n v="802838"/>
    <s v="LAXMI TRADERS"/>
    <n v="119038"/>
    <s v="NAVEEN DISTRIBUTORS"/>
    <n v="110"/>
    <n v="120"/>
    <n v="29.25"/>
    <n v="221.7"/>
    <n v="70"/>
    <n v="80.25"/>
    <n v="107"/>
    <n v="70"/>
    <n v="146.44999999999999"/>
    <n v="83"/>
    <n v="138"/>
    <n v="35"/>
    <n v="1210.6500000000001"/>
  </r>
  <r>
    <x v="61"/>
    <n v="802841"/>
    <s v="JITENDRA KUMAR KANHAIYA LAL KA"/>
    <n v="119050"/>
    <s v="RAJASTHAN CEMENT CORPORATION"/>
    <n v="20"/>
    <n v="0"/>
    <n v="34"/>
    <n v="25"/>
    <n v="16"/>
    <n v="17.5"/>
    <n v="5.5"/>
    <n v="13"/>
    <n v="15"/>
    <n v="0"/>
    <n v="10"/>
    <n v="20"/>
    <n v="176"/>
  </r>
  <r>
    <x v="62"/>
    <n v="802848"/>
    <s v="DEV BUILD MATS"/>
    <n v="179560"/>
    <s v="TIRUPATI TRADING COMPANY"/>
    <n v="20"/>
    <n v="20"/>
    <n v="45"/>
    <n v="47.85"/>
    <n v="55"/>
    <n v="65"/>
    <n v="41"/>
    <n v="30"/>
    <n v="60"/>
    <n v="32.5"/>
    <n v="48"/>
    <n v="61"/>
    <n v="525.35"/>
  </r>
  <r>
    <x v="63"/>
    <n v="802870"/>
    <s v="RAJ AGENCIES"/>
    <n v="119034"/>
    <s v="SOGANI AGENCIES"/>
    <n v="7.5"/>
    <n v="0"/>
    <n v="0"/>
    <n v="37.5"/>
    <n v="0"/>
    <n v="0"/>
    <n v="0"/>
    <n v="0"/>
    <n v="0"/>
    <n v="0"/>
    <n v="0"/>
    <n v="0"/>
    <n v="45"/>
  </r>
  <r>
    <x v="64"/>
    <n v="802878"/>
    <s v="HARI OM BUILDING MATERIAL"/>
    <n v="119038"/>
    <s v="NAVEEN DISTRIBUTORS"/>
    <n v="75"/>
    <n v="0"/>
    <n v="30"/>
    <n v="24"/>
    <n v="38.5"/>
    <n v="25"/>
    <n v="35"/>
    <n v="20"/>
    <n v="29.5"/>
    <n v="10"/>
    <n v="14"/>
    <n v="100"/>
    <n v="401"/>
  </r>
  <r>
    <x v="65"/>
    <n v="802893"/>
    <s v="BHAWANI STONE SUPPLIERS"/>
    <n v="140857"/>
    <s v="MERAWAT CEMENT AGENCY"/>
    <n v="30"/>
    <n v="40"/>
    <n v="77.5"/>
    <n v="39.5"/>
    <n v="65"/>
    <n v="36.25"/>
    <n v="25"/>
    <n v="60"/>
    <n v="37"/>
    <n v="46.5"/>
    <n v="30"/>
    <n v="60"/>
    <n v="546.75"/>
  </r>
  <r>
    <x v="66"/>
    <n v="802894"/>
    <s v="BHERUNATH CEMENT SUPPLIERS"/>
    <n v="140848"/>
    <s v="PADAM CEMENT SUPPLIERS"/>
    <n v="10"/>
    <n v="50"/>
    <n v="30"/>
    <n v="42.5"/>
    <n v="22.5"/>
    <n v="20"/>
    <n v="20"/>
    <n v="0"/>
    <n v="58.5"/>
    <n v="75"/>
    <n v="75"/>
    <n v="62.25"/>
    <n v="465.75"/>
  </r>
  <r>
    <x v="67"/>
    <n v="802895"/>
    <s v="SHIV SHAKTI  CEMENT SUPPLIERS"/>
    <n v="140967"/>
    <s v="B.L.JAIN &amp; SONS"/>
    <n v="75"/>
    <n v="35"/>
    <n v="130"/>
    <n v="215"/>
    <n v="43.25"/>
    <n v="185"/>
    <n v="142.5"/>
    <n v="50"/>
    <n v="12.5"/>
    <n v="0"/>
    <n v="0"/>
    <n v="20"/>
    <n v="908.25"/>
  </r>
  <r>
    <x v="68"/>
    <n v="802896"/>
    <s v="KAMLESH KIRANA STORE"/>
    <n v="140967"/>
    <s v="B.L.JAIN &amp; SONS"/>
    <n v="20"/>
    <n v="30"/>
    <n v="25"/>
    <n v="32.5"/>
    <n v="25"/>
    <n v="0"/>
    <n v="0"/>
    <n v="0"/>
    <n v="25"/>
    <n v="0"/>
    <n v="50"/>
    <n v="207"/>
    <n v="414.5"/>
  </r>
  <r>
    <x v="69"/>
    <n v="802913"/>
    <s v="GAYATRI SALES"/>
    <n v="176773"/>
    <s v="MANIK CHAND LAKHMI CHAND"/>
    <n v="39.9"/>
    <n v="27.5"/>
    <n v="60"/>
    <n v="137.65"/>
    <n v="105"/>
    <n v="88.5"/>
    <n v="56"/>
    <n v="25"/>
    <n v="33"/>
    <n v="25"/>
    <n v="25"/>
    <n v="12.5"/>
    <n v="635.04999999999995"/>
  </r>
  <r>
    <x v="70"/>
    <n v="802918"/>
    <s v="BANKE BIHARI KHAD BEEJ BHANDAR"/>
    <n v="143531"/>
    <s v="JAIN KHAD BEEJ BHANDAR"/>
    <n v="15"/>
    <n v="20"/>
    <n v="38"/>
    <n v="20.5"/>
    <n v="15"/>
    <n v="0"/>
    <n v="0"/>
    <n v="12.5"/>
    <n v="0"/>
    <n v="13"/>
    <n v="0"/>
    <n v="13"/>
    <n v="147"/>
  </r>
  <r>
    <x v="71"/>
    <n v="802921"/>
    <s v="MATESHWARI CEMENT SUPPLIERS"/>
    <n v="141115"/>
    <s v="KALPESH CEMENT AGENCY"/>
    <n v="0"/>
    <n v="9"/>
    <n v="0"/>
    <n v="40"/>
    <n v="0"/>
    <n v="14"/>
    <n v="0"/>
    <n v="30"/>
    <n v="0"/>
    <n v="0"/>
    <n v="0"/>
    <n v="0"/>
    <n v="93"/>
  </r>
  <r>
    <x v="72"/>
    <n v="802923"/>
    <s v="VISHWAKARMA STONE AGE CUTTING"/>
    <n v="140857"/>
    <s v="MERAWAT CEMENT AGENCY"/>
    <n v="30"/>
    <n v="39.25"/>
    <n v="10"/>
    <n v="17.5"/>
    <n v="35"/>
    <n v="20"/>
    <n v="31.5"/>
    <n v="0"/>
    <n v="30"/>
    <n v="27.5"/>
    <n v="15"/>
    <n v="30"/>
    <n v="285.75"/>
  </r>
  <r>
    <x v="73"/>
    <n v="802925"/>
    <s v="PARSHWANATH FERTILIZERS &amp; CHEM"/>
    <n v="140963"/>
    <s v="ADINATH CEMENT SUPPLIERS"/>
    <n v="10"/>
    <n v="35"/>
    <n v="30"/>
    <n v="35"/>
    <n v="10"/>
    <n v="30"/>
    <n v="10"/>
    <n v="0"/>
    <n v="30"/>
    <n v="50"/>
    <n v="30"/>
    <n v="20"/>
    <n v="290"/>
  </r>
  <r>
    <x v="74"/>
    <n v="802925"/>
    <s v="PARSHWANATH FERTILIZERS &amp; CHEM"/>
    <n v="176098"/>
    <s v="ADINATH CEMENT AGENCY"/>
    <n v="0"/>
    <n v="0"/>
    <n v="10"/>
    <n v="0"/>
    <n v="0"/>
    <n v="0"/>
    <n v="0"/>
    <n v="0"/>
    <n v="0"/>
    <n v="0"/>
    <n v="0"/>
    <n v="0"/>
    <n v="10"/>
  </r>
  <r>
    <x v="75"/>
    <n v="802948"/>
    <s v="AGARWAL AGENCIES"/>
    <n v="119261"/>
    <s v="DURGESH ENTERPRISES"/>
    <n v="51"/>
    <n v="0"/>
    <n v="102"/>
    <n v="59.5"/>
    <n v="31"/>
    <n v="52.5"/>
    <n v="0"/>
    <n v="52"/>
    <n v="50"/>
    <n v="80"/>
    <n v="50"/>
    <n v="0"/>
    <n v="528"/>
  </r>
  <r>
    <x v="76"/>
    <n v="802964"/>
    <s v="VIJAY TRADERS"/>
    <n v="119038"/>
    <s v="NAVEEN DISTRIBUTORS"/>
    <n v="210"/>
    <n v="40"/>
    <n v="64"/>
    <n v="153.5"/>
    <n v="130.5"/>
    <n v="121"/>
    <n v="33.5"/>
    <n v="60"/>
    <n v="35"/>
    <n v="37"/>
    <n v="30"/>
    <n v="0"/>
    <n v="914.5"/>
  </r>
  <r>
    <x v="77"/>
    <n v="802965"/>
    <s v="SHIV SHAKTI TRADERS"/>
    <n v="119038"/>
    <s v="NAVEEN DISTRIBUTORS"/>
    <n v="0"/>
    <n v="0"/>
    <n v="0"/>
    <n v="0"/>
    <n v="20"/>
    <n v="10"/>
    <n v="20"/>
    <n v="0"/>
    <n v="0"/>
    <n v="0"/>
    <n v="0"/>
    <n v="0"/>
    <n v="50"/>
  </r>
  <r>
    <x v="78"/>
    <n v="802968"/>
    <s v="VEER PRAKASH CHOTA LAL JAIN"/>
    <n v="174756"/>
    <s v="SHAH TRADERS"/>
    <n v="15"/>
    <n v="22.5"/>
    <n v="40"/>
    <n v="32.5"/>
    <n v="15"/>
    <n v="23.5"/>
    <n v="40"/>
    <n v="26"/>
    <n v="29.5"/>
    <n v="52.5"/>
    <n v="57"/>
    <n v="62.5"/>
    <n v="416"/>
  </r>
  <r>
    <x v="79"/>
    <n v="802972"/>
    <s v="MOHAN LAL PATEL S/O VEL JI PAT"/>
    <n v="119050"/>
    <s v="RAJASTHAN CEMENT CORPORATION"/>
    <n v="0"/>
    <n v="0"/>
    <n v="10"/>
    <n v="0"/>
    <n v="0"/>
    <n v="0"/>
    <n v="0"/>
    <n v="0"/>
    <n v="0"/>
    <n v="0"/>
    <n v="0"/>
    <n v="0"/>
    <n v="10"/>
  </r>
  <r>
    <x v="80"/>
    <n v="802972"/>
    <s v="MOHAN LAL PATEL S/O VEL JI PAT"/>
    <n v="174756"/>
    <s v="SHAH TRADERS"/>
    <n v="0"/>
    <n v="17"/>
    <n v="15"/>
    <n v="17.5"/>
    <n v="16"/>
    <n v="10"/>
    <n v="10"/>
    <n v="20"/>
    <n v="7.5"/>
    <n v="0"/>
    <n v="0"/>
    <n v="0"/>
    <n v="113"/>
  </r>
  <r>
    <x v="81"/>
    <n v="802987"/>
    <s v="GAURAV ENTERPRISES"/>
    <n v="170146"/>
    <s v="KASLIWAL KRISHI SEWA KENDRA"/>
    <n v="0"/>
    <n v="0"/>
    <n v="0"/>
    <n v="0"/>
    <n v="0"/>
    <n v="0"/>
    <n v="0"/>
    <n v="0"/>
    <n v="0"/>
    <n v="35"/>
    <n v="35"/>
    <n v="35"/>
    <n v="105"/>
  </r>
  <r>
    <x v="82"/>
    <n v="803003"/>
    <s v="PADAM CEMENT AGENCY"/>
    <n v="122282"/>
    <s v="PIPARA SALES"/>
    <n v="74"/>
    <n v="44"/>
    <n v="86.5"/>
    <n v="83.65"/>
    <n v="55.5"/>
    <n v="52.8"/>
    <n v="40.5"/>
    <n v="38.5"/>
    <n v="123"/>
    <n v="85.7"/>
    <n v="62"/>
    <n v="142.5"/>
    <n v="888.65000000000009"/>
  </r>
  <r>
    <x v="83"/>
    <n v="803017"/>
    <s v="HAZI AND COMPANY"/>
    <n v="170200"/>
    <s v="GARG TRADING COMPANY"/>
    <n v="81"/>
    <n v="91"/>
    <n v="96"/>
    <n v="47"/>
    <n v="75"/>
    <n v="96"/>
    <n v="105"/>
    <n v="60"/>
    <n v="0"/>
    <n v="125"/>
    <n v="132"/>
    <n v="89"/>
    <n v="997"/>
  </r>
  <r>
    <x v="84"/>
    <n v="803018"/>
    <s v="SHARMA BUILDING MATERIAL SUPPL"/>
    <n v="176276"/>
    <s v="LAXMI BUILDING MATERIAL STORE"/>
    <n v="25"/>
    <n v="10"/>
    <n v="5"/>
    <n v="17.5"/>
    <n v="10"/>
    <n v="5"/>
    <n v="5"/>
    <n v="15"/>
    <n v="15"/>
    <n v="17.5"/>
    <n v="17.5"/>
    <n v="13.8"/>
    <n v="156.30000000000001"/>
  </r>
  <r>
    <x v="85"/>
    <n v="803020"/>
    <s v="RAMESH KUMAR KANHAYA LAL SUTHA"/>
    <n v="140851"/>
    <s v="PASHAWNATH CEMENT SUPPLIERS"/>
    <n v="20"/>
    <n v="30"/>
    <n v="45"/>
    <n v="25"/>
    <n v="20"/>
    <n v="10"/>
    <n v="0"/>
    <n v="0"/>
    <n v="7.5"/>
    <n v="27.5"/>
    <n v="10"/>
    <n v="25"/>
    <n v="220"/>
  </r>
  <r>
    <x v="86"/>
    <n v="803021"/>
    <s v="SHANTI LAL SUTHAR"/>
    <n v="140851"/>
    <s v="PASHAWNATH CEMENT SUPPLIERS"/>
    <n v="50"/>
    <n v="40"/>
    <n v="60"/>
    <n v="30"/>
    <n v="44"/>
    <n v="22.5"/>
    <n v="35"/>
    <n v="0"/>
    <n v="32.5"/>
    <n v="35"/>
    <n v="22"/>
    <n v="45"/>
    <n v="416"/>
  </r>
  <r>
    <x v="87"/>
    <n v="803022"/>
    <s v="LAXMI LAL KALU LAL JAIN"/>
    <n v="140851"/>
    <s v="PASHAWNATH CEMENT SUPPLIERS"/>
    <n v="10"/>
    <n v="10"/>
    <n v="30"/>
    <n v="25"/>
    <n v="0"/>
    <n v="0"/>
    <n v="0"/>
    <n v="0"/>
    <n v="25"/>
    <n v="20"/>
    <n v="60"/>
    <n v="40"/>
    <n v="220"/>
  </r>
  <r>
    <x v="88"/>
    <n v="803023"/>
    <s v="KESAR SINGH"/>
    <n v="140851"/>
    <s v="PASHAWNATH CEMENT SUPPLIERS"/>
    <n v="45"/>
    <n v="20"/>
    <n v="40"/>
    <n v="27.5"/>
    <n v="30"/>
    <n v="20"/>
    <n v="37.5"/>
    <n v="0"/>
    <n v="42.5"/>
    <n v="40"/>
    <n v="20"/>
    <n v="15"/>
    <n v="337.5"/>
  </r>
  <r>
    <x v="89"/>
    <n v="803049"/>
    <s v="GANESH LAL RATAN LAL"/>
    <n v="140860"/>
    <s v="VIPUL CEMENT SUPPLIERS"/>
    <n v="30"/>
    <n v="10"/>
    <n v="30"/>
    <n v="52.5"/>
    <n v="30"/>
    <n v="15"/>
    <n v="20"/>
    <n v="5"/>
    <n v="52.5"/>
    <n v="45"/>
    <n v="80"/>
    <n v="55"/>
    <n v="425"/>
  </r>
  <r>
    <x v="90"/>
    <n v="803051"/>
    <s v="MAGHA RAM HAJARI RAM"/>
    <n v="119038"/>
    <s v="NAVEEN DISTRIBUTORS"/>
    <n v="10"/>
    <n v="20"/>
    <n v="24"/>
    <n v="20"/>
    <n v="25"/>
    <n v="10"/>
    <n v="0"/>
    <n v="15"/>
    <n v="20"/>
    <n v="15"/>
    <n v="0"/>
    <n v="0"/>
    <n v="159"/>
  </r>
  <r>
    <x v="91"/>
    <n v="803071"/>
    <s v="JAGDISH CHANDRA S/O NATHULAL S"/>
    <n v="140848"/>
    <s v="PADAM CEMENT SUPPLIERS"/>
    <n v="116"/>
    <n v="168"/>
    <n v="217.5"/>
    <n v="150"/>
    <n v="100"/>
    <n v="65"/>
    <n v="107.25"/>
    <n v="143.5"/>
    <n v="130.25"/>
    <n v="122.5"/>
    <n v="135"/>
    <n v="60"/>
    <n v="1515"/>
  </r>
  <r>
    <x v="92"/>
    <n v="803124"/>
    <s v="MAHADEV CEMENT SUPPLIERS"/>
    <n v="140857"/>
    <s v="MERAWAT CEMENT AGENCY"/>
    <n v="0"/>
    <n v="0"/>
    <n v="0"/>
    <n v="7.5"/>
    <n v="10"/>
    <n v="0"/>
    <n v="0"/>
    <n v="0"/>
    <n v="25"/>
    <n v="0"/>
    <n v="0"/>
    <n v="0"/>
    <n v="42.5"/>
  </r>
  <r>
    <x v="93"/>
    <n v="803125"/>
    <s v="GORANA KIRANA AND CEMENT VIKRE"/>
    <n v="203600"/>
    <s v="MANISH CEMENT AGENCY"/>
    <n v="39"/>
    <n v="30"/>
    <n v="51.5"/>
    <n v="50"/>
    <n v="20"/>
    <n v="20"/>
    <n v="20"/>
    <n v="30"/>
    <n v="49"/>
    <n v="35"/>
    <n v="20"/>
    <n v="79"/>
    <n v="443.5"/>
  </r>
  <r>
    <x v="94"/>
    <n v="803141"/>
    <s v="DURGA TRADING COMPANY"/>
    <n v="119050"/>
    <s v="RAJASTHAN CEMENT CORPORATION"/>
    <n v="10"/>
    <n v="40"/>
    <n v="32.5"/>
    <n v="92"/>
    <n v="51"/>
    <n v="38"/>
    <n v="40"/>
    <n v="15"/>
    <n v="46"/>
    <n v="35"/>
    <n v="50"/>
    <n v="25"/>
    <n v="474.5"/>
  </r>
  <r>
    <x v="95"/>
    <n v="803148"/>
    <s v="FARIYAD TRADERS"/>
    <n v="171226"/>
    <s v="SATYA TRADERS"/>
    <n v="112"/>
    <n v="183"/>
    <n v="308"/>
    <n v="59"/>
    <n v="87"/>
    <n v="0"/>
    <n v="85"/>
    <n v="0"/>
    <n v="85"/>
    <n v="30"/>
    <n v="119"/>
    <n v="259"/>
    <n v="1327"/>
  </r>
  <r>
    <x v="96"/>
    <n v="803188"/>
    <s v="PATEL CEMENT SUPPLIERS"/>
    <n v="140851"/>
    <s v="PASHAWNATH CEMENT SUPPLIERS"/>
    <n v="0"/>
    <n v="0"/>
    <n v="0"/>
    <n v="0"/>
    <n v="0"/>
    <n v="10"/>
    <n v="0"/>
    <n v="0"/>
    <n v="0"/>
    <n v="0"/>
    <n v="0"/>
    <n v="0"/>
    <n v="10"/>
  </r>
  <r>
    <x v="97"/>
    <n v="803188"/>
    <s v="PATEL CEMENT SUPPLIERS"/>
    <n v="140857"/>
    <s v="MERAWAT CEMENT AGENCY"/>
    <n v="0"/>
    <n v="25"/>
    <n v="40"/>
    <n v="67.5"/>
    <n v="34"/>
    <n v="55"/>
    <n v="25"/>
    <n v="25"/>
    <n v="25"/>
    <n v="12.5"/>
    <n v="22.5"/>
    <n v="20"/>
    <n v="351.5"/>
  </r>
  <r>
    <x v="98"/>
    <n v="803193"/>
    <s v="CHHAGAN LAL DHAKAR"/>
    <n v="119905"/>
    <s v="FRIENDS AGENCIES"/>
    <n v="37.5"/>
    <n v="25"/>
    <n v="26"/>
    <n v="35.75"/>
    <n v="29.25"/>
    <n v="6.25"/>
    <n v="12.5"/>
    <n v="29"/>
    <n v="35.5"/>
    <n v="11.25"/>
    <n v="47.5"/>
    <n v="17.5"/>
    <n v="313"/>
  </r>
  <r>
    <x v="99"/>
    <n v="803201"/>
    <s v="KALYANI TRADERS"/>
    <n v="170204"/>
    <s v="GOYAL BUILDING MATERIAL"/>
    <n v="0"/>
    <n v="0"/>
    <n v="0"/>
    <n v="0"/>
    <n v="0"/>
    <n v="0"/>
    <n v="15"/>
    <n v="0"/>
    <n v="0"/>
    <n v="0"/>
    <n v="0"/>
    <n v="0"/>
    <n v="15"/>
  </r>
  <r>
    <x v="100"/>
    <n v="803201"/>
    <s v="KALYANI TRADERS"/>
    <n v="171226"/>
    <s v="SATYA TRADERS"/>
    <n v="20"/>
    <n v="20"/>
    <n v="86"/>
    <n v="10"/>
    <n v="14"/>
    <n v="10"/>
    <n v="0"/>
    <n v="0"/>
    <n v="47"/>
    <n v="10"/>
    <n v="34"/>
    <n v="20"/>
    <n v="271"/>
  </r>
  <r>
    <x v="101"/>
    <n v="803240"/>
    <s v="SHIVANGI CEMENT AGENCY"/>
    <n v="119227"/>
    <s v="KHEM CHAND &amp; SONS"/>
    <n v="51"/>
    <n v="10"/>
    <n v="50.5"/>
    <n v="48.5"/>
    <n v="10"/>
    <n v="47"/>
    <n v="53"/>
    <n v="21"/>
    <n v="24.5"/>
    <n v="0"/>
    <n v="54"/>
    <n v="46"/>
    <n v="415.5"/>
  </r>
  <r>
    <x v="102"/>
    <n v="803251"/>
    <s v="ANSUL TRADING COMPANY"/>
    <n v="170200"/>
    <s v="GARG TRADING COMPANY"/>
    <n v="15"/>
    <n v="20"/>
    <n v="15"/>
    <n v="20"/>
    <n v="10"/>
    <n v="10"/>
    <n v="0"/>
    <n v="17"/>
    <n v="0"/>
    <n v="28"/>
    <n v="15"/>
    <n v="15"/>
    <n v="165"/>
  </r>
  <r>
    <x v="103"/>
    <n v="803256"/>
    <s v="NEW BAMANWAS KHAD BEEJ BHANDAR"/>
    <n v="170204"/>
    <s v="GOYAL BUILDING MATERIAL"/>
    <n v="423.5"/>
    <n v="124.5"/>
    <n v="368"/>
    <n v="182"/>
    <n v="20"/>
    <n v="252"/>
    <n v="219"/>
    <n v="84"/>
    <n v="274"/>
    <n v="126"/>
    <n v="182"/>
    <n v="147"/>
    <n v="2402"/>
  </r>
  <r>
    <x v="104"/>
    <n v="803258"/>
    <s v="M.K. CEMENT AGENCY"/>
    <n v="140859"/>
    <s v="KESHRIYA JI HARDWARE &amp; METAL S"/>
    <n v="25"/>
    <n v="5"/>
    <n v="20"/>
    <n v="21"/>
    <n v="10"/>
    <n v="0"/>
    <n v="0"/>
    <n v="0"/>
    <n v="30"/>
    <n v="10"/>
    <n v="25"/>
    <n v="30"/>
    <n v="176"/>
  </r>
  <r>
    <x v="105"/>
    <n v="803260"/>
    <s v="PARAS STONE SUPPLIERS"/>
    <n v="140849"/>
    <s v="SAWALIYA CEMENT SUPPLIERS"/>
    <n v="20"/>
    <n v="40"/>
    <n v="0"/>
    <n v="25.5"/>
    <n v="28"/>
    <n v="0"/>
    <n v="0"/>
    <n v="0"/>
    <n v="20"/>
    <n v="25"/>
    <n v="33"/>
    <n v="30"/>
    <n v="221.5"/>
  </r>
  <r>
    <x v="106"/>
    <n v="803292"/>
    <s v="HIMMAT SINGH MOTI SINGH CEMENT"/>
    <n v="119028"/>
    <s v="KANHAYALAL &amp; SONS"/>
    <n v="139"/>
    <n v="114"/>
    <n v="155"/>
    <n v="196"/>
    <n v="109"/>
    <n v="31"/>
    <n v="124"/>
    <n v="114"/>
    <n v="91"/>
    <n v="124"/>
    <n v="47"/>
    <n v="124"/>
    <n v="1368"/>
  </r>
  <r>
    <x v="107"/>
    <n v="803293"/>
    <s v="BALAJI BUILDING MATERIAL SUPPL"/>
    <n v="170846"/>
    <s v="SANGAM ENTERPRISES"/>
    <n v="10"/>
    <n v="44.5"/>
    <n v="27"/>
    <n v="27"/>
    <n v="50.75"/>
    <n v="33"/>
    <n v="0"/>
    <n v="23"/>
    <n v="22"/>
    <n v="0"/>
    <n v="20.5"/>
    <n v="26"/>
    <n v="283.75"/>
  </r>
  <r>
    <x v="108"/>
    <n v="803351"/>
    <s v="NAGANESHI CEMENT"/>
    <n v="176773"/>
    <s v="MANIK CHAND LAKHMI CHAND"/>
    <n v="0"/>
    <n v="15"/>
    <n v="26"/>
    <n v="17.5"/>
    <n v="0"/>
    <n v="0"/>
    <n v="10"/>
    <n v="0"/>
    <n v="0"/>
    <n v="0"/>
    <n v="10"/>
    <n v="0"/>
    <n v="78.5"/>
  </r>
  <r>
    <x v="109"/>
    <n v="803352"/>
    <s v="BALAJI BUILDERS"/>
    <n v="119038"/>
    <s v="NAVEEN DISTRIBUTORS"/>
    <n v="0"/>
    <n v="0"/>
    <n v="0"/>
    <n v="0"/>
    <n v="11"/>
    <n v="59"/>
    <n v="34.5"/>
    <n v="0"/>
    <n v="0"/>
    <n v="0"/>
    <n v="0"/>
    <n v="0"/>
    <n v="104.5"/>
  </r>
  <r>
    <x v="110"/>
    <n v="803364"/>
    <s v="JAI HANUMAN TRADERS"/>
    <n v="170204"/>
    <s v="GOYAL BUILDING MATERIAL"/>
    <n v="0"/>
    <n v="0"/>
    <n v="0"/>
    <n v="47"/>
    <n v="0"/>
    <n v="0"/>
    <n v="0"/>
    <n v="0"/>
    <n v="0"/>
    <n v="0"/>
    <n v="49"/>
    <n v="10"/>
    <n v="106"/>
  </r>
  <r>
    <x v="111"/>
    <n v="803425"/>
    <s v="JASRAJ DHANRAJ PATEL"/>
    <n v="119038"/>
    <s v="NAVEEN DISTRIBUTORS"/>
    <n v="20"/>
    <n v="30"/>
    <n v="110"/>
    <n v="0"/>
    <n v="25"/>
    <n v="33"/>
    <n v="25"/>
    <n v="21.5"/>
    <n v="80"/>
    <n v="45"/>
    <n v="0"/>
    <n v="15"/>
    <n v="404.5"/>
  </r>
  <r>
    <x v="112"/>
    <n v="803501"/>
    <s v="RANA BUILDING MATERIAL STORE"/>
    <n v="172942"/>
    <s v="LAXMI IRON STORE"/>
    <n v="15"/>
    <n v="15"/>
    <n v="0"/>
    <n v="10"/>
    <n v="0"/>
    <n v="0"/>
    <n v="7.5"/>
    <n v="0"/>
    <n v="0"/>
    <n v="0"/>
    <n v="0"/>
    <n v="0"/>
    <n v="47.5"/>
  </r>
  <r>
    <x v="113"/>
    <n v="803534"/>
    <s v="JHAMESHWAR CEMENT SUPPLIERS"/>
    <n v="141115"/>
    <s v="KALPESH CEMENT AGENCY"/>
    <n v="138.55000000000001"/>
    <n v="60"/>
    <n v="125"/>
    <n v="157"/>
    <n v="101.5"/>
    <n v="116.5"/>
    <n v="65"/>
    <n v="84"/>
    <n v="129.94999999999999"/>
    <n v="101.25"/>
    <n v="140.75"/>
    <n v="80"/>
    <n v="1299.5"/>
  </r>
  <r>
    <x v="114"/>
    <n v="803578"/>
    <s v="SHRI BHAKTESH CEMENT AGENCY"/>
    <n v="119038"/>
    <s v="NAVEEN DISTRIBUTORS"/>
    <n v="10"/>
    <n v="0"/>
    <n v="10"/>
    <n v="10"/>
    <n v="10"/>
    <n v="15"/>
    <n v="0"/>
    <n v="10"/>
    <n v="25"/>
    <n v="4.5"/>
    <n v="25"/>
    <n v="0"/>
    <n v="119.5"/>
  </r>
  <r>
    <x v="115"/>
    <n v="803579"/>
    <s v="MEHODI BUILDING MATERIAL"/>
    <n v="119038"/>
    <s v="NAVEEN DISTRIBUTORS"/>
    <n v="70"/>
    <n v="60"/>
    <n v="99"/>
    <n v="85"/>
    <n v="20"/>
    <n v="35"/>
    <n v="63"/>
    <n v="50"/>
    <n v="74.5"/>
    <n v="102"/>
    <n v="101.5"/>
    <n v="140"/>
    <n v="900"/>
  </r>
  <r>
    <x v="116"/>
    <n v="803594"/>
    <s v="KUMAWAT CEMENT AGENCY"/>
    <n v="119029"/>
    <s v="LALLAMAL KANHYALAL &amp; SONS"/>
    <n v="16.600000000000001"/>
    <n v="42.5"/>
    <n v="73"/>
    <n v="25"/>
    <n v="32"/>
    <n v="35"/>
    <n v="57"/>
    <n v="0"/>
    <n v="0"/>
    <n v="0"/>
    <n v="0"/>
    <n v="0"/>
    <n v="281.10000000000002"/>
  </r>
  <r>
    <x v="117"/>
    <n v="803690"/>
    <s v="KRISHNA CEMENT SUPPLIERS"/>
    <n v="119028"/>
    <s v="KANHAYALAL &amp; SONS"/>
    <n v="0"/>
    <n v="62"/>
    <n v="31"/>
    <n v="150"/>
    <n v="93"/>
    <n v="0"/>
    <n v="31"/>
    <n v="31"/>
    <n v="186"/>
    <n v="310"/>
    <n v="248"/>
    <n v="155"/>
    <n v="1297"/>
  </r>
  <r>
    <x v="118"/>
    <n v="803691"/>
    <s v="JAI RAM BALAI TRADING COMPANY"/>
    <n v="119028"/>
    <s v="KANHAYALAL &amp; SONS"/>
    <n v="158"/>
    <n v="196"/>
    <n v="248"/>
    <n v="170"/>
    <n v="115.25"/>
    <n v="62"/>
    <n v="77"/>
    <n v="93"/>
    <n v="105"/>
    <n v="392"/>
    <n v="238"/>
    <n v="93"/>
    <n v="1947.25"/>
  </r>
  <r>
    <x v="119"/>
    <n v="803698"/>
    <s v="RAVI SHANKAR SAINI"/>
    <n v="172976"/>
    <s v="SHRI RAM BUILDING MATERIAL"/>
    <n v="0"/>
    <n v="5"/>
    <n v="21"/>
    <n v="17.5"/>
    <n v="53"/>
    <n v="1"/>
    <n v="32.5"/>
    <n v="10"/>
    <n v="32.5"/>
    <n v="42"/>
    <n v="35.5"/>
    <n v="20"/>
    <n v="270"/>
  </r>
  <r>
    <x v="120"/>
    <n v="803721"/>
    <s v="GAJANAD CEMENT SUPPLIERS"/>
    <n v="206102"/>
    <s v="BABA RAMDEV CEMENT SUPPLIER"/>
    <n v="131"/>
    <n v="81"/>
    <n v="116"/>
    <n v="100"/>
    <n v="10"/>
    <n v="40"/>
    <n v="65"/>
    <n v="75"/>
    <n v="55"/>
    <n v="60"/>
    <n v="60"/>
    <n v="104.5"/>
    <n v="897.5"/>
  </r>
  <r>
    <x v="121"/>
    <n v="803755"/>
    <s v="AGARWAL TRADERS"/>
    <n v="119029"/>
    <s v="LALLAMAL KANHYALAL &amp; SONS"/>
    <n v="5"/>
    <n v="0"/>
    <n v="0"/>
    <n v="0"/>
    <n v="15"/>
    <n v="5"/>
    <n v="10"/>
    <n v="0"/>
    <n v="0"/>
    <n v="0"/>
    <n v="0"/>
    <n v="20"/>
    <n v="55"/>
  </r>
  <r>
    <x v="122"/>
    <n v="803769"/>
    <s v="AGGARWAL PAINTS &amp; BUILDING MAT"/>
    <n v="119031"/>
    <s v="RAMESH CHANDRA RAJENDRA KUMAR"/>
    <n v="0"/>
    <n v="0"/>
    <n v="0"/>
    <n v="0"/>
    <n v="13"/>
    <n v="65"/>
    <n v="20"/>
    <n v="15"/>
    <n v="0"/>
    <n v="65"/>
    <n v="71"/>
    <n v="31"/>
    <n v="280"/>
  </r>
  <r>
    <x v="123"/>
    <n v="803770"/>
    <s v="R S BUILDING MATERIAL STORE"/>
    <n v="119031"/>
    <s v="RAMESH CHANDRA RAJENDRA KUMAR"/>
    <n v="250"/>
    <n v="121"/>
    <n v="72"/>
    <n v="146"/>
    <n v="121"/>
    <n v="121"/>
    <n v="165"/>
    <n v="120"/>
    <n v="120"/>
    <n v="62.5"/>
    <n v="98.5"/>
    <n v="50"/>
    <n v="1447"/>
  </r>
  <r>
    <x v="124"/>
    <n v="803775"/>
    <s v="CHAMUNDA BUILDING MATERIAL"/>
    <n v="144170"/>
    <s v="SHRI GULAB BUILDING MATERIAL"/>
    <n v="0"/>
    <n v="0"/>
    <n v="0"/>
    <n v="0"/>
    <n v="0"/>
    <n v="0"/>
    <n v="0"/>
    <n v="0"/>
    <n v="0"/>
    <n v="0"/>
    <n v="10"/>
    <n v="25"/>
    <n v="35"/>
  </r>
  <r>
    <x v="125"/>
    <n v="803778"/>
    <s v="AMBA LAL SUTHAR CONTRECTOR"/>
    <n v="140849"/>
    <s v="SAWALIYA CEMENT SUPPLIERS"/>
    <n v="0"/>
    <n v="10"/>
    <n v="0"/>
    <n v="1"/>
    <n v="26"/>
    <n v="10"/>
    <n v="0"/>
    <n v="10"/>
    <n v="30"/>
    <n v="31"/>
    <n v="24.5"/>
    <n v="62"/>
    <n v="204.5"/>
  </r>
  <r>
    <x v="126"/>
    <n v="803794"/>
    <s v="RAMAN LAL DEVNATH JI BHATI"/>
    <n v="119050"/>
    <s v="RAJASTHAN CEMENT CORPORATION"/>
    <n v="0"/>
    <n v="20"/>
    <n v="15"/>
    <n v="73.5"/>
    <n v="60"/>
    <n v="110"/>
    <n v="93"/>
    <n v="47"/>
    <n v="50"/>
    <n v="50"/>
    <n v="92.5"/>
    <n v="25.25"/>
    <n v="636.25"/>
  </r>
  <r>
    <x v="127"/>
    <n v="803794"/>
    <s v="RAMAN LAL DEVNATH JI BHATI"/>
    <n v="142332"/>
    <s v="SANTOSH KIRANA AND CEMENT"/>
    <n v="20"/>
    <n v="0"/>
    <n v="0"/>
    <n v="0"/>
    <n v="0"/>
    <n v="0"/>
    <n v="0"/>
    <n v="0"/>
    <n v="0"/>
    <n v="0"/>
    <n v="0"/>
    <n v="0"/>
    <n v="20"/>
  </r>
  <r>
    <x v="128"/>
    <n v="803809"/>
    <s v="SHREE RAM STONE SUPPLIERS"/>
    <n v="140849"/>
    <s v="SAWALIYA CEMENT SUPPLIERS"/>
    <n v="65"/>
    <n v="80"/>
    <n v="133"/>
    <n v="16"/>
    <n v="35"/>
    <n v="80"/>
    <n v="55.5"/>
    <n v="30"/>
    <n v="12.5"/>
    <n v="127.5"/>
    <n v="94"/>
    <n v="115"/>
    <n v="843.5"/>
  </r>
  <r>
    <x v="129"/>
    <n v="803820"/>
    <s v="ARTI BUILDING MATERIAL"/>
    <n v="129599"/>
    <s v="Kuntal Building Material"/>
    <n v="41.5"/>
    <n v="50"/>
    <n v="62"/>
    <n v="42"/>
    <n v="39.75"/>
    <n v="56.5"/>
    <n v="66.25"/>
    <n v="26"/>
    <n v="52"/>
    <n v="45"/>
    <n v="63.5"/>
    <n v="66.5"/>
    <n v="611"/>
  </r>
  <r>
    <x v="130"/>
    <n v="803821"/>
    <s v="ARIHANT TRADING"/>
    <n v="119066"/>
    <s v="RAJENDRA KUMAR RATAN LAL JAIN"/>
    <n v="86.35"/>
    <n v="49"/>
    <n v="199.5"/>
    <n v="61.5"/>
    <n v="91"/>
    <n v="111"/>
    <n v="147"/>
    <n v="51"/>
    <n v="54"/>
    <n v="151.85"/>
    <n v="125"/>
    <n v="80.95"/>
    <n v="1208.1500000000001"/>
  </r>
  <r>
    <x v="131"/>
    <n v="803832"/>
    <s v="MOHAN LAL BAKORJI PRAJAPAT"/>
    <n v="119050"/>
    <s v="RAJASTHAN CEMENT CORPORATION"/>
    <n v="31"/>
    <n v="0"/>
    <n v="40"/>
    <n v="59.5"/>
    <n v="30"/>
    <n v="35.5"/>
    <n v="30"/>
    <n v="30"/>
    <n v="37.5"/>
    <n v="40"/>
    <n v="40"/>
    <n v="50"/>
    <n v="423.5"/>
  </r>
  <r>
    <x v="132"/>
    <n v="803843"/>
    <s v="SHREE KRISHNA KRISHI KENDRA"/>
    <n v="119038"/>
    <s v="NAVEEN DISTRIBUTORS"/>
    <n v="10"/>
    <n v="20"/>
    <n v="10"/>
    <n v="30"/>
    <n v="45"/>
    <n v="28"/>
    <n v="29"/>
    <n v="24.5"/>
    <n v="35"/>
    <n v="40"/>
    <n v="50"/>
    <n v="80"/>
    <n v="401.5"/>
  </r>
  <r>
    <x v="133"/>
    <n v="803877"/>
    <s v="LOKESH BUILDING MATERIAL"/>
    <n v="143416"/>
    <s v="ANKIT AGENCIES"/>
    <n v="5"/>
    <n v="6.75"/>
    <n v="12.25"/>
    <n v="22.5"/>
    <n v="0"/>
    <n v="0"/>
    <n v="0"/>
    <n v="0"/>
    <n v="0"/>
    <n v="26.25"/>
    <n v="0"/>
    <n v="0"/>
    <n v="72.75"/>
  </r>
  <r>
    <x v="134"/>
    <n v="803885"/>
    <s v="SUNIL CEMENT AGENCY"/>
    <n v="119263"/>
    <s v="KUKKAR ENTERPRISES"/>
    <n v="33"/>
    <n v="33"/>
    <n v="70"/>
    <n v="41"/>
    <n v="43.5"/>
    <n v="67.599999999999994"/>
    <n v="50.4"/>
    <n v="0"/>
    <n v="25.5"/>
    <n v="14.5"/>
    <n v="15"/>
    <n v="54"/>
    <n v="447.5"/>
  </r>
  <r>
    <x v="135"/>
    <n v="803886"/>
    <s v="SABRAS MATERIAL SUPPLIERS"/>
    <n v="119066"/>
    <s v="RAJENDRA KUMAR RATAN LAL JAIN"/>
    <n v="105"/>
    <n v="140"/>
    <n v="192"/>
    <n v="53"/>
    <n v="103"/>
    <n v="37"/>
    <n v="86"/>
    <n v="35"/>
    <n v="110.5"/>
    <n v="115"/>
    <n v="90"/>
    <n v="134.5"/>
    <n v="1201"/>
  </r>
  <r>
    <x v="136"/>
    <n v="803946"/>
    <s v="MUKESH STONE SUPPLIERS"/>
    <n v="140851"/>
    <s v="PASHAWNATH CEMENT SUPPLIERS"/>
    <n v="60"/>
    <n v="50"/>
    <n v="95"/>
    <n v="37.5"/>
    <n v="30"/>
    <n v="20"/>
    <n v="20"/>
    <n v="30"/>
    <n v="77.5"/>
    <n v="10"/>
    <n v="0"/>
    <n v="10"/>
    <n v="440"/>
  </r>
  <r>
    <x v="137"/>
    <n v="803952"/>
    <s v="SHANKAR TRADING COMPANY"/>
    <n v="119044"/>
    <s v="PANWAR TRADING CORPORATION LTD"/>
    <n v="102.5"/>
    <n v="30"/>
    <n v="197"/>
    <n v="100"/>
    <n v="144.5"/>
    <n v="105"/>
    <n v="70"/>
    <n v="90"/>
    <n v="0"/>
    <n v="20"/>
    <n v="80"/>
    <n v="170"/>
    <n v="1109"/>
  </r>
  <r>
    <x v="138"/>
    <n v="803954"/>
    <s v="BHAGYA LAXMI TRADERS"/>
    <n v="202842"/>
    <s v="M.R.TRADING COMPANY"/>
    <n v="0"/>
    <n v="10"/>
    <n v="0"/>
    <n v="0"/>
    <n v="0"/>
    <n v="0"/>
    <n v="0"/>
    <n v="0"/>
    <n v="10"/>
    <n v="20"/>
    <n v="0"/>
    <n v="0"/>
    <n v="40"/>
  </r>
  <r>
    <x v="139"/>
    <n v="803955"/>
    <s v="TIRUPATI TRADING COMPANY"/>
    <n v="119905"/>
    <s v="FRIENDS AGENCIES"/>
    <n v="0"/>
    <n v="0"/>
    <n v="0"/>
    <n v="0"/>
    <n v="0"/>
    <n v="0"/>
    <n v="0"/>
    <n v="10"/>
    <n v="0"/>
    <n v="0"/>
    <n v="0"/>
    <n v="8.5"/>
    <n v="18.5"/>
  </r>
  <r>
    <x v="140"/>
    <n v="803983"/>
    <s v="DEV BUILDING MATERIAL SUPPLIER"/>
    <n v="119034"/>
    <s v="SOGANI AGENCIES"/>
    <n v="60"/>
    <n v="30"/>
    <n v="67.5"/>
    <n v="51.5"/>
    <n v="20"/>
    <n v="10"/>
    <n v="32.5"/>
    <n v="30"/>
    <n v="22.5"/>
    <n v="60"/>
    <n v="40"/>
    <n v="70"/>
    <n v="494"/>
  </r>
  <r>
    <x v="141"/>
    <n v="803990"/>
    <s v="VISHVAKARMA BUILDING MATERIAL"/>
    <n v="140849"/>
    <s v="SAWALIYA CEMENT SUPPLIERS"/>
    <n v="40"/>
    <n v="10"/>
    <n v="75"/>
    <n v="60"/>
    <n v="10"/>
    <n v="17.5"/>
    <n v="14"/>
    <n v="20"/>
    <n v="0"/>
    <n v="21"/>
    <n v="57.5"/>
    <n v="34.5"/>
    <n v="359.5"/>
  </r>
  <r>
    <x v="142"/>
    <n v="803991"/>
    <s v="ABHAY STONE &amp; BUILDING MATERIA"/>
    <n v="140858"/>
    <s v="RAMESH CHANDRA JAI CHAND"/>
    <n v="60"/>
    <n v="30"/>
    <n v="65"/>
    <n v="40"/>
    <n v="60"/>
    <n v="52.5"/>
    <n v="45"/>
    <n v="66.25"/>
    <n v="95"/>
    <n v="50"/>
    <n v="10"/>
    <n v="45"/>
    <n v="618.75"/>
  </r>
  <r>
    <x v="143"/>
    <n v="803992"/>
    <s v="RATAN LAL SUTHAR"/>
    <n v="140860"/>
    <s v="VIPUL CEMENT SUPPLIERS"/>
    <n v="10"/>
    <n v="20"/>
    <n v="40"/>
    <n v="42.5"/>
    <n v="25"/>
    <n v="20"/>
    <n v="20"/>
    <n v="10"/>
    <n v="27.5"/>
    <n v="10"/>
    <n v="50"/>
    <n v="85"/>
    <n v="360"/>
  </r>
  <r>
    <x v="144"/>
    <n v="803993"/>
    <s v="KACHARU LAL PREMJI PATEL"/>
    <n v="140860"/>
    <s v="VIPUL CEMENT SUPPLIERS"/>
    <n v="30"/>
    <n v="20"/>
    <n v="90"/>
    <n v="45"/>
    <n v="60"/>
    <n v="40"/>
    <n v="40"/>
    <n v="20"/>
    <n v="40"/>
    <n v="12"/>
    <n v="5"/>
    <n v="50"/>
    <n v="452"/>
  </r>
  <r>
    <x v="145"/>
    <n v="804006"/>
    <s v="SINGHVI HARDWARE"/>
    <n v="140966"/>
    <s v="SWASTIK SALES"/>
    <n v="20"/>
    <n v="0"/>
    <n v="0"/>
    <n v="5"/>
    <n v="0"/>
    <n v="0"/>
    <n v="0"/>
    <n v="0"/>
    <n v="10"/>
    <n v="5"/>
    <n v="0"/>
    <n v="12.5"/>
    <n v="52.5"/>
  </r>
  <r>
    <x v="146"/>
    <n v="804023"/>
    <s v="RATHORE BUILDING MATERIAL"/>
    <n v="119038"/>
    <s v="NAVEEN DISTRIBUTORS"/>
    <n v="20"/>
    <n v="20"/>
    <n v="13.5"/>
    <n v="0"/>
    <n v="20"/>
    <n v="13.5"/>
    <n v="0"/>
    <n v="25"/>
    <n v="0"/>
    <n v="37.5"/>
    <n v="15"/>
    <n v="20"/>
    <n v="184.5"/>
  </r>
  <r>
    <x v="147"/>
    <n v="804031"/>
    <s v="SHANKAR TRADING COMPANY"/>
    <n v="119038"/>
    <s v="NAVEEN DISTRIBUTORS"/>
    <n v="10"/>
    <n v="10"/>
    <n v="40"/>
    <n v="0"/>
    <n v="10"/>
    <n v="10"/>
    <n v="5"/>
    <n v="10"/>
    <n v="17.5"/>
    <n v="7.5"/>
    <n v="39.5"/>
    <n v="0"/>
    <n v="159.5"/>
  </r>
  <r>
    <x v="148"/>
    <n v="804050"/>
    <s v="NILESH TRADERS"/>
    <n v="174756"/>
    <s v="SHAH TRADERS"/>
    <n v="30"/>
    <n v="34.5"/>
    <n v="45"/>
    <n v="70"/>
    <n v="15"/>
    <n v="13"/>
    <n v="35"/>
    <n v="0"/>
    <n v="37.5"/>
    <n v="72"/>
    <n v="40"/>
    <n v="55"/>
    <n v="447"/>
  </r>
  <r>
    <x v="149"/>
    <n v="804057"/>
    <s v="NAVNEET KUMAR MOHAN LAL JAIN"/>
    <n v="140967"/>
    <s v="B.L.JAIN &amp; SONS"/>
    <n v="0"/>
    <n v="67"/>
    <n v="50"/>
    <n v="120"/>
    <n v="35"/>
    <n v="29"/>
    <n v="0"/>
    <n v="20"/>
    <n v="47.5"/>
    <n v="0"/>
    <n v="0"/>
    <n v="33"/>
    <n v="401.5"/>
  </r>
  <r>
    <x v="150"/>
    <n v="804058"/>
    <s v="NAKODA CEMENT AGENCY"/>
    <n v="141115"/>
    <s v="KALPESH CEMENT AGENCY"/>
    <n v="152"/>
    <n v="62.5"/>
    <n v="220.05"/>
    <n v="229.75"/>
    <n v="200.25"/>
    <n v="210.9"/>
    <n v="189.5"/>
    <n v="116.25"/>
    <n v="211.25"/>
    <n v="210"/>
    <n v="142"/>
    <n v="146.94999999999999"/>
    <n v="2091.4"/>
  </r>
  <r>
    <x v="151"/>
    <n v="804079"/>
    <s v="HARI OM TRADERS"/>
    <n v="174756"/>
    <s v="SHAH TRADERS"/>
    <n v="10"/>
    <n v="10"/>
    <n v="0"/>
    <n v="41"/>
    <n v="10"/>
    <n v="2"/>
    <n v="5"/>
    <n v="0"/>
    <n v="7.5"/>
    <n v="10"/>
    <n v="4"/>
    <n v="6"/>
    <n v="105.5"/>
  </r>
  <r>
    <x v="152"/>
    <n v="804080"/>
    <s v="JAIMINI PED STORE"/>
    <n v="141556"/>
    <s v="GYANI BUILDING MATERIALS"/>
    <n v="50"/>
    <n v="112"/>
    <n v="131.5"/>
    <n v="65"/>
    <n v="60"/>
    <n v="96.5"/>
    <n v="90"/>
    <n v="30"/>
    <n v="50"/>
    <n v="46"/>
    <n v="91.5"/>
    <n v="80"/>
    <n v="902.5"/>
  </r>
  <r>
    <x v="153"/>
    <n v="804081"/>
    <s v="BHERUNATH CEMENT SUPPLIER"/>
    <n v="170501"/>
    <s v="GURU OM KRIPA CEMENT SUPPLIERS"/>
    <n v="28.5"/>
    <n v="17.5"/>
    <n v="57.5"/>
    <n v="42.5"/>
    <n v="27.5"/>
    <n v="22.5"/>
    <n v="20"/>
    <n v="6.75"/>
    <n v="12.5"/>
    <n v="19.5"/>
    <n v="25"/>
    <n v="60"/>
    <n v="339.75"/>
  </r>
  <r>
    <x v="154"/>
    <n v="804082"/>
    <s v="KAMRA CEMENT AGENCY"/>
    <n v="119263"/>
    <s v="KUKKAR ENTERPRISES"/>
    <n v="128"/>
    <n v="94.5"/>
    <n v="69.5"/>
    <n v="62.5"/>
    <n v="78.75"/>
    <n v="85"/>
    <n v="49"/>
    <n v="42"/>
    <n v="128.5"/>
    <n v="84"/>
    <n v="100"/>
    <n v="74"/>
    <n v="995.75"/>
  </r>
  <r>
    <x v="155"/>
    <n v="804106"/>
    <s v="BHATI CEMENT SUPPLIERS"/>
    <n v="119044"/>
    <s v="PANWAR TRADING CORPORATION LTD"/>
    <n v="17.5"/>
    <n v="10"/>
    <n v="4"/>
    <n v="15"/>
    <n v="2"/>
    <n v="57.5"/>
    <n v="80"/>
    <n v="0"/>
    <n v="30"/>
    <n v="30"/>
    <n v="22.5"/>
    <n v="58.5"/>
    <n v="327"/>
  </r>
  <r>
    <x v="156"/>
    <n v="804122"/>
    <s v="RANIDHAN JASRAJ JAIN"/>
    <n v="119038"/>
    <s v="NAVEEN DISTRIBUTORS"/>
    <n v="107"/>
    <n v="35"/>
    <n v="28.5"/>
    <n v="84"/>
    <n v="54"/>
    <n v="40"/>
    <n v="0"/>
    <n v="64.5"/>
    <n v="104"/>
    <n v="70"/>
    <n v="0"/>
    <n v="15"/>
    <n v="602"/>
  </r>
  <r>
    <x v="157"/>
    <n v="804131"/>
    <s v="MOTI LAL PARASKUMAR JAIN"/>
    <n v="140967"/>
    <s v="B.L.JAIN &amp; SONS"/>
    <n v="210"/>
    <n v="159"/>
    <n v="259"/>
    <n v="110"/>
    <n v="85"/>
    <n v="297.5"/>
    <n v="231.5"/>
    <n v="107.5"/>
    <n v="49"/>
    <n v="145"/>
    <n v="118.5"/>
    <n v="47.5"/>
    <n v="1819.5"/>
  </r>
  <r>
    <x v="158"/>
    <n v="804132"/>
    <s v="SURBHI SANITATION"/>
    <n v="179560"/>
    <s v="TIRUPATI TRADING COMPANY"/>
    <n v="0"/>
    <n v="0"/>
    <n v="0"/>
    <n v="0"/>
    <n v="0"/>
    <n v="0"/>
    <n v="20"/>
    <n v="50"/>
    <n v="27.5"/>
    <n v="35"/>
    <n v="23.25"/>
    <n v="27"/>
    <n v="182.75"/>
  </r>
  <r>
    <x v="159"/>
    <n v="804135"/>
    <s v="MAHALAXMI BUILDERS"/>
    <n v="119044"/>
    <s v="PANWAR TRADING CORPORATION LTD"/>
    <n v="0"/>
    <n v="0"/>
    <n v="12.5"/>
    <n v="5"/>
    <n v="32"/>
    <n v="26.25"/>
    <n v="26"/>
    <n v="35"/>
    <n v="42.5"/>
    <n v="30"/>
    <n v="94"/>
    <n v="97.5"/>
    <n v="400.75"/>
  </r>
  <r>
    <x v="160"/>
    <n v="804136"/>
    <s v="NEHA KIRAN STORE"/>
    <n v="119038"/>
    <s v="NAVEEN DISTRIBUTORS"/>
    <n v="15"/>
    <n v="45"/>
    <n v="32"/>
    <n v="15"/>
    <n v="36"/>
    <n v="20"/>
    <n v="60"/>
    <n v="30"/>
    <n v="15"/>
    <n v="72.5"/>
    <n v="99"/>
    <n v="161.5"/>
    <n v="601"/>
  </r>
  <r>
    <x v="161"/>
    <n v="804165"/>
    <s v="SHREE JI CONSTRUCTION MATERIAL"/>
    <n v="119028"/>
    <s v="KANHAYALAL &amp; SONS"/>
    <n v="31"/>
    <n v="31"/>
    <n v="93"/>
    <n v="88"/>
    <n v="31"/>
    <n v="0"/>
    <n v="0"/>
    <n v="0"/>
    <n v="0"/>
    <n v="0"/>
    <n v="0"/>
    <n v="0"/>
    <n v="274"/>
  </r>
  <r>
    <x v="162"/>
    <n v="804176"/>
    <s v="ARAWALI CEMENT AGENCY"/>
    <n v="141674"/>
    <s v="ARAVALI BUILDING MATERIAL SUPP"/>
    <n v="87.4"/>
    <n v="70.5"/>
    <n v="94.65"/>
    <n v="99.35"/>
    <n v="44.2"/>
    <n v="102"/>
    <n v="122.5"/>
    <n v="56.5"/>
    <n v="105.25"/>
    <n v="118.9"/>
    <n v="32"/>
    <n v="115"/>
    <n v="1048.25"/>
  </r>
  <r>
    <x v="163"/>
    <n v="804178"/>
    <s v="SHIV TRADERS"/>
    <n v="119046"/>
    <s v="GARG AGRO AGENCIES"/>
    <n v="0"/>
    <n v="10"/>
    <n v="25"/>
    <n v="0"/>
    <n v="40"/>
    <n v="0"/>
    <n v="20"/>
    <n v="20"/>
    <n v="10"/>
    <n v="0"/>
    <n v="0"/>
    <n v="0"/>
    <n v="125"/>
  </r>
  <r>
    <x v="164"/>
    <n v="804220"/>
    <s v="BHATI JK CEMENT"/>
    <n v="170775"/>
    <s v="GANPAT LAL MAROTHIYA AND SONS"/>
    <n v="95"/>
    <n v="85"/>
    <n v="80"/>
    <n v="70"/>
    <n v="117"/>
    <n v="70"/>
    <n v="70"/>
    <n v="40"/>
    <n v="135"/>
    <n v="80"/>
    <n v="50"/>
    <n v="330"/>
    <n v="1222"/>
  </r>
  <r>
    <x v="165"/>
    <n v="804235"/>
    <s v="RAMA SA TRADING COMPANY"/>
    <n v="119038"/>
    <s v="NAVEEN DISTRIBUTORS"/>
    <n v="64"/>
    <n v="0"/>
    <n v="20"/>
    <n v="0"/>
    <n v="15"/>
    <n v="0"/>
    <n v="0"/>
    <n v="0"/>
    <n v="0"/>
    <n v="0"/>
    <n v="20"/>
    <n v="35"/>
    <n v="154"/>
  </r>
  <r>
    <x v="166"/>
    <n v="804243"/>
    <s v="SHIVAMBA CONSTRUCTION"/>
    <n v="122377"/>
    <s v="NILKANTH CONSTRUCTION"/>
    <n v="80"/>
    <n v="191.65"/>
    <n v="197.5"/>
    <n v="170"/>
    <n v="130"/>
    <n v="105"/>
    <n v="111"/>
    <n v="78"/>
    <n v="110.5"/>
    <n v="152.5"/>
    <n v="128.5"/>
    <n v="77"/>
    <n v="1531.65"/>
  </r>
  <r>
    <x v="167"/>
    <n v="804251"/>
    <s v="SHRI GURU KRIPA BUILDING MATER"/>
    <n v="119034"/>
    <s v="SOGANI AGENCIES"/>
    <n v="54"/>
    <n v="89.5"/>
    <n v="70"/>
    <n v="50"/>
    <n v="42"/>
    <n v="20"/>
    <n v="17.5"/>
    <n v="0"/>
    <n v="45"/>
    <n v="35"/>
    <n v="35"/>
    <n v="40"/>
    <n v="498"/>
  </r>
  <r>
    <x v="168"/>
    <n v="804286"/>
    <s v="ASHWINI AND SONS"/>
    <n v="119046"/>
    <s v="GARG AGRO AGENCIES"/>
    <n v="52"/>
    <n v="72"/>
    <n v="86.5"/>
    <n v="106"/>
    <n v="65"/>
    <n v="94.5"/>
    <n v="70"/>
    <n v="45"/>
    <n v="64"/>
    <n v="50"/>
    <n v="40"/>
    <n v="106.5"/>
    <n v="851.5"/>
  </r>
  <r>
    <x v="169"/>
    <n v="804310"/>
    <s v="BHERUNATH CERAMICS"/>
    <n v="119028"/>
    <s v="KANHAYALAL &amp; SONS"/>
    <n v="176"/>
    <n v="217"/>
    <n v="310"/>
    <n v="196"/>
    <n v="465"/>
    <n v="562.65"/>
    <n v="217"/>
    <n v="155"/>
    <n v="403"/>
    <n v="605"/>
    <n v="243"/>
    <n v="620"/>
    <n v="4169.6499999999996"/>
  </r>
  <r>
    <x v="170"/>
    <n v="804312"/>
    <s v="CHOUHAN CEMENT SUPPLIERS"/>
    <n v="142269"/>
    <s v="CHAMUNDA BUILDING MATERIAL SUP"/>
    <n v="125"/>
    <n v="195"/>
    <n v="234"/>
    <n v="105"/>
    <n v="140"/>
    <n v="85"/>
    <n v="140"/>
    <n v="131"/>
    <n v="288.5"/>
    <n v="150"/>
    <n v="150"/>
    <n v="207.5"/>
    <n v="1951"/>
  </r>
  <r>
    <x v="171"/>
    <n v="804313"/>
    <s v="SHRI BALAJI SANITORY &amp; HARDWAR"/>
    <n v="119038"/>
    <s v="NAVEEN DISTRIBUTORS"/>
    <n v="0"/>
    <n v="0"/>
    <n v="0"/>
    <n v="0"/>
    <n v="0"/>
    <n v="20"/>
    <n v="0"/>
    <n v="20"/>
    <n v="0"/>
    <n v="0"/>
    <n v="0"/>
    <n v="0"/>
    <n v="40"/>
  </r>
  <r>
    <x v="172"/>
    <n v="804365"/>
    <s v="NAVEEN CEMENT AGENCY"/>
    <n v="143148"/>
    <s v="R.N. YADAV ARA MACHINE"/>
    <n v="15"/>
    <n v="20"/>
    <n v="35"/>
    <n v="45"/>
    <n v="0"/>
    <n v="0"/>
    <n v="20"/>
    <n v="0"/>
    <n v="15"/>
    <n v="10"/>
    <n v="15"/>
    <n v="55"/>
    <n v="230"/>
  </r>
  <r>
    <x v="173"/>
    <n v="804429"/>
    <s v="LACKY CEMENT AGENCY"/>
    <n v="201280"/>
    <s v="SIDDHI VINAYAK CEMENT DISTRIBU"/>
    <n v="0"/>
    <n v="0"/>
    <n v="8"/>
    <n v="37"/>
    <n v="15"/>
    <n v="15"/>
    <n v="0"/>
    <n v="5"/>
    <n v="23.45"/>
    <n v="38"/>
    <n v="18"/>
    <n v="34"/>
    <n v="193.45"/>
  </r>
  <r>
    <x v="174"/>
    <n v="804430"/>
    <s v="PATIDAR CONSTRUCTION AND BUILD"/>
    <n v="119066"/>
    <s v="RAJENDRA KUMAR RATAN LAL JAIN"/>
    <n v="0"/>
    <n v="83"/>
    <n v="10"/>
    <n v="15"/>
    <n v="17"/>
    <n v="17"/>
    <n v="0"/>
    <n v="0"/>
    <n v="0"/>
    <n v="0"/>
    <n v="0"/>
    <n v="0"/>
    <n v="142"/>
  </r>
  <r>
    <x v="175"/>
    <n v="804431"/>
    <s v="JAIN ENTERPRISES"/>
    <n v="119208"/>
    <s v="SURAJMAL TANSUKH RAI"/>
    <n v="375.6"/>
    <n v="250.75"/>
    <n v="266"/>
    <n v="378.5"/>
    <n v="300.5"/>
    <n v="294.25"/>
    <n v="255.2"/>
    <n v="225.55"/>
    <n v="324"/>
    <n v="208"/>
    <n v="260.14999999999998"/>
    <n v="380"/>
    <n v="3518.5"/>
  </r>
  <r>
    <x v="176"/>
    <n v="804432"/>
    <s v="SISODIA CEMENT AGENCIES"/>
    <n v="141115"/>
    <s v="KALPESH CEMENT AGENCY"/>
    <n v="93.5"/>
    <n v="118.45"/>
    <n v="128.25"/>
    <n v="119.5"/>
    <n v="99.5"/>
    <n v="134.75"/>
    <n v="94.25"/>
    <n v="124.5"/>
    <n v="113.25"/>
    <n v="98.5"/>
    <n v="108.5"/>
    <n v="104.25"/>
    <n v="1337.2"/>
  </r>
  <r>
    <x v="177"/>
    <n v="804474"/>
    <s v="GAURAV CEMENT AGENCY"/>
    <n v="119028"/>
    <s v="KANHAYALAL &amp; SONS"/>
    <n v="0"/>
    <n v="0"/>
    <n v="0"/>
    <n v="0"/>
    <n v="0"/>
    <n v="11"/>
    <n v="0"/>
    <n v="0"/>
    <n v="0"/>
    <n v="0"/>
    <n v="0"/>
    <n v="0"/>
    <n v="11"/>
  </r>
  <r>
    <x v="178"/>
    <n v="804485"/>
    <s v="MAHAVEER TRADERS"/>
    <n v="119038"/>
    <s v="NAVEEN DISTRIBUTORS"/>
    <n v="122.5"/>
    <n v="0"/>
    <n v="10"/>
    <n v="70"/>
    <n v="35"/>
    <n v="50"/>
    <n v="46"/>
    <n v="26"/>
    <n v="25"/>
    <n v="0"/>
    <n v="70"/>
    <n v="35"/>
    <n v="489.5"/>
  </r>
  <r>
    <x v="179"/>
    <n v="804632"/>
    <s v="MATESHWARI ENTERPRISES AND STO"/>
    <n v="141115"/>
    <s v="KALPESH CEMENT AGENCY"/>
    <n v="80"/>
    <n v="50"/>
    <n v="100"/>
    <n v="89.5"/>
    <n v="68.5"/>
    <n v="82.5"/>
    <n v="65"/>
    <n v="49.5"/>
    <n v="135"/>
    <n v="170"/>
    <n v="146"/>
    <n v="177.5"/>
    <n v="1213.5"/>
  </r>
  <r>
    <x v="180"/>
    <n v="804744"/>
    <s v="MAHALAXMI STEEL TRADERS"/>
    <n v="206066"/>
    <s v="GAJANAND CEMENT AGENCY"/>
    <n v="24"/>
    <n v="0"/>
    <n v="0"/>
    <n v="15"/>
    <n v="60"/>
    <n v="78.75"/>
    <n v="60"/>
    <n v="0"/>
    <n v="55"/>
    <n v="15"/>
    <n v="29"/>
    <n v="0"/>
    <n v="336.75"/>
  </r>
  <r>
    <x v="181"/>
    <n v="804746"/>
    <s v="RANG LAL CONTRACTOR"/>
    <n v="143114"/>
    <s v="RAJESH TRADING COMPANY"/>
    <n v="45"/>
    <n v="10"/>
    <n v="20"/>
    <n v="13.5"/>
    <n v="20"/>
    <n v="5"/>
    <n v="13.4"/>
    <n v="0"/>
    <n v="88.5"/>
    <n v="35"/>
    <n v="7.85"/>
    <n v="0"/>
    <n v="258.25"/>
  </r>
  <r>
    <x v="182"/>
    <n v="804773"/>
    <s v="JAI SHREE NATH STONE &amp; BUILDIN"/>
    <n v="119179"/>
    <s v="KUMAWAT BUILDING MATERIALS"/>
    <n v="10"/>
    <n v="0"/>
    <n v="15"/>
    <n v="10"/>
    <n v="0"/>
    <n v="0"/>
    <n v="0"/>
    <n v="0"/>
    <n v="7.5"/>
    <n v="0"/>
    <n v="0"/>
    <n v="0"/>
    <n v="42.5"/>
  </r>
  <r>
    <x v="183"/>
    <n v="804774"/>
    <s v="GAHLOT BUILDING MATERIAL SUPPL"/>
    <n v="119179"/>
    <s v="KUMAWAT BUILDING MATERIALS"/>
    <n v="28"/>
    <n v="0"/>
    <n v="15"/>
    <n v="35"/>
    <n v="17"/>
    <n v="22.5"/>
    <n v="37.5"/>
    <n v="5"/>
    <n v="32.5"/>
    <n v="32.5"/>
    <n v="27.5"/>
    <n v="12.5"/>
    <n v="265"/>
  </r>
  <r>
    <x v="184"/>
    <n v="804818"/>
    <s v="JAGDAMBA SUPPLIERS"/>
    <n v="119261"/>
    <s v="DURGESH ENTERPRISES"/>
    <n v="50"/>
    <n v="0"/>
    <n v="103"/>
    <n v="53"/>
    <n v="22"/>
    <n v="100"/>
    <n v="53"/>
    <n v="50"/>
    <n v="51"/>
    <n v="75.5"/>
    <n v="0"/>
    <n v="50"/>
    <n v="607.5"/>
  </r>
  <r>
    <x v="185"/>
    <n v="804832"/>
    <s v="CHAMUNDA STONE"/>
    <n v="119029"/>
    <s v="LALLAMAL KANHYALAL &amp; SONS"/>
    <n v="10"/>
    <n v="0"/>
    <n v="10"/>
    <n v="12.5"/>
    <n v="10"/>
    <n v="0"/>
    <n v="10"/>
    <n v="0"/>
    <n v="0"/>
    <n v="0"/>
    <n v="0"/>
    <n v="0"/>
    <n v="52.5"/>
  </r>
  <r>
    <x v="186"/>
    <n v="804833"/>
    <s v="BAWEJA CEMENT AGENCY"/>
    <n v="119263"/>
    <s v="KUKKAR ENTERPRISES"/>
    <n v="43"/>
    <n v="62"/>
    <n v="25"/>
    <n v="33"/>
    <n v="19.5"/>
    <n v="91.5"/>
    <n v="39"/>
    <n v="67.5"/>
    <n v="92"/>
    <n v="15.5"/>
    <n v="76.5"/>
    <n v="36.5"/>
    <n v="601"/>
  </r>
  <r>
    <x v="187"/>
    <n v="804864"/>
    <s v="SHREE BAJRANG BALI HARDWARE"/>
    <n v="206066"/>
    <s v="GAJANAND CEMENT AGENCY"/>
    <n v="0"/>
    <n v="0"/>
    <n v="0"/>
    <n v="0"/>
    <n v="0"/>
    <n v="0"/>
    <n v="0"/>
    <n v="0"/>
    <n v="0"/>
    <n v="0"/>
    <n v="109"/>
    <n v="0"/>
    <n v="109"/>
  </r>
  <r>
    <x v="188"/>
    <n v="804876"/>
    <s v="GAUR BUILDING MATERIAL"/>
    <n v="119031"/>
    <s v="RAMESH CHANDRA RAJENDRA KUMAR"/>
    <n v="0"/>
    <n v="0"/>
    <n v="0"/>
    <n v="0"/>
    <n v="20"/>
    <n v="105"/>
    <n v="30"/>
    <n v="35"/>
    <n v="38.5"/>
    <n v="65.5"/>
    <n v="0"/>
    <n v="42"/>
    <n v="336"/>
  </r>
  <r>
    <x v="189"/>
    <n v="804888"/>
    <s v="DEV TRADERS"/>
    <n v="143113"/>
    <s v="SHREE RADHE GOPAL TRDERS"/>
    <n v="43"/>
    <n v="105"/>
    <n v="95"/>
    <n v="136"/>
    <n v="152"/>
    <n v="158"/>
    <n v="154"/>
    <n v="92.5"/>
    <n v="108"/>
    <n v="135"/>
    <n v="140"/>
    <n v="186"/>
    <n v="1504.5"/>
  </r>
  <r>
    <x v="190"/>
    <n v="804897"/>
    <s v="SHREE NATH CEMENT AGENCY"/>
    <n v="140857"/>
    <s v="MERAWAT CEMENT AGENCY"/>
    <n v="10"/>
    <n v="18.25"/>
    <n v="85"/>
    <n v="37.5"/>
    <n v="80"/>
    <n v="30"/>
    <n v="30"/>
    <n v="5"/>
    <n v="56.5"/>
    <n v="34.5"/>
    <n v="70"/>
    <n v="74.5"/>
    <n v="531.25"/>
  </r>
  <r>
    <x v="191"/>
    <n v="804898"/>
    <s v="PATEL BUILDING MATERIAL"/>
    <n v="119050"/>
    <s v="RAJASTHAN CEMENT CORPORATION"/>
    <n v="41"/>
    <n v="0"/>
    <n v="25"/>
    <n v="22.5"/>
    <n v="15"/>
    <n v="7.5"/>
    <n v="11"/>
    <n v="20"/>
    <n v="10"/>
    <n v="40"/>
    <n v="0"/>
    <n v="20"/>
    <n v="212"/>
  </r>
  <r>
    <x v="192"/>
    <n v="804909"/>
    <s v="DEV INDRA SAND STONE"/>
    <n v="170775"/>
    <s v="GANPAT LAL MAROTHIYA AND SONS"/>
    <n v="10"/>
    <n v="0"/>
    <n v="0"/>
    <n v="0"/>
    <n v="0"/>
    <n v="0"/>
    <n v="0"/>
    <n v="0"/>
    <n v="0"/>
    <n v="0"/>
    <n v="0"/>
    <n v="0"/>
    <n v="10"/>
  </r>
  <r>
    <x v="193"/>
    <n v="804910"/>
    <s v="BHAWANI TRADERS"/>
    <n v="119038"/>
    <s v="NAVEEN DISTRIBUTORS"/>
    <n v="10"/>
    <n v="40"/>
    <n v="65"/>
    <n v="70"/>
    <n v="100"/>
    <n v="123.5"/>
    <n v="95"/>
    <n v="55"/>
    <n v="84"/>
    <n v="95"/>
    <n v="138"/>
    <n v="325"/>
    <n v="1200.5"/>
  </r>
  <r>
    <x v="194"/>
    <n v="804933"/>
    <s v="GOYAL TRADERS"/>
    <n v="170156"/>
    <s v="NASEEB TRADERS"/>
    <n v="0"/>
    <n v="0"/>
    <n v="0"/>
    <n v="0"/>
    <n v="120.75"/>
    <n v="156"/>
    <n v="82.5"/>
    <n v="95"/>
    <n v="190"/>
    <n v="150"/>
    <n v="95"/>
    <n v="119.5"/>
    <n v="1008.75"/>
  </r>
  <r>
    <x v="195"/>
    <n v="804935"/>
    <s v="SHREE SHYAM TRADERS"/>
    <n v="122537"/>
    <s v="SARASWATI TRADERS"/>
    <n v="38.450000000000003"/>
    <n v="5"/>
    <n v="56.25"/>
    <n v="84.75"/>
    <n v="137.5"/>
    <n v="85.25"/>
    <n v="94"/>
    <n v="74.25"/>
    <n v="121.5"/>
    <n v="68.5"/>
    <n v="50"/>
    <n v="77.5"/>
    <n v="892.95"/>
  </r>
  <r>
    <x v="196"/>
    <n v="804935"/>
    <s v="SHREE SHYAM TRADERS"/>
    <n v="176279"/>
    <s v="ADITYA ENTERPRISES"/>
    <n v="0"/>
    <n v="0"/>
    <n v="0"/>
    <n v="0"/>
    <n v="0"/>
    <n v="0"/>
    <n v="0"/>
    <n v="0"/>
    <n v="10"/>
    <n v="0"/>
    <n v="0"/>
    <n v="0"/>
    <n v="10"/>
  </r>
  <r>
    <x v="197"/>
    <n v="804940"/>
    <s v="SWAROOP CHAND KHIVRAJ TEWARI"/>
    <n v="119038"/>
    <s v="NAVEEN DISTRIBUTORS"/>
    <n v="70"/>
    <n v="25"/>
    <n v="40"/>
    <n v="35"/>
    <n v="0"/>
    <n v="30"/>
    <n v="15"/>
    <n v="0"/>
    <n v="15"/>
    <n v="0"/>
    <n v="34.5"/>
    <n v="49"/>
    <n v="313.5"/>
  </r>
  <r>
    <x v="198"/>
    <n v="804966"/>
    <s v="RAMNIWAS LAHOTI CEMENT AGENCY"/>
    <n v="143530"/>
    <s v="BHATI CEMENT AGENCY"/>
    <n v="30"/>
    <n v="40"/>
    <n v="55"/>
    <n v="50"/>
    <n v="10"/>
    <n v="20"/>
    <n v="20"/>
    <n v="25"/>
    <n v="12.5"/>
    <n v="20"/>
    <n v="20"/>
    <n v="55"/>
    <n v="357.5"/>
  </r>
  <r>
    <x v="199"/>
    <n v="804968"/>
    <s v="GANPATI BUILDING MATERIAL"/>
    <n v="140852"/>
    <s v="NEW KALPESH CEMENT AGENCY"/>
    <n v="31"/>
    <n v="45"/>
    <n v="32.5"/>
    <n v="22.5"/>
    <n v="43"/>
    <n v="27"/>
    <n v="6"/>
    <n v="20"/>
    <n v="27.75"/>
    <n v="0"/>
    <n v="0"/>
    <n v="0"/>
    <n v="254.75"/>
  </r>
  <r>
    <x v="200"/>
    <n v="804969"/>
    <s v="MAA ASHAPURA CEMENT &amp; SANATRY"/>
    <n v="140858"/>
    <s v="RAMESH CHANDRA JAI CHAND"/>
    <n v="55"/>
    <n v="20"/>
    <n v="30"/>
    <n v="42.5"/>
    <n v="30"/>
    <n v="45"/>
    <n v="30"/>
    <n v="30"/>
    <n v="65"/>
    <n v="20"/>
    <n v="35"/>
    <n v="80"/>
    <n v="482.5"/>
  </r>
  <r>
    <x v="201"/>
    <n v="804971"/>
    <s v="SINGHAVI BROTHERS"/>
    <n v="119028"/>
    <s v="KANHAYALAL &amp; SONS"/>
    <n v="62"/>
    <n v="62"/>
    <n v="217"/>
    <n v="93"/>
    <n v="31"/>
    <n v="31"/>
    <n v="93"/>
    <n v="93"/>
    <n v="0"/>
    <n v="31"/>
    <n v="0"/>
    <n v="0"/>
    <n v="713"/>
  </r>
  <r>
    <x v="202"/>
    <n v="804978"/>
    <s v="SHREE MAHARANI BUILDING MATERI"/>
    <n v="176276"/>
    <s v="LAXMI BUILDING MATERIAL STORE"/>
    <n v="0"/>
    <n v="0"/>
    <n v="0"/>
    <n v="0"/>
    <n v="0"/>
    <n v="0"/>
    <n v="0"/>
    <n v="30"/>
    <n v="32.5"/>
    <n v="0"/>
    <n v="0"/>
    <n v="0"/>
    <n v="62.5"/>
  </r>
  <r>
    <x v="203"/>
    <n v="804980"/>
    <s v="SHREE OM TRADING COMPANY"/>
    <n v="171880"/>
    <s v="BHUVAN AGENCIES"/>
    <n v="70"/>
    <n v="120"/>
    <n v="170"/>
    <n v="170"/>
    <n v="120.5"/>
    <n v="150"/>
    <n v="272"/>
    <n v="17.75"/>
    <n v="0"/>
    <n v="0"/>
    <n v="0"/>
    <n v="0"/>
    <n v="1090.25"/>
  </r>
  <r>
    <x v="204"/>
    <n v="804980"/>
    <s v="SHREE OM TRADING COMPANY"/>
    <n v="175288"/>
    <s v="LAXMI TRADERS"/>
    <n v="0"/>
    <n v="0"/>
    <n v="0"/>
    <n v="0"/>
    <n v="0"/>
    <n v="0"/>
    <n v="0"/>
    <n v="0"/>
    <n v="60"/>
    <n v="10"/>
    <n v="0"/>
    <n v="0"/>
    <n v="70"/>
  </r>
  <r>
    <x v="205"/>
    <n v="804992"/>
    <s v="SHRI GANPATI CONSTRUCTION &amp; BU"/>
    <n v="143114"/>
    <s v="RAJESH TRADING COMPANY"/>
    <n v="0"/>
    <n v="15"/>
    <n v="0"/>
    <n v="12.75"/>
    <n v="5"/>
    <n v="13"/>
    <n v="0"/>
    <n v="0"/>
    <n v="20"/>
    <n v="10"/>
    <n v="0"/>
    <n v="0"/>
    <n v="75.75"/>
  </r>
  <r>
    <x v="206"/>
    <n v="805005"/>
    <s v="NETA ELECTRICALS"/>
    <n v="146845"/>
    <s v="SHARDA TRADERS"/>
    <n v="52"/>
    <n v="32.5"/>
    <n v="40"/>
    <n v="73.099999999999994"/>
    <n v="58.25"/>
    <n v="44.45"/>
    <n v="44"/>
    <n v="23.75"/>
    <n v="25"/>
    <n v="23.75"/>
    <n v="23.25"/>
    <n v="33.5"/>
    <n v="473.55"/>
  </r>
  <r>
    <x v="207"/>
    <n v="805095"/>
    <s v="SHRI KRISHNA TRADERS"/>
    <n v="119261"/>
    <s v="DURGESH ENTERPRISES"/>
    <n v="25"/>
    <n v="0"/>
    <n v="101"/>
    <n v="53"/>
    <n v="22"/>
    <n v="0"/>
    <n v="105"/>
    <n v="101.5"/>
    <n v="100"/>
    <n v="51.3"/>
    <n v="106"/>
    <n v="0"/>
    <n v="664.8"/>
  </r>
  <r>
    <x v="208"/>
    <n v="805149"/>
    <s v="KUMAWAT TRADERS"/>
    <n v="119208"/>
    <s v="SURAJMAL TANSUKH RAI"/>
    <n v="44"/>
    <n v="0"/>
    <n v="112"/>
    <n v="0"/>
    <n v="0"/>
    <n v="0"/>
    <n v="0"/>
    <n v="0"/>
    <n v="115"/>
    <n v="0"/>
    <n v="0"/>
    <n v="358.5"/>
    <n v="629.5"/>
  </r>
  <r>
    <x v="209"/>
    <n v="805151"/>
    <s v="RAHUL BUILDING MATERIAL"/>
    <n v="202865"/>
    <s v="DEEPAK TRADERS"/>
    <n v="105.5"/>
    <n v="165.5"/>
    <n v="335.5"/>
    <n v="217"/>
    <n v="148.5"/>
    <n v="137.5"/>
    <n v="61"/>
    <n v="145.5"/>
    <n v="233.5"/>
    <n v="92.5"/>
    <n v="127.5"/>
    <n v="178.5"/>
    <n v="1948"/>
  </r>
  <r>
    <x v="210"/>
    <n v="805158"/>
    <s v="FAUJDAR BUILDING MATERIAL"/>
    <n v="202865"/>
    <s v="DEEPAK TRADERS"/>
    <n v="54.5"/>
    <n v="41.5"/>
    <n v="126"/>
    <n v="81.5"/>
    <n v="97"/>
    <n v="32.5"/>
    <n v="70"/>
    <n v="98.5"/>
    <n v="94"/>
    <n v="57"/>
    <n v="77.5"/>
    <n v="71"/>
    <n v="901"/>
  </r>
  <r>
    <x v="211"/>
    <n v="805185"/>
    <s v="KK ENTERPRISES"/>
    <n v="122377"/>
    <s v="NILKANTH CONSTRUCTION"/>
    <n v="155"/>
    <n v="113.5"/>
    <n v="165"/>
    <n v="170"/>
    <n v="135"/>
    <n v="135"/>
    <n v="145"/>
    <n v="113.5"/>
    <n v="265.75"/>
    <n v="175"/>
    <n v="214"/>
    <n v="222.5"/>
    <n v="2009.25"/>
  </r>
  <r>
    <x v="212"/>
    <n v="805255"/>
    <s v="SWASTIK BUILDING"/>
    <n v="119261"/>
    <s v="DURGESH ENTERPRISES"/>
    <n v="0"/>
    <n v="0"/>
    <n v="0"/>
    <n v="0"/>
    <n v="10"/>
    <n v="0"/>
    <n v="0"/>
    <n v="0"/>
    <n v="0"/>
    <n v="20"/>
    <n v="0"/>
    <n v="0"/>
    <n v="30"/>
  </r>
  <r>
    <x v="213"/>
    <n v="805276"/>
    <s v="CHARBHUJA CONSTRUCTION"/>
    <n v="170606"/>
    <s v="SHREE SANWARIYA CONSTRUCTION"/>
    <n v="10"/>
    <n v="67"/>
    <n v="64"/>
    <n v="45"/>
    <n v="60"/>
    <n v="51"/>
    <n v="57"/>
    <n v="56"/>
    <n v="55"/>
    <n v="20"/>
    <n v="39.75"/>
    <n v="10"/>
    <n v="534.75"/>
  </r>
  <r>
    <x v="214"/>
    <n v="805323"/>
    <s v="KARDHAR CEMENT SUPPLIERS"/>
    <n v="119028"/>
    <s v="KANHAYALAL &amp; SONS"/>
    <n v="0"/>
    <n v="0"/>
    <n v="0"/>
    <n v="7.5"/>
    <n v="0"/>
    <n v="15"/>
    <n v="0"/>
    <n v="15"/>
    <n v="10"/>
    <n v="0"/>
    <n v="20"/>
    <n v="93"/>
    <n v="160.5"/>
  </r>
  <r>
    <x v="215"/>
    <n v="805324"/>
    <s v="MATESHWARI CEMENT SUPPLIERS"/>
    <n v="119028"/>
    <s v="KANHAYALAL &amp; SONS"/>
    <n v="0"/>
    <n v="0"/>
    <n v="0"/>
    <n v="35"/>
    <n v="31"/>
    <n v="31"/>
    <n v="31"/>
    <n v="93"/>
    <n v="41"/>
    <n v="0"/>
    <n v="11"/>
    <n v="31"/>
    <n v="304"/>
  </r>
  <r>
    <x v="216"/>
    <n v="805325"/>
    <s v="RAJASTHAN TRADERS"/>
    <n v="119066"/>
    <s v="RAJENDRA KUMAR RATAN LAL JAIN"/>
    <n v="0"/>
    <n v="85"/>
    <n v="131"/>
    <n v="29.5"/>
    <n v="53"/>
    <n v="64"/>
    <n v="81"/>
    <n v="42"/>
    <n v="69.5"/>
    <n v="67.5"/>
    <n v="75"/>
    <n v="202.5"/>
    <n v="900"/>
  </r>
  <r>
    <x v="217"/>
    <n v="805351"/>
    <s v="KHEDA DEVI BUILDING MATERIALS"/>
    <n v="119028"/>
    <s v="KANHAYALAL &amp; SONS"/>
    <n v="16"/>
    <n v="0"/>
    <n v="93"/>
    <n v="84"/>
    <n v="31"/>
    <n v="93"/>
    <n v="0"/>
    <n v="31"/>
    <n v="63"/>
    <n v="92"/>
    <n v="62"/>
    <n v="40"/>
    <n v="605"/>
  </r>
  <r>
    <x v="218"/>
    <n v="805375"/>
    <s v="SHREE RAM TRADERS"/>
    <n v="119261"/>
    <s v="DURGESH ENTERPRISES"/>
    <n v="30"/>
    <n v="0"/>
    <n v="51"/>
    <n v="1"/>
    <n v="50"/>
    <n v="23"/>
    <n v="50.5"/>
    <n v="0"/>
    <n v="0"/>
    <n v="90"/>
    <n v="0"/>
    <n v="0"/>
    <n v="295.5"/>
  </r>
  <r>
    <x v="219"/>
    <n v="805377"/>
    <s v="MANISH TRADERS"/>
    <n v="119261"/>
    <s v="DURGESH ENTERPRISES"/>
    <n v="0"/>
    <n v="0"/>
    <n v="76"/>
    <n v="89.75"/>
    <n v="30.5"/>
    <n v="51.3"/>
    <n v="51"/>
    <n v="20"/>
    <n v="21"/>
    <n v="80.5"/>
    <n v="0"/>
    <n v="181"/>
    <n v="601.04999999999995"/>
  </r>
  <r>
    <x v="220"/>
    <n v="805378"/>
    <s v="BANWARI LAL KUMHAR"/>
    <n v="176276"/>
    <s v="LAXMI BUILDING MATERIAL STORE"/>
    <n v="47.5"/>
    <n v="50"/>
    <n v="66"/>
    <n v="80.5"/>
    <n v="100"/>
    <n v="100"/>
    <n v="83"/>
    <n v="51"/>
    <n v="215.7"/>
    <n v="148"/>
    <n v="157"/>
    <n v="181.2"/>
    <n v="1279.9000000000001"/>
  </r>
  <r>
    <x v="221"/>
    <n v="805385"/>
    <s v="SHARMA BUILDING MATERIAL"/>
    <n v="149971"/>
    <s v="PRADHAN CEMENT SUPPLIERS"/>
    <n v="115"/>
    <n v="0"/>
    <n v="100.5"/>
    <n v="14"/>
    <n v="12.5"/>
    <n v="25"/>
    <n v="20"/>
    <n v="35"/>
    <n v="24.5"/>
    <n v="16"/>
    <n v="0"/>
    <n v="35"/>
    <n v="397.5"/>
  </r>
  <r>
    <x v="222"/>
    <n v="805385"/>
    <s v="SHARMA BUILDING MATERIAL"/>
    <n v="177426"/>
    <s v="THALOR ENTERPRISES"/>
    <n v="0"/>
    <n v="0"/>
    <n v="3.5"/>
    <n v="0"/>
    <n v="0"/>
    <n v="0"/>
    <n v="0"/>
    <n v="0"/>
    <n v="0"/>
    <n v="0"/>
    <n v="0"/>
    <n v="0"/>
    <n v="3.5"/>
  </r>
  <r>
    <x v="223"/>
    <n v="805397"/>
    <s v="AMBIKA TRADING COMPANY"/>
    <n v="119044"/>
    <s v="PANWAR TRADING CORPORATION LTD"/>
    <n v="20"/>
    <n v="20"/>
    <n v="30"/>
    <n v="40"/>
    <n v="2"/>
    <n v="0"/>
    <n v="150"/>
    <n v="95"/>
    <n v="35"/>
    <n v="40"/>
    <n v="0"/>
    <n v="0"/>
    <n v="432"/>
  </r>
  <r>
    <x v="224"/>
    <n v="805401"/>
    <s v="MAHALAXMI HARDWARA"/>
    <n v="176773"/>
    <s v="MANIK CHAND LAKHMI CHAND"/>
    <n v="0"/>
    <n v="0"/>
    <n v="0"/>
    <n v="0"/>
    <n v="0"/>
    <n v="0"/>
    <n v="0"/>
    <n v="0"/>
    <n v="0"/>
    <n v="0"/>
    <n v="15"/>
    <n v="0"/>
    <n v="15"/>
  </r>
  <r>
    <x v="225"/>
    <n v="805403"/>
    <s v="RAJU KIRANA STORE"/>
    <n v="119038"/>
    <s v="NAVEEN DISTRIBUTORS"/>
    <n v="35"/>
    <n v="20"/>
    <n v="20"/>
    <n v="35"/>
    <n v="0"/>
    <n v="30"/>
    <n v="20"/>
    <n v="15"/>
    <n v="20"/>
    <n v="50"/>
    <n v="55"/>
    <n v="0"/>
    <n v="300"/>
  </r>
  <r>
    <x v="226"/>
    <n v="805406"/>
    <s v="PRIYANKA BUILDERS"/>
    <n v="119261"/>
    <s v="DURGESH ENTERPRISES"/>
    <n v="0"/>
    <n v="0"/>
    <n v="0"/>
    <n v="0"/>
    <n v="10"/>
    <n v="0"/>
    <n v="31"/>
    <n v="0"/>
    <n v="0"/>
    <n v="0"/>
    <n v="0"/>
    <n v="0"/>
    <n v="41"/>
  </r>
  <r>
    <x v="227"/>
    <n v="805419"/>
    <s v="SHEOJI RAM NIRBHAY RAM KUMAWAT"/>
    <n v="119261"/>
    <s v="DURGESH ENTERPRISES"/>
    <n v="0"/>
    <n v="0"/>
    <n v="100.5"/>
    <n v="56"/>
    <n v="30"/>
    <n v="40"/>
    <n v="76"/>
    <n v="101"/>
    <n v="40"/>
    <n v="50"/>
    <n v="0"/>
    <n v="110"/>
    <n v="603.5"/>
  </r>
  <r>
    <x v="228"/>
    <n v="805420"/>
    <s v="PARTH CONSTRUCTION"/>
    <n v="119050"/>
    <s v="RAJASTHAN CEMENT CORPORATION"/>
    <n v="15"/>
    <n v="0"/>
    <n v="69.5"/>
    <n v="63.5"/>
    <n v="21.5"/>
    <n v="20.5"/>
    <n v="15"/>
    <n v="10"/>
    <n v="20"/>
    <n v="30"/>
    <n v="20"/>
    <n v="20"/>
    <n v="305"/>
  </r>
  <r>
    <x v="229"/>
    <n v="805432"/>
    <s v="AARADHYA INDUSTRIES"/>
    <n v="119038"/>
    <s v="NAVEEN DISTRIBUTORS"/>
    <n v="0"/>
    <n v="30"/>
    <n v="15"/>
    <n v="47.75"/>
    <n v="5"/>
    <n v="72.5"/>
    <n v="50"/>
    <n v="54.25"/>
    <n v="25"/>
    <n v="50"/>
    <n v="27.5"/>
    <n v="32.5"/>
    <n v="409.5"/>
  </r>
  <r>
    <x v="230"/>
    <n v="805433"/>
    <s v="JAIN BUILDING MATERIAL"/>
    <n v="119038"/>
    <s v="NAVEEN DISTRIBUTORS"/>
    <n v="70"/>
    <n v="67.5"/>
    <n v="157.5"/>
    <n v="55"/>
    <n v="64"/>
    <n v="98.5"/>
    <n v="95"/>
    <n v="54.5"/>
    <n v="144.5"/>
    <n v="54.5"/>
    <n v="104.5"/>
    <n v="237"/>
    <n v="1202.5"/>
  </r>
  <r>
    <x v="231"/>
    <n v="805453"/>
    <s v="SHREE GANESH TRADING COMPANY"/>
    <n v="119261"/>
    <s v="DURGESH ENTERPRISES"/>
    <n v="100"/>
    <n v="0"/>
    <n v="102"/>
    <n v="105.95"/>
    <n v="2"/>
    <n v="100"/>
    <n v="76"/>
    <n v="76.45"/>
    <n v="0"/>
    <n v="57.5"/>
    <n v="106"/>
    <n v="0"/>
    <n v="725.9"/>
  </r>
  <r>
    <x v="232"/>
    <n v="805454"/>
    <s v="GEHLOT AGENCIES"/>
    <n v="119038"/>
    <s v="NAVEEN DISTRIBUTORS"/>
    <n v="0"/>
    <n v="30"/>
    <n v="0"/>
    <n v="30"/>
    <n v="20"/>
    <n v="30"/>
    <n v="30"/>
    <n v="60"/>
    <n v="0"/>
    <n v="50"/>
    <n v="10"/>
    <n v="150"/>
    <n v="410"/>
  </r>
  <r>
    <x v="233"/>
    <n v="805468"/>
    <s v="KEDAR LAL RAMKISHAN LAL"/>
    <n v="170197"/>
    <s v="ARVIND BUILDING MATERIAL"/>
    <n v="20"/>
    <n v="35"/>
    <n v="40"/>
    <n v="90"/>
    <n v="15"/>
    <n v="15"/>
    <n v="52"/>
    <n v="25"/>
    <n v="10"/>
    <n v="42"/>
    <n v="15"/>
    <n v="20"/>
    <n v="379"/>
  </r>
  <r>
    <x v="234"/>
    <n v="805468"/>
    <s v="KEDAR LAL RAMKISHAN LAL"/>
    <n v="170892"/>
    <s v="GOURAV AGAENCY"/>
    <n v="0"/>
    <n v="0"/>
    <n v="0"/>
    <n v="0"/>
    <n v="0"/>
    <n v="0"/>
    <n v="0"/>
    <n v="0"/>
    <n v="0"/>
    <n v="0"/>
    <n v="0"/>
    <n v="10"/>
    <n v="10"/>
  </r>
  <r>
    <x v="235"/>
    <n v="805544"/>
    <s v="JAGDAMBA CEMENT AGENCY"/>
    <n v="119038"/>
    <s v="NAVEEN DISTRIBUTORS"/>
    <n v="0"/>
    <n v="69"/>
    <n v="114"/>
    <n v="60"/>
    <n v="75"/>
    <n v="53.5"/>
    <n v="30"/>
    <n v="103.5"/>
    <n v="88"/>
    <n v="56"/>
    <n v="120"/>
    <n v="134"/>
    <n v="903"/>
  </r>
  <r>
    <x v="236"/>
    <n v="805545"/>
    <s v="JAI SHREE LAKSHMI PAD &amp; BUILDI"/>
    <n v="149764"/>
    <s v="JMD CEMENT &amp; IRON STORE"/>
    <n v="126.5"/>
    <n v="93"/>
    <n v="70"/>
    <n v="134"/>
    <n v="92"/>
    <n v="86.5"/>
    <n v="150"/>
    <n v="30"/>
    <n v="127.5"/>
    <n v="75"/>
    <n v="110"/>
    <n v="115"/>
    <n v="1209.5"/>
  </r>
  <r>
    <x v="237"/>
    <n v="805572"/>
    <s v="BRIJ PARKASH BUILDING MATERIAL"/>
    <n v="148629"/>
    <s v="AGGARWAL SANITARY &amp; PIPE STORE"/>
    <n v="56.5"/>
    <n v="40"/>
    <n v="43"/>
    <n v="0"/>
    <n v="0"/>
    <n v="0"/>
    <n v="0"/>
    <n v="0"/>
    <n v="0"/>
    <n v="0"/>
    <n v="0"/>
    <n v="0"/>
    <n v="139.5"/>
  </r>
  <r>
    <x v="238"/>
    <n v="805574"/>
    <s v="JAI BHAIRAV NATH BUILDING MATE"/>
    <n v="170204"/>
    <s v="GOYAL BUILDING MATERIAL"/>
    <n v="288.5"/>
    <n v="163.5"/>
    <n v="229"/>
    <n v="50"/>
    <n v="42"/>
    <n v="258.5"/>
    <n v="158"/>
    <n v="84"/>
    <n v="259"/>
    <n v="126"/>
    <n v="222"/>
    <n v="215"/>
    <n v="2095.5"/>
  </r>
  <r>
    <x v="239"/>
    <n v="805597"/>
    <s v="SHEKHAWAT TRADING COMPANY"/>
    <n v="144243"/>
    <s v="SHRI SHYAM TRADING COMPANY"/>
    <n v="93"/>
    <n v="32"/>
    <n v="27.5"/>
    <n v="64.05"/>
    <n v="22.5"/>
    <n v="62"/>
    <n v="27"/>
    <n v="0"/>
    <n v="43.05"/>
    <n v="63.5"/>
    <n v="30"/>
    <n v="50"/>
    <n v="514.6"/>
  </r>
  <r>
    <x v="240"/>
    <n v="805621"/>
    <s v="PREM KIRANA STORE"/>
    <n v="119038"/>
    <s v="NAVEEN DISTRIBUTORS"/>
    <n v="29"/>
    <n v="30"/>
    <n v="15"/>
    <n v="20"/>
    <n v="28.5"/>
    <n v="29.5"/>
    <n v="10"/>
    <n v="20"/>
    <n v="55"/>
    <n v="40"/>
    <n v="0"/>
    <n v="124.5"/>
    <n v="401.5"/>
  </r>
  <r>
    <x v="241"/>
    <n v="805624"/>
    <s v="SHREE BHERUNATH CEMENT SUPPLIE"/>
    <n v="119028"/>
    <s v="KANHAYALAL &amp; SONS"/>
    <n v="0"/>
    <n v="0"/>
    <n v="0"/>
    <n v="53"/>
    <n v="15"/>
    <n v="31"/>
    <n v="0"/>
    <n v="124"/>
    <n v="41"/>
    <n v="0"/>
    <n v="108"/>
    <n v="124"/>
    <n v="496"/>
  </r>
  <r>
    <x v="242"/>
    <n v="805627"/>
    <s v="SANWALIYA CEMENT SUPPLIERS"/>
    <n v="175775"/>
    <s v="CHARBHUJA ELECTRICALS &amp; HARDWA"/>
    <n v="0"/>
    <n v="0"/>
    <n v="0"/>
    <n v="44.5"/>
    <n v="53"/>
    <n v="37.5"/>
    <n v="0"/>
    <n v="17.5"/>
    <n v="50.5"/>
    <n v="28.75"/>
    <n v="59.75"/>
    <n v="119"/>
    <n v="410.5"/>
  </r>
  <r>
    <x v="243"/>
    <n v="805654"/>
    <s v="HARI OM BUILDING MATERIAL"/>
    <n v="119038"/>
    <s v="NAVEEN DISTRIBUTORS"/>
    <n v="45"/>
    <n v="0"/>
    <n v="0"/>
    <n v="10"/>
    <n v="0"/>
    <n v="15"/>
    <n v="29.5"/>
    <n v="0"/>
    <n v="15"/>
    <n v="55"/>
    <n v="34.5"/>
    <n v="0"/>
    <n v="204"/>
  </r>
  <r>
    <x v="244"/>
    <n v="805677"/>
    <s v="RAMA TRADERS"/>
    <n v="119038"/>
    <s v="NAVEEN DISTRIBUTORS"/>
    <n v="30"/>
    <n v="0"/>
    <n v="0"/>
    <n v="0"/>
    <n v="10"/>
    <n v="0"/>
    <n v="0"/>
    <n v="0"/>
    <n v="0"/>
    <n v="0"/>
    <n v="0"/>
    <n v="0"/>
    <n v="40"/>
  </r>
  <r>
    <x v="245"/>
    <n v="805752"/>
    <s v="VINAYAK TRADERS"/>
    <n v="170248"/>
    <s v="MAHAVEER ENTERPRISES"/>
    <n v="30"/>
    <n v="10"/>
    <n v="80"/>
    <n v="50"/>
    <n v="25"/>
    <n v="22.5"/>
    <n v="32"/>
    <n v="10"/>
    <n v="11"/>
    <n v="20"/>
    <n v="19.5"/>
    <n v="20"/>
    <n v="330"/>
  </r>
  <r>
    <x v="246"/>
    <n v="805765"/>
    <s v="BALAJI MOBILE POINT"/>
    <n v="147892"/>
    <s v="RAMDEV TRADERS"/>
    <n v="15"/>
    <n v="26.5"/>
    <n v="45.5"/>
    <n v="25.3"/>
    <n v="21"/>
    <n v="47"/>
    <n v="10"/>
    <n v="30"/>
    <n v="32.5"/>
    <n v="48"/>
    <n v="0"/>
    <n v="55"/>
    <n v="355.8"/>
  </r>
  <r>
    <x v="247"/>
    <n v="805796"/>
    <s v="PAYAL TRADERS"/>
    <n v="208268"/>
    <s v="BADIWAL TRADERS"/>
    <n v="0"/>
    <n v="0"/>
    <n v="0"/>
    <n v="0"/>
    <n v="0"/>
    <n v="0"/>
    <n v="50.5"/>
    <n v="0"/>
    <n v="55"/>
    <n v="10"/>
    <n v="34.5"/>
    <n v="0"/>
    <n v="150"/>
  </r>
  <r>
    <x v="248"/>
    <n v="805810"/>
    <s v="JAI HANUMAN CEMENT AGENCY"/>
    <n v="143148"/>
    <s v="R.N. YADAV ARA MACHINE"/>
    <n v="37.5"/>
    <n v="52.5"/>
    <n v="91"/>
    <n v="45"/>
    <n v="29.5"/>
    <n v="25"/>
    <n v="59.5"/>
    <n v="10"/>
    <n v="22.5"/>
    <n v="67.5"/>
    <n v="42"/>
    <n v="57.5"/>
    <n v="539.5"/>
  </r>
  <r>
    <x v="249"/>
    <n v="805810"/>
    <s v="JAI HANUMAN CEMENT AGENCY"/>
    <n v="172193"/>
    <s v="VARDHMAN CEMENT AGENCY"/>
    <n v="40"/>
    <n v="0"/>
    <n v="0"/>
    <n v="0"/>
    <n v="0"/>
    <n v="0"/>
    <n v="0"/>
    <n v="0"/>
    <n v="18"/>
    <n v="10"/>
    <n v="0"/>
    <n v="0"/>
    <n v="68"/>
  </r>
  <r>
    <x v="250"/>
    <n v="805811"/>
    <s v="YOGESH TRADERS"/>
    <n v="202865"/>
    <s v="DEEPAK TRADERS"/>
    <n v="30"/>
    <n v="94"/>
    <n v="207.5"/>
    <n v="181.5"/>
    <n v="116"/>
    <n v="192"/>
    <n v="104"/>
    <n v="142"/>
    <n v="276.5"/>
    <n v="143"/>
    <n v="100.5"/>
    <n v="141"/>
    <n v="1728"/>
  </r>
  <r>
    <x v="251"/>
    <n v="805822"/>
    <s v="SHRI CHAMUNDA MAA TRADING"/>
    <n v="119038"/>
    <s v="NAVEEN DISTRIBUTORS"/>
    <n v="69.5"/>
    <n v="65"/>
    <n v="30"/>
    <n v="20"/>
    <n v="59"/>
    <n v="32"/>
    <n v="32.5"/>
    <n v="23"/>
    <n v="34"/>
    <n v="10"/>
    <n v="40"/>
    <n v="0"/>
    <n v="415"/>
  </r>
  <r>
    <x v="252"/>
    <n v="805828"/>
    <s v="THOBJI PATIDAR"/>
    <n v="178818"/>
    <s v="SHIV CORPORATION"/>
    <n v="0"/>
    <n v="0"/>
    <n v="0"/>
    <n v="0"/>
    <n v="10"/>
    <n v="10"/>
    <n v="0"/>
    <n v="0"/>
    <n v="0"/>
    <n v="0"/>
    <n v="0"/>
    <n v="0"/>
    <n v="20"/>
  </r>
  <r>
    <x v="253"/>
    <n v="805828"/>
    <s v="THOBJI PATIDAR"/>
    <n v="208066"/>
    <s v="SHIV CORPORATION"/>
    <n v="10"/>
    <n v="25"/>
    <n v="60"/>
    <n v="50"/>
    <n v="34"/>
    <n v="44"/>
    <n v="53.5"/>
    <n v="55"/>
    <n v="101.95"/>
    <n v="83"/>
    <n v="80"/>
    <n v="65"/>
    <n v="661.45"/>
  </r>
  <r>
    <x v="254"/>
    <n v="805848"/>
    <s v="HARI OM CEMENT AGENCY"/>
    <n v="143148"/>
    <s v="R.N. YADAV ARA MACHINE"/>
    <n v="15"/>
    <n v="25"/>
    <n v="21"/>
    <n v="22.5"/>
    <n v="0"/>
    <n v="0"/>
    <n v="0"/>
    <n v="0"/>
    <n v="0"/>
    <n v="0"/>
    <n v="0"/>
    <n v="20"/>
    <n v="103.5"/>
  </r>
  <r>
    <x v="255"/>
    <n v="805869"/>
    <s v="BALAJI BUILDING MATERIAL CONST"/>
    <n v="176821"/>
    <s v="DHARMENDRA &amp; COMPANY"/>
    <n v="0"/>
    <n v="0"/>
    <n v="0"/>
    <n v="0"/>
    <n v="0"/>
    <n v="0"/>
    <n v="0"/>
    <n v="0"/>
    <n v="0"/>
    <n v="0"/>
    <n v="2.5"/>
    <n v="2.5"/>
    <n v="5"/>
  </r>
  <r>
    <x v="256"/>
    <n v="805870"/>
    <s v="SURESH KUMAR PUKHRAJ"/>
    <n v="206441"/>
    <s v="SHREE AMBIKA CEMENT COMPANY"/>
    <n v="40"/>
    <n v="20"/>
    <n v="67"/>
    <n v="60"/>
    <n v="90"/>
    <n v="59"/>
    <n v="70"/>
    <n v="50"/>
    <n v="90"/>
    <n v="70"/>
    <n v="42.5"/>
    <n v="120"/>
    <n v="778.5"/>
  </r>
  <r>
    <x v="257"/>
    <n v="805872"/>
    <s v="RAMDEV STONE POLISHING"/>
    <n v="176773"/>
    <s v="MANIK CHAND LAKHMI CHAND"/>
    <n v="32.5"/>
    <n v="35"/>
    <n v="60"/>
    <n v="37.5"/>
    <n v="50.25"/>
    <n v="0"/>
    <n v="0"/>
    <n v="0"/>
    <n v="0"/>
    <n v="0"/>
    <n v="0"/>
    <n v="0"/>
    <n v="215.25"/>
  </r>
  <r>
    <x v="258"/>
    <n v="805911"/>
    <s v="JAGDAMBA TRADERS"/>
    <n v="170115"/>
    <s v="YADAV BUILDING MATERIAL"/>
    <n v="35"/>
    <n v="35"/>
    <n v="35"/>
    <n v="35"/>
    <n v="0"/>
    <n v="0"/>
    <n v="0"/>
    <n v="0"/>
    <n v="0"/>
    <n v="35"/>
    <n v="35"/>
    <n v="0"/>
    <n v="210"/>
  </r>
  <r>
    <x v="259"/>
    <n v="805921"/>
    <s v="RAJ MARBLES"/>
    <n v="170775"/>
    <s v="GANPAT LAL MAROTHIYA AND SONS"/>
    <n v="65"/>
    <n v="65"/>
    <n v="10"/>
    <n v="38"/>
    <n v="79"/>
    <n v="55"/>
    <n v="75"/>
    <n v="15"/>
    <n v="115"/>
    <n v="25"/>
    <n v="60"/>
    <n v="30"/>
    <n v="632"/>
  </r>
  <r>
    <x v="260"/>
    <n v="805969"/>
    <s v="JAY MAHADEV CONSTRUCTION"/>
    <n v="119028"/>
    <s v="KANHAYALAL &amp; SONS"/>
    <n v="10"/>
    <n v="0"/>
    <n v="93"/>
    <n v="88"/>
    <n v="93"/>
    <n v="62"/>
    <n v="62"/>
    <n v="31"/>
    <n v="62"/>
    <n v="163"/>
    <n v="92"/>
    <n v="0"/>
    <n v="756"/>
  </r>
  <r>
    <x v="261"/>
    <n v="805984"/>
    <s v="SUFI TRADING COMPANY"/>
    <n v="203455"/>
    <s v="NARAYAN TRADERS"/>
    <n v="20"/>
    <n v="0"/>
    <n v="32.5"/>
    <n v="10"/>
    <n v="10"/>
    <n v="15"/>
    <n v="40"/>
    <n v="10"/>
    <n v="33"/>
    <n v="10"/>
    <n v="0"/>
    <n v="0"/>
    <n v="180.5"/>
  </r>
  <r>
    <x v="262"/>
    <n v="805986"/>
    <s v="POOJA SAINETRY AND HARDWARE AN"/>
    <n v="170248"/>
    <s v="MAHAVEER ENTERPRISES"/>
    <n v="1"/>
    <n v="15"/>
    <n v="37"/>
    <n v="28.75"/>
    <n v="27"/>
    <n v="18.5"/>
    <n v="35"/>
    <n v="35"/>
    <n v="26"/>
    <n v="58.75"/>
    <n v="15.5"/>
    <n v="22.75"/>
    <n v="320.25"/>
  </r>
  <r>
    <x v="263"/>
    <n v="805995"/>
    <s v="HARMAN SINGH AND SONS"/>
    <n v="170892"/>
    <s v="GOURAV AGAENCY"/>
    <n v="15"/>
    <n v="20"/>
    <n v="10"/>
    <n v="0"/>
    <n v="17"/>
    <n v="0"/>
    <n v="58.7"/>
    <n v="34"/>
    <n v="0"/>
    <n v="40.200000000000003"/>
    <n v="110.5"/>
    <n v="42"/>
    <n v="347.4"/>
  </r>
  <r>
    <x v="264"/>
    <n v="806024"/>
    <s v="MOOL CHAND GURJAR"/>
    <n v="170892"/>
    <s v="GOURAV AGAENCY"/>
    <n v="30"/>
    <n v="66.5"/>
    <n v="59"/>
    <n v="30"/>
    <n v="44"/>
    <n v="28"/>
    <n v="54"/>
    <n v="81"/>
    <n v="25"/>
    <n v="54"/>
    <n v="49.5"/>
    <n v="20"/>
    <n v="541"/>
  </r>
  <r>
    <x v="265"/>
    <n v="806032"/>
    <s v="SARASWAT CEMENT SUPPLIERS"/>
    <n v="119044"/>
    <s v="PANWAR TRADING CORPORATION LTD"/>
    <n v="22"/>
    <n v="10"/>
    <n v="15"/>
    <n v="60"/>
    <n v="12"/>
    <n v="15"/>
    <n v="0"/>
    <n v="0"/>
    <n v="10"/>
    <n v="30"/>
    <n v="22.5"/>
    <n v="22"/>
    <n v="218.5"/>
  </r>
  <r>
    <x v="266"/>
    <n v="806032"/>
    <s v="SARASWAT CEMENT SUPPLIERS"/>
    <n v="209212"/>
    <s v="HARIOM SUPPLIERS"/>
    <n v="0"/>
    <n v="0"/>
    <n v="0"/>
    <n v="0"/>
    <n v="0"/>
    <n v="0"/>
    <n v="0"/>
    <n v="0"/>
    <n v="0"/>
    <n v="0"/>
    <n v="11"/>
    <n v="0"/>
    <n v="11"/>
  </r>
  <r>
    <x v="267"/>
    <n v="806047"/>
    <s v="SHRI HARIRAM BABA TRADING CO"/>
    <n v="145353"/>
    <s v="SHREE SARAS CORPORATION"/>
    <n v="0"/>
    <n v="10"/>
    <n v="0"/>
    <n v="0"/>
    <n v="0"/>
    <n v="0"/>
    <n v="0"/>
    <n v="0"/>
    <n v="0"/>
    <n v="0"/>
    <n v="20"/>
    <n v="0"/>
    <n v="30"/>
  </r>
  <r>
    <x v="268"/>
    <n v="806051"/>
    <s v="KHUSHI BUILDING MATERIAL"/>
    <n v="170204"/>
    <s v="GOYAL BUILDING MATERIAL"/>
    <n v="133"/>
    <n v="52.5"/>
    <n v="230"/>
    <n v="75"/>
    <n v="22"/>
    <n v="92"/>
    <n v="157"/>
    <n v="84"/>
    <n v="72"/>
    <n v="57"/>
    <n v="56"/>
    <n v="209"/>
    <n v="1239.5"/>
  </r>
  <r>
    <x v="269"/>
    <n v="806052"/>
    <s v="AGARWAL BROTHERS"/>
    <n v="170204"/>
    <s v="GOYAL BUILDING MATERIAL"/>
    <n v="17.5"/>
    <n v="35"/>
    <n v="25"/>
    <n v="15"/>
    <n v="0"/>
    <n v="55"/>
    <n v="0"/>
    <n v="15"/>
    <n v="75"/>
    <n v="40"/>
    <n v="55"/>
    <n v="119"/>
    <n v="451.5"/>
  </r>
  <r>
    <x v="270"/>
    <n v="806094"/>
    <s v="SHIV CEMENT SUPPLIERS"/>
    <n v="140848"/>
    <s v="PADAM CEMENT SUPPLIERS"/>
    <n v="60"/>
    <n v="40"/>
    <n v="155"/>
    <n v="125"/>
    <n v="101"/>
    <n v="37.5"/>
    <n v="138.75"/>
    <n v="5"/>
    <n v="110"/>
    <n v="90"/>
    <n v="160"/>
    <n v="119"/>
    <n v="1141.25"/>
  </r>
  <r>
    <x v="271"/>
    <n v="806095"/>
    <s v="GANESH LAL SHARMA"/>
    <n v="140967"/>
    <s v="B.L.JAIN &amp; SONS"/>
    <n v="90"/>
    <n v="185"/>
    <n v="185"/>
    <n v="172.5"/>
    <n v="110"/>
    <n v="75"/>
    <n v="110"/>
    <n v="18"/>
    <n v="130"/>
    <n v="300"/>
    <n v="10"/>
    <n v="13"/>
    <n v="1398.5"/>
  </r>
  <r>
    <x v="272"/>
    <n v="806097"/>
    <s v="VISHNU CEMENT AGENCY"/>
    <n v="173224"/>
    <s v="D.R.MARBLE &amp; SANITORY"/>
    <n v="40"/>
    <n v="55"/>
    <n v="30"/>
    <n v="40"/>
    <n v="35"/>
    <n v="25"/>
    <n v="25"/>
    <n v="15"/>
    <n v="40"/>
    <n v="32.5"/>
    <n v="70"/>
    <n v="20"/>
    <n v="427.5"/>
  </r>
  <r>
    <x v="273"/>
    <n v="806099"/>
    <s v="PRIYA TRADERS"/>
    <n v="208033"/>
    <s v="ANIL ENTERPRISES"/>
    <n v="70"/>
    <n v="57"/>
    <n v="10"/>
    <n v="0"/>
    <n v="0"/>
    <n v="0"/>
    <n v="0"/>
    <n v="0"/>
    <n v="0"/>
    <n v="0"/>
    <n v="0"/>
    <n v="0"/>
    <n v="137"/>
  </r>
  <r>
    <x v="274"/>
    <n v="806099"/>
    <s v="PRIYA TRADERS"/>
    <n v="211138"/>
    <s v="LAXMIKANT BUILDING MATERIAL"/>
    <n v="0"/>
    <n v="0"/>
    <n v="0"/>
    <n v="0"/>
    <n v="0"/>
    <n v="0"/>
    <n v="0"/>
    <n v="0"/>
    <n v="0"/>
    <n v="55"/>
    <n v="50"/>
    <n v="77"/>
    <n v="182"/>
  </r>
  <r>
    <x v="275"/>
    <n v="806100"/>
    <s v="SOLANKI FERTILIZERS"/>
    <n v="205370"/>
    <s v="KANTHALIYA ENTERPRISES"/>
    <n v="30"/>
    <n v="8.5"/>
    <n v="30"/>
    <n v="25"/>
    <n v="20"/>
    <n v="10"/>
    <n v="20"/>
    <n v="12.5"/>
    <n v="29.75"/>
    <n v="20"/>
    <n v="9.25"/>
    <n v="20"/>
    <n v="235"/>
  </r>
  <r>
    <x v="276"/>
    <n v="806101"/>
    <s v="BHARAT IRON &amp; HARDWARE"/>
    <n v="170392"/>
    <s v="JYOTI SUPPLIERS"/>
    <n v="75"/>
    <n v="10"/>
    <n v="48.5"/>
    <n v="95.5"/>
    <n v="60.5"/>
    <n v="35"/>
    <n v="59"/>
    <n v="49.5"/>
    <n v="103.5"/>
    <n v="124"/>
    <n v="67"/>
    <n v="191.25"/>
    <n v="918.75"/>
  </r>
  <r>
    <x v="277"/>
    <n v="806125"/>
    <s v="DURGA CEMENT AGENCY"/>
    <n v="119038"/>
    <s v="NAVEEN DISTRIBUTORS"/>
    <n v="13.5"/>
    <n v="20"/>
    <n v="65"/>
    <n v="0"/>
    <n v="55"/>
    <n v="0"/>
    <n v="60"/>
    <n v="0"/>
    <n v="20"/>
    <n v="0"/>
    <n v="34.5"/>
    <n v="132.5"/>
    <n v="400.5"/>
  </r>
  <r>
    <x v="278"/>
    <n v="806141"/>
    <s v="HARCHAND TRADERS"/>
    <n v="119222"/>
    <s v="MITHU LAL ROOP CHAND"/>
    <n v="82.75"/>
    <n v="80"/>
    <n v="128"/>
    <n v="147.5"/>
    <n v="31"/>
    <n v="83.5"/>
    <n v="95"/>
    <n v="81"/>
    <n v="107.5"/>
    <n v="41"/>
    <n v="50"/>
    <n v="45"/>
    <n v="972.25"/>
  </r>
  <r>
    <x v="279"/>
    <n v="806142"/>
    <s v="MANISH STONE SUPPLIERS"/>
    <n v="119179"/>
    <s v="KUMAWAT BUILDING MATERIALS"/>
    <n v="5"/>
    <n v="10"/>
    <n v="0"/>
    <n v="5"/>
    <n v="24.5"/>
    <n v="17.5"/>
    <n v="7.5"/>
    <n v="15"/>
    <n v="22.5"/>
    <n v="17.5"/>
    <n v="15"/>
    <n v="12.5"/>
    <n v="152"/>
  </r>
  <r>
    <x v="280"/>
    <n v="806155"/>
    <s v="VIJAYLAXMI BUILDERS"/>
    <n v="119038"/>
    <s v="NAVEEN DISTRIBUTORS"/>
    <n v="10"/>
    <n v="0"/>
    <n v="5"/>
    <n v="0"/>
    <n v="0"/>
    <n v="0"/>
    <n v="0"/>
    <n v="0"/>
    <n v="0"/>
    <n v="0"/>
    <n v="0"/>
    <n v="0"/>
    <n v="15"/>
  </r>
  <r>
    <x v="281"/>
    <n v="806156"/>
    <s v="SHREE BALAJI CEMENT AGENCY"/>
    <n v="119038"/>
    <s v="NAVEEN DISTRIBUTORS"/>
    <n v="34"/>
    <n v="70"/>
    <n v="40"/>
    <n v="60"/>
    <n v="50"/>
    <n v="60"/>
    <n v="35"/>
    <n v="44.5"/>
    <n v="20"/>
    <n v="30"/>
    <n v="45"/>
    <n v="20"/>
    <n v="508.5"/>
  </r>
  <r>
    <x v="282"/>
    <n v="806157"/>
    <s v="SHRI GOGADEV BUILDING  MATERIA"/>
    <n v="119038"/>
    <s v="NAVEEN DISTRIBUTORS"/>
    <n v="0"/>
    <n v="0"/>
    <n v="0"/>
    <n v="10"/>
    <n v="20"/>
    <n v="30"/>
    <n v="10"/>
    <n v="0"/>
    <n v="10"/>
    <n v="0"/>
    <n v="0"/>
    <n v="0"/>
    <n v="80"/>
  </r>
  <r>
    <x v="283"/>
    <n v="806158"/>
    <s v="JITENDRA BUILDING MATERIAL"/>
    <n v="119038"/>
    <s v="NAVEEN DISTRIBUTORS"/>
    <n v="55"/>
    <n v="30"/>
    <n v="77"/>
    <n v="20"/>
    <n v="105"/>
    <n v="65"/>
    <n v="34.5"/>
    <n v="45"/>
    <n v="99"/>
    <n v="93"/>
    <n v="30"/>
    <n v="49.5"/>
    <n v="703"/>
  </r>
  <r>
    <x v="284"/>
    <n v="806174"/>
    <s v="K S BUILDING MATERIAL"/>
    <n v="119038"/>
    <s v="NAVEEN DISTRIBUTORS"/>
    <n v="60"/>
    <n v="25"/>
    <n v="0"/>
    <n v="0"/>
    <n v="35"/>
    <n v="70"/>
    <n v="35"/>
    <n v="20"/>
    <n v="20"/>
    <n v="84.5"/>
    <n v="20"/>
    <n v="32"/>
    <n v="401.5"/>
  </r>
  <r>
    <x v="285"/>
    <n v="806175"/>
    <s v="LOONKARAN PANKAJ KUMAR SANCHET"/>
    <n v="178230"/>
    <s v="SHREE RADHEY BUILDING MATERIAL"/>
    <n v="0"/>
    <n v="0"/>
    <n v="0"/>
    <n v="0"/>
    <n v="0"/>
    <n v="10"/>
    <n v="10"/>
    <n v="45"/>
    <n v="10"/>
    <n v="55"/>
    <n v="83.5"/>
    <n v="50"/>
    <n v="263.5"/>
  </r>
  <r>
    <x v="286"/>
    <n v="806176"/>
    <s v="ABBAS ALI"/>
    <n v="205969"/>
    <s v="AKBAR ALI KHAKHADWALA AND SONS"/>
    <n v="90"/>
    <n v="37.5"/>
    <n v="65"/>
    <n v="118.25"/>
    <n v="70"/>
    <n v="81.5"/>
    <n v="102.4"/>
    <n v="62.5"/>
    <n v="117.5"/>
    <n v="115"/>
    <n v="80"/>
    <n v="104"/>
    <n v="1043.6500000000001"/>
  </r>
  <r>
    <x v="287"/>
    <n v="806178"/>
    <s v="BALAJI TRADERS"/>
    <n v="170248"/>
    <s v="MAHAVEER ENTERPRISES"/>
    <n v="3.5"/>
    <n v="0"/>
    <n v="0"/>
    <n v="0"/>
    <n v="0"/>
    <n v="0"/>
    <n v="0"/>
    <n v="0"/>
    <n v="0"/>
    <n v="0"/>
    <n v="0"/>
    <n v="10"/>
    <n v="13.5"/>
  </r>
  <r>
    <x v="288"/>
    <n v="806210"/>
    <s v="SHRI CHAMUNDA KIRANA STORE"/>
    <n v="170775"/>
    <s v="GANPAT LAL MAROTHIYA AND SONS"/>
    <n v="0"/>
    <n v="0"/>
    <n v="15"/>
    <n v="0"/>
    <n v="15"/>
    <n v="35"/>
    <n v="65"/>
    <n v="10"/>
    <n v="10"/>
    <n v="60"/>
    <n v="20"/>
    <n v="50"/>
    <n v="280"/>
  </r>
  <r>
    <x v="289"/>
    <n v="806212"/>
    <s v="MAHAVEER TRADERS"/>
    <n v="119066"/>
    <s v="RAJENDRA KUMAR RATAN LAL JAIN"/>
    <n v="0"/>
    <n v="35"/>
    <n v="30"/>
    <n v="0"/>
    <n v="2"/>
    <n v="0"/>
    <n v="0"/>
    <n v="0"/>
    <n v="2.5"/>
    <n v="0"/>
    <n v="0"/>
    <n v="0"/>
    <n v="69.5"/>
  </r>
  <r>
    <x v="290"/>
    <n v="806230"/>
    <s v="SHRI VINAYAK WOOD TRADERS"/>
    <n v="146861"/>
    <s v="BALAJI CEMENT AGENCY"/>
    <n v="75"/>
    <n v="65"/>
    <n v="80"/>
    <n v="110"/>
    <n v="0"/>
    <n v="0"/>
    <n v="0"/>
    <n v="0"/>
    <n v="0"/>
    <n v="0"/>
    <n v="0"/>
    <n v="0"/>
    <n v="330"/>
  </r>
  <r>
    <x v="291"/>
    <n v="806232"/>
    <s v="KADELA BUILDING MATERIAL"/>
    <n v="206102"/>
    <s v="BABA RAMDEV CEMENT SUPPLIER"/>
    <n v="0"/>
    <n v="0"/>
    <n v="0"/>
    <n v="0"/>
    <n v="0"/>
    <n v="0"/>
    <n v="0"/>
    <n v="0"/>
    <n v="0"/>
    <n v="20"/>
    <n v="0"/>
    <n v="0"/>
    <n v="20"/>
  </r>
  <r>
    <x v="292"/>
    <n v="806233"/>
    <s v="RAWATA RAM"/>
    <n v="146861"/>
    <s v="BALAJI CEMENT AGENCY"/>
    <n v="0"/>
    <n v="10"/>
    <n v="10"/>
    <n v="0"/>
    <n v="0"/>
    <n v="0"/>
    <n v="0"/>
    <n v="0"/>
    <n v="0"/>
    <n v="0"/>
    <n v="0"/>
    <n v="0"/>
    <n v="20"/>
  </r>
  <r>
    <x v="293"/>
    <n v="806234"/>
    <s v="JAI SHREE GANESH BUILDING MATE"/>
    <n v="202865"/>
    <s v="DEEPAK TRADERS"/>
    <n v="42"/>
    <n v="0"/>
    <n v="0"/>
    <n v="0"/>
    <n v="0"/>
    <n v="0"/>
    <n v="0"/>
    <n v="0"/>
    <n v="115.5"/>
    <n v="87"/>
    <n v="45"/>
    <n v="111"/>
    <n v="400.5"/>
  </r>
  <r>
    <x v="294"/>
    <n v="806246"/>
    <s v="VISHAL BUILDING MATERIAL"/>
    <n v="119042"/>
    <s v="SARAS ENTERPRISES"/>
    <n v="52"/>
    <n v="0"/>
    <n v="35"/>
    <n v="45"/>
    <n v="27.5"/>
    <n v="25"/>
    <n v="35"/>
    <n v="35"/>
    <n v="50.5"/>
    <n v="60"/>
    <n v="35"/>
    <n v="90"/>
    <n v="490"/>
  </r>
  <r>
    <x v="295"/>
    <n v="806283"/>
    <s v="JAI JASOL MAA BUILDING MATERIA"/>
    <n v="119038"/>
    <s v="NAVEEN DISTRIBUTORS"/>
    <n v="15"/>
    <n v="0"/>
    <n v="20"/>
    <n v="0"/>
    <n v="20"/>
    <n v="15"/>
    <n v="0"/>
    <n v="0"/>
    <n v="0"/>
    <n v="40"/>
    <n v="0"/>
    <n v="35"/>
    <n v="145"/>
  </r>
  <r>
    <x v="296"/>
    <n v="806288"/>
    <s v="JAMBESHWAR KIRANA &amp; CEMENT AGE"/>
    <n v="119038"/>
    <s v="NAVEEN DISTRIBUTORS"/>
    <n v="0"/>
    <n v="0"/>
    <n v="0"/>
    <n v="65"/>
    <n v="34"/>
    <n v="85"/>
    <n v="35"/>
    <n v="45"/>
    <n v="67.5"/>
    <n v="20"/>
    <n v="108"/>
    <n v="0"/>
    <n v="459.5"/>
  </r>
  <r>
    <x v="297"/>
    <n v="806289"/>
    <s v="ABHAY CONSTRUCTION AND PROPERT"/>
    <n v="179796"/>
    <s v="VINAYAK TRADE HOME"/>
    <n v="62.5"/>
    <n v="30"/>
    <n v="61.5"/>
    <n v="33"/>
    <n v="48.25"/>
    <n v="30"/>
    <n v="46"/>
    <n v="22"/>
    <n v="16.75"/>
    <n v="56.25"/>
    <n v="61"/>
    <n v="66"/>
    <n v="533.25"/>
  </r>
  <r>
    <x v="298"/>
    <n v="806296"/>
    <s v="MEHTA SANITARY HARDWARE"/>
    <n v="179796"/>
    <s v="VINAYAK TRADE HOME"/>
    <n v="25"/>
    <n v="23.95"/>
    <n v="27"/>
    <n v="20"/>
    <n v="32"/>
    <n v="1"/>
    <n v="27.5"/>
    <n v="25"/>
    <n v="57.5"/>
    <n v="29"/>
    <n v="32"/>
    <n v="36"/>
    <n v="335.95"/>
  </r>
  <r>
    <x v="299"/>
    <n v="806307"/>
    <s v="HARI BUILDING MATERIAL"/>
    <n v="119160"/>
    <s v="NIKHIL ASSOCIATE"/>
    <n v="42.5"/>
    <n v="45"/>
    <n v="51"/>
    <n v="0"/>
    <n v="15"/>
    <n v="26.5"/>
    <n v="33"/>
    <n v="22.5"/>
    <n v="7.5"/>
    <n v="35"/>
    <n v="60"/>
    <n v="75"/>
    <n v="413"/>
  </r>
  <r>
    <x v="300"/>
    <n v="806322"/>
    <s v="INDIAN BUILDING MATERIAL"/>
    <n v="170204"/>
    <s v="GOYAL BUILDING MATERIAL"/>
    <n v="107"/>
    <n v="77"/>
    <n v="202.5"/>
    <n v="15"/>
    <n v="20"/>
    <n v="94"/>
    <n v="84"/>
    <n v="27"/>
    <n v="0"/>
    <n v="0"/>
    <n v="0"/>
    <n v="10"/>
    <n v="636.5"/>
  </r>
  <r>
    <x v="301"/>
    <n v="806323"/>
    <s v="RAJAWAL TRADERS"/>
    <n v="170204"/>
    <s v="GOYAL BUILDING MATERIAL"/>
    <n v="93.5"/>
    <n v="46"/>
    <n v="52.5"/>
    <n v="89"/>
    <n v="15"/>
    <n v="37"/>
    <n v="42"/>
    <n v="15"/>
    <n v="70"/>
    <n v="25"/>
    <n v="42"/>
    <n v="75"/>
    <n v="602"/>
  </r>
  <r>
    <x v="302"/>
    <n v="806327"/>
    <s v="GUPTA ENTERPRISES"/>
    <n v="170200"/>
    <s v="GARG TRADING COMPANY"/>
    <n v="51"/>
    <n v="59.5"/>
    <n v="192.5"/>
    <n v="20"/>
    <n v="15"/>
    <n v="120"/>
    <n v="132"/>
    <n v="70"/>
    <n v="0"/>
    <n v="0"/>
    <n v="0"/>
    <n v="0"/>
    <n v="660"/>
  </r>
  <r>
    <x v="303"/>
    <n v="806337"/>
    <s v="KRISHNA BEEJ BHANDAR"/>
    <n v="170606"/>
    <s v="SHREE SANWARIYA CONSTRUCTION"/>
    <n v="80"/>
    <n v="67.5"/>
    <n v="27"/>
    <n v="89.5"/>
    <n v="50"/>
    <n v="20"/>
    <n v="43"/>
    <n v="83.5"/>
    <n v="55"/>
    <n v="88.5"/>
    <n v="38.75"/>
    <n v="92.5"/>
    <n v="735.25"/>
  </r>
  <r>
    <x v="304"/>
    <n v="806337"/>
    <s v="KRISHNA BEEJ BHANDAR"/>
    <n v="177727"/>
    <s v="SIDDHI ENTERPRISES"/>
    <n v="0"/>
    <n v="0"/>
    <n v="0"/>
    <n v="0"/>
    <n v="0"/>
    <n v="0"/>
    <n v="0"/>
    <n v="0"/>
    <n v="0"/>
    <n v="0"/>
    <n v="0"/>
    <n v="10"/>
    <n v="10"/>
  </r>
  <r>
    <x v="305"/>
    <n v="806339"/>
    <s v="JAI SHANI DEV KIRANA STORE"/>
    <n v="170392"/>
    <s v="JYOTI SUPPLIERS"/>
    <n v="14"/>
    <n v="52.75"/>
    <n v="29"/>
    <n v="40"/>
    <n v="51"/>
    <n v="28"/>
    <n v="40"/>
    <n v="18.5"/>
    <n v="66.5"/>
    <n v="80"/>
    <n v="66"/>
    <n v="31"/>
    <n v="516.75"/>
  </r>
  <r>
    <x v="306"/>
    <n v="806339"/>
    <s v="JAI SHANI DEV KIRANA STORE"/>
    <n v="170846"/>
    <s v="SANGAM ENTERPRISES"/>
    <n v="0"/>
    <n v="0"/>
    <n v="0"/>
    <n v="0"/>
    <n v="0"/>
    <n v="0"/>
    <n v="0"/>
    <n v="0"/>
    <n v="0"/>
    <n v="5"/>
    <n v="0"/>
    <n v="0"/>
    <n v="5"/>
  </r>
  <r>
    <x v="307"/>
    <n v="806346"/>
    <s v="SHYAM BUILDING MATERIAL"/>
    <n v="170204"/>
    <s v="GOYAL BUILDING MATERIAL"/>
    <n v="105"/>
    <n v="52.5"/>
    <n v="231.75"/>
    <n v="146.5"/>
    <n v="0"/>
    <n v="96.5"/>
    <n v="42"/>
    <n v="20"/>
    <n v="35"/>
    <n v="55"/>
    <n v="130"/>
    <n v="137"/>
    <n v="1051.25"/>
  </r>
  <r>
    <x v="308"/>
    <n v="806359"/>
    <s v="CHANDRA SHREE ENTERPRISES"/>
    <n v="179908"/>
    <s v="SANWLA ENTERPRISES"/>
    <n v="15"/>
    <n v="0"/>
    <n v="15"/>
    <n v="0"/>
    <n v="0"/>
    <n v="0"/>
    <n v="0"/>
    <n v="10"/>
    <n v="0"/>
    <n v="0"/>
    <n v="0"/>
    <n v="15"/>
    <n v="55"/>
  </r>
  <r>
    <x v="309"/>
    <n v="806360"/>
    <s v="KAPIL TRADERS"/>
    <n v="173865"/>
    <s v="BHARDWAJ TRADERS"/>
    <n v="85"/>
    <n v="80"/>
    <n v="65"/>
    <n v="72"/>
    <n v="35"/>
    <n v="15"/>
    <n v="67"/>
    <n v="35"/>
    <n v="30"/>
    <n v="35"/>
    <n v="80"/>
    <n v="50"/>
    <n v="649"/>
  </r>
  <r>
    <x v="310"/>
    <n v="806362"/>
    <s v="BHERUNATH CEMENT SUPPLIERS"/>
    <n v="119028"/>
    <s v="KANHAYALAL &amp; SONS"/>
    <n v="62"/>
    <n v="124"/>
    <n v="124"/>
    <n v="88"/>
    <n v="93"/>
    <n v="62"/>
    <n v="0"/>
    <n v="0"/>
    <n v="87"/>
    <n v="93"/>
    <n v="93"/>
    <n v="217"/>
    <n v="1043"/>
  </r>
  <r>
    <x v="311"/>
    <n v="806371"/>
    <s v="MANMOHAN TRADING COMPANY"/>
    <n v="149885"/>
    <s v="LUHANI CEMENT SUPPLIERS"/>
    <n v="0"/>
    <n v="15"/>
    <n v="33.5"/>
    <n v="22.5"/>
    <n v="10"/>
    <n v="30"/>
    <n v="0"/>
    <n v="53"/>
    <n v="62.5"/>
    <n v="67.5"/>
    <n v="18.5"/>
    <n v="65"/>
    <n v="377.5"/>
  </r>
  <r>
    <x v="312"/>
    <n v="806395"/>
    <s v="SHREE JALDEVI CONSTRUCTION &amp; C"/>
    <n v="170550"/>
    <s v="SHIV TRADERS"/>
    <n v="0"/>
    <n v="15"/>
    <n v="50"/>
    <n v="30"/>
    <n v="20"/>
    <n v="0"/>
    <n v="0"/>
    <n v="37.5"/>
    <n v="42.5"/>
    <n v="34"/>
    <n v="91"/>
    <n v="80.5"/>
    <n v="400.5"/>
  </r>
  <r>
    <x v="313"/>
    <n v="806396"/>
    <s v="BALAJI BUILDING MATERIAL"/>
    <n v="177426"/>
    <s v="THALOR ENTERPRISES"/>
    <n v="10"/>
    <n v="82.5"/>
    <n v="37.5"/>
    <n v="0"/>
    <n v="0"/>
    <n v="0"/>
    <n v="0"/>
    <n v="0"/>
    <n v="20"/>
    <n v="40"/>
    <n v="20"/>
    <n v="22.5"/>
    <n v="232.5"/>
  </r>
  <r>
    <x v="314"/>
    <n v="806396"/>
    <s v="BALAJI BUILDING MATERIAL"/>
    <n v="207713"/>
    <s v="TAGALA BROTHERS"/>
    <n v="0"/>
    <n v="0"/>
    <n v="0"/>
    <n v="0"/>
    <n v="0"/>
    <n v="0"/>
    <n v="0"/>
    <n v="0"/>
    <n v="32"/>
    <n v="0"/>
    <n v="0"/>
    <n v="10"/>
    <n v="42"/>
  </r>
  <r>
    <x v="315"/>
    <n v="806400"/>
    <s v="JAWAHARMAL CHANDANMAL KHATRI"/>
    <n v="119038"/>
    <s v="NAVEEN DISTRIBUTORS"/>
    <n v="35"/>
    <n v="0"/>
    <n v="50"/>
    <n v="15"/>
    <n v="15"/>
    <n v="10"/>
    <n v="0"/>
    <n v="10"/>
    <n v="31"/>
    <n v="65"/>
    <n v="0"/>
    <n v="5"/>
    <n v="236"/>
  </r>
  <r>
    <x v="316"/>
    <n v="806401"/>
    <s v="LALIT CEMENT AGENCY"/>
    <n v="119038"/>
    <s v="NAVEEN DISTRIBUTORS"/>
    <n v="50"/>
    <n v="120"/>
    <n v="95"/>
    <n v="96"/>
    <n v="54"/>
    <n v="63"/>
    <n v="70"/>
    <n v="34.5"/>
    <n v="110"/>
    <n v="116.5"/>
    <n v="37.5"/>
    <n v="373.5"/>
    <n v="1220"/>
  </r>
  <r>
    <x v="317"/>
    <n v="806430"/>
    <s v="SHUBHAM BUILDIERS"/>
    <n v="171880"/>
    <s v="BHUVAN AGENCIES"/>
    <n v="10"/>
    <n v="10"/>
    <n v="20"/>
    <n v="47"/>
    <n v="30"/>
    <n v="20"/>
    <n v="59.050000000000004"/>
    <n v="14.9"/>
    <n v="0"/>
    <n v="0"/>
    <n v="0"/>
    <n v="0"/>
    <n v="210.95000000000002"/>
  </r>
  <r>
    <x v="318"/>
    <n v="806430"/>
    <s v="SHUBHAM BUILDIERS"/>
    <n v="175288"/>
    <s v="LAXMI TRADERS"/>
    <n v="0"/>
    <n v="0"/>
    <n v="0"/>
    <n v="0"/>
    <n v="0"/>
    <n v="0"/>
    <n v="0"/>
    <n v="0"/>
    <n v="45"/>
    <n v="55"/>
    <n v="47"/>
    <n v="60"/>
    <n v="207"/>
  </r>
  <r>
    <x v="319"/>
    <n v="806431"/>
    <s v="SISODIYA TRADERS"/>
    <n v="149765"/>
    <s v="ARORA CEMENT AGENCY"/>
    <n v="40"/>
    <n v="45"/>
    <n v="40"/>
    <n v="0"/>
    <n v="20"/>
    <n v="30"/>
    <n v="0"/>
    <n v="10"/>
    <n v="20"/>
    <n v="20"/>
    <n v="20"/>
    <n v="20"/>
    <n v="265"/>
  </r>
  <r>
    <x v="320"/>
    <n v="806433"/>
    <s v="GOYAL CONSTRUCTION &amp; CONSULTAN"/>
    <n v="119261"/>
    <s v="DURGESH ENTERPRISES"/>
    <n v="508.75"/>
    <n v="197.95"/>
    <n v="517.75"/>
    <n v="511.55"/>
    <n v="554.15"/>
    <n v="634.25"/>
    <n v="381.5"/>
    <n v="482.55"/>
    <n v="905"/>
    <n v="579"/>
    <n v="446.5"/>
    <n v="521.15000000000009"/>
    <n v="6240.1"/>
  </r>
  <r>
    <x v="321"/>
    <n v="806436"/>
    <s v="SUKHDEV JI GUPTA"/>
    <n v="119023"/>
    <s v="AGARWAL MACHINERY STORES"/>
    <n v="101"/>
    <n v="41.5"/>
    <n v="170.5"/>
    <n v="103"/>
    <n v="0"/>
    <n v="162"/>
    <n v="172"/>
    <n v="205.5"/>
    <n v="161"/>
    <n v="106"/>
    <n v="146"/>
    <n v="159"/>
    <n v="1527.5"/>
  </r>
  <r>
    <x v="322"/>
    <n v="806439"/>
    <s v="BALAJI BUILDING MATERIAL STORE"/>
    <n v="119023"/>
    <s v="AGARWAL MACHINERY STORES"/>
    <n v="101"/>
    <n v="115.5"/>
    <n v="211"/>
    <n v="241"/>
    <n v="0"/>
    <n v="200.5"/>
    <n v="129"/>
    <n v="0"/>
    <n v="160"/>
    <n v="56"/>
    <n v="112"/>
    <n v="219"/>
    <n v="1545"/>
  </r>
  <r>
    <x v="323"/>
    <n v="806440"/>
    <s v="VIKAS CEMENT AGENCY"/>
    <n v="119023"/>
    <s v="AGARWAL MACHINERY STORES"/>
    <n v="0"/>
    <n v="0"/>
    <n v="23"/>
    <n v="0"/>
    <n v="0"/>
    <n v="51.5"/>
    <n v="43"/>
    <n v="0"/>
    <n v="0"/>
    <n v="51"/>
    <n v="0"/>
    <n v="0"/>
    <n v="168.5"/>
  </r>
  <r>
    <x v="324"/>
    <n v="806466"/>
    <s v="CHOUDHARY KIRANA STORE"/>
    <n v="170392"/>
    <s v="JYOTI SUPPLIERS"/>
    <n v="10"/>
    <n v="30"/>
    <n v="10"/>
    <n v="7"/>
    <n v="0"/>
    <n v="0"/>
    <n v="10"/>
    <n v="0"/>
    <n v="10"/>
    <n v="5"/>
    <n v="11"/>
    <n v="8"/>
    <n v="101"/>
  </r>
  <r>
    <x v="325"/>
    <n v="806466"/>
    <s v="CHOUDHARY KIRANA STORE"/>
    <n v="170846"/>
    <s v="SANGAM ENTERPRISES"/>
    <n v="0"/>
    <n v="0"/>
    <n v="0"/>
    <n v="0"/>
    <n v="0"/>
    <n v="0"/>
    <n v="0"/>
    <n v="0"/>
    <n v="0"/>
    <n v="5"/>
    <n v="0"/>
    <n v="0"/>
    <n v="5"/>
  </r>
  <r>
    <x v="326"/>
    <n v="806468"/>
    <s v="JAMBHESHWAR KIRANA STORE"/>
    <n v="119038"/>
    <s v="NAVEEN DISTRIBUTORS"/>
    <n v="30"/>
    <n v="80"/>
    <n v="30"/>
    <n v="0"/>
    <n v="0"/>
    <n v="0"/>
    <n v="0"/>
    <n v="0"/>
    <n v="0"/>
    <n v="0"/>
    <n v="0"/>
    <n v="100"/>
    <n v="240"/>
  </r>
  <r>
    <x v="327"/>
    <n v="806469"/>
    <s v="SHRI BALAJI BUILDING MATERIAL"/>
    <n v="119038"/>
    <s v="NAVEEN DISTRIBUTORS"/>
    <n v="5"/>
    <n v="30"/>
    <n v="35"/>
    <n v="0"/>
    <n v="90"/>
    <n v="0"/>
    <n v="20"/>
    <n v="13"/>
    <n v="43"/>
    <n v="15"/>
    <n v="40"/>
    <n v="20"/>
    <n v="311"/>
  </r>
  <r>
    <x v="328"/>
    <n v="806471"/>
    <s v="SURAJMAL JAT"/>
    <n v="119905"/>
    <s v="FRIENDS AGENCIES"/>
    <n v="0"/>
    <n v="12.5"/>
    <n v="44.5"/>
    <n v="53.75"/>
    <n v="35.25"/>
    <n v="0"/>
    <n v="0"/>
    <n v="0"/>
    <n v="13"/>
    <n v="22"/>
    <n v="10"/>
    <n v="35.5"/>
    <n v="226.5"/>
  </r>
  <r>
    <x v="329"/>
    <n v="806472"/>
    <s v="ANGARHNATH BUILDING MATERIAL S"/>
    <n v="170392"/>
    <s v="JYOTI SUPPLIERS"/>
    <n v="50"/>
    <n v="99"/>
    <n v="140"/>
    <n v="100"/>
    <n v="51"/>
    <n v="33"/>
    <n v="51.55"/>
    <n v="51.25"/>
    <n v="82"/>
    <n v="60"/>
    <n v="106.25"/>
    <n v="77.5"/>
    <n v="901.55"/>
  </r>
  <r>
    <x v="330"/>
    <n v="806474"/>
    <s v="SHIV BHOLE SHANKAR BUILDING MA"/>
    <n v="119038"/>
    <s v="NAVEEN DISTRIBUTORS"/>
    <n v="0"/>
    <n v="0"/>
    <n v="25"/>
    <n v="60"/>
    <n v="35"/>
    <n v="31.25"/>
    <n v="0"/>
    <n v="35"/>
    <n v="20"/>
    <n v="12"/>
    <n v="30"/>
    <n v="153"/>
    <n v="401.25"/>
  </r>
  <r>
    <x v="331"/>
    <n v="806484"/>
    <s v="GUPTA CEMENT AGENCY"/>
    <n v="148557"/>
    <s v="MITALI ALLOYS PVT LTD"/>
    <n v="35"/>
    <n v="40"/>
    <n v="60"/>
    <n v="89.1"/>
    <n v="80"/>
    <n v="60"/>
    <n v="50"/>
    <n v="60"/>
    <n v="71"/>
    <n v="59"/>
    <n v="76"/>
    <n v="72"/>
    <n v="752.1"/>
  </r>
  <r>
    <x v="332"/>
    <n v="806487"/>
    <s v="BANWARI LAL PRAKESH CHAND"/>
    <n v="149765"/>
    <s v="ARORA CEMENT AGENCY"/>
    <n v="0"/>
    <n v="0"/>
    <n v="0"/>
    <n v="0"/>
    <n v="0"/>
    <n v="0"/>
    <n v="0"/>
    <n v="0"/>
    <n v="50"/>
    <n v="30"/>
    <n v="85"/>
    <n v="40"/>
    <n v="205"/>
  </r>
  <r>
    <x v="333"/>
    <n v="806487"/>
    <s v="BANWARI LAL PRAKESH CHAND"/>
    <n v="171880"/>
    <s v="BHUVAN AGENCIES"/>
    <n v="43"/>
    <n v="75"/>
    <n v="80"/>
    <n v="60"/>
    <n v="65"/>
    <n v="50"/>
    <n v="70"/>
    <n v="25"/>
    <n v="0"/>
    <n v="0"/>
    <n v="0"/>
    <n v="0"/>
    <n v="468"/>
  </r>
  <r>
    <x v="334"/>
    <n v="806510"/>
    <s v="GOVIND TRADERS"/>
    <n v="119261"/>
    <s v="DURGESH ENTERPRISES"/>
    <n v="0"/>
    <n v="0"/>
    <n v="30"/>
    <n v="53"/>
    <n v="21"/>
    <n v="0"/>
    <n v="0"/>
    <n v="20"/>
    <n v="31"/>
    <n v="0"/>
    <n v="0"/>
    <n v="0"/>
    <n v="155"/>
  </r>
  <r>
    <x v="335"/>
    <n v="806511"/>
    <s v="GAURAV CONSTRUCTION"/>
    <n v="119071"/>
    <s v="GANESH AGENCIES"/>
    <n v="26.5"/>
    <n v="30"/>
    <n v="28.75"/>
    <n v="26"/>
    <n v="0"/>
    <n v="0"/>
    <n v="0"/>
    <n v="0"/>
    <n v="0"/>
    <n v="0"/>
    <n v="0"/>
    <n v="0"/>
    <n v="111.25"/>
  </r>
  <r>
    <x v="336"/>
    <n v="806511"/>
    <s v="GAURAV CONSTRUCTION"/>
    <n v="208268"/>
    <s v="BADIWAL TRADERS"/>
    <n v="0"/>
    <n v="0"/>
    <n v="0"/>
    <n v="0"/>
    <n v="0"/>
    <n v="0"/>
    <n v="28.5"/>
    <n v="13"/>
    <n v="50"/>
    <n v="10"/>
    <n v="42.5"/>
    <n v="5"/>
    <n v="149"/>
  </r>
  <r>
    <x v="337"/>
    <n v="806517"/>
    <s v="GANPAT LAL LOHAR"/>
    <n v="170692"/>
    <s v="JAIN TRADERS"/>
    <n v="80"/>
    <n v="50"/>
    <n v="80"/>
    <n v="77.5"/>
    <n v="25.5"/>
    <n v="50"/>
    <n v="61"/>
    <n v="12.5"/>
    <n v="64.5"/>
    <n v="66"/>
    <n v="15"/>
    <n v="80"/>
    <n v="662"/>
  </r>
  <r>
    <x v="338"/>
    <n v="806539"/>
    <s v="VIJAY CEMENT AGENCY"/>
    <n v="149885"/>
    <s v="LUHANI CEMENT SUPPLIERS"/>
    <n v="7.5"/>
    <n v="25"/>
    <n v="22.5"/>
    <n v="40"/>
    <n v="11"/>
    <n v="0"/>
    <n v="20"/>
    <n v="0"/>
    <n v="0"/>
    <n v="0"/>
    <n v="0"/>
    <n v="0"/>
    <n v="126"/>
  </r>
  <r>
    <x v="339"/>
    <n v="806540"/>
    <s v="CHANDA STONE"/>
    <n v="119029"/>
    <s v="LALLAMAL KANHYALAL &amp; SONS"/>
    <n v="42.5"/>
    <n v="13"/>
    <n v="20"/>
    <n v="50"/>
    <n v="31"/>
    <n v="19.5"/>
    <n v="20"/>
    <n v="0"/>
    <n v="40"/>
    <n v="37"/>
    <n v="0"/>
    <n v="127"/>
    <n v="400"/>
  </r>
  <r>
    <x v="340"/>
    <n v="806565"/>
    <s v="CHAMPA LAL PARIHAR"/>
    <n v="119038"/>
    <s v="NAVEEN DISTRIBUTORS"/>
    <n v="30"/>
    <n v="35"/>
    <n v="15"/>
    <n v="40"/>
    <n v="24.5"/>
    <n v="32"/>
    <n v="52.5"/>
    <n v="14"/>
    <n v="25"/>
    <n v="0"/>
    <n v="50"/>
    <n v="90.75"/>
    <n v="408.75"/>
  </r>
  <r>
    <x v="341"/>
    <n v="806601"/>
    <s v="SOLANKI BUILDING MATERIAL AND"/>
    <n v="119160"/>
    <s v="NIKHIL ASSOCIATE"/>
    <n v="103"/>
    <n v="36.75"/>
    <n v="85"/>
    <n v="42.5"/>
    <n v="7.5"/>
    <n v="97.5"/>
    <n v="108.5"/>
    <n v="84.5"/>
    <n v="37.5"/>
    <n v="67.5"/>
    <n v="95"/>
    <n v="196"/>
    <n v="961.25"/>
  </r>
  <r>
    <x v="342"/>
    <n v="806615"/>
    <s v="MAVAR CEMENT AGENCY"/>
    <n v="149765"/>
    <s v="ARORA CEMENT AGENCY"/>
    <n v="10"/>
    <n v="10"/>
    <n v="10"/>
    <n v="0"/>
    <n v="20"/>
    <n v="40"/>
    <n v="34"/>
    <n v="30"/>
    <n v="30"/>
    <n v="10"/>
    <n v="31"/>
    <n v="20"/>
    <n v="245"/>
  </r>
  <r>
    <x v="343"/>
    <n v="806616"/>
    <s v="SHRI SHYAM TENT HOUSE"/>
    <n v="141512"/>
    <s v="MISHRA TRADERS"/>
    <n v="28.5"/>
    <n v="74.5"/>
    <n v="101"/>
    <n v="58.55"/>
    <n v="103.5"/>
    <n v="30"/>
    <n v="57.5"/>
    <n v="50.25"/>
    <n v="85.45"/>
    <n v="20.85"/>
    <n v="52.5"/>
    <n v="43"/>
    <n v="705.6"/>
  </r>
  <r>
    <x v="344"/>
    <n v="806620"/>
    <s v="TULSI PIPE STORE"/>
    <n v="148629"/>
    <s v="AGGARWAL SANITARY &amp; PIPE STORE"/>
    <n v="10"/>
    <n v="29.5"/>
    <n v="10"/>
    <n v="30"/>
    <n v="74"/>
    <n v="67.5"/>
    <n v="29"/>
    <n v="5"/>
    <n v="24"/>
    <n v="0"/>
    <n v="0"/>
    <n v="35"/>
    <n v="314"/>
  </r>
  <r>
    <x v="345"/>
    <n v="806651"/>
    <s v="MAYUR TRADERS"/>
    <n v="122377"/>
    <s v="NILKANTH CONSTRUCTION"/>
    <n v="0"/>
    <n v="40"/>
    <n v="85"/>
    <n v="40"/>
    <n v="45"/>
    <n v="22"/>
    <n v="35"/>
    <n v="10"/>
    <n v="30"/>
    <n v="55"/>
    <n v="62.5"/>
    <n v="60"/>
    <n v="484.5"/>
  </r>
  <r>
    <x v="346"/>
    <n v="806659"/>
    <s v="DHAKA ENTERPRISES"/>
    <n v="171839"/>
    <s v="SARAWAGI CEMENT AGENCY"/>
    <n v="20"/>
    <n v="10"/>
    <n v="35"/>
    <n v="0"/>
    <n v="0"/>
    <n v="0"/>
    <n v="0"/>
    <n v="0"/>
    <n v="0"/>
    <n v="0"/>
    <n v="0"/>
    <n v="0"/>
    <n v="65"/>
  </r>
  <r>
    <x v="347"/>
    <n v="806668"/>
    <s v="HARIOM SHARMA"/>
    <n v="177631"/>
    <s v="KAMAL ENTERPRISES"/>
    <n v="54.6"/>
    <n v="80"/>
    <n v="83.5"/>
    <n v="15"/>
    <n v="0"/>
    <n v="35.25"/>
    <n v="15"/>
    <n v="10"/>
    <n v="10"/>
    <n v="22.5"/>
    <n v="72.5"/>
    <n v="79"/>
    <n v="477.35"/>
  </r>
  <r>
    <x v="348"/>
    <n v="806669"/>
    <s v="SHIV SHAKTI KHAD BEEJ BHANDAR"/>
    <n v="177631"/>
    <s v="KAMAL ENTERPRISES"/>
    <n v="5"/>
    <n v="0"/>
    <n v="0"/>
    <n v="0"/>
    <n v="0"/>
    <n v="0"/>
    <n v="0"/>
    <n v="0"/>
    <n v="0"/>
    <n v="0"/>
    <n v="0"/>
    <n v="0"/>
    <n v="5"/>
  </r>
  <r>
    <x v="349"/>
    <n v="806670"/>
    <s v="DEV TRADERS"/>
    <n v="149885"/>
    <s v="LUHANI CEMENT SUPPLIERS"/>
    <n v="55"/>
    <n v="10"/>
    <n v="43"/>
    <n v="39.5"/>
    <n v="17.75"/>
    <n v="60"/>
    <n v="26"/>
    <n v="0"/>
    <n v="47.5"/>
    <n v="7.5"/>
    <n v="34.5"/>
    <n v="66.5"/>
    <n v="407.25"/>
  </r>
  <r>
    <x v="350"/>
    <n v="806689"/>
    <s v="KAKA BUILDERS"/>
    <n v="149765"/>
    <s v="ARORA CEMENT AGENCY"/>
    <n v="5"/>
    <n v="0"/>
    <n v="0"/>
    <n v="0"/>
    <n v="0"/>
    <n v="0"/>
    <n v="0"/>
    <n v="0"/>
    <n v="0"/>
    <n v="0"/>
    <n v="0"/>
    <n v="0"/>
    <n v="5"/>
  </r>
  <r>
    <x v="351"/>
    <n v="806717"/>
    <s v="KAMLESH CEMENT AGENCY"/>
    <n v="141146"/>
    <s v="KEDIA TRADING COMPANY"/>
    <n v="0"/>
    <n v="0"/>
    <n v="0"/>
    <n v="0"/>
    <n v="0"/>
    <n v="0"/>
    <n v="0"/>
    <n v="0"/>
    <n v="25"/>
    <n v="0"/>
    <n v="0"/>
    <n v="0"/>
    <n v="25"/>
  </r>
  <r>
    <x v="352"/>
    <n v="806720"/>
    <s v="YADHWANSHI BUILDING MATERIAL"/>
    <n v="172252"/>
    <s v="GUPTA TRADERS"/>
    <n v="20"/>
    <n v="35"/>
    <n v="10"/>
    <n v="44"/>
    <n v="11"/>
    <n v="20"/>
    <n v="32"/>
    <n v="0"/>
    <n v="0"/>
    <n v="0"/>
    <n v="0"/>
    <n v="0"/>
    <n v="172"/>
  </r>
  <r>
    <x v="353"/>
    <n v="806721"/>
    <s v="TANVI CEMENT AGENCY"/>
    <n v="140927"/>
    <s v="SHIV CHARAN LAL RAKESH KUMAR"/>
    <n v="10"/>
    <n v="23.5"/>
    <n v="15"/>
    <n v="68.55"/>
    <n v="50"/>
    <n v="24"/>
    <n v="34"/>
    <n v="30"/>
    <n v="62.5"/>
    <n v="16"/>
    <n v="54"/>
    <n v="42.5"/>
    <n v="430.05"/>
  </r>
  <r>
    <x v="354"/>
    <n v="806722"/>
    <s v="AGARWAL PROPERTIES AND BUILDIN"/>
    <n v="119261"/>
    <s v="DURGESH ENTERPRISES"/>
    <n v="30"/>
    <n v="0"/>
    <n v="0"/>
    <n v="23"/>
    <n v="10"/>
    <n v="34.5"/>
    <n v="50"/>
    <n v="101"/>
    <n v="110"/>
    <n v="50"/>
    <n v="100"/>
    <n v="0"/>
    <n v="508.5"/>
  </r>
  <r>
    <x v="355"/>
    <n v="806723"/>
    <s v="LAXMI BUILDING MATERIAL SUPPLI"/>
    <n v="119261"/>
    <s v="DURGESH ENTERPRISES"/>
    <n v="50"/>
    <n v="0"/>
    <n v="53.5"/>
    <n v="53.5"/>
    <n v="51"/>
    <n v="51"/>
    <n v="101"/>
    <n v="52"/>
    <n v="31.5"/>
    <n v="150"/>
    <n v="0"/>
    <n v="50"/>
    <n v="643.5"/>
  </r>
  <r>
    <x v="356"/>
    <n v="806748"/>
    <s v="CHECHI BUILDING MATERIAL"/>
    <n v="170204"/>
    <s v="GOYAL BUILDING MATERIAL"/>
    <n v="35"/>
    <n v="46"/>
    <n v="87.5"/>
    <n v="35"/>
    <n v="15"/>
    <n v="13"/>
    <n v="42"/>
    <n v="7"/>
    <n v="35"/>
    <n v="87"/>
    <n v="36"/>
    <n v="87"/>
    <n v="525.5"/>
  </r>
  <r>
    <x v="357"/>
    <n v="806754"/>
    <s v="KHANDELWAL TIMBER MART"/>
    <n v="177450"/>
    <s v="J.K. CEMENT AGENCY"/>
    <n v="60"/>
    <n v="5"/>
    <n v="22.599999999999998"/>
    <n v="50"/>
    <n v="65.75"/>
    <n v="28"/>
    <n v="30"/>
    <n v="10"/>
    <n v="57"/>
    <n v="10"/>
    <n v="35"/>
    <n v="35"/>
    <n v="408.35"/>
  </r>
  <r>
    <x v="358"/>
    <n v="806782"/>
    <s v="MAHENDRA SINGH"/>
    <n v="119208"/>
    <s v="SURAJMAL TANSUKH RAI"/>
    <n v="45"/>
    <n v="134"/>
    <n v="20"/>
    <n v="0"/>
    <n v="0"/>
    <n v="0"/>
    <n v="0"/>
    <n v="0"/>
    <n v="0"/>
    <n v="0"/>
    <n v="0"/>
    <n v="42"/>
    <n v="241"/>
  </r>
  <r>
    <x v="359"/>
    <n v="806802"/>
    <s v="JAIMAA KHIMAJ CONSTRUCTION"/>
    <n v="122377"/>
    <s v="NILKANTH CONSTRUCTION"/>
    <n v="92"/>
    <n v="95"/>
    <n v="85"/>
    <n v="67"/>
    <n v="60"/>
    <n v="45"/>
    <n v="125"/>
    <n v="42.5"/>
    <n v="102.25"/>
    <n v="90"/>
    <n v="137"/>
    <n v="262"/>
    <n v="1202.75"/>
  </r>
  <r>
    <x v="360"/>
    <n v="806804"/>
    <s v="RAM SINGH"/>
    <n v="171923"/>
    <s v="SHIV SHAKTI BUILDING MATERIAL"/>
    <n v="44"/>
    <n v="59"/>
    <n v="56.5"/>
    <n v="99"/>
    <n v="58"/>
    <n v="40"/>
    <n v="40"/>
    <n v="20"/>
    <n v="45"/>
    <n v="75"/>
    <n v="60"/>
    <n v="30"/>
    <n v="626.5"/>
  </r>
  <r>
    <x v="361"/>
    <n v="806805"/>
    <s v="DARA SINGH"/>
    <n v="145394"/>
    <s v="DEVRAJ AND SONS"/>
    <n v="0"/>
    <n v="0"/>
    <n v="30"/>
    <n v="0"/>
    <n v="0"/>
    <n v="0"/>
    <n v="0"/>
    <n v="0"/>
    <n v="0"/>
    <n v="0"/>
    <n v="0"/>
    <n v="0"/>
    <n v="30"/>
  </r>
  <r>
    <x v="362"/>
    <n v="806805"/>
    <s v="DARA SINGH"/>
    <n v="171923"/>
    <s v="SHIV SHAKTI BUILDING MATERIAL"/>
    <n v="25"/>
    <n v="30"/>
    <n v="45"/>
    <n v="22.5"/>
    <n v="36.5"/>
    <n v="20"/>
    <n v="15"/>
    <n v="20"/>
    <n v="40"/>
    <n v="50"/>
    <n v="35"/>
    <n v="73.5"/>
    <n v="412.5"/>
  </r>
  <r>
    <x v="363"/>
    <n v="806827"/>
    <s v="SWASTIK PANTS &amp; HARDWARE"/>
    <n v="140848"/>
    <s v="PADAM CEMENT SUPPLIERS"/>
    <n v="23.5"/>
    <n v="7.5"/>
    <n v="0"/>
    <n v="0"/>
    <n v="10"/>
    <n v="7.5"/>
    <n v="0"/>
    <n v="10"/>
    <n v="57.5"/>
    <n v="25"/>
    <n v="10"/>
    <n v="58.5"/>
    <n v="209.5"/>
  </r>
  <r>
    <x v="364"/>
    <n v="806828"/>
    <s v="AMBIKA TRADERS"/>
    <n v="178764"/>
    <s v="PERFECT TRADERS"/>
    <n v="0"/>
    <n v="0"/>
    <n v="0"/>
    <n v="20"/>
    <n v="0"/>
    <n v="0"/>
    <n v="0"/>
    <n v="0"/>
    <n v="20"/>
    <n v="25"/>
    <n v="0"/>
    <n v="15"/>
    <n v="80"/>
  </r>
  <r>
    <x v="365"/>
    <n v="806829"/>
    <s v="VIKAS PAREEK"/>
    <n v="171839"/>
    <s v="SARAWAGI CEMENT AGENCY"/>
    <n v="23"/>
    <n v="65"/>
    <n v="62"/>
    <n v="78"/>
    <n v="4.5"/>
    <n v="63.5"/>
    <n v="50"/>
    <n v="0"/>
    <n v="67"/>
    <n v="44"/>
    <n v="51.5"/>
    <n v="92"/>
    <n v="600.5"/>
  </r>
  <r>
    <x v="366"/>
    <n v="806830"/>
    <s v="SHREE BHOMIA JI BUILDING MATER"/>
    <n v="119038"/>
    <s v="NAVEEN DISTRIBUTORS"/>
    <n v="30"/>
    <n v="34"/>
    <n v="57"/>
    <n v="40"/>
    <n v="20"/>
    <n v="28.5"/>
    <n v="0"/>
    <n v="20"/>
    <n v="39.5"/>
    <n v="29.5"/>
    <n v="30"/>
    <n v="80"/>
    <n v="408.5"/>
  </r>
  <r>
    <x v="367"/>
    <n v="806841"/>
    <s v="VISHNU TRADERS"/>
    <n v="171226"/>
    <s v="SATYA TRADERS"/>
    <n v="20"/>
    <n v="67"/>
    <n v="126"/>
    <n v="25"/>
    <n v="0"/>
    <n v="25"/>
    <n v="0"/>
    <n v="20"/>
    <n v="104"/>
    <n v="52"/>
    <n v="35"/>
    <n v="35"/>
    <n v="509"/>
  </r>
  <r>
    <x v="368"/>
    <n v="806843"/>
    <s v="SHYAM SUNDER"/>
    <n v="171839"/>
    <s v="SARAWAGI CEMENT AGENCY"/>
    <n v="10"/>
    <n v="81"/>
    <n v="14.8"/>
    <n v="52"/>
    <n v="4.5"/>
    <n v="110.5"/>
    <n v="95"/>
    <n v="30"/>
    <n v="123"/>
    <n v="36"/>
    <n v="0"/>
    <n v="44"/>
    <n v="600.79999999999995"/>
  </r>
  <r>
    <x v="369"/>
    <n v="806862"/>
    <s v="SAHARAN BUILDING MATERIAL"/>
    <n v="171839"/>
    <s v="SARAWAGI CEMENT AGENCY"/>
    <n v="45"/>
    <n v="75"/>
    <n v="100"/>
    <n v="126"/>
    <n v="14.5"/>
    <n v="100"/>
    <n v="70"/>
    <n v="70"/>
    <n v="173"/>
    <n v="70"/>
    <n v="30"/>
    <n v="41"/>
    <n v="914.5"/>
  </r>
  <r>
    <x v="370"/>
    <n v="806863"/>
    <s v="HARI TRADERS"/>
    <n v="119038"/>
    <s v="NAVEEN DISTRIBUTORS"/>
    <n v="22"/>
    <n v="25"/>
    <n v="145"/>
    <n v="117"/>
    <n v="60"/>
    <n v="120"/>
    <n v="145"/>
    <n v="195"/>
    <n v="265"/>
    <n v="90.5"/>
    <n v="169"/>
    <n v="0"/>
    <n v="1353.5"/>
  </r>
  <r>
    <x v="371"/>
    <n v="806864"/>
    <s v="SHRI KARNI CEMENT AGENCY"/>
    <n v="175547"/>
    <s v="S.S.BHATI ENTERPRISES"/>
    <n v="30"/>
    <n v="27"/>
    <n v="15"/>
    <n v="72"/>
    <n v="110"/>
    <n v="120"/>
    <n v="171"/>
    <n v="85"/>
    <n v="116"/>
    <n v="137"/>
    <n v="125"/>
    <n v="65"/>
    <n v="1073"/>
  </r>
  <r>
    <x v="372"/>
    <n v="806871"/>
    <s v="KISAAN KHAD BEEJ BHANDAR"/>
    <n v="119046"/>
    <s v="GARG AGRO AGENCIES"/>
    <n v="10"/>
    <n v="51.5"/>
    <n v="81.5"/>
    <n v="50"/>
    <n v="62"/>
    <n v="20"/>
    <n v="0"/>
    <n v="42"/>
    <n v="0"/>
    <n v="0"/>
    <n v="51.5"/>
    <n v="45"/>
    <n v="413.5"/>
  </r>
  <r>
    <x v="373"/>
    <n v="806872"/>
    <s v="LUCKY ENTERPRISES"/>
    <n v="119026"/>
    <s v="FRIENDS SUPPLIERS CO.(L"/>
    <n v="20"/>
    <n v="10"/>
    <n v="10"/>
    <n v="35"/>
    <n v="0"/>
    <n v="0"/>
    <n v="10"/>
    <n v="0"/>
    <n v="35"/>
    <n v="15"/>
    <n v="10"/>
    <n v="5"/>
    <n v="150"/>
  </r>
  <r>
    <x v="374"/>
    <n v="806882"/>
    <s v="GOMTI BUILDING MATERIAL STORE"/>
    <n v="119023"/>
    <s v="AGARWAL MACHINERY STORES"/>
    <n v="104"/>
    <n v="115"/>
    <n v="215"/>
    <n v="225"/>
    <n v="88.5"/>
    <n v="220"/>
    <n v="129"/>
    <n v="0"/>
    <n v="113"/>
    <n v="53"/>
    <n v="107"/>
    <n v="149"/>
    <n v="1518.5"/>
  </r>
  <r>
    <x v="375"/>
    <n v="806883"/>
    <s v="KUNAL DISTRIBUTORS"/>
    <n v="119026"/>
    <s v="FRIENDS SUPPLIERS CO.(L"/>
    <n v="112.5"/>
    <n v="13.5"/>
    <n v="118.5"/>
    <n v="25"/>
    <n v="45"/>
    <n v="67.5"/>
    <n v="77.95"/>
    <n v="35"/>
    <n v="22.5"/>
    <n v="170.75"/>
    <n v="10"/>
    <n v="120"/>
    <n v="818.2"/>
  </r>
  <r>
    <x v="376"/>
    <n v="806885"/>
    <s v="NEW RAMDEV KIRANA STORE"/>
    <n v="206441"/>
    <s v="SHREE AMBIKA CEMENT COMPANY"/>
    <n v="0"/>
    <n v="0"/>
    <n v="0"/>
    <n v="0"/>
    <n v="0"/>
    <n v="0"/>
    <n v="14"/>
    <n v="62.5"/>
    <n v="60"/>
    <n v="30"/>
    <n v="15"/>
    <n v="30"/>
    <n v="211.5"/>
  </r>
  <r>
    <x v="377"/>
    <n v="806887"/>
    <s v="RADHAKRISHNA ENTERPRISES"/>
    <n v="119071"/>
    <s v="GANESH AGENCIES"/>
    <n v="50"/>
    <n v="76.5"/>
    <n v="163.80000000000001"/>
    <n v="104.25"/>
    <n v="92.5"/>
    <n v="103.75"/>
    <n v="70"/>
    <n v="46"/>
    <n v="201.85"/>
    <n v="40.25"/>
    <n v="101.5"/>
    <n v="60"/>
    <n v="1110.4000000000001"/>
  </r>
  <r>
    <x v="378"/>
    <n v="806898"/>
    <s v="SHIV SHANKAR BUILDING MATERIAL"/>
    <n v="141512"/>
    <s v="MISHRA TRADERS"/>
    <n v="81.5"/>
    <n v="131.44999999999999"/>
    <n v="153"/>
    <n v="118"/>
    <n v="50.75"/>
    <n v="20"/>
    <n v="54.55"/>
    <n v="59.75"/>
    <n v="59.5"/>
    <n v="20"/>
    <n v="60.5"/>
    <n v="108"/>
    <n v="917"/>
  </r>
  <r>
    <x v="379"/>
    <n v="806915"/>
    <s v="VISHWAKARMA STONE SUPPLIER"/>
    <n v="119028"/>
    <s v="KANHAYALAL &amp; SONS"/>
    <n v="31"/>
    <n v="0"/>
    <n v="0"/>
    <n v="51"/>
    <n v="26"/>
    <n v="62"/>
    <n v="0"/>
    <n v="0"/>
    <n v="15"/>
    <n v="10"/>
    <n v="26"/>
    <n v="62"/>
    <n v="283"/>
  </r>
  <r>
    <x v="380"/>
    <n v="806922"/>
    <s v="MAHALA ENTERPRISES"/>
    <n v="170847"/>
    <s v="SHREE BALAJI TRADING COMPANY"/>
    <n v="22"/>
    <n v="15"/>
    <n v="10"/>
    <n v="35"/>
    <n v="0"/>
    <n v="26"/>
    <n v="36"/>
    <n v="0"/>
    <n v="46"/>
    <n v="54.5"/>
    <n v="47"/>
    <n v="45"/>
    <n v="336.5"/>
  </r>
  <r>
    <x v="381"/>
    <n v="806923"/>
    <s v="CHOUDHARY CEMENT SUPPLIERS"/>
    <n v="170847"/>
    <s v="SHREE BALAJI TRADING COMPANY"/>
    <n v="11"/>
    <n v="3.8"/>
    <n v="30"/>
    <n v="24"/>
    <n v="40"/>
    <n v="10"/>
    <n v="20"/>
    <n v="0"/>
    <n v="37.5"/>
    <n v="0"/>
    <n v="16"/>
    <n v="42"/>
    <n v="234.3"/>
  </r>
  <r>
    <x v="382"/>
    <n v="806926"/>
    <s v="AGARWAL KHAD BEEJ BHANDAR"/>
    <n v="119047"/>
    <s v="BANSAL TRADING COMPANY"/>
    <n v="34"/>
    <n v="33.5"/>
    <n v="21.5"/>
    <n v="91.5"/>
    <n v="42"/>
    <n v="57"/>
    <n v="20"/>
    <n v="50"/>
    <n v="50"/>
    <n v="42.5"/>
    <n v="0"/>
    <n v="48"/>
    <n v="490"/>
  </r>
  <r>
    <x v="383"/>
    <n v="806939"/>
    <s v="GOKUL PAD STORE"/>
    <n v="141556"/>
    <s v="GYANI BUILDING MATERIALS"/>
    <n v="98.5"/>
    <n v="109.5"/>
    <n v="111"/>
    <n v="86.5"/>
    <n v="61"/>
    <n v="84.5"/>
    <n v="60"/>
    <n v="15"/>
    <n v="65"/>
    <n v="46.5"/>
    <n v="60"/>
    <n v="142.5"/>
    <n v="940"/>
  </r>
  <r>
    <x v="384"/>
    <n v="806943"/>
    <s v="MANOHAR LAL"/>
    <n v="119028"/>
    <s v="KANHAYALAL &amp; SONS"/>
    <n v="0"/>
    <n v="0"/>
    <n v="0"/>
    <n v="0"/>
    <n v="30"/>
    <n v="31"/>
    <n v="0"/>
    <n v="0"/>
    <n v="10"/>
    <n v="0"/>
    <n v="0"/>
    <n v="93"/>
    <n v="164"/>
  </r>
  <r>
    <x v="385"/>
    <n v="806968"/>
    <s v="AMISHA TRADING"/>
    <n v="170200"/>
    <s v="GARG TRADING COMPANY"/>
    <n v="35"/>
    <n v="0"/>
    <n v="102.5"/>
    <n v="0"/>
    <n v="20"/>
    <n v="25"/>
    <n v="15"/>
    <n v="70"/>
    <n v="0"/>
    <n v="15"/>
    <n v="0"/>
    <n v="0"/>
    <n v="282.5"/>
  </r>
  <r>
    <x v="386"/>
    <n v="806969"/>
    <s v="LALA RAM BEEJ BHANDAR"/>
    <n v="119034"/>
    <s v="SOGANI AGENCIES"/>
    <n v="15"/>
    <n v="0"/>
    <n v="0"/>
    <n v="0"/>
    <n v="0"/>
    <n v="0"/>
    <n v="0"/>
    <n v="0"/>
    <n v="0"/>
    <n v="0"/>
    <n v="0"/>
    <n v="0"/>
    <n v="15"/>
  </r>
  <r>
    <x v="387"/>
    <n v="806971"/>
    <s v="NAAMLA CONSTRUCTIONS"/>
    <n v="140860"/>
    <s v="VIPUL CEMENT SUPPLIERS"/>
    <n v="0"/>
    <n v="0"/>
    <n v="0"/>
    <n v="0"/>
    <n v="0"/>
    <n v="0"/>
    <n v="0"/>
    <n v="0"/>
    <n v="0"/>
    <n v="0"/>
    <n v="10"/>
    <n v="0"/>
    <n v="10"/>
  </r>
  <r>
    <x v="388"/>
    <n v="806972"/>
    <s v="ROYAL BUILDING MATERIAL"/>
    <n v="147364"/>
    <s v="RAJASTHAN ROYAL BUILDHOME SOLU"/>
    <n v="0"/>
    <n v="0"/>
    <n v="0"/>
    <n v="0"/>
    <n v="0"/>
    <n v="30"/>
    <n v="10"/>
    <n v="0"/>
    <n v="0"/>
    <n v="0"/>
    <n v="0"/>
    <n v="0"/>
    <n v="40"/>
  </r>
  <r>
    <x v="389"/>
    <n v="806973"/>
    <s v="SHREE ANNAPURNA CEMENT SUPPLIE"/>
    <n v="141115"/>
    <s v="KALPESH CEMENT AGENCY"/>
    <n v="0"/>
    <n v="0"/>
    <n v="108"/>
    <n v="0"/>
    <n v="32.5"/>
    <n v="33.5"/>
    <n v="0"/>
    <n v="0"/>
    <n v="0"/>
    <n v="0"/>
    <n v="0"/>
    <n v="0"/>
    <n v="174"/>
  </r>
  <r>
    <x v="390"/>
    <n v="806975"/>
    <s v="MENARIA CEMENT AGENCY"/>
    <n v="141115"/>
    <s v="KALPESH CEMENT AGENCY"/>
    <n v="60"/>
    <n v="61.25"/>
    <n v="49"/>
    <n v="52.5"/>
    <n v="58.75"/>
    <n v="62"/>
    <n v="60"/>
    <n v="25"/>
    <n v="101"/>
    <n v="74"/>
    <n v="62"/>
    <n v="80.25"/>
    <n v="745.75"/>
  </r>
  <r>
    <x v="391"/>
    <n v="806996"/>
    <s v="HATIMI IRON"/>
    <n v="140858"/>
    <s v="RAMESH CHANDRA JAI CHAND"/>
    <n v="8.5"/>
    <n v="10"/>
    <n v="10"/>
    <n v="15"/>
    <n v="40"/>
    <n v="47.5"/>
    <n v="55"/>
    <n v="25"/>
    <n v="30"/>
    <n v="20"/>
    <n v="10"/>
    <n v="20"/>
    <n v="291"/>
  </r>
  <r>
    <x v="392"/>
    <n v="806999"/>
    <s v="BABA TRADING COMPANY"/>
    <n v="171578"/>
    <s v="KOTA BUILDMAT"/>
    <n v="25"/>
    <n v="10"/>
    <n v="35"/>
    <n v="70"/>
    <n v="37.5"/>
    <n v="40"/>
    <n v="5"/>
    <n v="20"/>
    <n v="113"/>
    <n v="52.5"/>
    <n v="95.1"/>
    <n v="107.45"/>
    <n v="610.55000000000007"/>
  </r>
  <r>
    <x v="393"/>
    <n v="807002"/>
    <s v="SHREE JI BUILDING MATERIAL STO"/>
    <n v="171479"/>
    <s v="YADAV TRADING COMPANY"/>
    <n v="113"/>
    <n v="116.6"/>
    <n v="99"/>
    <n v="167.5"/>
    <n v="171.5"/>
    <n v="153"/>
    <n v="141"/>
    <n v="34.5"/>
    <n v="149.5"/>
    <n v="25"/>
    <n v="10"/>
    <n v="107.5"/>
    <n v="1288.0999999999999"/>
  </r>
  <r>
    <x v="394"/>
    <n v="807016"/>
    <s v="MATESHWARI BUILDING MATERIAL S"/>
    <n v="140967"/>
    <s v="B.L.JAIN &amp; SONS"/>
    <n v="0"/>
    <n v="0"/>
    <n v="0"/>
    <n v="0"/>
    <n v="0"/>
    <n v="0"/>
    <n v="68"/>
    <n v="0"/>
    <n v="7.5"/>
    <n v="70"/>
    <n v="0"/>
    <n v="10"/>
    <n v="155.5"/>
  </r>
  <r>
    <x v="395"/>
    <n v="807017"/>
    <s v="SHREE DEVNARAYAN BUILDING MATE"/>
    <n v="170204"/>
    <s v="GOYAL BUILDING MATERIAL"/>
    <n v="70"/>
    <n v="94"/>
    <n v="65"/>
    <n v="35"/>
    <n v="10"/>
    <n v="37.5"/>
    <n v="80"/>
    <n v="15"/>
    <n v="55"/>
    <n v="20"/>
    <n v="20"/>
    <n v="134"/>
    <n v="635.5"/>
  </r>
  <r>
    <x v="396"/>
    <n v="807025"/>
    <s v="HITESH BUILDING MATERIAL"/>
    <n v="146968"/>
    <s v="BHARAT BUILDCON"/>
    <n v="114"/>
    <n v="104.25"/>
    <n v="108.5"/>
    <n v="83.25"/>
    <n v="50"/>
    <n v="77.75"/>
    <n v="71.75"/>
    <n v="50"/>
    <n v="95"/>
    <n v="100"/>
    <n v="73"/>
    <n v="79"/>
    <n v="1006.5"/>
  </r>
  <r>
    <x v="397"/>
    <n v="807026"/>
    <s v="ANKIT LADDHA"/>
    <n v="171909"/>
    <s v="SAI NATH BUILDING MATERIALS"/>
    <n v="43.5"/>
    <n v="40.75"/>
    <n v="78.25"/>
    <n v="58.5"/>
    <n v="78.25"/>
    <n v="13"/>
    <n v="26.5"/>
    <n v="5"/>
    <n v="0"/>
    <n v="0"/>
    <n v="0"/>
    <n v="5"/>
    <n v="348.75"/>
  </r>
  <r>
    <x v="398"/>
    <n v="807053"/>
    <s v="TANWAR TRADING COMPANY"/>
    <n v="170617"/>
    <s v="MANGALAM TRADING COMPANY"/>
    <n v="0"/>
    <n v="0"/>
    <n v="0"/>
    <n v="0"/>
    <n v="10"/>
    <n v="2.5"/>
    <n v="7.5"/>
    <n v="0"/>
    <n v="0"/>
    <n v="10"/>
    <n v="0"/>
    <n v="0"/>
    <n v="30"/>
  </r>
  <r>
    <x v="399"/>
    <n v="807054"/>
    <s v="SHRI TIRUPATI BALAJI CEMENT AG"/>
    <n v="143301"/>
    <s v="LAXMI TRADERS"/>
    <n v="30.5"/>
    <n v="0"/>
    <n v="10"/>
    <n v="47"/>
    <n v="10"/>
    <n v="17.5"/>
    <n v="7.5"/>
    <n v="0"/>
    <n v="7.5"/>
    <n v="0"/>
    <n v="15"/>
    <n v="0"/>
    <n v="145"/>
  </r>
  <r>
    <x v="400"/>
    <n v="807055"/>
    <s v="LAXMI TRADING COMPANY"/>
    <n v="149885"/>
    <s v="LUHANI CEMENT SUPPLIERS"/>
    <n v="70.5"/>
    <n v="14.5"/>
    <n v="2.5"/>
    <n v="40"/>
    <n v="17.5"/>
    <n v="0"/>
    <n v="30.35"/>
    <n v="0"/>
    <n v="15"/>
    <n v="0"/>
    <n v="0"/>
    <n v="0"/>
    <n v="190.35"/>
  </r>
  <r>
    <x v="401"/>
    <n v="807056"/>
    <s v="JAI BHAWANI TRADING COMPANY"/>
    <n v="149885"/>
    <s v="LUHANI CEMENT SUPPLIERS"/>
    <n v="0"/>
    <n v="15"/>
    <n v="0"/>
    <n v="15"/>
    <n v="17.2"/>
    <n v="0"/>
    <n v="7.5"/>
    <n v="0"/>
    <n v="27.5"/>
    <n v="0"/>
    <n v="12.5"/>
    <n v="0"/>
    <n v="94.7"/>
  </r>
  <r>
    <x v="402"/>
    <n v="807065"/>
    <s v="KUMAWAT CEMENT AGENCY"/>
    <n v="143301"/>
    <s v="LAXMI TRADERS"/>
    <n v="51.95"/>
    <n v="0"/>
    <n v="75.349999999999994"/>
    <n v="64.5"/>
    <n v="10"/>
    <n v="84.5"/>
    <n v="37.5"/>
    <n v="20"/>
    <n v="0"/>
    <n v="0"/>
    <n v="0"/>
    <n v="0"/>
    <n v="343.8"/>
  </r>
  <r>
    <x v="403"/>
    <n v="807066"/>
    <s v="DWARKESH KHAD BEEJ BHANDAR"/>
    <n v="176015"/>
    <s v="DEVNARAYAN TRADERS"/>
    <n v="15"/>
    <n v="0"/>
    <n v="25"/>
    <n v="35"/>
    <n v="35"/>
    <n v="44"/>
    <n v="19.5"/>
    <n v="5"/>
    <n v="47"/>
    <n v="32"/>
    <n v="35"/>
    <n v="108"/>
    <n v="400.5"/>
  </r>
  <r>
    <x v="404"/>
    <n v="807103"/>
    <s v="BHANWAR LAL BOHRA"/>
    <n v="174034"/>
    <s v="RADHE BUILDING MATERIAL"/>
    <n v="0"/>
    <n v="0"/>
    <n v="0"/>
    <n v="10"/>
    <n v="0"/>
    <n v="11"/>
    <n v="15"/>
    <n v="0"/>
    <n v="22.5"/>
    <n v="20"/>
    <n v="20"/>
    <n v="0"/>
    <n v="98.5"/>
  </r>
  <r>
    <x v="405"/>
    <n v="807104"/>
    <s v="BALAJI BUILDING MATERIAL"/>
    <n v="174034"/>
    <s v="RADHE BUILDING MATERIAL"/>
    <n v="20"/>
    <n v="0"/>
    <n v="0"/>
    <n v="21"/>
    <n v="8"/>
    <n v="115"/>
    <n v="115"/>
    <n v="25"/>
    <n v="120"/>
    <n v="20"/>
    <n v="10"/>
    <n v="30"/>
    <n v="484"/>
  </r>
  <r>
    <x v="406"/>
    <n v="807105"/>
    <s v="VISHNU TRADING COMPANY"/>
    <n v="172338"/>
    <s v="KHILJEE BUILDING MATERIAL"/>
    <n v="60"/>
    <n v="40"/>
    <n v="30"/>
    <n v="30"/>
    <n v="10"/>
    <n v="25"/>
    <n v="10"/>
    <n v="10"/>
    <n v="30"/>
    <n v="32.5"/>
    <n v="22.5"/>
    <n v="107"/>
    <n v="407"/>
  </r>
  <r>
    <x v="407"/>
    <n v="807112"/>
    <s v="AJEET SINGH RANJIT SINGH CHOUH"/>
    <n v="119038"/>
    <s v="NAVEEN DISTRIBUTORS"/>
    <n v="0"/>
    <n v="0"/>
    <n v="0"/>
    <n v="0"/>
    <n v="0"/>
    <n v="0"/>
    <n v="0"/>
    <n v="0"/>
    <n v="0"/>
    <n v="0"/>
    <n v="10"/>
    <n v="0"/>
    <n v="10"/>
  </r>
  <r>
    <x v="408"/>
    <n v="807113"/>
    <s v="BABA RAMDEV BUILDING MATERIAL"/>
    <n v="119038"/>
    <s v="NAVEEN DISTRIBUTORS"/>
    <n v="0"/>
    <n v="69.5"/>
    <n v="29.5"/>
    <n v="40"/>
    <n v="93.5"/>
    <n v="46.5"/>
    <n v="34"/>
    <n v="20"/>
    <n v="0"/>
    <n v="20"/>
    <n v="26.5"/>
    <n v="95"/>
    <n v="474.5"/>
  </r>
  <r>
    <x v="409"/>
    <n v="807120"/>
    <s v="AGARWAL SANITATION"/>
    <n v="119261"/>
    <s v="DURGESH ENTERPRISES"/>
    <n v="100.75"/>
    <n v="0"/>
    <n v="0"/>
    <n v="107"/>
    <n v="100"/>
    <n v="102"/>
    <n v="157.80000000000001"/>
    <n v="298.7"/>
    <n v="375.4"/>
    <n v="301.5"/>
    <n v="301.89999999999998"/>
    <n v="589"/>
    <n v="2434.0500000000002"/>
  </r>
  <r>
    <x v="410"/>
    <n v="807121"/>
    <s v="SHARDA ENTERPRISES"/>
    <n v="146845"/>
    <s v="SHARDA TRADERS"/>
    <n v="98"/>
    <n v="107.25"/>
    <n v="138.5"/>
    <n v="82.4"/>
    <n v="77.05"/>
    <n v="92.75"/>
    <n v="57.5"/>
    <n v="45.25"/>
    <n v="75"/>
    <n v="80.25"/>
    <n v="65.75"/>
    <n v="75.25"/>
    <n v="994.95"/>
  </r>
  <r>
    <x v="411"/>
    <n v="807122"/>
    <s v="NANDINI TIMBER &amp; BUILDING MATE"/>
    <n v="176303"/>
    <s v="ASHISH TRADERS"/>
    <n v="13.5"/>
    <n v="20"/>
    <n v="15.75"/>
    <n v="8.5"/>
    <n v="25"/>
    <n v="35"/>
    <n v="15"/>
    <n v="25"/>
    <n v="20"/>
    <n v="40"/>
    <n v="34"/>
    <n v="64"/>
    <n v="315.75"/>
  </r>
  <r>
    <x v="412"/>
    <n v="807140"/>
    <s v="VEER TEJA HARDWARE AND CEMENT"/>
    <n v="170228"/>
    <s v="SHRI RAM TRADERS"/>
    <n v="0"/>
    <n v="0"/>
    <n v="0"/>
    <n v="11"/>
    <n v="0"/>
    <n v="20"/>
    <n v="0"/>
    <n v="10"/>
    <n v="0"/>
    <n v="0"/>
    <n v="0"/>
    <n v="0"/>
    <n v="41"/>
  </r>
  <r>
    <x v="413"/>
    <n v="807141"/>
    <s v="DILIP SAINI"/>
    <n v="202994"/>
    <s v="ARVIND CEMENT &amp; KALI UDYOG"/>
    <n v="8"/>
    <n v="35"/>
    <n v="25"/>
    <n v="17"/>
    <n v="8.5"/>
    <n v="0"/>
    <n v="36"/>
    <n v="22.5"/>
    <n v="22.5"/>
    <n v="10"/>
    <n v="20"/>
    <n v="22.5"/>
    <n v="227"/>
  </r>
  <r>
    <x v="414"/>
    <n v="807142"/>
    <s v="R S TRADERS"/>
    <n v="171947"/>
    <s v="M.N.ASSOCIATES"/>
    <n v="61.5"/>
    <n v="76.75"/>
    <n v="62.5"/>
    <n v="109.65"/>
    <n v="116.5"/>
    <n v="130"/>
    <n v="76.75"/>
    <n v="79"/>
    <n v="110"/>
    <n v="118"/>
    <n v="65"/>
    <n v="100"/>
    <n v="1105.6500000000001"/>
  </r>
  <r>
    <x v="415"/>
    <n v="807143"/>
    <s v="LAVKUSH KHAD BEEJ BHANDAR"/>
    <n v="119023"/>
    <s v="AGARWAL MACHINERY STORES"/>
    <n v="0"/>
    <n v="0"/>
    <n v="0"/>
    <n v="0"/>
    <n v="0"/>
    <n v="0"/>
    <n v="129"/>
    <n v="145.5"/>
    <n v="105"/>
    <n v="55"/>
    <n v="166.5"/>
    <n v="157"/>
    <n v="758"/>
  </r>
  <r>
    <x v="416"/>
    <n v="807151"/>
    <s v="APEX GRANITE AND MARBLES"/>
    <n v="170248"/>
    <s v="MAHAVEER ENTERPRISES"/>
    <n v="13"/>
    <n v="30"/>
    <n v="25"/>
    <n v="31"/>
    <n v="46.75"/>
    <n v="20"/>
    <n v="52.5"/>
    <n v="46"/>
    <n v="25"/>
    <n v="23"/>
    <n v="19.899999999999999"/>
    <n v="70"/>
    <n v="402.15"/>
  </r>
  <r>
    <x v="417"/>
    <n v="807153"/>
    <s v="KUKANA ENTERPRISES"/>
    <n v="119044"/>
    <s v="PANWAR TRADING CORPORATION LTD"/>
    <n v="0"/>
    <n v="15"/>
    <n v="26.5"/>
    <n v="0"/>
    <n v="15"/>
    <n v="0"/>
    <n v="0"/>
    <n v="0"/>
    <n v="15"/>
    <n v="0"/>
    <n v="12.5"/>
    <n v="10"/>
    <n v="94"/>
  </r>
  <r>
    <x v="418"/>
    <n v="807164"/>
    <s v="RAJENDRA SINGH DAGUR"/>
    <n v="170197"/>
    <s v="ARVIND BUILDING MATERIAL"/>
    <n v="0"/>
    <n v="0"/>
    <n v="10"/>
    <n v="0"/>
    <n v="0"/>
    <n v="0"/>
    <n v="0"/>
    <n v="0"/>
    <n v="0"/>
    <n v="0"/>
    <n v="0"/>
    <n v="0"/>
    <n v="10"/>
  </r>
  <r>
    <x v="419"/>
    <n v="807164"/>
    <s v="RAJENDRA SINGH DAGUR"/>
    <n v="208183"/>
    <s v="AAGRAWAL TRADING COMPANY"/>
    <n v="0"/>
    <n v="0"/>
    <n v="73"/>
    <n v="31.5"/>
    <n v="84.5"/>
    <n v="150.5"/>
    <n v="52"/>
    <n v="10"/>
    <n v="50"/>
    <n v="10"/>
    <n v="44.9"/>
    <n v="10"/>
    <n v="516.4"/>
  </r>
  <r>
    <x v="420"/>
    <n v="807177"/>
    <s v="LAKHARA CEMENT SUPPLIERS"/>
    <n v="174034"/>
    <s v="RADHE BUILDING MATERIAL"/>
    <n v="0"/>
    <n v="45"/>
    <n v="0"/>
    <n v="0"/>
    <n v="25.5"/>
    <n v="75"/>
    <n v="20"/>
    <n v="0"/>
    <n v="25.5"/>
    <n v="35"/>
    <n v="60"/>
    <n v="114"/>
    <n v="400"/>
  </r>
  <r>
    <x v="421"/>
    <n v="807187"/>
    <s v="RAGHUNATH SINGH"/>
    <n v="141115"/>
    <s v="KALPESH CEMENT AGENCY"/>
    <n v="32.5"/>
    <n v="34.5"/>
    <n v="57.5"/>
    <n v="31.5"/>
    <n v="35"/>
    <n v="36"/>
    <n v="20"/>
    <n v="40"/>
    <n v="0"/>
    <n v="48.75"/>
    <n v="20"/>
    <n v="48.5"/>
    <n v="404.25"/>
  </r>
  <r>
    <x v="422"/>
    <n v="807200"/>
    <s v="SHIV GANPATI MARBLE AND GRANIT"/>
    <n v="174713"/>
    <s v="KANHA BUILDING MATERIAL"/>
    <n v="0"/>
    <n v="17"/>
    <n v="26"/>
    <n v="0"/>
    <n v="22"/>
    <n v="21.5"/>
    <n v="30"/>
    <n v="30.5"/>
    <n v="38.5"/>
    <n v="20"/>
    <n v="25"/>
    <n v="45"/>
    <n v="275.5"/>
  </r>
  <r>
    <x v="423"/>
    <n v="807201"/>
    <s v="SHRI RADHA SHYAM BUILDERS"/>
    <n v="149765"/>
    <s v="ARORA CEMENT AGENCY"/>
    <n v="30"/>
    <n v="20"/>
    <n v="13"/>
    <n v="0"/>
    <n v="30"/>
    <n v="25"/>
    <n v="20"/>
    <n v="10"/>
    <n v="30"/>
    <n v="20"/>
    <n v="10"/>
    <n v="0"/>
    <n v="208"/>
  </r>
  <r>
    <x v="424"/>
    <n v="807202"/>
    <s v="SHREE RADHIKA TRADERS"/>
    <n v="171947"/>
    <s v="M.N.ASSOCIATES"/>
    <n v="40"/>
    <n v="0"/>
    <n v="5"/>
    <n v="20"/>
    <n v="27.5"/>
    <n v="20.5"/>
    <n v="25"/>
    <n v="11.25"/>
    <n v="70"/>
    <n v="35"/>
    <n v="28.5"/>
    <n v="50"/>
    <n v="332.75"/>
  </r>
  <r>
    <x v="425"/>
    <n v="807203"/>
    <s v="GAGAN TRADERS"/>
    <n v="119261"/>
    <s v="DURGESH ENTERPRISES"/>
    <n v="0"/>
    <n v="0"/>
    <n v="0"/>
    <n v="14"/>
    <n v="1"/>
    <n v="1"/>
    <n v="0"/>
    <n v="0"/>
    <n v="21"/>
    <n v="20"/>
    <n v="0"/>
    <n v="20"/>
    <n v="77"/>
  </r>
  <r>
    <x v="426"/>
    <n v="807228"/>
    <s v="HANSRAJ DAGDI"/>
    <n v="119042"/>
    <s v="SARAS ENTERPRISES"/>
    <n v="0"/>
    <n v="0"/>
    <n v="0"/>
    <n v="10"/>
    <n v="27.5"/>
    <n v="0"/>
    <n v="0"/>
    <n v="25"/>
    <n v="27.5"/>
    <n v="10"/>
    <n v="0"/>
    <n v="30"/>
    <n v="130"/>
  </r>
  <r>
    <x v="427"/>
    <n v="807244"/>
    <s v="ADITYA ENTERPRISES"/>
    <n v="201172"/>
    <s v="MAA TRADERS"/>
    <n v="96"/>
    <n v="78.5"/>
    <n v="63.3"/>
    <n v="62"/>
    <n v="39"/>
    <n v="42"/>
    <n v="112.5"/>
    <n v="35.5"/>
    <n v="43"/>
    <n v="12.5"/>
    <n v="15"/>
    <n v="17.5"/>
    <n v="616.79999999999995"/>
  </r>
  <r>
    <x v="428"/>
    <n v="807257"/>
    <s v="KARNANI CEMENT SUPPLIERS"/>
    <n v="172497"/>
    <s v="VINAYAK INDUSTRIES"/>
    <n v="20"/>
    <n v="20"/>
    <n v="40"/>
    <n v="44"/>
    <n v="74"/>
    <n v="87"/>
    <n v="176"/>
    <n v="50"/>
    <n v="105.95"/>
    <n v="47"/>
    <n v="60.5"/>
    <n v="207.2"/>
    <n v="931.65000000000009"/>
  </r>
  <r>
    <x v="429"/>
    <n v="807258"/>
    <s v="SHREE BALAJI CEMENT SALES"/>
    <n v="170904"/>
    <s v="ASHAPURA CEMENT SALES"/>
    <n v="16"/>
    <n v="23"/>
    <n v="20"/>
    <n v="26"/>
    <n v="39"/>
    <n v="25"/>
    <n v="35"/>
    <n v="32.5"/>
    <n v="83"/>
    <n v="86"/>
    <n v="60"/>
    <n v="36"/>
    <n v="481.5"/>
  </r>
  <r>
    <x v="430"/>
    <n v="807259"/>
    <s v="MAHADEV AGENCIES"/>
    <n v="176929"/>
    <s v="BHARAT TRADERS"/>
    <n v="12"/>
    <n v="0"/>
    <n v="0"/>
    <n v="40"/>
    <n v="0.5"/>
    <n v="42"/>
    <n v="13"/>
    <n v="10"/>
    <n v="20"/>
    <n v="29"/>
    <n v="40"/>
    <n v="45"/>
    <n v="251.5"/>
  </r>
  <r>
    <x v="431"/>
    <n v="807261"/>
    <s v="MAHAVEER STEEL AND SANITARY"/>
    <n v="141115"/>
    <s v="KALPESH CEMENT AGENCY"/>
    <n v="10"/>
    <n v="0"/>
    <n v="0"/>
    <n v="37.5"/>
    <n v="26"/>
    <n v="0"/>
    <n v="0"/>
    <n v="0"/>
    <n v="0"/>
    <n v="0"/>
    <n v="0"/>
    <n v="0"/>
    <n v="73.5"/>
  </r>
  <r>
    <x v="432"/>
    <n v="807265"/>
    <s v="PREM CHAND KALAL"/>
    <n v="119066"/>
    <s v="RAJENDRA KUMAR RATAN LAL JAIN"/>
    <n v="0"/>
    <n v="0"/>
    <n v="75"/>
    <n v="0"/>
    <n v="37"/>
    <n v="54.5"/>
    <n v="1"/>
    <n v="0"/>
    <n v="56.75"/>
    <n v="38.25"/>
    <n v="50"/>
    <n v="0"/>
    <n v="312.5"/>
  </r>
  <r>
    <x v="433"/>
    <n v="807303"/>
    <s v="CHORDIA CEMENT AGENCY"/>
    <n v="119208"/>
    <s v="SURAJMAL TANSUKH RAI"/>
    <n v="124"/>
    <n v="125"/>
    <n v="180"/>
    <n v="232"/>
    <n v="279"/>
    <n v="170"/>
    <n v="86"/>
    <n v="155"/>
    <n v="205"/>
    <n v="112"/>
    <n v="173"/>
    <n v="45"/>
    <n v="1886"/>
  </r>
  <r>
    <x v="434"/>
    <n v="807305"/>
    <s v="SUMAN CEMENT AGENCY"/>
    <n v="173865"/>
    <s v="BHARDWAJ TRADERS"/>
    <n v="0"/>
    <n v="0"/>
    <n v="20"/>
    <n v="25"/>
    <n v="0"/>
    <n v="0"/>
    <n v="0"/>
    <n v="0"/>
    <n v="0"/>
    <n v="0"/>
    <n v="0"/>
    <n v="0"/>
    <n v="45"/>
  </r>
  <r>
    <x v="435"/>
    <n v="807310"/>
    <s v="SAVNA ENTERPRISES &amp; CONSTRUCTI"/>
    <n v="140857"/>
    <s v="MERAWAT CEMENT AGENCY"/>
    <n v="0"/>
    <n v="20"/>
    <n v="25"/>
    <n v="23.5"/>
    <n v="30"/>
    <n v="20"/>
    <n v="0"/>
    <n v="0"/>
    <n v="20"/>
    <n v="0"/>
    <n v="17.5"/>
    <n v="0"/>
    <n v="156"/>
  </r>
  <r>
    <x v="436"/>
    <n v="807353"/>
    <s v="AGRWAL TRADERS"/>
    <n v="119261"/>
    <s v="DURGESH ENTERPRISES"/>
    <n v="101.15"/>
    <n v="0"/>
    <n v="101"/>
    <n v="102"/>
    <n v="52.5"/>
    <n v="50"/>
    <n v="100"/>
    <n v="50"/>
    <n v="100"/>
    <n v="50"/>
    <n v="50"/>
    <n v="0"/>
    <n v="756.65"/>
  </r>
  <r>
    <x v="437"/>
    <n v="807359"/>
    <s v="MUMTAJ TRADING COMPANY"/>
    <n v="177426"/>
    <s v="THALOR ENTERPRISES"/>
    <n v="23.75"/>
    <n v="0"/>
    <n v="25"/>
    <n v="12.5"/>
    <n v="34"/>
    <n v="50.5"/>
    <n v="111"/>
    <n v="118"/>
    <n v="86.75"/>
    <n v="52"/>
    <n v="30"/>
    <n v="68.400000000000006"/>
    <n v="611.9"/>
  </r>
  <r>
    <x v="438"/>
    <n v="807360"/>
    <s v="KRISHNA FABRICATION WORKS"/>
    <n v="143301"/>
    <s v="LAXMI TRADERS"/>
    <n v="32.5"/>
    <n v="0"/>
    <n v="10"/>
    <n v="10"/>
    <n v="10"/>
    <n v="17.5"/>
    <n v="7.5"/>
    <n v="0"/>
    <n v="15"/>
    <n v="0"/>
    <n v="15"/>
    <n v="0"/>
    <n v="117.5"/>
  </r>
  <r>
    <x v="439"/>
    <n v="807368"/>
    <s v="SHRI SHYAM TRADERS"/>
    <n v="176303"/>
    <s v="ASHISH TRADERS"/>
    <n v="0"/>
    <n v="15"/>
    <n v="0"/>
    <n v="0"/>
    <n v="7.5"/>
    <n v="16"/>
    <n v="0"/>
    <n v="0"/>
    <n v="7.5"/>
    <n v="5"/>
    <n v="5"/>
    <n v="0"/>
    <n v="56"/>
  </r>
  <r>
    <x v="440"/>
    <n v="807377"/>
    <s v="PRAJAPATI BUILDING MATERIAL"/>
    <n v="176870"/>
    <s v="KHANDELWAL CEMENT AGENCY"/>
    <n v="0"/>
    <n v="53"/>
    <n v="20"/>
    <n v="45"/>
    <n v="45"/>
    <n v="27.25"/>
    <n v="45"/>
    <n v="35"/>
    <n v="105"/>
    <n v="10"/>
    <n v="22.5"/>
    <n v="90"/>
    <n v="497.75"/>
  </r>
  <r>
    <x v="441"/>
    <n v="807393"/>
    <s v="VIKRAMJEET"/>
    <n v="119177"/>
    <s v="G.S.SALES CORPORATION"/>
    <n v="37"/>
    <n v="31.5"/>
    <n v="0"/>
    <n v="22"/>
    <n v="0"/>
    <n v="0"/>
    <n v="1"/>
    <n v="0"/>
    <n v="60"/>
    <n v="25"/>
    <n v="0"/>
    <n v="0"/>
    <n v="176.5"/>
  </r>
  <r>
    <x v="442"/>
    <n v="807394"/>
    <s v="JASVEER SINGH"/>
    <n v="119177"/>
    <s v="G.S.SALES CORPORATION"/>
    <n v="45"/>
    <n v="20"/>
    <n v="0"/>
    <n v="0"/>
    <n v="0"/>
    <n v="0"/>
    <n v="0"/>
    <n v="0"/>
    <n v="0"/>
    <n v="0"/>
    <n v="0"/>
    <n v="0"/>
    <n v="65"/>
  </r>
  <r>
    <x v="443"/>
    <n v="807395"/>
    <s v="GODARA TRADING COMPANY"/>
    <n v="144154"/>
    <s v="SANGAM TRADERS"/>
    <n v="0"/>
    <n v="0"/>
    <n v="0"/>
    <n v="0"/>
    <n v="17.5"/>
    <n v="0"/>
    <n v="0"/>
    <n v="0"/>
    <n v="0"/>
    <n v="110"/>
    <n v="20"/>
    <n v="0"/>
    <n v="147.5"/>
  </r>
  <r>
    <x v="444"/>
    <n v="807406"/>
    <s v="SARDAR CEMENT SUPPLIERS"/>
    <n v="173748"/>
    <s v="LAMPS SARADA"/>
    <n v="20"/>
    <n v="45"/>
    <n v="80"/>
    <n v="24"/>
    <n v="56"/>
    <n v="32.5"/>
    <n v="35"/>
    <n v="10"/>
    <n v="17.5"/>
    <n v="25"/>
    <n v="45"/>
    <n v="45"/>
    <n v="435"/>
  </r>
  <r>
    <x v="445"/>
    <n v="807407"/>
    <s v="NEELKANTH TRADERS"/>
    <n v="119026"/>
    <s v="FRIENDS SUPPLIERS CO.(L"/>
    <n v="30"/>
    <n v="20"/>
    <n v="0"/>
    <n v="0"/>
    <n v="0"/>
    <n v="10"/>
    <n v="0"/>
    <n v="0"/>
    <n v="0"/>
    <n v="0"/>
    <n v="0"/>
    <n v="0"/>
    <n v="60"/>
  </r>
  <r>
    <x v="446"/>
    <n v="807416"/>
    <s v="JAI SHREE SHYAM TRADERS"/>
    <n v="176279"/>
    <s v="ADITYA ENTERPRISES"/>
    <n v="57.85"/>
    <n v="9"/>
    <n v="55.5"/>
    <n v="70"/>
    <n v="117.5"/>
    <n v="83.5"/>
    <n v="51.5"/>
    <n v="40.25"/>
    <n v="183"/>
    <n v="101.5"/>
    <n v="106.6"/>
    <n v="157.85"/>
    <n v="1034.05"/>
  </r>
  <r>
    <x v="447"/>
    <n v="807416"/>
    <s v="JAI SHREE SHYAM TRADERS"/>
    <n v="201172"/>
    <s v="MAA TRADERS"/>
    <n v="0"/>
    <n v="0"/>
    <n v="0"/>
    <n v="0"/>
    <n v="0"/>
    <n v="0"/>
    <n v="0"/>
    <n v="0"/>
    <n v="0"/>
    <n v="7.5"/>
    <n v="0"/>
    <n v="0"/>
    <n v="7.5"/>
  </r>
  <r>
    <x v="448"/>
    <n v="807430"/>
    <s v="ANIKET BUILDING MATERIAL"/>
    <n v="119066"/>
    <s v="RAJENDRA KUMAR RATAN LAL JAIN"/>
    <n v="0"/>
    <n v="0"/>
    <n v="0"/>
    <n v="0"/>
    <n v="0"/>
    <n v="54"/>
    <n v="1"/>
    <n v="77"/>
    <n v="3"/>
    <n v="101"/>
    <n v="85"/>
    <n v="82.5"/>
    <n v="403.5"/>
  </r>
  <r>
    <x v="449"/>
    <n v="807438"/>
    <s v="JAIN HIND TRADERS"/>
    <n v="174166"/>
    <s v="NAMOKAR STONE TRADERS"/>
    <n v="0"/>
    <n v="35"/>
    <n v="21.5"/>
    <n v="79"/>
    <n v="37.5"/>
    <n v="95.5"/>
    <n v="144.5"/>
    <n v="75"/>
    <n v="152.5"/>
    <n v="78"/>
    <n v="148.6"/>
    <n v="57"/>
    <n v="924.1"/>
  </r>
  <r>
    <x v="450"/>
    <n v="807439"/>
    <s v="MANSURI TRADERS"/>
    <n v="179908"/>
    <s v="SANWLA ENTERPRISES"/>
    <n v="0"/>
    <n v="50"/>
    <n v="40"/>
    <n v="40"/>
    <n v="25"/>
    <n v="35"/>
    <n v="0"/>
    <n v="20"/>
    <n v="20"/>
    <n v="25"/>
    <n v="52"/>
    <n v="0"/>
    <n v="307"/>
  </r>
  <r>
    <x v="451"/>
    <n v="807490"/>
    <s v="MAA AASHAPALA CONSTRUCTION COM"/>
    <n v="143114"/>
    <s v="RAJESH TRADING COMPANY"/>
    <n v="0"/>
    <n v="0"/>
    <n v="0"/>
    <n v="0"/>
    <n v="0"/>
    <n v="7"/>
    <n v="0"/>
    <n v="0"/>
    <n v="0"/>
    <n v="0"/>
    <n v="0"/>
    <n v="0"/>
    <n v="7"/>
  </r>
  <r>
    <x v="452"/>
    <n v="807490"/>
    <s v="MAA AASHAPALA CONSTRUCTION COM"/>
    <n v="173749"/>
    <s v="NIDHI ENTERPRISES"/>
    <n v="0"/>
    <n v="0"/>
    <n v="0"/>
    <n v="0"/>
    <n v="0"/>
    <n v="2.5"/>
    <n v="0"/>
    <n v="0"/>
    <n v="0"/>
    <n v="0"/>
    <n v="0"/>
    <n v="0"/>
    <n v="2.5"/>
  </r>
  <r>
    <x v="453"/>
    <n v="807568"/>
    <s v="ASHAPURA STONE SUPPLIERS"/>
    <n v="140967"/>
    <s v="B.L.JAIN &amp; SONS"/>
    <n v="30"/>
    <n v="16"/>
    <n v="80"/>
    <n v="75"/>
    <n v="112.5"/>
    <n v="0"/>
    <n v="10"/>
    <n v="0"/>
    <n v="25"/>
    <n v="0"/>
    <n v="0"/>
    <n v="60"/>
    <n v="408.5"/>
  </r>
  <r>
    <x v="454"/>
    <n v="807570"/>
    <s v="HARI ENTERPRISES"/>
    <n v="171578"/>
    <s v="KOTA BUILDMAT"/>
    <n v="15"/>
    <n v="55"/>
    <n v="25"/>
    <n v="55"/>
    <n v="12.5"/>
    <n v="55"/>
    <n v="20"/>
    <n v="30"/>
    <n v="50"/>
    <n v="60"/>
    <n v="74.25"/>
    <n v="5"/>
    <n v="456.75"/>
  </r>
  <r>
    <x v="455"/>
    <n v="807576"/>
    <s v="SHARMA BUILDING MATERIAL SUPPL"/>
    <n v="201172"/>
    <s v="MAA TRADERS"/>
    <n v="30"/>
    <n v="5"/>
    <n v="54.5"/>
    <n v="36"/>
    <n v="28.5"/>
    <n v="5"/>
    <n v="12.5"/>
    <n v="2.5"/>
    <n v="27.5"/>
    <n v="41.75"/>
    <n v="45"/>
    <n v="22"/>
    <n v="310.25"/>
  </r>
  <r>
    <x v="456"/>
    <n v="807577"/>
    <s v="SHRI RAM HARDWARE AND BUILDING"/>
    <n v="119038"/>
    <s v="NAVEEN DISTRIBUTORS"/>
    <n v="47.5"/>
    <n v="11"/>
    <n v="24"/>
    <n v="64.5"/>
    <n v="11"/>
    <n v="50"/>
    <n v="0"/>
    <n v="20"/>
    <n v="14"/>
    <n v="40"/>
    <n v="0"/>
    <n v="0"/>
    <n v="282"/>
  </r>
  <r>
    <x v="457"/>
    <n v="807594"/>
    <s v="SARASWAT IRON STORE"/>
    <n v="119044"/>
    <s v="PANWAR TRADING CORPORATION LTD"/>
    <n v="50"/>
    <n v="30"/>
    <n v="117"/>
    <n v="0"/>
    <n v="72.5"/>
    <n v="30"/>
    <n v="15"/>
    <n v="75"/>
    <n v="75"/>
    <n v="20"/>
    <n v="20"/>
    <n v="96"/>
    <n v="600.5"/>
  </r>
  <r>
    <x v="458"/>
    <n v="807595"/>
    <s v="BHAGWATI  LAL JAT"/>
    <n v="177093"/>
    <s v="CHOUDHARY TRADERS"/>
    <n v="44.5"/>
    <n v="48"/>
    <n v="62.75"/>
    <n v="67"/>
    <n v="104.5"/>
    <n v="82"/>
    <n v="25"/>
    <n v="35.5"/>
    <n v="131"/>
    <n v="210.25"/>
    <n v="144.75"/>
    <n v="15"/>
    <n v="970.25"/>
  </r>
  <r>
    <x v="459"/>
    <n v="807601"/>
    <s v="LAXMI TRADERS"/>
    <n v="119038"/>
    <s v="NAVEEN DISTRIBUTORS"/>
    <n v="13.5"/>
    <n v="10"/>
    <n v="20"/>
    <n v="60"/>
    <n v="40"/>
    <n v="40"/>
    <n v="10"/>
    <n v="0"/>
    <n v="0"/>
    <n v="15"/>
    <n v="9.5"/>
    <n v="0"/>
    <n v="218"/>
  </r>
  <r>
    <x v="460"/>
    <n v="807603"/>
    <s v="BABA RAMDEV CONTRACTOR"/>
    <n v="122282"/>
    <s v="PIPARA SALES"/>
    <n v="40"/>
    <n v="46"/>
    <n v="59"/>
    <n v="45"/>
    <n v="56"/>
    <n v="30.2"/>
    <n v="63"/>
    <n v="20"/>
    <n v="59"/>
    <n v="46"/>
    <n v="49"/>
    <n v="57"/>
    <n v="570.20000000000005"/>
  </r>
  <r>
    <x v="461"/>
    <n v="807608"/>
    <s v="MUNDHRA CEMENT AGENCY"/>
    <n v="149582"/>
    <s v="SHRI BALAJI BUILDING MATERIAL"/>
    <n v="72"/>
    <n v="56"/>
    <n v="94.5"/>
    <n v="54.25"/>
    <n v="79.5"/>
    <n v="79.2"/>
    <n v="83"/>
    <n v="45.5"/>
    <n v="112.5"/>
    <n v="92.5"/>
    <n v="157"/>
    <n v="86.5"/>
    <n v="1012.45"/>
  </r>
  <r>
    <x v="462"/>
    <n v="807609"/>
    <s v="SHRI RAMDEV CONSTRUCTION COMPA"/>
    <n v="119038"/>
    <s v="NAVEEN DISTRIBUTORS"/>
    <n v="0"/>
    <n v="8.5"/>
    <n v="0"/>
    <n v="0"/>
    <n v="0"/>
    <n v="0"/>
    <n v="0"/>
    <n v="0"/>
    <n v="0"/>
    <n v="0"/>
    <n v="0"/>
    <n v="0"/>
    <n v="8.5"/>
  </r>
  <r>
    <x v="463"/>
    <n v="807611"/>
    <s v="GANPATI TRADERS"/>
    <n v="170248"/>
    <s v="MAHAVEER ENTERPRISES"/>
    <n v="30"/>
    <n v="42"/>
    <n v="30"/>
    <n v="13"/>
    <n v="0"/>
    <n v="0"/>
    <n v="0"/>
    <n v="0"/>
    <n v="0"/>
    <n v="0"/>
    <n v="0"/>
    <n v="0"/>
    <n v="115"/>
  </r>
  <r>
    <x v="464"/>
    <n v="807626"/>
    <s v="MAHALAXMI CONSTRUCTION"/>
    <n v="119050"/>
    <s v="RAJASTHAN CEMENT CORPORATION"/>
    <n v="10"/>
    <n v="0"/>
    <n v="35"/>
    <n v="50"/>
    <n v="37.5"/>
    <n v="27.5"/>
    <n v="10"/>
    <n v="10"/>
    <n v="41"/>
    <n v="20"/>
    <n v="30"/>
    <n v="129.5"/>
    <n v="400.5"/>
  </r>
  <r>
    <x v="465"/>
    <n v="807629"/>
    <s v="DILIP TRADING COMPANY"/>
    <n v="119038"/>
    <s v="NAVEEN DISTRIBUTORS"/>
    <n v="12.5"/>
    <n v="0"/>
    <n v="10"/>
    <n v="33.5"/>
    <n v="0"/>
    <n v="0"/>
    <n v="0"/>
    <n v="10"/>
    <n v="34"/>
    <n v="0"/>
    <n v="0"/>
    <n v="0"/>
    <n v="100"/>
  </r>
  <r>
    <x v="466"/>
    <n v="807643"/>
    <s v="VISHNU BUILDING MATERIAL"/>
    <n v="119038"/>
    <s v="NAVEEN DISTRIBUTORS"/>
    <n v="0"/>
    <n v="40"/>
    <n v="123"/>
    <n v="74.5"/>
    <n v="50"/>
    <n v="30"/>
    <n v="30"/>
    <n v="15"/>
    <n v="0"/>
    <n v="25"/>
    <n v="25"/>
    <n v="0"/>
    <n v="412.5"/>
  </r>
  <r>
    <x v="467"/>
    <n v="807647"/>
    <s v="MAHADEV J.K. CEMENT"/>
    <n v="172892"/>
    <s v="SHRIYAADE SANITERY &amp; BUILDING"/>
    <n v="15"/>
    <n v="0"/>
    <n v="0"/>
    <n v="27"/>
    <n v="55"/>
    <n v="50"/>
    <n v="40"/>
    <n v="35"/>
    <n v="96"/>
    <n v="50"/>
    <n v="0"/>
    <n v="0"/>
    <n v="368"/>
  </r>
  <r>
    <x v="468"/>
    <n v="807648"/>
    <s v="BALAJI KIRANA &amp; CEMENT VIKRETA"/>
    <n v="119038"/>
    <s v="NAVEEN DISTRIBUTORS"/>
    <n v="21"/>
    <n v="20"/>
    <n v="0"/>
    <n v="0"/>
    <n v="20"/>
    <n v="20"/>
    <n v="0"/>
    <n v="20"/>
    <n v="20"/>
    <n v="29.5"/>
    <n v="0"/>
    <n v="0"/>
    <n v="150.5"/>
  </r>
  <r>
    <x v="469"/>
    <n v="807680"/>
    <s v="MAHADEV BUILDING MATERIAL"/>
    <n v="119038"/>
    <s v="NAVEEN DISTRIBUTORS"/>
    <n v="0"/>
    <n v="0"/>
    <n v="110"/>
    <n v="75"/>
    <n v="65"/>
    <n v="155"/>
    <n v="35"/>
    <n v="80"/>
    <n v="0"/>
    <n v="90"/>
    <n v="80"/>
    <n v="0"/>
    <n v="690"/>
  </r>
  <r>
    <x v="470"/>
    <n v="807681"/>
    <s v="SALEEM MOHAMMAD"/>
    <n v="119028"/>
    <s v="KANHAYALAL &amp; SONS"/>
    <n v="31"/>
    <n v="0"/>
    <n v="31"/>
    <n v="0"/>
    <n v="15"/>
    <n v="10"/>
    <n v="0"/>
    <n v="10"/>
    <n v="20"/>
    <n v="0"/>
    <n v="0"/>
    <n v="0"/>
    <n v="117"/>
  </r>
  <r>
    <x v="471"/>
    <n v="807682"/>
    <s v="G L ENTERPRISES"/>
    <n v="206219"/>
    <s v="SALASAR TRADERS"/>
    <n v="60"/>
    <n v="94"/>
    <n v="59"/>
    <n v="20"/>
    <n v="54.65"/>
    <n v="35"/>
    <n v="25"/>
    <n v="15"/>
    <n v="58.5"/>
    <n v="36"/>
    <n v="96"/>
    <n v="81"/>
    <n v="634.15"/>
  </r>
  <r>
    <x v="472"/>
    <n v="807683"/>
    <s v="KANAK PRABHU TRADING CO"/>
    <n v="206066"/>
    <s v="GAJANAND CEMENT AGENCY"/>
    <n v="84"/>
    <n v="34"/>
    <n v="36"/>
    <n v="100"/>
    <n v="40"/>
    <n v="80"/>
    <n v="45"/>
    <n v="0"/>
    <n v="22.5"/>
    <n v="30"/>
    <n v="50"/>
    <n v="0"/>
    <n v="521.5"/>
  </r>
  <r>
    <x v="473"/>
    <n v="807684"/>
    <s v="VERMA BUILDING MATERIAL"/>
    <n v="206219"/>
    <s v="SALASAR TRADERS"/>
    <n v="59.75"/>
    <n v="44.5"/>
    <n v="70.5"/>
    <n v="85.45"/>
    <n v="47"/>
    <n v="57.5"/>
    <n v="10"/>
    <n v="10"/>
    <n v="112"/>
    <n v="26"/>
    <n v="61.5"/>
    <n v="66"/>
    <n v="650.20000000000005"/>
  </r>
  <r>
    <x v="474"/>
    <n v="807690"/>
    <s v="SAPNA BUILDING MATERIAL SUPPLI"/>
    <n v="141512"/>
    <s v="MISHRA TRADERS"/>
    <n v="0"/>
    <n v="9.9499999999999993"/>
    <n v="0"/>
    <n v="0"/>
    <n v="0"/>
    <n v="2.5"/>
    <n v="0"/>
    <n v="0"/>
    <n v="10"/>
    <n v="0"/>
    <n v="0"/>
    <n v="0"/>
    <n v="22.45"/>
  </r>
  <r>
    <x v="475"/>
    <n v="807702"/>
    <s v="MAJISA CEMENT AGENCY"/>
    <n v="173224"/>
    <s v="D.R.MARBLE &amp; SANITORY"/>
    <n v="20"/>
    <n v="90"/>
    <n v="100"/>
    <n v="42.5"/>
    <n v="38.5"/>
    <n v="37"/>
    <n v="25"/>
    <n v="10"/>
    <n v="35"/>
    <n v="12.5"/>
    <n v="15"/>
    <n v="10"/>
    <n v="435.5"/>
  </r>
  <r>
    <x v="476"/>
    <n v="807703"/>
    <s v="MAHALAKSHMI BUILDING MATERIAL"/>
    <n v="119028"/>
    <s v="KANHAYALAL &amp; SONS"/>
    <n v="0"/>
    <n v="0"/>
    <n v="0"/>
    <n v="0"/>
    <n v="0"/>
    <n v="0"/>
    <n v="0"/>
    <n v="31"/>
    <n v="11"/>
    <n v="0"/>
    <n v="0"/>
    <n v="93"/>
    <n v="135"/>
  </r>
  <r>
    <x v="477"/>
    <n v="807704"/>
    <s v="SANWARIYA MARBLE AND STONE"/>
    <n v="201280"/>
    <s v="SIDDHI VINAYAK CEMENT DISTRIBU"/>
    <n v="20"/>
    <n v="45"/>
    <n v="32"/>
    <n v="19.649999999999999"/>
    <n v="97"/>
    <n v="31"/>
    <n v="0"/>
    <n v="0"/>
    <n v="35"/>
    <n v="21"/>
    <n v="31"/>
    <n v="15"/>
    <n v="346.65"/>
  </r>
  <r>
    <x v="478"/>
    <n v="807706"/>
    <s v="VISHNU CEMENT AGENCY AND CONTR"/>
    <n v="143148"/>
    <s v="R.N. YADAV ARA MACHINE"/>
    <n v="30"/>
    <n v="55"/>
    <n v="45"/>
    <n v="57.5"/>
    <n v="0"/>
    <n v="35"/>
    <n v="65"/>
    <n v="30"/>
    <n v="66.5"/>
    <n v="87.5"/>
    <n v="33"/>
    <n v="118.2"/>
    <n v="622.70000000000005"/>
  </r>
  <r>
    <x v="479"/>
    <n v="807707"/>
    <s v="SHUBHAM CEMENT AGENCY"/>
    <n v="207977"/>
    <s v="YASH TRADERS"/>
    <n v="0"/>
    <n v="0"/>
    <n v="0"/>
    <n v="10"/>
    <n v="20"/>
    <n v="39"/>
    <n v="15"/>
    <n v="0"/>
    <n v="0"/>
    <n v="0"/>
    <n v="0"/>
    <n v="0"/>
    <n v="84"/>
  </r>
  <r>
    <x v="480"/>
    <n v="807711"/>
    <s v="HARJINDER SINGH"/>
    <n v="142843"/>
    <s v="GURUNANAK IRON STORE"/>
    <n v="126"/>
    <n v="113.5"/>
    <n v="74.5"/>
    <n v="117.05"/>
    <n v="77.25"/>
    <n v="105"/>
    <n v="25"/>
    <n v="46"/>
    <n v="25"/>
    <n v="42.6"/>
    <n v="109"/>
    <n v="40"/>
    <n v="900.9"/>
  </r>
  <r>
    <x v="481"/>
    <n v="807718"/>
    <s v="RAMILA BUILDING MATERIAL"/>
    <n v="146968"/>
    <s v="BHARAT BUILDCON"/>
    <n v="50"/>
    <n v="29.9"/>
    <n v="62"/>
    <n v="48"/>
    <n v="32.5"/>
    <n v="25"/>
    <n v="20"/>
    <n v="75"/>
    <n v="50"/>
    <n v="20"/>
    <n v="35"/>
    <n v="35"/>
    <n v="482.4"/>
  </r>
  <r>
    <x v="482"/>
    <n v="807719"/>
    <s v="SHREE NARAYAN ENTERPRISES"/>
    <n v="141115"/>
    <s v="KALPESH CEMENT AGENCY"/>
    <n v="273.75"/>
    <n v="204.25"/>
    <n v="249.75"/>
    <n v="285.25"/>
    <n v="200"/>
    <n v="351.5"/>
    <n v="251.5"/>
    <n v="240"/>
    <n v="340.4"/>
    <n v="105.5"/>
    <n v="91"/>
    <n v="42.5"/>
    <n v="2635.4"/>
  </r>
  <r>
    <x v="483"/>
    <n v="807722"/>
    <s v="ROYAL ENTERPRISES"/>
    <n v="119160"/>
    <s v="NIKHIL ASSOCIATE"/>
    <n v="0"/>
    <n v="27.5"/>
    <n v="30"/>
    <n v="0"/>
    <n v="10"/>
    <n v="10"/>
    <n v="0"/>
    <n v="0"/>
    <n v="0"/>
    <n v="0"/>
    <n v="0"/>
    <n v="0"/>
    <n v="77.5"/>
  </r>
  <r>
    <x v="484"/>
    <n v="807722"/>
    <s v="ROYAL ENTERPRISES"/>
    <n v="174357"/>
    <s v="M R TRADERS"/>
    <n v="0"/>
    <n v="0"/>
    <n v="0"/>
    <n v="0"/>
    <n v="0"/>
    <n v="0"/>
    <n v="0"/>
    <n v="0"/>
    <n v="0"/>
    <n v="0"/>
    <n v="35"/>
    <n v="97"/>
    <n v="132"/>
  </r>
  <r>
    <x v="485"/>
    <n v="807723"/>
    <s v="MOOND CEMENT AGENCY"/>
    <n v="172497"/>
    <s v="VINAYAK INDUSTRIES"/>
    <n v="0"/>
    <n v="25"/>
    <n v="20"/>
    <n v="12.5"/>
    <n v="6"/>
    <n v="17"/>
    <n v="10"/>
    <n v="20"/>
    <n v="0"/>
    <n v="0"/>
    <n v="55"/>
    <n v="17.5"/>
    <n v="183"/>
  </r>
  <r>
    <x v="486"/>
    <n v="807724"/>
    <s v="BALAJI KRISHI STORE"/>
    <n v="172497"/>
    <s v="VINAYAK INDUSTRIES"/>
    <n v="10"/>
    <n v="0"/>
    <n v="0"/>
    <n v="0"/>
    <n v="0"/>
    <n v="0"/>
    <n v="0"/>
    <n v="0"/>
    <n v="0"/>
    <n v="0"/>
    <n v="0"/>
    <n v="0"/>
    <n v="10"/>
  </r>
  <r>
    <x v="487"/>
    <n v="807726"/>
    <s v="RATAN LAL MEENA"/>
    <n v="140850"/>
    <s v="MAHAVEER SANITARY &amp; CEMENT AGE"/>
    <n v="0"/>
    <n v="20"/>
    <n v="30"/>
    <n v="20"/>
    <n v="25"/>
    <n v="10"/>
    <n v="10"/>
    <n v="10"/>
    <n v="20"/>
    <n v="0"/>
    <n v="10"/>
    <n v="6.5"/>
    <n v="161.5"/>
  </r>
  <r>
    <x v="488"/>
    <n v="807733"/>
    <s v="LADOIA STONE"/>
    <n v="176869"/>
    <s v="CHHABRA CEMENT SUPPLIERS"/>
    <n v="146"/>
    <n v="15"/>
    <n v="134.5"/>
    <n v="162.5"/>
    <n v="75.5"/>
    <n v="86"/>
    <n v="30"/>
    <n v="109"/>
    <n v="181"/>
    <n v="105"/>
    <n v="190"/>
    <n v="200"/>
    <n v="1434.5"/>
  </r>
  <r>
    <x v="489"/>
    <n v="807734"/>
    <s v="CHHABRA STONE MERCHANT"/>
    <n v="176869"/>
    <s v="CHHABRA CEMENT SUPPLIERS"/>
    <n v="543"/>
    <n v="422"/>
    <n v="104"/>
    <n v="226.4"/>
    <n v="158.5"/>
    <n v="161"/>
    <n v="85.5"/>
    <n v="101"/>
    <n v="158"/>
    <n v="191.5"/>
    <n v="214.5"/>
    <n v="119.5"/>
    <n v="2484.9"/>
  </r>
  <r>
    <x v="490"/>
    <n v="807734"/>
    <s v="CHHABRA STONE MERCHANT"/>
    <n v="205004"/>
    <s v="MORCHHARI TRADE LINK"/>
    <n v="10"/>
    <n v="0"/>
    <n v="0"/>
    <n v="0"/>
    <n v="0"/>
    <n v="0"/>
    <n v="0"/>
    <n v="0"/>
    <n v="0"/>
    <n v="0"/>
    <n v="0"/>
    <n v="0"/>
    <n v="10"/>
  </r>
  <r>
    <x v="491"/>
    <n v="807763"/>
    <s v="HARI BUILDING MATERIAL"/>
    <n v="119044"/>
    <s v="PANWAR TRADING CORPORATION LTD"/>
    <n v="25"/>
    <n v="90"/>
    <n v="95"/>
    <n v="35"/>
    <n v="42.5"/>
    <n v="10"/>
    <n v="15"/>
    <n v="0"/>
    <n v="95"/>
    <n v="60"/>
    <n v="20"/>
    <n v="82.5"/>
    <n v="570"/>
  </r>
  <r>
    <x v="492"/>
    <n v="807776"/>
    <s v="VIKAS BUILDING MATERIAL"/>
    <n v="119042"/>
    <s v="SARAS ENTERPRISES"/>
    <n v="0"/>
    <n v="0"/>
    <n v="0"/>
    <n v="0"/>
    <n v="0"/>
    <n v="0"/>
    <n v="0"/>
    <n v="0"/>
    <n v="0"/>
    <n v="0"/>
    <n v="15"/>
    <n v="0"/>
    <n v="15"/>
  </r>
  <r>
    <x v="493"/>
    <n v="807777"/>
    <s v="RAJARAM SAMARIYA"/>
    <n v="119222"/>
    <s v="MITHU LAL ROOP CHAND"/>
    <n v="30"/>
    <n v="64"/>
    <n v="29.5"/>
    <n v="130"/>
    <n v="20"/>
    <n v="113.5"/>
    <n v="85"/>
    <n v="92"/>
    <n v="70"/>
    <n v="117.25"/>
    <n v="0"/>
    <n v="211.7"/>
    <n v="962.95"/>
  </r>
  <r>
    <x v="494"/>
    <n v="807778"/>
    <s v="LAL CHAND KHATEEK"/>
    <n v="119208"/>
    <s v="SURAJMAL TANSUKH RAI"/>
    <n v="0"/>
    <n v="0"/>
    <n v="0"/>
    <n v="10"/>
    <n v="0"/>
    <n v="0"/>
    <n v="0"/>
    <n v="123"/>
    <n v="20"/>
    <n v="48"/>
    <n v="0"/>
    <n v="88.9"/>
    <n v="289.89999999999998"/>
  </r>
  <r>
    <x v="495"/>
    <n v="807779"/>
    <s v="MAHAVEER BUILDING MATERIAL"/>
    <n v="202865"/>
    <s v="DEEPAK TRADERS"/>
    <n v="0"/>
    <n v="0"/>
    <n v="13"/>
    <n v="0"/>
    <n v="0"/>
    <n v="0"/>
    <n v="0"/>
    <n v="0"/>
    <n v="0"/>
    <n v="0"/>
    <n v="0"/>
    <n v="0"/>
    <n v="13"/>
  </r>
  <r>
    <x v="496"/>
    <n v="807780"/>
    <s v="BALAJI TRADERS"/>
    <n v="149893"/>
    <s v="DRASHTIKA ENTERPRISES"/>
    <n v="33.5"/>
    <n v="22.5"/>
    <n v="49.75"/>
    <n v="35"/>
    <n v="56.5"/>
    <n v="78.75"/>
    <n v="76"/>
    <n v="41.75"/>
    <n v="98.75"/>
    <n v="40"/>
    <n v="24.75"/>
    <n v="32.5"/>
    <n v="589.75"/>
  </r>
  <r>
    <x v="497"/>
    <n v="807781"/>
    <s v="BALAJI TRADERS"/>
    <n v="176647"/>
    <s v="SHREE RIDDHI SIDDHI TRADERS"/>
    <n v="45.5"/>
    <n v="21"/>
    <n v="35"/>
    <n v="73"/>
    <n v="65.5"/>
    <n v="94.5"/>
    <n v="30"/>
    <n v="61.55"/>
    <n v="92.5"/>
    <n v="92.5"/>
    <n v="136.6"/>
    <n v="154.5"/>
    <n v="902.15"/>
  </r>
  <r>
    <x v="498"/>
    <n v="807811"/>
    <s v="SHRI GANESH STONE TRADERS"/>
    <n v="171578"/>
    <s v="KOTA BUILDMAT"/>
    <n v="0"/>
    <n v="0"/>
    <n v="10"/>
    <n v="0"/>
    <n v="0"/>
    <n v="0"/>
    <n v="0"/>
    <n v="0"/>
    <n v="0"/>
    <n v="0"/>
    <n v="0"/>
    <n v="0"/>
    <n v="10"/>
  </r>
  <r>
    <x v="499"/>
    <n v="807811"/>
    <s v="SHRI GANESH STONE TRADERS"/>
    <n v="174166"/>
    <s v="NAMOKAR STONE TRADERS"/>
    <n v="106"/>
    <n v="30"/>
    <n v="251.5"/>
    <n v="156.5"/>
    <n v="77.5"/>
    <n v="90"/>
    <n v="207"/>
    <n v="81.5"/>
    <n v="55"/>
    <n v="196"/>
    <n v="191"/>
    <n v="84.75"/>
    <n v="1526.75"/>
  </r>
  <r>
    <x v="500"/>
    <n v="807812"/>
    <s v="SUWALKA CEMENT AGENCY"/>
    <n v="143113"/>
    <s v="SHREE RADHE GOPAL TRDERS"/>
    <n v="15"/>
    <n v="45"/>
    <n v="42"/>
    <n v="10"/>
    <n v="40"/>
    <n v="35"/>
    <n v="73"/>
    <n v="37.5"/>
    <n v="21.5"/>
    <n v="50"/>
    <n v="31.5"/>
    <n v="36"/>
    <n v="436.5"/>
  </r>
  <r>
    <x v="501"/>
    <n v="807815"/>
    <s v="BHAGWAN KIRANA STORE"/>
    <n v="170775"/>
    <s v="GANPAT LAL MAROTHIYA AND SONS"/>
    <n v="50"/>
    <n v="15"/>
    <n v="80"/>
    <n v="30"/>
    <n v="5"/>
    <n v="0"/>
    <n v="65"/>
    <n v="10"/>
    <n v="0"/>
    <n v="20"/>
    <n v="35"/>
    <n v="70"/>
    <n v="380"/>
  </r>
  <r>
    <x v="502"/>
    <n v="807817"/>
    <s v="BALAJI CEMENT AGENCY"/>
    <n v="170775"/>
    <s v="GANPAT LAL MAROTHIYA AND SONS"/>
    <n v="0"/>
    <n v="15"/>
    <n v="75"/>
    <n v="0"/>
    <n v="0"/>
    <n v="0"/>
    <n v="0"/>
    <n v="0"/>
    <n v="0"/>
    <n v="0"/>
    <n v="0"/>
    <n v="0"/>
    <n v="90"/>
  </r>
  <r>
    <x v="503"/>
    <n v="807819"/>
    <s v="GANGA ELECTRONIC HARDWARE AND"/>
    <n v="170775"/>
    <s v="GANPAT LAL MAROTHIYA AND SONS"/>
    <n v="0"/>
    <n v="45"/>
    <n v="35"/>
    <n v="25"/>
    <n v="53"/>
    <n v="0"/>
    <n v="15"/>
    <n v="30"/>
    <n v="40"/>
    <n v="35"/>
    <n v="40"/>
    <n v="20"/>
    <n v="338"/>
  </r>
  <r>
    <x v="504"/>
    <n v="807826"/>
    <s v="BHAIRAV TRADING COMPANY"/>
    <n v="201280"/>
    <s v="SIDDHI VINAYAK CEMENT DISTRIBU"/>
    <n v="0"/>
    <n v="0"/>
    <n v="12"/>
    <n v="8"/>
    <n v="0"/>
    <n v="31"/>
    <n v="22"/>
    <n v="0"/>
    <n v="22"/>
    <n v="14"/>
    <n v="47"/>
    <n v="104"/>
    <n v="260"/>
  </r>
  <r>
    <x v="505"/>
    <n v="807861"/>
    <s v="RAWAL MAL RATI"/>
    <n v="172855"/>
    <s v="BALAJI CEMENT AGENCY"/>
    <n v="20"/>
    <n v="51"/>
    <n v="45"/>
    <n v="55"/>
    <n v="75"/>
    <n v="35"/>
    <n v="16"/>
    <n v="26"/>
    <n v="25"/>
    <n v="45"/>
    <n v="45"/>
    <n v="55"/>
    <n v="493"/>
  </r>
  <r>
    <x v="506"/>
    <n v="807862"/>
    <s v="MAHADEV HARDWARE ELECTRICALS &amp;"/>
    <n v="172338"/>
    <s v="KHILJEE BUILDING MATERIAL"/>
    <n v="46"/>
    <n v="51"/>
    <n v="40"/>
    <n v="51"/>
    <n v="35"/>
    <n v="45"/>
    <n v="70"/>
    <n v="25"/>
    <n v="20"/>
    <n v="50"/>
    <n v="81"/>
    <n v="87"/>
    <n v="601"/>
  </r>
  <r>
    <x v="507"/>
    <n v="807863"/>
    <s v="MAA CHAMUNDA CEMENT AGENCY"/>
    <n v="172338"/>
    <s v="KHILJEE BUILDING MATERIAL"/>
    <n v="0"/>
    <n v="0"/>
    <n v="0"/>
    <n v="0"/>
    <n v="30"/>
    <n v="0"/>
    <n v="0"/>
    <n v="0"/>
    <n v="40"/>
    <n v="0"/>
    <n v="0"/>
    <n v="0"/>
    <n v="70"/>
  </r>
  <r>
    <x v="508"/>
    <n v="807864"/>
    <s v="SHRI MAJISA TRADING COMPANY"/>
    <n v="172338"/>
    <s v="KHILJEE BUILDING MATERIAL"/>
    <n v="61"/>
    <n v="66"/>
    <n v="36"/>
    <n v="65"/>
    <n v="35"/>
    <n v="20"/>
    <n v="50"/>
    <n v="55"/>
    <n v="21"/>
    <n v="57.5"/>
    <n v="47.5"/>
    <n v="98"/>
    <n v="612"/>
  </r>
  <r>
    <x v="509"/>
    <n v="807865"/>
    <s v="JAI KALKA HARDWARE"/>
    <n v="172855"/>
    <s v="BALAJI CEMENT AGENCY"/>
    <n v="60"/>
    <n v="0"/>
    <n v="40"/>
    <n v="20"/>
    <n v="30"/>
    <n v="30"/>
    <n v="30"/>
    <n v="15"/>
    <n v="35"/>
    <n v="46"/>
    <n v="50"/>
    <n v="85"/>
    <n v="441"/>
  </r>
  <r>
    <x v="510"/>
    <n v="807883"/>
    <s v="YOGESH BUILDING MATERIAL"/>
    <n v="206219"/>
    <s v="SALASAR TRADERS"/>
    <n v="129.5"/>
    <n v="61.6"/>
    <n v="112"/>
    <n v="127.5"/>
    <n v="138"/>
    <n v="56"/>
    <n v="22.5"/>
    <n v="15"/>
    <n v="115"/>
    <n v="92.1"/>
    <n v="160"/>
    <n v="184.5"/>
    <n v="1213.7"/>
  </r>
  <r>
    <x v="511"/>
    <n v="807884"/>
    <s v="G. R. KIRANA STORE"/>
    <n v="172338"/>
    <s v="KHILJEE BUILDING MATERIAL"/>
    <n v="16"/>
    <n v="36"/>
    <n v="61"/>
    <n v="50"/>
    <n v="0"/>
    <n v="15"/>
    <n v="55"/>
    <n v="36"/>
    <n v="45"/>
    <n v="70"/>
    <n v="80"/>
    <n v="141"/>
    <n v="605"/>
  </r>
  <r>
    <x v="512"/>
    <n v="807885"/>
    <s v="HANUMANA RAM CHOUDHARY"/>
    <n v="172338"/>
    <s v="KHILJEE BUILDING MATERIAL"/>
    <n v="50"/>
    <n v="75"/>
    <n v="141"/>
    <n v="31"/>
    <n v="20"/>
    <n v="50"/>
    <n v="31"/>
    <n v="0"/>
    <n v="50"/>
    <n v="30"/>
    <n v="90"/>
    <n v="107"/>
    <n v="675"/>
  </r>
  <r>
    <x v="513"/>
    <n v="807886"/>
    <s v="BHOMIYAJI TRADERS"/>
    <n v="172338"/>
    <s v="KHILJEE BUILDING MATERIAL"/>
    <n v="30"/>
    <n v="60"/>
    <n v="55"/>
    <n v="114"/>
    <n v="31"/>
    <n v="15"/>
    <n v="96"/>
    <n v="0"/>
    <n v="40"/>
    <n v="15"/>
    <n v="20"/>
    <n v="13"/>
    <n v="489"/>
  </r>
  <r>
    <x v="514"/>
    <n v="807887"/>
    <s v="VIKASH TRADING COMPANY"/>
    <n v="206219"/>
    <s v="SALASAR TRADERS"/>
    <n v="22"/>
    <n v="72"/>
    <n v="75"/>
    <n v="23.5"/>
    <n v="36"/>
    <n v="71"/>
    <n v="10"/>
    <n v="55"/>
    <n v="121.44999999999999"/>
    <n v="96"/>
    <n v="146.5"/>
    <n v="172"/>
    <n v="900.45"/>
  </r>
  <r>
    <x v="515"/>
    <n v="807889"/>
    <s v="GUPTA BUILDING MATERIAL SUPPLI"/>
    <n v="119261"/>
    <s v="DURGESH ENTERPRISES"/>
    <n v="50"/>
    <n v="0"/>
    <n v="51"/>
    <n v="77"/>
    <n v="51.25"/>
    <n v="60"/>
    <n v="101"/>
    <n v="50"/>
    <n v="100"/>
    <n v="105"/>
    <n v="0"/>
    <n v="50"/>
    <n v="695.25"/>
  </r>
  <r>
    <x v="516"/>
    <n v="807908"/>
    <s v="KISHAN BUILDING MATERIAL"/>
    <n v="119038"/>
    <s v="NAVEEN DISTRIBUTORS"/>
    <n v="20"/>
    <n v="20"/>
    <n v="18.5"/>
    <n v="15"/>
    <n v="20"/>
    <n v="17.5"/>
    <n v="0"/>
    <n v="20"/>
    <n v="15"/>
    <n v="31.5"/>
    <n v="40"/>
    <n v="0"/>
    <n v="217.5"/>
  </r>
  <r>
    <x v="517"/>
    <n v="807909"/>
    <s v="HARENDRA CEMENT AGENCY"/>
    <n v="140858"/>
    <s v="RAMESH CHANDRA JAI CHAND"/>
    <n v="30"/>
    <n v="10"/>
    <n v="20"/>
    <n v="37.5"/>
    <n v="50"/>
    <n v="30"/>
    <n v="49"/>
    <n v="20"/>
    <n v="60"/>
    <n v="0"/>
    <n v="13"/>
    <n v="20"/>
    <n v="339.5"/>
  </r>
  <r>
    <x v="518"/>
    <n v="807911"/>
    <s v="MUKESH KUMAR JAIN"/>
    <n v="175680"/>
    <s v="ADINATH TRADERS"/>
    <n v="30"/>
    <n v="2"/>
    <n v="171.75"/>
    <n v="13.4"/>
    <n v="103.25"/>
    <n v="69.25"/>
    <n v="44"/>
    <n v="0"/>
    <n v="84"/>
    <n v="57"/>
    <n v="41"/>
    <n v="66"/>
    <n v="681.65"/>
  </r>
  <r>
    <x v="519"/>
    <n v="807912"/>
    <s v="NARESH KUMAR"/>
    <n v="171839"/>
    <s v="SARAWAGI CEMENT AGENCY"/>
    <n v="20"/>
    <n v="106"/>
    <n v="85"/>
    <n v="81.5"/>
    <n v="4.5"/>
    <n v="95"/>
    <n v="95"/>
    <n v="50"/>
    <n v="188"/>
    <n v="80"/>
    <n v="145"/>
    <n v="59"/>
    <n v="1009"/>
  </r>
  <r>
    <x v="520"/>
    <n v="807915"/>
    <s v="SHIKHAR TRADERS"/>
    <n v="119029"/>
    <s v="LALLAMAL KANHYALAL &amp; SONS"/>
    <n v="22.5"/>
    <n v="42.5"/>
    <n v="50"/>
    <n v="38.75"/>
    <n v="63"/>
    <n v="35"/>
    <n v="60"/>
    <n v="0"/>
    <n v="75"/>
    <n v="15"/>
    <n v="15"/>
    <n v="15"/>
    <n v="431.75"/>
  </r>
  <r>
    <x v="521"/>
    <n v="807929"/>
    <s v="AGARWAL AGRICULTURE AGENCIES"/>
    <n v="171880"/>
    <s v="BHUVAN AGENCIES"/>
    <n v="10"/>
    <n v="0"/>
    <n v="0"/>
    <n v="40"/>
    <n v="10"/>
    <n v="10"/>
    <n v="25"/>
    <n v="25"/>
    <n v="0"/>
    <n v="0"/>
    <n v="0"/>
    <n v="0"/>
    <n v="120"/>
  </r>
  <r>
    <x v="522"/>
    <n v="807929"/>
    <s v="AGARWAL AGRICULTURE AGENCIES"/>
    <n v="175288"/>
    <s v="LAXMI TRADERS"/>
    <n v="0"/>
    <n v="0"/>
    <n v="0"/>
    <n v="0"/>
    <n v="0"/>
    <n v="0"/>
    <n v="0"/>
    <n v="0"/>
    <n v="10"/>
    <n v="0"/>
    <n v="10"/>
    <n v="10"/>
    <n v="30"/>
  </r>
  <r>
    <x v="523"/>
    <n v="807931"/>
    <s v="ASHAPURA BUILDING MATERIAL"/>
    <n v="119038"/>
    <s v="NAVEEN DISTRIBUTORS"/>
    <n v="47.5"/>
    <n v="40"/>
    <n v="10"/>
    <n v="40"/>
    <n v="15"/>
    <n v="35"/>
    <n v="20"/>
    <n v="39"/>
    <n v="45"/>
    <n v="31"/>
    <n v="34"/>
    <n v="48"/>
    <n v="404.5"/>
  </r>
  <r>
    <x v="524"/>
    <n v="807940"/>
    <s v="PURAN KIRANA STORE"/>
    <n v="119038"/>
    <s v="NAVEEN DISTRIBUTORS"/>
    <n v="5"/>
    <n v="0"/>
    <n v="0"/>
    <n v="0"/>
    <n v="0"/>
    <n v="0"/>
    <n v="20"/>
    <n v="0"/>
    <n v="0"/>
    <n v="0"/>
    <n v="30"/>
    <n v="0"/>
    <n v="55"/>
  </r>
  <r>
    <x v="525"/>
    <n v="807948"/>
    <s v="KANKU BUILDING MATERIAL"/>
    <n v="119050"/>
    <s v="RAJASTHAN CEMENT CORPORATION"/>
    <n v="5"/>
    <n v="0"/>
    <n v="62"/>
    <n v="85"/>
    <n v="37"/>
    <n v="36.5"/>
    <n v="18.5"/>
    <n v="0"/>
    <n v="17.5"/>
    <n v="55"/>
    <n v="25"/>
    <n v="60"/>
    <n v="401.5"/>
  </r>
  <r>
    <x v="526"/>
    <n v="807949"/>
    <s v="VISHNU CEMENT DEPO"/>
    <n v="176773"/>
    <s v="MANIK CHAND LAKHMI CHAND"/>
    <n v="20"/>
    <n v="25"/>
    <n v="30"/>
    <n v="12.5"/>
    <n v="32.5"/>
    <n v="20"/>
    <n v="12.5"/>
    <n v="25"/>
    <n v="45"/>
    <n v="20"/>
    <n v="0"/>
    <n v="57.5"/>
    <n v="300"/>
  </r>
  <r>
    <x v="527"/>
    <n v="807956"/>
    <s v="KHILJI BARTAN AND HADWARE"/>
    <n v="172338"/>
    <s v="KHILJEE BUILDING MATERIAL"/>
    <n v="91"/>
    <n v="58"/>
    <n v="135"/>
    <n v="65"/>
    <n v="50"/>
    <n v="45"/>
    <n v="36"/>
    <n v="34"/>
    <n v="30"/>
    <n v="15"/>
    <n v="0"/>
    <n v="0"/>
    <n v="559"/>
  </r>
  <r>
    <x v="528"/>
    <n v="807958"/>
    <s v="ARVIND KIRANA &amp; GENERAL STORE"/>
    <n v="172338"/>
    <s v="KHILJEE BUILDING MATERIAL"/>
    <n v="40"/>
    <n v="10"/>
    <n v="35"/>
    <n v="45"/>
    <n v="20"/>
    <n v="35"/>
    <n v="10"/>
    <n v="10"/>
    <n v="10"/>
    <n v="20"/>
    <n v="0"/>
    <n v="40.5"/>
    <n v="275.5"/>
  </r>
  <r>
    <x v="529"/>
    <n v="807975"/>
    <s v="DEEP SHREE BUILDING MATERIAL"/>
    <n v="171578"/>
    <s v="KOTA BUILDMAT"/>
    <n v="20"/>
    <n v="20"/>
    <n v="0"/>
    <n v="0"/>
    <n v="0"/>
    <n v="0"/>
    <n v="0"/>
    <n v="0"/>
    <n v="0"/>
    <n v="0"/>
    <n v="0"/>
    <n v="0"/>
    <n v="40"/>
  </r>
  <r>
    <x v="530"/>
    <n v="807976"/>
    <s v="AAYUSH BUILDING MATERIAL"/>
    <n v="172942"/>
    <s v="LAXMI IRON STORE"/>
    <n v="30"/>
    <n v="41"/>
    <n v="88"/>
    <n v="64.5"/>
    <n v="101"/>
    <n v="81.5"/>
    <n v="75"/>
    <n v="15"/>
    <n v="50"/>
    <n v="35"/>
    <n v="0"/>
    <n v="55"/>
    <n v="636"/>
  </r>
  <r>
    <x v="531"/>
    <n v="807986"/>
    <s v="RATHORE CEMENT AGENCY"/>
    <n v="171887"/>
    <s v="CHOHAN CEMENT AGENCY"/>
    <n v="15"/>
    <n v="40"/>
    <n v="30"/>
    <n v="26"/>
    <n v="10"/>
    <n v="17.5"/>
    <n v="20"/>
    <n v="0"/>
    <n v="40"/>
    <n v="30"/>
    <n v="10"/>
    <n v="175"/>
    <n v="413.5"/>
  </r>
  <r>
    <x v="532"/>
    <n v="807987"/>
    <s v="DHAKAD KRISHI SEVA KENDRA"/>
    <n v="171578"/>
    <s v="KOTA BUILDMAT"/>
    <n v="33.75"/>
    <n v="95"/>
    <n v="151.5"/>
    <n v="80"/>
    <n v="65"/>
    <n v="50"/>
    <n v="30"/>
    <n v="17.5"/>
    <n v="20"/>
    <n v="20"/>
    <n v="95"/>
    <n v="45"/>
    <n v="702.75"/>
  </r>
  <r>
    <x v="533"/>
    <n v="807987"/>
    <s v="DHAKAD KRISHI SEVA KENDRA"/>
    <n v="174166"/>
    <s v="NAMOKAR STONE TRADERS"/>
    <n v="10"/>
    <n v="0"/>
    <n v="0"/>
    <n v="0"/>
    <n v="0"/>
    <n v="0"/>
    <n v="0"/>
    <n v="0"/>
    <n v="0"/>
    <n v="0"/>
    <n v="0"/>
    <n v="0"/>
    <n v="10"/>
  </r>
  <r>
    <x v="534"/>
    <n v="807988"/>
    <s v="BHOLE BUILDING MATERIAL"/>
    <n v="170204"/>
    <s v="GOYAL BUILDING MATERIAL"/>
    <n v="38.5"/>
    <n v="43.5"/>
    <n v="52.5"/>
    <n v="40"/>
    <n v="0"/>
    <n v="0"/>
    <n v="0"/>
    <n v="62"/>
    <n v="10"/>
    <n v="35"/>
    <n v="28"/>
    <n v="10"/>
    <n v="319.5"/>
  </r>
  <r>
    <x v="535"/>
    <n v="807997"/>
    <s v="GOVIND KALAL"/>
    <n v="142269"/>
    <s v="CHAMUNDA BUILDING MATERIAL SUP"/>
    <n v="0"/>
    <n v="0"/>
    <n v="25"/>
    <n v="0"/>
    <n v="0"/>
    <n v="0"/>
    <n v="0"/>
    <n v="0"/>
    <n v="0"/>
    <n v="0"/>
    <n v="0"/>
    <n v="0"/>
    <n v="25"/>
  </r>
  <r>
    <x v="536"/>
    <n v="807998"/>
    <s v="CHHAGANA RAM AND SONS"/>
    <n v="119038"/>
    <s v="NAVEEN DISTRIBUTORS"/>
    <n v="10"/>
    <n v="20"/>
    <n v="20"/>
    <n v="15"/>
    <n v="0"/>
    <n v="0"/>
    <n v="0"/>
    <n v="0"/>
    <n v="25"/>
    <n v="0"/>
    <n v="20"/>
    <n v="0"/>
    <n v="110"/>
  </r>
  <r>
    <x v="537"/>
    <n v="808082"/>
    <s v="RATANLAL DOVACHAND JAIN"/>
    <n v="119050"/>
    <s v="RAJASTHAN CEMENT CORPORATION"/>
    <n v="0"/>
    <n v="0"/>
    <n v="16"/>
    <n v="22.5"/>
    <n v="0"/>
    <n v="17.5"/>
    <n v="0"/>
    <n v="0"/>
    <n v="10"/>
    <n v="10"/>
    <n v="20"/>
    <n v="0"/>
    <n v="96"/>
  </r>
  <r>
    <x v="538"/>
    <n v="808084"/>
    <s v="LAXMI BUILDING MATERIAL"/>
    <n v="140967"/>
    <s v="B.L.JAIN &amp; SONS"/>
    <n v="0"/>
    <n v="0"/>
    <n v="0"/>
    <n v="0"/>
    <n v="0"/>
    <n v="0"/>
    <n v="0"/>
    <n v="40"/>
    <n v="17.5"/>
    <n v="0"/>
    <n v="0"/>
    <n v="0"/>
    <n v="57.5"/>
  </r>
  <r>
    <x v="539"/>
    <n v="808084"/>
    <s v="LAXMI BUILDING MATERIAL"/>
    <n v="209796"/>
    <s v="SHAKTAWAT BUILDING MATERIAL"/>
    <n v="0"/>
    <n v="0"/>
    <n v="0"/>
    <n v="0"/>
    <n v="0"/>
    <n v="50"/>
    <n v="87.5"/>
    <n v="50"/>
    <n v="124.75"/>
    <n v="73.5"/>
    <n v="40"/>
    <n v="43"/>
    <n v="468.75"/>
  </r>
  <r>
    <x v="540"/>
    <n v="808087"/>
    <s v="LAXMI TRADERS AND STONE SUPPLI"/>
    <n v="140967"/>
    <s v="B.L.JAIN &amp; SONS"/>
    <n v="20"/>
    <n v="0"/>
    <n v="0"/>
    <n v="0"/>
    <n v="0"/>
    <n v="0"/>
    <n v="0"/>
    <n v="0"/>
    <n v="35"/>
    <n v="0"/>
    <n v="0"/>
    <n v="48"/>
    <n v="103"/>
  </r>
  <r>
    <x v="541"/>
    <n v="808088"/>
    <s v="BALAJI BUILDING MATERIAL SUPPL"/>
    <n v="140967"/>
    <s v="B.L.JAIN &amp; SONS"/>
    <n v="20"/>
    <n v="30"/>
    <n v="0"/>
    <n v="10"/>
    <n v="10"/>
    <n v="0"/>
    <n v="0"/>
    <n v="0"/>
    <n v="7.5"/>
    <n v="20"/>
    <n v="0"/>
    <n v="0"/>
    <n v="97.5"/>
  </r>
  <r>
    <x v="542"/>
    <n v="808094"/>
    <s v="DEV BUILDING MATERIAL SUPPLIER"/>
    <n v="170204"/>
    <s v="GOYAL BUILDING MATERIAL"/>
    <n v="0"/>
    <n v="0"/>
    <n v="0"/>
    <n v="0"/>
    <n v="0"/>
    <n v="0"/>
    <n v="0"/>
    <n v="42"/>
    <n v="0"/>
    <n v="0"/>
    <n v="0"/>
    <n v="0"/>
    <n v="42"/>
  </r>
  <r>
    <x v="543"/>
    <n v="808103"/>
    <s v="JAI KISHAN KHINCHI"/>
    <n v="119222"/>
    <s v="MITHU LAL ROOP CHAND"/>
    <n v="5"/>
    <n v="30"/>
    <n v="30"/>
    <n v="27.5"/>
    <n v="15"/>
    <n v="15"/>
    <n v="22.5"/>
    <n v="10"/>
    <n v="0"/>
    <n v="0"/>
    <n v="0"/>
    <n v="0"/>
    <n v="155"/>
  </r>
  <r>
    <x v="544"/>
    <n v="808120"/>
    <s v="SHREE VISHAL CONSTRUCTION"/>
    <n v="177093"/>
    <s v="CHOUDHARY TRADERS"/>
    <n v="10"/>
    <n v="57"/>
    <n v="28.5"/>
    <n v="51.25"/>
    <n v="44.5"/>
    <n v="30"/>
    <n v="48"/>
    <n v="19"/>
    <n v="76"/>
    <n v="43.75"/>
    <n v="77.5"/>
    <n v="115"/>
    <n v="600.5"/>
  </r>
  <r>
    <x v="545"/>
    <n v="808121"/>
    <s v="YASHWANT TRADING COMPANY"/>
    <n v="177093"/>
    <s v="CHOUDHARY TRADERS"/>
    <n v="19"/>
    <n v="18.75"/>
    <n v="39.75"/>
    <n v="30"/>
    <n v="5"/>
    <n v="7"/>
    <n v="2"/>
    <n v="11.5"/>
    <n v="34"/>
    <n v="27.5"/>
    <n v="31.75"/>
    <n v="0"/>
    <n v="226.25"/>
  </r>
  <r>
    <x v="546"/>
    <n v="808133"/>
    <s v="GOPAL JAT"/>
    <n v="119208"/>
    <s v="SURAJMAL TANSUKH RAI"/>
    <n v="55"/>
    <n v="0"/>
    <n v="134"/>
    <n v="152"/>
    <n v="117"/>
    <n v="0"/>
    <n v="189"/>
    <n v="135"/>
    <n v="70"/>
    <n v="272"/>
    <n v="160"/>
    <n v="351.1"/>
    <n v="1635.1"/>
  </r>
  <r>
    <x v="547"/>
    <n v="808145"/>
    <s v="MOHAN LAL AHIR"/>
    <n v="170392"/>
    <s v="JYOTI SUPPLIERS"/>
    <n v="0"/>
    <n v="30"/>
    <n v="10"/>
    <n v="53.35"/>
    <n v="0"/>
    <n v="0"/>
    <n v="50"/>
    <n v="0"/>
    <n v="0"/>
    <n v="0"/>
    <n v="0"/>
    <n v="0"/>
    <n v="143.35"/>
  </r>
  <r>
    <x v="548"/>
    <n v="808145"/>
    <s v="MOHAN LAL AHIR"/>
    <n v="203484"/>
    <s v="SHREE AMBESH BUILDING MATERIAL"/>
    <n v="40"/>
    <n v="15"/>
    <n v="0"/>
    <n v="0"/>
    <n v="0"/>
    <n v="0"/>
    <n v="0"/>
    <n v="0"/>
    <n v="0"/>
    <n v="0"/>
    <n v="0"/>
    <n v="0"/>
    <n v="55"/>
  </r>
  <r>
    <x v="549"/>
    <n v="808147"/>
    <s v="PAREEK TRADERS"/>
    <n v="119031"/>
    <s v="RAMESH CHANDRA RAJENDRA KUMAR"/>
    <n v="60"/>
    <n v="53"/>
    <n v="47"/>
    <n v="43.8"/>
    <n v="81"/>
    <n v="61.5"/>
    <n v="70"/>
    <n v="35"/>
    <n v="129.5"/>
    <n v="184.5"/>
    <n v="135.5"/>
    <n v="80"/>
    <n v="980.8"/>
  </r>
  <r>
    <x v="550"/>
    <n v="808151"/>
    <s v="SHRI KHETESHWAR BUILDING MATER"/>
    <n v="172338"/>
    <s v="KHILJEE BUILDING MATERIAL"/>
    <n v="20"/>
    <n v="30"/>
    <n v="51"/>
    <n v="20"/>
    <n v="15"/>
    <n v="15"/>
    <n v="16"/>
    <n v="30"/>
    <n v="27.5"/>
    <n v="37.5"/>
    <n v="45"/>
    <n v="94"/>
    <n v="401"/>
  </r>
  <r>
    <x v="551"/>
    <n v="808152"/>
    <s v="RAJASTHAN PATTHAR GODAM"/>
    <n v="140967"/>
    <s v="B.L.JAIN &amp; SONS"/>
    <n v="20"/>
    <n v="35"/>
    <n v="0"/>
    <n v="17.5"/>
    <n v="30"/>
    <n v="30"/>
    <n v="31"/>
    <n v="40"/>
    <n v="47.5"/>
    <n v="130"/>
    <n v="30"/>
    <n v="70"/>
    <n v="481"/>
  </r>
  <r>
    <x v="552"/>
    <n v="808154"/>
    <s v="NIMIWAL STONE COMPANY"/>
    <n v="204318"/>
    <s v="KISAN BUILDING MATERIAL"/>
    <n v="20"/>
    <n v="14"/>
    <n v="40"/>
    <n v="37"/>
    <n v="25.5"/>
    <n v="37.5"/>
    <n v="15"/>
    <n v="20"/>
    <n v="40"/>
    <n v="30"/>
    <n v="15"/>
    <n v="106.5"/>
    <n v="400.5"/>
  </r>
  <r>
    <x v="553"/>
    <n v="808155"/>
    <s v="GOKUL RAM JAT"/>
    <n v="119208"/>
    <s v="SURAJMAL TANSUKH RAI"/>
    <n v="202"/>
    <n v="0"/>
    <n v="15"/>
    <n v="7.5"/>
    <n v="127.5"/>
    <n v="0"/>
    <n v="184.5"/>
    <n v="140"/>
    <n v="145"/>
    <n v="182"/>
    <n v="45"/>
    <n v="0"/>
    <n v="1048.5"/>
  </r>
  <r>
    <x v="554"/>
    <n v="808157"/>
    <s v="DHAKAR TRADERS &amp; SUPPLIERS"/>
    <n v="170392"/>
    <s v="JYOTI SUPPLIERS"/>
    <n v="28.75"/>
    <n v="57.5"/>
    <n v="120"/>
    <n v="100"/>
    <n v="85"/>
    <n v="30"/>
    <n v="10"/>
    <n v="40"/>
    <n v="87"/>
    <n v="47.5"/>
    <n v="41.5"/>
    <n v="32.5"/>
    <n v="679.75"/>
  </r>
  <r>
    <x v="555"/>
    <n v="808163"/>
    <s v="VIJAY LAXMI BUILDING MATERIAL"/>
    <n v="140967"/>
    <s v="B.L.JAIN &amp; SONS"/>
    <n v="0"/>
    <n v="0"/>
    <n v="0"/>
    <n v="0"/>
    <n v="0"/>
    <n v="0"/>
    <n v="20"/>
    <n v="0"/>
    <n v="0"/>
    <n v="10"/>
    <n v="0"/>
    <n v="0"/>
    <n v="30"/>
  </r>
  <r>
    <x v="556"/>
    <n v="808172"/>
    <s v="PUNJAB IRON STORE"/>
    <n v="142843"/>
    <s v="GURUNANAK IRON STORE"/>
    <n v="171.35"/>
    <n v="89"/>
    <n v="121.5"/>
    <n v="116"/>
    <n v="104"/>
    <n v="153.5"/>
    <n v="160"/>
    <n v="105"/>
    <n v="121"/>
    <n v="115"/>
    <n v="159.5"/>
    <n v="144.05000000000001"/>
    <n v="1559.8999999999999"/>
  </r>
  <r>
    <x v="557"/>
    <n v="808173"/>
    <s v="SIKANDAR KATHAT"/>
    <n v="122282"/>
    <s v="PIPARA SALES"/>
    <n v="40"/>
    <n v="45"/>
    <n v="47"/>
    <n v="44"/>
    <n v="52"/>
    <n v="27.5"/>
    <n v="20"/>
    <n v="20"/>
    <n v="59"/>
    <n v="41"/>
    <n v="43"/>
    <n v="54"/>
    <n v="492.5"/>
  </r>
  <r>
    <x v="558"/>
    <n v="808181"/>
    <s v="PATIDAR SUPPLIERS"/>
    <n v="170392"/>
    <s v="JYOTI SUPPLIERS"/>
    <n v="10"/>
    <n v="39"/>
    <n v="10"/>
    <n v="30"/>
    <n v="0"/>
    <n v="0"/>
    <n v="20"/>
    <n v="2"/>
    <n v="51.25"/>
    <n v="39"/>
    <n v="20"/>
    <n v="10"/>
    <n v="231.25"/>
  </r>
  <r>
    <x v="559"/>
    <n v="808182"/>
    <s v="MOHD HASSAN"/>
    <n v="119160"/>
    <s v="NIKHIL ASSOCIATE"/>
    <n v="0"/>
    <n v="0"/>
    <n v="0"/>
    <n v="0"/>
    <n v="0"/>
    <n v="0"/>
    <n v="0"/>
    <n v="0"/>
    <n v="0"/>
    <n v="30"/>
    <n v="0"/>
    <n v="0"/>
    <n v="30"/>
  </r>
  <r>
    <x v="560"/>
    <n v="808184"/>
    <s v="KACHHARA CEMENT SUPPLIERS"/>
    <n v="141115"/>
    <s v="KALPESH CEMENT AGENCY"/>
    <n v="114.75"/>
    <n v="50"/>
    <n v="151.80000000000001"/>
    <n v="87"/>
    <n v="65.75"/>
    <n v="77"/>
    <n v="98.5"/>
    <n v="47.5"/>
    <n v="60"/>
    <n v="75"/>
    <n v="40"/>
    <n v="30"/>
    <n v="897.3"/>
  </r>
  <r>
    <x v="561"/>
    <n v="808186"/>
    <s v="RADHESHYAM DHAKAR"/>
    <n v="173528"/>
    <s v="DHAKER TRADERS &amp; SUPPLIERS"/>
    <n v="39.5"/>
    <n v="5"/>
    <n v="0"/>
    <n v="10"/>
    <n v="10"/>
    <n v="0"/>
    <n v="55"/>
    <n v="10"/>
    <n v="75"/>
    <n v="29"/>
    <n v="32"/>
    <n v="0"/>
    <n v="265.5"/>
  </r>
  <r>
    <x v="562"/>
    <n v="808198"/>
    <s v="SHIV LAL PRABHU LALAJI PATEL"/>
    <n v="144804"/>
    <s v="MANGAL JI MADHAV JI"/>
    <n v="0"/>
    <n v="0"/>
    <n v="20"/>
    <n v="32.5"/>
    <n v="5"/>
    <n v="20"/>
    <n v="27.5"/>
    <n v="10"/>
    <n v="26"/>
    <n v="52.5"/>
    <n v="52.5"/>
    <n v="50"/>
    <n v="296"/>
  </r>
  <r>
    <x v="563"/>
    <n v="808200"/>
    <s v="LAXMI HARDWARE"/>
    <n v="119050"/>
    <s v="RAJASTHAN CEMENT CORPORATION"/>
    <n v="0"/>
    <n v="0"/>
    <n v="0"/>
    <n v="0"/>
    <n v="0"/>
    <n v="0"/>
    <n v="0"/>
    <n v="10"/>
    <n v="15"/>
    <n v="0"/>
    <n v="10"/>
    <n v="0"/>
    <n v="35"/>
  </r>
  <r>
    <x v="564"/>
    <n v="808206"/>
    <s v="NAGANARAI BUILDING MATERIAL"/>
    <n v="172338"/>
    <s v="KHILJEE BUILDING MATERIAL"/>
    <n v="0"/>
    <n v="15"/>
    <n v="20"/>
    <n v="55"/>
    <n v="19.899999999999999"/>
    <n v="20"/>
    <n v="10"/>
    <n v="20"/>
    <n v="40"/>
    <n v="52.5"/>
    <n v="27.5"/>
    <n v="11"/>
    <n v="290.89999999999998"/>
  </r>
  <r>
    <x v="565"/>
    <n v="808210"/>
    <s v="JORO MORU BROTHERS"/>
    <n v="171834"/>
    <s v="BABA RAMDEV TRADING COMPANY"/>
    <n v="39"/>
    <n v="124.5"/>
    <n v="141.94999999999999"/>
    <n v="166"/>
    <n v="137.5"/>
    <n v="82.5"/>
    <n v="0"/>
    <n v="114.5"/>
    <n v="156.05000000000001"/>
    <n v="10"/>
    <n v="12.5"/>
    <n v="35"/>
    <n v="1019.5"/>
  </r>
  <r>
    <x v="566"/>
    <n v="808227"/>
    <s v="DHARMENDRA KALAL"/>
    <n v="140850"/>
    <s v="MAHAVEER SANITARY &amp; CEMENT AGE"/>
    <n v="33"/>
    <n v="60"/>
    <n v="55"/>
    <n v="60"/>
    <n v="54.4"/>
    <n v="61"/>
    <n v="21"/>
    <n v="30"/>
    <n v="65"/>
    <n v="41"/>
    <n v="60"/>
    <n v="59"/>
    <n v="599.4"/>
  </r>
  <r>
    <x v="567"/>
    <n v="808228"/>
    <s v="CHOUBISA ENTERPRISES"/>
    <n v="140852"/>
    <s v="NEW KALPESH CEMENT AGENCY"/>
    <n v="6"/>
    <n v="35"/>
    <n v="20"/>
    <n v="80.25"/>
    <n v="16"/>
    <n v="49.5"/>
    <n v="5.5"/>
    <n v="0"/>
    <n v="11"/>
    <n v="0"/>
    <n v="0"/>
    <n v="0"/>
    <n v="223.25"/>
  </r>
  <r>
    <x v="568"/>
    <n v="808229"/>
    <s v="DAYAMA BUILDING MATERIAL STORE"/>
    <n v="172942"/>
    <s v="LAXMI IRON STORE"/>
    <n v="15"/>
    <n v="20"/>
    <n v="34"/>
    <n v="37"/>
    <n v="32"/>
    <n v="15"/>
    <n v="15"/>
    <n v="15"/>
    <n v="35"/>
    <n v="41.5"/>
    <n v="10"/>
    <n v="1"/>
    <n v="270.5"/>
  </r>
  <r>
    <x v="569"/>
    <n v="808259"/>
    <s v="SHRI KRISHNA TRADERS"/>
    <n v="170204"/>
    <s v="GOYAL BUILDING MATERIAL"/>
    <n v="52.5"/>
    <n v="38"/>
    <n v="17.5"/>
    <n v="7"/>
    <n v="0"/>
    <n v="0"/>
    <n v="0"/>
    <n v="42"/>
    <n v="0"/>
    <n v="0"/>
    <n v="0"/>
    <n v="0"/>
    <n v="157"/>
  </r>
  <r>
    <x v="570"/>
    <n v="808269"/>
    <s v="J P TRADERS"/>
    <n v="170363"/>
    <s v="GOLDEN TRADERS"/>
    <n v="0"/>
    <n v="35"/>
    <n v="55"/>
    <n v="14"/>
    <n v="15"/>
    <n v="0"/>
    <n v="17.5"/>
    <n v="15"/>
    <n v="35"/>
    <n v="42"/>
    <n v="70"/>
    <n v="154"/>
    <n v="452.5"/>
  </r>
  <r>
    <x v="571"/>
    <n v="808271"/>
    <s v="RAJESH CEMENT SUPPLIERS"/>
    <n v="140848"/>
    <s v="PADAM CEMENT SUPPLIERS"/>
    <n v="81"/>
    <n v="65"/>
    <n v="182"/>
    <n v="117.5"/>
    <n v="107"/>
    <n v="27.25"/>
    <n v="105"/>
    <n v="80"/>
    <n v="73.5"/>
    <n v="115"/>
    <n v="70"/>
    <n v="177.5"/>
    <n v="1200.75"/>
  </r>
  <r>
    <x v="572"/>
    <n v="808272"/>
    <s v="SHREE BHERU BHAWANI STONE &amp; CE"/>
    <n v="140967"/>
    <s v="B.L.JAIN &amp; SONS"/>
    <n v="20"/>
    <n v="0"/>
    <n v="0"/>
    <n v="77.5"/>
    <n v="112.5"/>
    <n v="25"/>
    <n v="25"/>
    <n v="0"/>
    <n v="77.5"/>
    <n v="50"/>
    <n v="90"/>
    <n v="74"/>
    <n v="551.5"/>
  </r>
  <r>
    <x v="573"/>
    <n v="808275"/>
    <s v="SAINI BUILDER"/>
    <n v="143509"/>
    <s v="PAWAN BUILDERS"/>
    <n v="58.85"/>
    <n v="70"/>
    <n v="98.85"/>
    <n v="95"/>
    <n v="95"/>
    <n v="83.65"/>
    <n v="10"/>
    <n v="40"/>
    <n v="125"/>
    <n v="0"/>
    <n v="40"/>
    <n v="30"/>
    <n v="746.35"/>
  </r>
  <r>
    <x v="574"/>
    <n v="808276"/>
    <s v="OM PRAKASH CHOUDHARY"/>
    <n v="203600"/>
    <s v="MANISH CEMENT AGENCY"/>
    <n v="45"/>
    <n v="35"/>
    <n v="80"/>
    <n v="60"/>
    <n v="69"/>
    <n v="35"/>
    <n v="25"/>
    <n v="20"/>
    <n v="62"/>
    <n v="33"/>
    <n v="31"/>
    <n v="64"/>
    <n v="559"/>
  </r>
  <r>
    <x v="575"/>
    <n v="808283"/>
    <s v="GANGA BUILDERS"/>
    <n v="119044"/>
    <s v="PANWAR TRADING CORPORATION LTD"/>
    <n v="11"/>
    <n v="20"/>
    <n v="20"/>
    <n v="39.65"/>
    <n v="17"/>
    <n v="10"/>
    <n v="50"/>
    <n v="15"/>
    <n v="30"/>
    <n v="15"/>
    <n v="30"/>
    <n v="45"/>
    <n v="302.64999999999998"/>
  </r>
  <r>
    <x v="576"/>
    <n v="808284"/>
    <s v="LAKSHMI CEMENT &amp; BUILDING MATE"/>
    <n v="119044"/>
    <s v="PANWAR TRADING CORPORATION LTD"/>
    <n v="0"/>
    <n v="0"/>
    <n v="0"/>
    <n v="0"/>
    <n v="7"/>
    <n v="0"/>
    <n v="60"/>
    <n v="0"/>
    <n v="20"/>
    <n v="0"/>
    <n v="10"/>
    <n v="27.5"/>
    <n v="124.5"/>
  </r>
  <r>
    <x v="577"/>
    <n v="808289"/>
    <s v="SHRI NAKODA HARDWARE"/>
    <n v="171662"/>
    <s v="CHHABRA STONES"/>
    <n v="65"/>
    <n v="10"/>
    <n v="40"/>
    <n v="53"/>
    <n v="62.5"/>
    <n v="28.5"/>
    <n v="45"/>
    <n v="0"/>
    <n v="20"/>
    <n v="0"/>
    <n v="30"/>
    <n v="48"/>
    <n v="402"/>
  </r>
  <r>
    <x v="578"/>
    <n v="808292"/>
    <s v="ONKAR SINGH"/>
    <n v="206102"/>
    <s v="BABA RAMDEV CEMENT SUPPLIER"/>
    <n v="0"/>
    <n v="0"/>
    <n v="0"/>
    <n v="30"/>
    <n v="65"/>
    <n v="23"/>
    <n v="6.5"/>
    <n v="0"/>
    <n v="55"/>
    <n v="20"/>
    <n v="0"/>
    <n v="0"/>
    <n v="199.5"/>
  </r>
  <r>
    <x v="579"/>
    <n v="808309"/>
    <s v="SWAMI PAD STORE"/>
    <n v="177104"/>
    <s v="GARG SUPPLIERS"/>
    <n v="15"/>
    <n v="10"/>
    <n v="23.5"/>
    <n v="29"/>
    <n v="19"/>
    <n v="49"/>
    <n v="7.5"/>
    <n v="0"/>
    <n v="20"/>
    <n v="0"/>
    <n v="49"/>
    <n v="1"/>
    <n v="223"/>
  </r>
  <r>
    <x v="580"/>
    <n v="808310"/>
    <s v="GOPAL LAL PATIDAR"/>
    <n v="172084"/>
    <s v="PRAJAPATI BUILDING MATERIAL"/>
    <n v="20"/>
    <n v="30"/>
    <n v="65"/>
    <n v="70"/>
    <n v="40"/>
    <n v="20"/>
    <n v="15"/>
    <n v="10"/>
    <n v="55"/>
    <n v="0"/>
    <n v="20"/>
    <n v="67"/>
    <n v="412"/>
  </r>
  <r>
    <x v="581"/>
    <n v="808312"/>
    <s v="BHOGI LAL SUKH LAL JAIN"/>
    <n v="119050"/>
    <s v="RAJASTHAN CEMENT CORPORATION"/>
    <n v="15"/>
    <n v="0"/>
    <n v="0"/>
    <n v="0"/>
    <n v="0"/>
    <n v="0"/>
    <n v="0"/>
    <n v="0"/>
    <n v="0"/>
    <n v="0"/>
    <n v="0"/>
    <n v="0"/>
    <n v="15"/>
  </r>
  <r>
    <x v="582"/>
    <n v="808312"/>
    <s v="BHOGI LAL SUKH LAL JAIN"/>
    <n v="202842"/>
    <s v="M.R.TRADING COMPANY"/>
    <n v="70"/>
    <n v="51"/>
    <n v="88"/>
    <n v="85"/>
    <n v="80"/>
    <n v="89.7"/>
    <n v="45"/>
    <n v="10"/>
    <n v="100"/>
    <n v="100"/>
    <n v="25"/>
    <n v="111"/>
    <n v="854.7"/>
  </r>
  <r>
    <x v="583"/>
    <n v="808313"/>
    <s v="JAYDEEP KRISHI FARM"/>
    <n v="140960"/>
    <s v="HARI OM CEMENT SUPPLIERS"/>
    <n v="0"/>
    <n v="0"/>
    <n v="0"/>
    <n v="35"/>
    <n v="0"/>
    <n v="40"/>
    <n v="0"/>
    <n v="0"/>
    <n v="40"/>
    <n v="15"/>
    <n v="50"/>
    <n v="75"/>
    <n v="255"/>
  </r>
  <r>
    <x v="584"/>
    <n v="808315"/>
    <s v="A S TRADERS"/>
    <n v="146500"/>
    <s v="MUGAL TRADERS"/>
    <n v="0"/>
    <n v="10"/>
    <n v="0"/>
    <n v="0"/>
    <n v="0"/>
    <n v="0"/>
    <n v="0"/>
    <n v="0"/>
    <n v="0"/>
    <n v="0"/>
    <n v="0"/>
    <n v="0"/>
    <n v="10"/>
  </r>
  <r>
    <x v="585"/>
    <n v="808316"/>
    <s v="DHARMESH KUMAWAT"/>
    <n v="204030"/>
    <s v="DEVA LAL KUMAWAT"/>
    <n v="104.25"/>
    <n v="54"/>
    <n v="136.25"/>
    <n v="26"/>
    <n v="40.25"/>
    <n v="36"/>
    <n v="49"/>
    <n v="2"/>
    <n v="73"/>
    <n v="10"/>
    <n v="45.5"/>
    <n v="40"/>
    <n v="616.25"/>
  </r>
  <r>
    <x v="586"/>
    <n v="808317"/>
    <s v="RANJANA PANCHAL"/>
    <n v="119066"/>
    <s v="RAJENDRA KUMAR RATAN LAL JAIN"/>
    <n v="77.5"/>
    <n v="112"/>
    <n v="179"/>
    <n v="91"/>
    <n v="111"/>
    <n v="48"/>
    <n v="102"/>
    <n v="60"/>
    <n v="134"/>
    <n v="125"/>
    <n v="125"/>
    <n v="122.5"/>
    <n v="1287"/>
  </r>
  <r>
    <x v="587"/>
    <n v="808318"/>
    <s v="MAHALAXMI TRADERS"/>
    <n v="119066"/>
    <s v="RAJENDRA KUMAR RATAN LAL JAIN"/>
    <n v="81.150000000000006"/>
    <n v="94"/>
    <n v="105"/>
    <n v="60.4"/>
    <n v="54"/>
    <n v="3"/>
    <n v="87"/>
    <n v="0"/>
    <n v="63"/>
    <n v="17.5"/>
    <n v="105"/>
    <n v="102.5"/>
    <n v="772.55"/>
  </r>
  <r>
    <x v="588"/>
    <n v="808328"/>
    <s v="RAJ ELECTRIC AND MACHINERY STO"/>
    <n v="121572"/>
    <s v="FAKHRUDDIN ABDEALI LUKA WALA"/>
    <n v="10"/>
    <n v="15"/>
    <n v="25"/>
    <n v="29.5"/>
    <n v="45"/>
    <n v="37.5"/>
    <n v="25"/>
    <n v="20"/>
    <n v="62.5"/>
    <n v="80"/>
    <n v="55"/>
    <n v="60"/>
    <n v="464.5"/>
  </r>
  <r>
    <x v="589"/>
    <n v="808330"/>
    <s v="GREEN PALACE FARM"/>
    <n v="178764"/>
    <s v="PERFECT TRADERS"/>
    <n v="0"/>
    <n v="0"/>
    <n v="0"/>
    <n v="0"/>
    <n v="0"/>
    <n v="0"/>
    <n v="0"/>
    <n v="35"/>
    <n v="35"/>
    <n v="40"/>
    <n v="42.5"/>
    <n v="35"/>
    <n v="187.5"/>
  </r>
  <r>
    <x v="590"/>
    <n v="808345"/>
    <s v="JAGDEVA RAM"/>
    <n v="206102"/>
    <s v="BABA RAMDEV CEMENT SUPPLIER"/>
    <n v="0"/>
    <n v="0"/>
    <n v="0"/>
    <n v="0"/>
    <n v="0"/>
    <n v="0"/>
    <n v="0"/>
    <n v="0"/>
    <n v="20"/>
    <n v="0"/>
    <n v="0"/>
    <n v="0"/>
    <n v="20"/>
  </r>
  <r>
    <x v="591"/>
    <n v="808346"/>
    <s v="GOVIND KHINCHI"/>
    <n v="171662"/>
    <s v="CHHABRA STONES"/>
    <n v="55"/>
    <n v="25"/>
    <n v="69"/>
    <n v="65"/>
    <n v="59.65"/>
    <n v="60"/>
    <n v="91.45"/>
    <n v="50"/>
    <n v="106.9"/>
    <n v="75"/>
    <n v="130"/>
    <n v="115"/>
    <n v="902"/>
  </r>
  <r>
    <x v="592"/>
    <n v="808347"/>
    <s v="JANKI THARWANI"/>
    <n v="171662"/>
    <s v="CHHABRA STONES"/>
    <n v="56"/>
    <n v="70"/>
    <n v="40"/>
    <n v="60.5"/>
    <n v="30"/>
    <n v="32.5"/>
    <n v="0"/>
    <n v="14.6"/>
    <n v="20"/>
    <n v="0"/>
    <n v="25"/>
    <n v="53"/>
    <n v="401.6"/>
  </r>
  <r>
    <x v="593"/>
    <n v="808348"/>
    <s v="MUSKAN BUILDING MATERIAL SUPPL"/>
    <n v="119034"/>
    <s v="SOGANI AGENCIES"/>
    <n v="20"/>
    <n v="50"/>
    <n v="32"/>
    <n v="48"/>
    <n v="40"/>
    <n v="32.5"/>
    <n v="15"/>
    <n v="40"/>
    <n v="57.5"/>
    <n v="0"/>
    <n v="35"/>
    <n v="35"/>
    <n v="405"/>
  </r>
  <r>
    <x v="594"/>
    <n v="808374"/>
    <s v="VEER SINGH GURJAR"/>
    <n v="175049"/>
    <s v="KASHISH ENTERPRISES"/>
    <n v="133"/>
    <n v="126"/>
    <n v="121.95"/>
    <n v="97.5"/>
    <n v="97"/>
    <n v="56.2"/>
    <n v="77"/>
    <n v="20"/>
    <n v="65"/>
    <n v="63"/>
    <n v="63"/>
    <n v="36"/>
    <n v="955.65000000000009"/>
  </r>
  <r>
    <x v="595"/>
    <n v="808390"/>
    <s v="SHIVNATH  DHANI BUILDING MATER"/>
    <n v="176457"/>
    <s v="RAMA BUILDING MATERIALS"/>
    <n v="0"/>
    <n v="0"/>
    <n v="0"/>
    <n v="15"/>
    <n v="0"/>
    <n v="0"/>
    <n v="0"/>
    <n v="0"/>
    <n v="0"/>
    <n v="0"/>
    <n v="0"/>
    <n v="0"/>
    <n v="15"/>
  </r>
  <r>
    <x v="596"/>
    <n v="808391"/>
    <s v="KUMAWAT BUILDING MATERIALS SUP"/>
    <n v="119042"/>
    <s v="SARAS ENTERPRISES"/>
    <n v="10"/>
    <n v="0"/>
    <n v="0"/>
    <n v="0"/>
    <n v="0"/>
    <n v="0"/>
    <n v="0"/>
    <n v="0"/>
    <n v="0"/>
    <n v="0"/>
    <n v="10"/>
    <n v="0"/>
    <n v="20"/>
  </r>
  <r>
    <x v="597"/>
    <n v="808413"/>
    <s v="SHREE BAJRANG HARDWARE"/>
    <n v="170904"/>
    <s v="ASHAPURA CEMENT SALES"/>
    <n v="28"/>
    <n v="48"/>
    <n v="52"/>
    <n v="89"/>
    <n v="93"/>
    <n v="65"/>
    <n v="46"/>
    <n v="40"/>
    <n v="81.5"/>
    <n v="59"/>
    <n v="65"/>
    <n v="46"/>
    <n v="712.5"/>
  </r>
  <r>
    <x v="598"/>
    <n v="808419"/>
    <s v="POOJA TRADING COMPANY"/>
    <n v="206011"/>
    <s v="PAHARIA CHEMICALS"/>
    <n v="381.5"/>
    <n v="373"/>
    <n v="541.9"/>
    <n v="487.55"/>
    <n v="312.45"/>
    <n v="132.25"/>
    <n v="366.59999999999997"/>
    <n v="141.25"/>
    <n v="536.65"/>
    <n v="212.75"/>
    <n v="316.3"/>
    <n v="431"/>
    <n v="4233.2000000000007"/>
  </r>
  <r>
    <x v="599"/>
    <n v="808424"/>
    <s v="SHREE KHETESHWAR KRISHI SEVA"/>
    <n v="172338"/>
    <s v="KHILJEE BUILDING MATERIAL"/>
    <n v="0"/>
    <n v="0"/>
    <n v="0"/>
    <n v="0"/>
    <n v="0"/>
    <n v="0"/>
    <n v="0"/>
    <n v="0"/>
    <n v="0"/>
    <n v="10"/>
    <n v="0"/>
    <n v="7.5"/>
    <n v="17.5"/>
  </r>
  <r>
    <x v="600"/>
    <n v="808426"/>
    <s v="MUKESH TRADERS"/>
    <n v="145394"/>
    <s v="DEVRAJ AND SONS"/>
    <n v="55"/>
    <n v="67.5"/>
    <n v="125"/>
    <n v="82.5"/>
    <n v="105"/>
    <n v="86"/>
    <n v="85"/>
    <n v="70"/>
    <n v="143"/>
    <n v="112.5"/>
    <n v="105"/>
    <n v="55"/>
    <n v="1091.5"/>
  </r>
  <r>
    <x v="601"/>
    <n v="808427"/>
    <s v="BABU SINGH"/>
    <n v="145394"/>
    <s v="DEVRAJ AND SONS"/>
    <n v="0"/>
    <n v="15"/>
    <n v="39"/>
    <n v="21.5"/>
    <n v="47"/>
    <n v="30"/>
    <n v="25"/>
    <n v="15"/>
    <n v="35"/>
    <n v="30"/>
    <n v="45"/>
    <n v="25"/>
    <n v="327.5"/>
  </r>
  <r>
    <x v="602"/>
    <n v="808429"/>
    <s v="SHREE LAXMI SANITARY AND HARDW"/>
    <n v="170248"/>
    <s v="MAHAVEER ENTERPRISES"/>
    <n v="72"/>
    <n v="67.5"/>
    <n v="88.5"/>
    <n v="75"/>
    <n v="73"/>
    <n v="46.5"/>
    <n v="53.75"/>
    <n v="29.25"/>
    <n v="42.4"/>
    <n v="49.25"/>
    <n v="25"/>
    <n v="35"/>
    <n v="657.15"/>
  </r>
  <r>
    <x v="603"/>
    <n v="808433"/>
    <s v="GANPATI ENTERPRISES"/>
    <n v="174166"/>
    <s v="NAMOKAR STONE TRADERS"/>
    <n v="0"/>
    <n v="7.5"/>
    <n v="10"/>
    <n v="0"/>
    <n v="0"/>
    <n v="0"/>
    <n v="0"/>
    <n v="0"/>
    <n v="0"/>
    <n v="0"/>
    <n v="0"/>
    <n v="0"/>
    <n v="17.5"/>
  </r>
  <r>
    <x v="604"/>
    <n v="808434"/>
    <s v="PRAKASH CHAND CHHAJER"/>
    <n v="119208"/>
    <s v="SURAJMAL TANSUKH RAI"/>
    <n v="15"/>
    <n v="85"/>
    <n v="10"/>
    <n v="246"/>
    <n v="169"/>
    <n v="134"/>
    <n v="124.5"/>
    <n v="0"/>
    <n v="199.5"/>
    <n v="97"/>
    <n v="170"/>
    <n v="44"/>
    <n v="1294"/>
  </r>
  <r>
    <x v="605"/>
    <n v="808443"/>
    <s v="SONU CEMENT AGENCY"/>
    <n v="119263"/>
    <s v="KUKKAR ENTERPRISES"/>
    <n v="10"/>
    <n v="37"/>
    <n v="34.5"/>
    <n v="32"/>
    <n v="54"/>
    <n v="58.5"/>
    <n v="45"/>
    <n v="30"/>
    <n v="43"/>
    <n v="20.5"/>
    <n v="32.5"/>
    <n v="5"/>
    <n v="402"/>
  </r>
  <r>
    <x v="606"/>
    <n v="808444"/>
    <s v="JAI SHREE BHERUNATH CEMENT SUP"/>
    <n v="140848"/>
    <s v="PADAM CEMENT SUPPLIERS"/>
    <n v="10"/>
    <n v="10"/>
    <n v="10"/>
    <n v="0"/>
    <n v="21"/>
    <n v="0"/>
    <n v="20"/>
    <n v="0"/>
    <n v="52.5"/>
    <n v="20"/>
    <n v="10"/>
    <n v="0"/>
    <n v="153.5"/>
  </r>
  <r>
    <x v="607"/>
    <n v="808446"/>
    <s v="BISHNA RAM"/>
    <n v="119044"/>
    <s v="PANWAR TRADING CORPORATION LTD"/>
    <n v="15"/>
    <n v="58.75"/>
    <n v="95"/>
    <n v="120"/>
    <n v="77.5"/>
    <n v="0"/>
    <n v="25"/>
    <n v="10"/>
    <n v="45"/>
    <n v="100"/>
    <n v="70"/>
    <n v="70"/>
    <n v="686.25"/>
  </r>
  <r>
    <x v="608"/>
    <n v="808446"/>
    <s v="BISHNA RAM"/>
    <n v="207438"/>
    <s v="KRISHANGI BUILDING MATERIAL"/>
    <n v="0"/>
    <n v="0"/>
    <n v="0"/>
    <n v="0"/>
    <n v="0"/>
    <n v="0"/>
    <n v="0"/>
    <n v="0"/>
    <n v="0"/>
    <n v="0"/>
    <n v="25"/>
    <n v="0"/>
    <n v="25"/>
  </r>
  <r>
    <x v="609"/>
    <n v="808448"/>
    <s v="NANDIWAL PESTICIDES"/>
    <n v="206219"/>
    <s v="SALASAR TRADERS"/>
    <n v="84.5"/>
    <n v="126.05000000000001"/>
    <n v="72"/>
    <n v="107.95"/>
    <n v="80"/>
    <n v="108.1"/>
    <n v="73"/>
    <n v="42"/>
    <n v="152.5"/>
    <n v="132"/>
    <n v="93.5"/>
    <n v="129"/>
    <n v="1200.5999999999999"/>
  </r>
  <r>
    <x v="610"/>
    <n v="808449"/>
    <s v="MALI BUILDING MATERIAL STORE"/>
    <n v="149859"/>
    <s v="DHARM PAL AKSHAY KUMAR"/>
    <n v="42.5"/>
    <n v="74.5"/>
    <n v="147"/>
    <n v="160"/>
    <n v="148.5"/>
    <n v="124.25"/>
    <n v="100.5"/>
    <n v="77"/>
    <n v="84"/>
    <n v="121.5"/>
    <n v="127.5"/>
    <n v="131.5"/>
    <n v="1338.75"/>
  </r>
  <r>
    <x v="611"/>
    <n v="808451"/>
    <s v="SHREE JASNATH HARDWARE &amp; ELECT"/>
    <n v="174034"/>
    <s v="RADHE BUILDING MATERIAL"/>
    <n v="75"/>
    <n v="45"/>
    <n v="35"/>
    <n v="150"/>
    <n v="18"/>
    <n v="74"/>
    <n v="30"/>
    <n v="0"/>
    <n v="72.5"/>
    <n v="35"/>
    <n v="90"/>
    <n v="145"/>
    <n v="769.5"/>
  </r>
  <r>
    <x v="612"/>
    <n v="808469"/>
    <s v="LAXMI TRADING COMPANY"/>
    <n v="119044"/>
    <s v="PANWAR TRADING CORPORATION LTD"/>
    <n v="0"/>
    <n v="15"/>
    <n v="65"/>
    <n v="30"/>
    <n v="147.5"/>
    <n v="45"/>
    <n v="45"/>
    <n v="125"/>
    <n v="40"/>
    <n v="80"/>
    <n v="0"/>
    <n v="75"/>
    <n v="667.5"/>
  </r>
  <r>
    <x v="613"/>
    <n v="808471"/>
    <s v="MOHAN LAL"/>
    <n v="119029"/>
    <s v="LALLAMAL KANHYALAL &amp; SONS"/>
    <n v="0"/>
    <n v="0"/>
    <n v="0"/>
    <n v="0"/>
    <n v="0"/>
    <n v="0"/>
    <n v="10"/>
    <n v="0"/>
    <n v="0"/>
    <n v="0"/>
    <n v="0"/>
    <n v="0"/>
    <n v="10"/>
  </r>
  <r>
    <x v="614"/>
    <n v="808471"/>
    <s v="MOHAN LAL"/>
    <n v="119208"/>
    <s v="SURAJMAL TANSUKH RAI"/>
    <n v="0"/>
    <n v="125"/>
    <n v="0"/>
    <n v="122"/>
    <n v="0"/>
    <n v="0"/>
    <n v="142"/>
    <n v="0"/>
    <n v="87"/>
    <n v="128"/>
    <n v="0"/>
    <n v="130"/>
    <n v="734"/>
  </r>
  <r>
    <x v="615"/>
    <n v="808487"/>
    <s v="KHAN PAD STORE"/>
    <n v="141556"/>
    <s v="GYANI BUILDING MATERIALS"/>
    <n v="63.5"/>
    <n v="124"/>
    <n v="89.5"/>
    <n v="129.5"/>
    <n v="62"/>
    <n v="65"/>
    <n v="75"/>
    <n v="20"/>
    <n v="73.5"/>
    <n v="81.5"/>
    <n v="145"/>
    <n v="25"/>
    <n v="953.5"/>
  </r>
  <r>
    <x v="616"/>
    <n v="808488"/>
    <s v="LAKSHMI TRADERS"/>
    <n v="119044"/>
    <s v="PANWAR TRADING CORPORATION LTD"/>
    <n v="84"/>
    <n v="90"/>
    <n v="139"/>
    <n v="25"/>
    <n v="67.5"/>
    <n v="0"/>
    <n v="0"/>
    <n v="80"/>
    <n v="20"/>
    <n v="30"/>
    <n v="86"/>
    <n v="95"/>
    <n v="716.5"/>
  </r>
  <r>
    <x v="617"/>
    <n v="808491"/>
    <s v="SUNAYANA JAIN"/>
    <n v="119066"/>
    <s v="RAJENDRA KUMAR RATAN LAL JAIN"/>
    <n v="0"/>
    <n v="0"/>
    <n v="0"/>
    <n v="0"/>
    <n v="0"/>
    <n v="0"/>
    <n v="0"/>
    <n v="0"/>
    <n v="0"/>
    <n v="0"/>
    <n v="0"/>
    <n v="50"/>
    <n v="50"/>
  </r>
  <r>
    <x v="618"/>
    <n v="808492"/>
    <s v="ALADIN KHAN"/>
    <n v="204318"/>
    <s v="KISAN BUILDING MATERIAL"/>
    <n v="7.5"/>
    <n v="0"/>
    <n v="0"/>
    <n v="0"/>
    <n v="0"/>
    <n v="0"/>
    <n v="0"/>
    <n v="0"/>
    <n v="0"/>
    <n v="12.5"/>
    <n v="20"/>
    <n v="20"/>
    <n v="60"/>
  </r>
  <r>
    <x v="619"/>
    <n v="808495"/>
    <s v="LALCHAND BUILDING MATERIAL"/>
    <n v="172942"/>
    <s v="LAXMI IRON STORE"/>
    <n v="20"/>
    <n v="76.5"/>
    <n v="71.5"/>
    <n v="76.5"/>
    <n v="62"/>
    <n v="46"/>
    <n v="0"/>
    <n v="35"/>
    <n v="25"/>
    <n v="0"/>
    <n v="25"/>
    <n v="80"/>
    <n v="517.5"/>
  </r>
  <r>
    <x v="620"/>
    <n v="808496"/>
    <s v="RAJASTHAN CEMENT AGENCY"/>
    <n v="141556"/>
    <s v="GYANI BUILDING MATERIALS"/>
    <n v="102.5"/>
    <n v="125.5"/>
    <n v="103"/>
    <n v="84.5"/>
    <n v="75"/>
    <n v="54.5"/>
    <n v="45"/>
    <n v="25"/>
    <n v="110"/>
    <n v="109"/>
    <n v="101.5"/>
    <n v="56.5"/>
    <n v="992"/>
  </r>
  <r>
    <x v="621"/>
    <n v="808497"/>
    <s v="K S BUILDING MATERIAL"/>
    <n v="141556"/>
    <s v="GYANI BUILDING MATERIALS"/>
    <n v="66"/>
    <n v="76.5"/>
    <n v="71.5"/>
    <n v="71.5"/>
    <n v="56.5"/>
    <n v="32.5"/>
    <n v="35"/>
    <n v="20"/>
    <n v="17"/>
    <n v="20"/>
    <n v="90"/>
    <n v="47"/>
    <n v="603.5"/>
  </r>
  <r>
    <x v="622"/>
    <n v="808498"/>
    <s v="JAY GURUDEV BUILDING MATERIAL"/>
    <n v="140858"/>
    <s v="RAMESH CHANDRA JAI CHAND"/>
    <n v="86.5"/>
    <n v="70"/>
    <n v="90"/>
    <n v="92.5"/>
    <n v="100"/>
    <n v="60"/>
    <n v="55"/>
    <n v="57"/>
    <n v="71.75"/>
    <n v="70"/>
    <n v="70"/>
    <n v="80"/>
    <n v="902.75"/>
  </r>
  <r>
    <x v="623"/>
    <n v="808547"/>
    <s v="SHIV SANITARY &amp; HARDWARE STORE"/>
    <n v="143509"/>
    <s v="PAWAN BUILDERS"/>
    <n v="20"/>
    <n v="30"/>
    <n v="58.25"/>
    <n v="35"/>
    <n v="50"/>
    <n v="33"/>
    <n v="10"/>
    <n v="54.75"/>
    <n v="105"/>
    <n v="0"/>
    <n v="45"/>
    <n v="65"/>
    <n v="506"/>
  </r>
  <r>
    <x v="624"/>
    <n v="808548"/>
    <s v="GAJENDRA CEMENT SUPPLIERS"/>
    <n v="119050"/>
    <s v="RAJASTHAN CEMENT CORPORATION"/>
    <n v="0"/>
    <n v="0"/>
    <n v="12"/>
    <n v="25"/>
    <n v="10"/>
    <n v="7.5"/>
    <n v="20"/>
    <n v="10"/>
    <n v="17.5"/>
    <n v="10"/>
    <n v="10"/>
    <n v="4"/>
    <n v="126"/>
  </r>
  <r>
    <x v="625"/>
    <n v="808550"/>
    <s v="YES CONSTRUCTION AND BUILDING"/>
    <n v="203600"/>
    <s v="MANISH CEMENT AGENCY"/>
    <n v="10"/>
    <n v="0"/>
    <n v="20"/>
    <n v="10"/>
    <n v="0"/>
    <n v="0"/>
    <n v="10"/>
    <n v="10"/>
    <n v="8.5"/>
    <n v="0"/>
    <n v="0"/>
    <n v="0"/>
    <n v="68.5"/>
  </r>
  <r>
    <x v="626"/>
    <n v="808552"/>
    <s v="SAI TRADERS"/>
    <n v="173728"/>
    <s v="LAXMI CEMANT AND BUILDING MATE"/>
    <n v="43"/>
    <n v="57.5"/>
    <n v="25"/>
    <n v="65"/>
    <n v="25"/>
    <n v="103.95"/>
    <n v="29"/>
    <n v="115"/>
    <n v="25"/>
    <n v="45"/>
    <n v="17.5"/>
    <n v="60"/>
    <n v="610.95000000000005"/>
  </r>
  <r>
    <x v="627"/>
    <n v="808553"/>
    <s v="SHREE BHERUNATH ENTERPRISES"/>
    <n v="172597"/>
    <s v="SONU TRADERS"/>
    <n v="16"/>
    <n v="12.5"/>
    <n v="0"/>
    <n v="0"/>
    <n v="0"/>
    <n v="10"/>
    <n v="15"/>
    <n v="10"/>
    <n v="19"/>
    <n v="50"/>
    <n v="15"/>
    <n v="0"/>
    <n v="147.5"/>
  </r>
  <r>
    <x v="628"/>
    <n v="808554"/>
    <s v="VISHVAKARMA PATTHAR GODAM"/>
    <n v="140967"/>
    <s v="B.L.JAIN &amp; SONS"/>
    <n v="10"/>
    <n v="0"/>
    <n v="25"/>
    <n v="7.5"/>
    <n v="30"/>
    <n v="0"/>
    <n v="0"/>
    <n v="0"/>
    <n v="27.5"/>
    <n v="0"/>
    <n v="10"/>
    <n v="8"/>
    <n v="118"/>
  </r>
  <r>
    <x v="629"/>
    <n v="808558"/>
    <s v="PATEL DEVILAL UDHAV JI"/>
    <n v="119050"/>
    <s v="RAJASTHAN CEMENT CORPORATION"/>
    <n v="66"/>
    <n v="53.5"/>
    <n v="113.5"/>
    <n v="48.5"/>
    <n v="72"/>
    <n v="45"/>
    <n v="61"/>
    <n v="67.3"/>
    <n v="60"/>
    <n v="75"/>
    <n v="35"/>
    <n v="0"/>
    <n v="696.8"/>
  </r>
  <r>
    <x v="630"/>
    <n v="808559"/>
    <s v="HANUMAN TRADERS"/>
    <n v="119050"/>
    <s v="RAJASTHAN CEMENT CORPORATION"/>
    <n v="10"/>
    <n v="10"/>
    <n v="0"/>
    <n v="10"/>
    <n v="0"/>
    <n v="10.3"/>
    <n v="10"/>
    <n v="0"/>
    <n v="0"/>
    <n v="20"/>
    <n v="0"/>
    <n v="10"/>
    <n v="80.3"/>
  </r>
  <r>
    <x v="631"/>
    <n v="808569"/>
    <s v="KANDOI TRADERS"/>
    <n v="171839"/>
    <s v="SARAWAGI CEMENT AGENCY"/>
    <n v="61.5"/>
    <n v="120"/>
    <n v="130"/>
    <n v="119"/>
    <n v="28.5"/>
    <n v="100.5"/>
    <n v="90"/>
    <n v="130"/>
    <n v="182.5"/>
    <n v="157.44999999999999"/>
    <n v="146.5"/>
    <n v="172.6"/>
    <n v="1438.55"/>
  </r>
  <r>
    <x v="632"/>
    <n v="808570"/>
    <s v="SHANTI LAL PRAJAPAT"/>
    <n v="173310"/>
    <s v="NAGORA  &amp; COMPANY"/>
    <n v="30"/>
    <n v="30"/>
    <n v="20"/>
    <n v="30"/>
    <n v="31"/>
    <n v="23.75"/>
    <n v="3"/>
    <n v="22"/>
    <n v="32.5"/>
    <n v="10"/>
    <n v="36"/>
    <n v="53"/>
    <n v="321.25"/>
  </r>
  <r>
    <x v="633"/>
    <n v="808572"/>
    <s v="TARUN KUMAR"/>
    <n v="205306"/>
    <s v="M J TRADERS"/>
    <n v="20"/>
    <n v="70"/>
    <n v="32.5"/>
    <n v="80"/>
    <n v="45"/>
    <n v="40"/>
    <n v="52.5"/>
    <n v="40"/>
    <n v="25"/>
    <n v="27.5"/>
    <n v="60"/>
    <n v="22.5"/>
    <n v="515"/>
  </r>
  <r>
    <x v="634"/>
    <n v="808575"/>
    <s v="DHANLAXMI TRADING COMPANY"/>
    <n v="206066"/>
    <s v="GAJANAND CEMENT AGENCY"/>
    <n v="48"/>
    <n v="0"/>
    <n v="0"/>
    <n v="0"/>
    <n v="0"/>
    <n v="10"/>
    <n v="0"/>
    <n v="0"/>
    <n v="85"/>
    <n v="53"/>
    <n v="0"/>
    <n v="0"/>
    <n v="196"/>
  </r>
  <r>
    <x v="635"/>
    <n v="808578"/>
    <s v="KANTI LAL"/>
    <n v="179928"/>
    <s v="BHAIRAV BUILDING MATERIAL SUPP"/>
    <n v="61"/>
    <n v="65"/>
    <n v="56.5"/>
    <n v="44.5"/>
    <n v="105.5"/>
    <n v="28"/>
    <n v="7"/>
    <n v="21"/>
    <n v="30"/>
    <n v="49.5"/>
    <n v="56"/>
    <n v="43"/>
    <n v="567"/>
  </r>
  <r>
    <x v="636"/>
    <n v="808606"/>
    <s v="KALU ENTERPRISES"/>
    <n v="119044"/>
    <s v="PANWAR TRADING CORPORATION LTD"/>
    <n v="0"/>
    <n v="0"/>
    <n v="0"/>
    <n v="0"/>
    <n v="2"/>
    <n v="0"/>
    <n v="0"/>
    <n v="0"/>
    <n v="0"/>
    <n v="0"/>
    <n v="10"/>
    <n v="0"/>
    <n v="12"/>
  </r>
  <r>
    <x v="637"/>
    <n v="808607"/>
    <s v="GODARA BUILDING MATERIAL SUPPL"/>
    <n v="145353"/>
    <s v="SHREE SARAS CORPORATION"/>
    <n v="35"/>
    <n v="56.5"/>
    <n v="62"/>
    <n v="90"/>
    <n v="130"/>
    <n v="85"/>
    <n v="45"/>
    <n v="75"/>
    <n v="255"/>
    <n v="60"/>
    <n v="115"/>
    <n v="58"/>
    <n v="1066.5"/>
  </r>
  <r>
    <x v="638"/>
    <n v="808608"/>
    <s v="S L TRADERS"/>
    <n v="119044"/>
    <s v="PANWAR TRADING CORPORATION LTD"/>
    <n v="10"/>
    <n v="9"/>
    <n v="0"/>
    <n v="0"/>
    <n v="0"/>
    <n v="0"/>
    <n v="0"/>
    <n v="12"/>
    <n v="0"/>
    <n v="0"/>
    <n v="0"/>
    <n v="7.5"/>
    <n v="38.5"/>
  </r>
  <r>
    <x v="639"/>
    <n v="808609"/>
    <s v="SHIV SHAKTI SUPPLIERS"/>
    <n v="119044"/>
    <s v="PANWAR TRADING CORPORATION LTD"/>
    <n v="0"/>
    <n v="0"/>
    <n v="0"/>
    <n v="0"/>
    <n v="30"/>
    <n v="50"/>
    <n v="36"/>
    <n v="58.5"/>
    <n v="20"/>
    <n v="10"/>
    <n v="60"/>
    <n v="7.5"/>
    <n v="272"/>
  </r>
  <r>
    <x v="640"/>
    <n v="808610"/>
    <s v="BALAJI PROVISIONAL STORE"/>
    <n v="141556"/>
    <s v="GYANI BUILDING MATERIALS"/>
    <n v="17"/>
    <n v="45"/>
    <n v="77"/>
    <n v="64"/>
    <n v="30"/>
    <n v="96.5"/>
    <n v="15"/>
    <n v="15"/>
    <n v="15"/>
    <n v="11.5"/>
    <n v="60"/>
    <n v="0"/>
    <n v="446"/>
  </r>
  <r>
    <x v="641"/>
    <n v="808611"/>
    <s v="NEW BALAJI BUILDING MATERIAL"/>
    <n v="149764"/>
    <s v="JMD CEMENT &amp; IRON STORE"/>
    <n v="148"/>
    <n v="90"/>
    <n v="92"/>
    <n v="155.5"/>
    <n v="90"/>
    <n v="125"/>
    <n v="178"/>
    <n v="122.5"/>
    <n v="167.5"/>
    <n v="66"/>
    <n v="190"/>
    <n v="128"/>
    <n v="1552.5"/>
  </r>
  <r>
    <x v="642"/>
    <n v="808613"/>
    <s v="NARENDRA SHARMA"/>
    <n v="173310"/>
    <s v="NAGORA  &amp; COMPANY"/>
    <n v="20"/>
    <n v="4"/>
    <n v="20"/>
    <n v="10"/>
    <n v="0"/>
    <n v="0"/>
    <n v="10"/>
    <n v="5"/>
    <n v="35.5"/>
    <n v="0"/>
    <n v="3.5"/>
    <n v="13"/>
    <n v="121"/>
  </r>
  <r>
    <x v="643"/>
    <n v="808615"/>
    <s v="JAY AMBE BUILDING MATERIALS"/>
    <n v="121574"/>
    <s v="TORAVAT JAYANTILAL JAVEERCHAND"/>
    <n v="15"/>
    <n v="39"/>
    <n v="92"/>
    <n v="50"/>
    <n v="15"/>
    <n v="50"/>
    <n v="0"/>
    <n v="30"/>
    <n v="37.5"/>
    <n v="56"/>
    <n v="132.5"/>
    <n v="185"/>
    <n v="702"/>
  </r>
  <r>
    <x v="644"/>
    <n v="808618"/>
    <s v="HAVCHAND KALAL"/>
    <n v="174756"/>
    <s v="SHAH TRADERS"/>
    <n v="30"/>
    <n v="12"/>
    <n v="50"/>
    <n v="26"/>
    <n v="30"/>
    <n v="12"/>
    <n v="17.5"/>
    <n v="20"/>
    <n v="27.5"/>
    <n v="10"/>
    <n v="40"/>
    <n v="20"/>
    <n v="295"/>
  </r>
  <r>
    <x v="645"/>
    <n v="808619"/>
    <s v="SHRI PAWAN CEMENT SUPPLIERS"/>
    <n v="173224"/>
    <s v="D.R.MARBLE &amp; SANITORY"/>
    <n v="110"/>
    <n v="131"/>
    <n v="140.5"/>
    <n v="110.5"/>
    <n v="83.5"/>
    <n v="101"/>
    <n v="93.5"/>
    <n v="34.5"/>
    <n v="161"/>
    <n v="80"/>
    <n v="118"/>
    <n v="132.5"/>
    <n v="1296"/>
  </r>
  <r>
    <x v="646"/>
    <n v="808622"/>
    <s v="MAHAVEER KUMAR BADAMILAL"/>
    <n v="119050"/>
    <s v="RAJASTHAN CEMENT CORPORATION"/>
    <n v="51"/>
    <n v="65"/>
    <n v="270"/>
    <n v="166.5"/>
    <n v="163"/>
    <n v="111"/>
    <n v="70"/>
    <n v="90"/>
    <n v="129.5"/>
    <n v="221"/>
    <n v="220"/>
    <n v="160"/>
    <n v="1717"/>
  </r>
  <r>
    <x v="647"/>
    <n v="808623"/>
    <s v="SHIV SHAKTI CEMENT SUPPLIERS"/>
    <n v="119050"/>
    <s v="RAJASTHAN CEMENT CORPORATION"/>
    <n v="35"/>
    <n v="15"/>
    <n v="36"/>
    <n v="109"/>
    <n v="61.5"/>
    <n v="30.5"/>
    <n v="30"/>
    <n v="82.5"/>
    <n v="105.65"/>
    <n v="170.75"/>
    <n v="115"/>
    <n v="145"/>
    <n v="935.9"/>
  </r>
  <r>
    <x v="648"/>
    <n v="808639"/>
    <s v="MAHADEV SAND STONE"/>
    <n v="208809"/>
    <s v="MAHADEV SALES"/>
    <n v="0"/>
    <n v="0"/>
    <n v="0"/>
    <n v="30"/>
    <n v="50"/>
    <n v="59.5"/>
    <n v="40"/>
    <n v="10"/>
    <n v="43"/>
    <n v="20"/>
    <n v="0"/>
    <n v="20"/>
    <n v="272.5"/>
  </r>
  <r>
    <x v="649"/>
    <n v="808644"/>
    <s v="NAITIK TRADERS"/>
    <n v="119023"/>
    <s v="AGARWAL MACHINERY STORES"/>
    <n v="100"/>
    <n v="116"/>
    <n v="222.5"/>
    <n v="214.5"/>
    <n v="105.5"/>
    <n v="182"/>
    <n v="128"/>
    <n v="0"/>
    <n v="204.5"/>
    <n v="53"/>
    <n v="108"/>
    <n v="112"/>
    <n v="1546"/>
  </r>
  <r>
    <x v="650"/>
    <n v="808674"/>
    <s v="SHREE BHAWANI CONSTRUCTION &amp; S"/>
    <n v="119154"/>
    <s v="SHRI GANPATI ENTERPRISES"/>
    <n v="144"/>
    <n v="155"/>
    <n v="100"/>
    <n v="150"/>
    <n v="60"/>
    <n v="70"/>
    <n v="130"/>
    <n v="25"/>
    <n v="120"/>
    <n v="35"/>
    <n v="40"/>
    <n v="33"/>
    <n v="1062"/>
  </r>
  <r>
    <x v="651"/>
    <n v="808676"/>
    <s v="GARASIYA BUILDING MATERIAL SUP"/>
    <n v="172872"/>
    <s v="HARSAD KUMAR KHEM CHAND"/>
    <n v="0"/>
    <n v="0"/>
    <n v="0"/>
    <n v="0"/>
    <n v="0"/>
    <n v="10"/>
    <n v="15"/>
    <n v="0"/>
    <n v="48.5"/>
    <n v="0"/>
    <n v="0"/>
    <n v="15"/>
    <n v="88.5"/>
  </r>
  <r>
    <x v="652"/>
    <n v="808677"/>
    <s v="GAUTAM LAL PATIDAR CONTRACTOR"/>
    <n v="178764"/>
    <s v="PERFECT TRADERS"/>
    <n v="0"/>
    <n v="0"/>
    <n v="15"/>
    <n v="15"/>
    <n v="0"/>
    <n v="0"/>
    <n v="20"/>
    <n v="0"/>
    <n v="25"/>
    <n v="10"/>
    <n v="0"/>
    <n v="0"/>
    <n v="85"/>
  </r>
  <r>
    <x v="653"/>
    <n v="808678"/>
    <s v="SHREE HARI OM TRADERS"/>
    <n v="119028"/>
    <s v="KANHAYALAL &amp; SONS"/>
    <n v="0"/>
    <n v="0"/>
    <n v="0"/>
    <n v="2.5"/>
    <n v="0"/>
    <n v="0"/>
    <n v="31"/>
    <n v="0"/>
    <n v="16"/>
    <n v="0"/>
    <n v="0"/>
    <n v="0"/>
    <n v="49.5"/>
  </r>
  <r>
    <x v="654"/>
    <n v="808693"/>
    <s v="VARUN ENTERPRISES"/>
    <n v="176773"/>
    <s v="MANIK CHAND LAKHMI CHAND"/>
    <n v="71"/>
    <n v="87.5"/>
    <n v="314"/>
    <n v="185"/>
    <n v="284.5"/>
    <n v="172.85"/>
    <n v="237.7"/>
    <n v="159.9"/>
    <n v="379.55"/>
    <n v="322.5"/>
    <n v="173"/>
    <n v="170.95"/>
    <n v="2558.4499999999998"/>
  </r>
  <r>
    <x v="655"/>
    <n v="808708"/>
    <s v="SHERUKHAN GANIKHAN VALI"/>
    <n v="206066"/>
    <s v="GAJANAND CEMENT AGENCY"/>
    <n v="0"/>
    <n v="0"/>
    <n v="0"/>
    <n v="0"/>
    <n v="0"/>
    <n v="0"/>
    <n v="0"/>
    <n v="0"/>
    <n v="5"/>
    <n v="0"/>
    <n v="0"/>
    <n v="0"/>
    <n v="5"/>
  </r>
  <r>
    <x v="656"/>
    <n v="808713"/>
    <s v="JAGDAMBA CEMENT AGENCY"/>
    <n v="170197"/>
    <s v="ARVIND BUILDING MATERIAL"/>
    <n v="50"/>
    <n v="62"/>
    <n v="91.5"/>
    <n v="145"/>
    <n v="0"/>
    <n v="0"/>
    <n v="67"/>
    <n v="35"/>
    <n v="0"/>
    <n v="35"/>
    <n v="20"/>
    <n v="21.5"/>
    <n v="527"/>
  </r>
  <r>
    <x v="657"/>
    <n v="808730"/>
    <s v="NEESHA BUILDING MATERIALS"/>
    <n v="201172"/>
    <s v="MAA TRADERS"/>
    <n v="96.5"/>
    <n v="42.5"/>
    <n v="121"/>
    <n v="98"/>
    <n v="85.5"/>
    <n v="54.5"/>
    <n v="32"/>
    <n v="30"/>
    <n v="72.75"/>
    <n v="47.5"/>
    <n v="87.5"/>
    <n v="49.5"/>
    <n v="817.25"/>
  </r>
  <r>
    <x v="658"/>
    <n v="808731"/>
    <s v="GANESH TRADERS"/>
    <n v="141512"/>
    <s v="MISHRA TRADERS"/>
    <n v="48"/>
    <n v="31"/>
    <n v="50"/>
    <n v="51"/>
    <n v="75.5"/>
    <n v="10"/>
    <n v="40.5"/>
    <n v="75"/>
    <n v="50"/>
    <n v="7.5"/>
    <n v="37.5"/>
    <n v="124"/>
    <n v="600"/>
  </r>
  <r>
    <x v="659"/>
    <n v="808732"/>
    <s v="MAA BHAGWATI CONSTRUCTION"/>
    <n v="143114"/>
    <s v="RAJESH TRADING COMPANY"/>
    <n v="86"/>
    <n v="50"/>
    <n v="60.95"/>
    <n v="26.5"/>
    <n v="37.5"/>
    <n v="76"/>
    <n v="87.5"/>
    <n v="45"/>
    <n v="65"/>
    <n v="37.65"/>
    <n v="80"/>
    <n v="284.5"/>
    <n v="936.6"/>
  </r>
  <r>
    <x v="660"/>
    <n v="808733"/>
    <s v="DEV TRADING COMPANY"/>
    <n v="149885"/>
    <s v="LUHANI CEMENT SUPPLIERS"/>
    <n v="74.5"/>
    <n v="121.80000000000001"/>
    <n v="110.45"/>
    <n v="88.949999999999989"/>
    <n v="86"/>
    <n v="81"/>
    <n v="127.39999999999999"/>
    <n v="127"/>
    <n v="130.5"/>
    <n v="121"/>
    <n v="100.05"/>
    <n v="149.05000000000001"/>
    <n v="1317.6999999999998"/>
  </r>
  <r>
    <x v="661"/>
    <n v="808733"/>
    <s v="DEV TRADING COMPANY"/>
    <n v="171591"/>
    <s v="RULANIYA CEMENT AGENCY"/>
    <n v="0"/>
    <n v="0"/>
    <n v="0"/>
    <n v="0"/>
    <n v="0"/>
    <n v="0"/>
    <n v="0"/>
    <n v="15"/>
    <n v="0"/>
    <n v="0"/>
    <n v="0"/>
    <n v="0"/>
    <n v="15"/>
  </r>
  <r>
    <x v="662"/>
    <n v="808739"/>
    <s v="JAGDAMBA ENTERPRISES"/>
    <n v="119038"/>
    <s v="NAVEEN DISTRIBUTORS"/>
    <n v="0"/>
    <n v="20"/>
    <n v="65"/>
    <n v="20"/>
    <n v="50"/>
    <n v="27"/>
    <n v="35"/>
    <n v="10"/>
    <n v="60"/>
    <n v="30"/>
    <n v="10"/>
    <n v="74"/>
    <n v="401"/>
  </r>
  <r>
    <x v="663"/>
    <n v="808749"/>
    <s v="JAI SHREE KRISHNA"/>
    <n v="119038"/>
    <s v="NAVEEN DISTRIBUTORS"/>
    <n v="35"/>
    <n v="55"/>
    <n v="123.5"/>
    <n v="95"/>
    <n v="25"/>
    <n v="20"/>
    <n v="40"/>
    <n v="10"/>
    <n v="20"/>
    <n v="45"/>
    <n v="77.5"/>
    <n v="58"/>
    <n v="604"/>
  </r>
  <r>
    <x v="664"/>
    <n v="808750"/>
    <s v="SHRI BALAJI CEMENT AGENCY"/>
    <n v="119038"/>
    <s v="NAVEEN DISTRIBUTORS"/>
    <n v="0"/>
    <n v="0"/>
    <n v="0"/>
    <n v="0"/>
    <n v="0"/>
    <n v="0"/>
    <n v="0"/>
    <n v="0"/>
    <n v="14"/>
    <n v="0"/>
    <n v="0"/>
    <n v="0"/>
    <n v="14"/>
  </r>
  <r>
    <x v="665"/>
    <n v="808751"/>
    <s v="PRAJAPAT BUILDING MATERIAL"/>
    <n v="174034"/>
    <s v="RADHE BUILDING MATERIAL"/>
    <n v="0"/>
    <n v="10"/>
    <n v="10"/>
    <n v="12"/>
    <n v="43"/>
    <n v="0"/>
    <n v="10"/>
    <n v="0"/>
    <n v="22.5"/>
    <n v="99.5"/>
    <n v="0"/>
    <n v="49"/>
    <n v="256"/>
  </r>
  <r>
    <x v="666"/>
    <n v="808775"/>
    <s v="MAA CHAMUNDA BUILDING MATERIAL"/>
    <n v="170392"/>
    <s v="JYOTI SUPPLIERS"/>
    <n v="62.75"/>
    <n v="20"/>
    <n v="30"/>
    <n v="40"/>
    <n v="51"/>
    <n v="20"/>
    <n v="10"/>
    <n v="2"/>
    <n v="49.5"/>
    <n v="28"/>
    <n v="34.5"/>
    <n v="52"/>
    <n v="399.75"/>
  </r>
  <r>
    <x v="667"/>
    <n v="808775"/>
    <s v="MAA CHAMUNDA BUILDING MATERIAL"/>
    <n v="170846"/>
    <s v="SANGAM ENTERPRISES"/>
    <n v="0"/>
    <n v="0"/>
    <n v="0"/>
    <n v="0"/>
    <n v="0"/>
    <n v="0"/>
    <n v="0"/>
    <n v="0"/>
    <n v="0"/>
    <n v="10"/>
    <n v="0"/>
    <n v="0"/>
    <n v="10"/>
  </r>
  <r>
    <x v="668"/>
    <n v="808786"/>
    <s v="LAMORIYA DHARM KANTA"/>
    <n v="177426"/>
    <s v="THALOR ENTERPRISES"/>
    <n v="35"/>
    <n v="51"/>
    <n v="92.5"/>
    <n v="40"/>
    <n v="107.5"/>
    <n v="77.5"/>
    <n v="37.5"/>
    <n v="50"/>
    <n v="75"/>
    <n v="58"/>
    <n v="27.5"/>
    <n v="45"/>
    <n v="696.5"/>
  </r>
  <r>
    <x v="669"/>
    <n v="808786"/>
    <s v="LAMORIYA DHARM KANTA"/>
    <n v="203407"/>
    <s v="HANUMANGARH INT SUPPLIER"/>
    <n v="10"/>
    <n v="0"/>
    <n v="0"/>
    <n v="0"/>
    <n v="0"/>
    <n v="0"/>
    <n v="0"/>
    <n v="0"/>
    <n v="0"/>
    <n v="0"/>
    <n v="0"/>
    <n v="0"/>
    <n v="10"/>
  </r>
  <r>
    <x v="670"/>
    <n v="808787"/>
    <s v="SIDDHI VINAYAK COMPUTERISED DH"/>
    <n v="149991"/>
    <s v="BALAJI STONE COMPANY"/>
    <n v="92"/>
    <n v="155"/>
    <n v="149.5"/>
    <n v="156"/>
    <n v="127.5"/>
    <n v="162.5"/>
    <n v="125"/>
    <n v="124"/>
    <n v="137.5"/>
    <n v="100"/>
    <n v="119.95"/>
    <n v="88"/>
    <n v="1536.95"/>
  </r>
  <r>
    <x v="671"/>
    <n v="808789"/>
    <s v="SURESH TRADING COMPANY"/>
    <n v="170363"/>
    <s v="GOLDEN TRADERS"/>
    <n v="42"/>
    <n v="40"/>
    <n v="102"/>
    <n v="0"/>
    <n v="85"/>
    <n v="18.5"/>
    <n v="102.5"/>
    <n v="0"/>
    <n v="55"/>
    <n v="70"/>
    <n v="105"/>
    <n v="202"/>
    <n v="822"/>
  </r>
  <r>
    <x v="672"/>
    <n v="808791"/>
    <s v="HEMANT TRADING COMPANY"/>
    <n v="170149"/>
    <s v="ASHOK TRADING  COMPANY"/>
    <n v="25"/>
    <n v="50"/>
    <n v="92"/>
    <n v="70"/>
    <n v="0"/>
    <n v="146.9"/>
    <n v="75"/>
    <n v="0"/>
    <n v="95"/>
    <n v="0"/>
    <n v="137"/>
    <n v="189"/>
    <n v="879.9"/>
  </r>
  <r>
    <x v="673"/>
    <n v="808791"/>
    <s v="HEMANT TRADING COMPANY"/>
    <n v="170204"/>
    <s v="GOYAL BUILDING MATERIAL"/>
    <n v="0"/>
    <n v="0"/>
    <n v="0"/>
    <n v="0"/>
    <n v="0"/>
    <n v="42"/>
    <n v="0"/>
    <n v="0"/>
    <n v="0"/>
    <n v="0"/>
    <n v="0"/>
    <n v="0"/>
    <n v="42"/>
  </r>
  <r>
    <x v="674"/>
    <n v="808792"/>
    <s v="HONEY TRADERS"/>
    <n v="144804"/>
    <s v="MANGAL JI MADHAV JI"/>
    <n v="0"/>
    <n v="20"/>
    <n v="40"/>
    <n v="27.5"/>
    <n v="27.5"/>
    <n v="31"/>
    <n v="36"/>
    <n v="57.5"/>
    <n v="37.5"/>
    <n v="65.25"/>
    <n v="60"/>
    <n v="87"/>
    <n v="489.25"/>
  </r>
  <r>
    <x v="675"/>
    <n v="808795"/>
    <s v="SADDAM"/>
    <n v="119208"/>
    <s v="SURAJMAL TANSUKH RAI"/>
    <n v="45"/>
    <n v="0"/>
    <n v="0"/>
    <n v="0"/>
    <n v="127.5"/>
    <n v="0"/>
    <n v="0"/>
    <n v="0"/>
    <n v="0"/>
    <n v="0"/>
    <n v="0"/>
    <n v="60"/>
    <n v="232.5"/>
  </r>
  <r>
    <x v="676"/>
    <n v="808818"/>
    <s v="KAILASH TRADING COMPANY"/>
    <n v="172905"/>
    <s v="SHRI CHARBHUJA CEMENT SUPPLIER"/>
    <n v="17.5"/>
    <n v="0"/>
    <n v="30"/>
    <n v="22.5"/>
    <n v="17.5"/>
    <n v="22.5"/>
    <n v="2.5"/>
    <n v="5"/>
    <n v="22.5"/>
    <n v="11.25"/>
    <n v="10"/>
    <n v="93.5"/>
    <n v="254.75"/>
  </r>
  <r>
    <x v="677"/>
    <n v="808820"/>
    <s v="MAHIMA CONSTRUCTION"/>
    <n v="119028"/>
    <s v="KANHAYALAL &amp; SONS"/>
    <n v="93"/>
    <n v="62"/>
    <n v="93"/>
    <n v="62"/>
    <n v="41"/>
    <n v="31"/>
    <n v="31"/>
    <n v="31"/>
    <n v="83"/>
    <n v="93"/>
    <n v="217"/>
    <n v="217"/>
    <n v="1054"/>
  </r>
  <r>
    <x v="678"/>
    <n v="808821"/>
    <s v="BABA RAMDEV CEMENT SUPPLIERS"/>
    <n v="172497"/>
    <s v="VINAYAK INDUSTRIES"/>
    <n v="10"/>
    <n v="17.5"/>
    <n v="20"/>
    <n v="19"/>
    <n v="28.5"/>
    <n v="38"/>
    <n v="30"/>
    <n v="0"/>
    <n v="30"/>
    <n v="0"/>
    <n v="0"/>
    <n v="12.5"/>
    <n v="205.5"/>
  </r>
  <r>
    <x v="679"/>
    <n v="808822"/>
    <s v="BAJRANG BUILDING MATERIAL"/>
    <n v="174034"/>
    <s v="RADHE BUILDING MATERIAL"/>
    <n v="0"/>
    <n v="0"/>
    <n v="0"/>
    <n v="20"/>
    <n v="9"/>
    <n v="0"/>
    <n v="10"/>
    <n v="0"/>
    <n v="10"/>
    <n v="0"/>
    <n v="50"/>
    <n v="40"/>
    <n v="139"/>
  </r>
  <r>
    <x v="680"/>
    <n v="808823"/>
    <s v="PREM MARBLE AND CHEAPS STORE"/>
    <n v="119038"/>
    <s v="NAVEEN DISTRIBUTORS"/>
    <n v="0"/>
    <n v="0"/>
    <n v="0"/>
    <n v="5"/>
    <n v="65"/>
    <n v="30"/>
    <n v="25"/>
    <n v="0"/>
    <n v="0"/>
    <n v="0"/>
    <n v="0"/>
    <n v="0"/>
    <n v="125"/>
  </r>
  <r>
    <x v="681"/>
    <n v="808835"/>
    <s v="NARAYAN WELDING WORKS"/>
    <n v="146910"/>
    <s v="KOTHARI KANTILAL SHANKARLAL"/>
    <n v="0"/>
    <n v="0"/>
    <n v="0"/>
    <n v="0"/>
    <n v="0"/>
    <n v="0"/>
    <n v="0"/>
    <n v="0"/>
    <n v="15"/>
    <n v="0"/>
    <n v="0"/>
    <n v="0"/>
    <n v="15"/>
  </r>
  <r>
    <x v="682"/>
    <n v="808837"/>
    <s v="MEGHA TRADERS"/>
    <n v="121706"/>
    <s v="ANKIT TRADERS"/>
    <n v="0"/>
    <n v="21"/>
    <n v="30"/>
    <n v="0"/>
    <n v="0"/>
    <n v="0"/>
    <n v="30"/>
    <n v="45"/>
    <n v="75"/>
    <n v="60"/>
    <n v="65"/>
    <n v="117"/>
    <n v="443"/>
  </r>
  <r>
    <x v="683"/>
    <n v="808845"/>
    <s v="VISHAV KARMA PATHAR GODAM"/>
    <n v="121574"/>
    <s v="TORAVAT JAYANTILAL JAVEERCHAND"/>
    <n v="20"/>
    <n v="57"/>
    <n v="100"/>
    <n v="70"/>
    <n v="51"/>
    <n v="51"/>
    <n v="49"/>
    <n v="70"/>
    <n v="104.5"/>
    <n v="79"/>
    <n v="67.5"/>
    <n v="95"/>
    <n v="814"/>
  </r>
  <r>
    <x v="684"/>
    <n v="808849"/>
    <s v="POONAM ENTERPRISES"/>
    <n v="173728"/>
    <s v="LAXMI CEMANT AND BUILDING MATE"/>
    <n v="0"/>
    <n v="0"/>
    <n v="0"/>
    <n v="0"/>
    <n v="0"/>
    <n v="0"/>
    <n v="10"/>
    <n v="72.75"/>
    <n v="95.25"/>
    <n v="47.5"/>
    <n v="36.5"/>
    <n v="55"/>
    <n v="317"/>
  </r>
  <r>
    <x v="685"/>
    <n v="808852"/>
    <s v="JETHU RAM GURJAR"/>
    <n v="175049"/>
    <s v="KASHISH ENTERPRISES"/>
    <n v="45"/>
    <n v="25"/>
    <n v="35"/>
    <n v="42.5"/>
    <n v="32"/>
    <n v="40"/>
    <n v="35"/>
    <n v="29"/>
    <n v="60.25"/>
    <n v="72.5"/>
    <n v="39"/>
    <n v="23"/>
    <n v="478.25"/>
  </r>
  <r>
    <x v="686"/>
    <n v="808856"/>
    <s v="MANISH KUMAR CHHIPA"/>
    <n v="178511"/>
    <s v="AMBIKA DISTRIBUTORS"/>
    <n v="34.5"/>
    <n v="75"/>
    <n v="64.5"/>
    <n v="69.75"/>
    <n v="7"/>
    <n v="11"/>
    <n v="10"/>
    <n v="15"/>
    <n v="8"/>
    <n v="12.5"/>
    <n v="35.5"/>
    <n v="10"/>
    <n v="352.75"/>
  </r>
  <r>
    <x v="687"/>
    <n v="808857"/>
    <s v="VISHNU ASBESTOS CEMENT PRODUCT"/>
    <n v="119042"/>
    <s v="SARAS ENTERPRISES"/>
    <n v="0"/>
    <n v="0"/>
    <n v="10"/>
    <n v="10"/>
    <n v="35"/>
    <n v="47.5"/>
    <n v="25"/>
    <n v="5"/>
    <n v="18"/>
    <n v="28"/>
    <n v="31.5"/>
    <n v="7.5"/>
    <n v="217.5"/>
  </r>
  <r>
    <x v="688"/>
    <n v="808858"/>
    <s v="GAJENDRA STONE AND BUILDING MA"/>
    <n v="119208"/>
    <s v="SURAJMAL TANSUKH RAI"/>
    <n v="80"/>
    <n v="0"/>
    <n v="161"/>
    <n v="2.5"/>
    <n v="0"/>
    <n v="0"/>
    <n v="0"/>
    <n v="132"/>
    <n v="0"/>
    <n v="0"/>
    <n v="69.5"/>
    <n v="0"/>
    <n v="445"/>
  </r>
  <r>
    <x v="689"/>
    <n v="808889"/>
    <s v="MANISH TRADING COMPANY"/>
    <n v="140967"/>
    <s v="B.L.JAIN &amp; SONS"/>
    <n v="0"/>
    <n v="0"/>
    <n v="0"/>
    <n v="0"/>
    <n v="0"/>
    <n v="0"/>
    <n v="0"/>
    <n v="0"/>
    <n v="20"/>
    <n v="0"/>
    <n v="50"/>
    <n v="10"/>
    <n v="80"/>
  </r>
  <r>
    <x v="690"/>
    <n v="808890"/>
    <s v="JAGDAMBA BUILDING MATERIAL"/>
    <n v="148233"/>
    <s v="NAGORA TRADERS"/>
    <n v="70"/>
    <n v="70"/>
    <n v="90"/>
    <n v="35"/>
    <n v="70"/>
    <n v="70"/>
    <n v="35"/>
    <n v="70"/>
    <n v="0"/>
    <n v="85"/>
    <n v="55"/>
    <n v="95"/>
    <n v="745"/>
  </r>
  <r>
    <x v="691"/>
    <n v="808891"/>
    <s v="LALIT KUMAR NAGORA"/>
    <n v="177631"/>
    <s v="KAMAL ENTERPRISES"/>
    <n v="15"/>
    <n v="0"/>
    <n v="10"/>
    <n v="0"/>
    <n v="0"/>
    <n v="0"/>
    <n v="0"/>
    <n v="0"/>
    <n v="0"/>
    <n v="0"/>
    <n v="0"/>
    <n v="0"/>
    <n v="25"/>
  </r>
  <r>
    <x v="692"/>
    <n v="808892"/>
    <s v="BHAGYALAXMI TRADERS"/>
    <n v="140858"/>
    <s v="RAMESH CHANDRA JAI CHAND"/>
    <n v="60"/>
    <n v="30"/>
    <n v="65"/>
    <n v="82.75"/>
    <n v="51"/>
    <n v="43.75"/>
    <n v="50"/>
    <n v="25"/>
    <n v="92.5"/>
    <n v="120"/>
    <n v="70"/>
    <n v="85"/>
    <n v="775"/>
  </r>
  <r>
    <x v="693"/>
    <n v="808893"/>
    <s v="SRINATH TRADERS"/>
    <n v="170248"/>
    <s v="MAHAVEER ENTERPRISES"/>
    <n v="104.5"/>
    <n v="31"/>
    <n v="61"/>
    <n v="60"/>
    <n v="15"/>
    <n v="10"/>
    <n v="10"/>
    <n v="5"/>
    <n v="28"/>
    <n v="20"/>
    <n v="10"/>
    <n v="47.5"/>
    <n v="402"/>
  </r>
  <r>
    <x v="694"/>
    <n v="808894"/>
    <s v="POPATLAL KALAL"/>
    <n v="174756"/>
    <s v="SHAH TRADERS"/>
    <n v="23.5"/>
    <n v="25"/>
    <n v="45"/>
    <n v="38.5"/>
    <n v="15"/>
    <n v="14"/>
    <n v="6.5"/>
    <n v="28"/>
    <n v="22.5"/>
    <n v="0"/>
    <n v="37.5"/>
    <n v="32"/>
    <n v="287.5"/>
  </r>
  <r>
    <x v="695"/>
    <n v="808895"/>
    <s v="TOLACHAND KALAL"/>
    <n v="119050"/>
    <s v="RAJASTHAN CEMENT CORPORATION"/>
    <n v="0"/>
    <n v="0"/>
    <n v="20"/>
    <n v="25"/>
    <n v="0"/>
    <n v="0"/>
    <n v="0"/>
    <n v="0"/>
    <n v="0"/>
    <n v="0"/>
    <n v="0"/>
    <n v="0"/>
    <n v="45"/>
  </r>
  <r>
    <x v="696"/>
    <n v="808895"/>
    <s v="TOLACHAND KALAL"/>
    <n v="202881"/>
    <s v="MS SANITARY &amp; PAINTS"/>
    <n v="0"/>
    <n v="0"/>
    <n v="20"/>
    <n v="0"/>
    <n v="0"/>
    <n v="0"/>
    <n v="0"/>
    <n v="0"/>
    <n v="0"/>
    <n v="0"/>
    <n v="0"/>
    <n v="0"/>
    <n v="20"/>
  </r>
  <r>
    <x v="697"/>
    <n v="808902"/>
    <s v="TAK STONE SUPPLIERS"/>
    <n v="170775"/>
    <s v="GANPAT LAL MAROTHIYA AND SONS"/>
    <n v="0"/>
    <n v="0"/>
    <n v="0"/>
    <n v="0"/>
    <n v="45"/>
    <n v="0"/>
    <n v="10"/>
    <n v="0"/>
    <n v="40"/>
    <n v="40"/>
    <n v="25"/>
    <n v="0"/>
    <n v="160"/>
  </r>
  <r>
    <x v="698"/>
    <n v="808903"/>
    <s v="MAHADEV CEMENT SUPPLIERS"/>
    <n v="170775"/>
    <s v="GANPAT LAL MAROTHIYA AND SONS"/>
    <n v="0"/>
    <n v="45"/>
    <n v="20"/>
    <n v="0"/>
    <n v="0"/>
    <n v="0"/>
    <n v="0"/>
    <n v="0"/>
    <n v="0"/>
    <n v="0"/>
    <n v="0"/>
    <n v="0"/>
    <n v="65"/>
  </r>
  <r>
    <x v="699"/>
    <n v="808910"/>
    <s v="VANDANA TRADERS"/>
    <n v="119044"/>
    <s v="PANWAR TRADING CORPORATION LTD"/>
    <n v="0"/>
    <n v="0"/>
    <n v="0"/>
    <n v="0"/>
    <n v="0"/>
    <n v="0"/>
    <n v="0"/>
    <n v="0"/>
    <n v="0"/>
    <n v="30"/>
    <n v="0"/>
    <n v="0"/>
    <n v="30"/>
  </r>
  <r>
    <x v="700"/>
    <n v="808911"/>
    <s v="MONIKA SANITARY &amp; HARDWARE AND"/>
    <n v="205992"/>
    <s v="SISPURIA BUILDING MATERIAL"/>
    <n v="0"/>
    <n v="0"/>
    <n v="10"/>
    <n v="0"/>
    <n v="0"/>
    <n v="0"/>
    <n v="0"/>
    <n v="0"/>
    <n v="0"/>
    <n v="0"/>
    <n v="0"/>
    <n v="0"/>
    <n v="10"/>
  </r>
  <r>
    <x v="701"/>
    <n v="808911"/>
    <s v="MONIKA SANITARY &amp; HARDWARE AND"/>
    <n v="209139"/>
    <s v="VISHVA KARMA BUILDING MATERIAL"/>
    <n v="0"/>
    <n v="0"/>
    <n v="0"/>
    <n v="0"/>
    <n v="0"/>
    <n v="0"/>
    <n v="0"/>
    <n v="0"/>
    <n v="20"/>
    <n v="0"/>
    <n v="0"/>
    <n v="0"/>
    <n v="20"/>
  </r>
  <r>
    <x v="702"/>
    <n v="808912"/>
    <s v="DURGESHWARI BUILDING MATERIAL"/>
    <n v="146968"/>
    <s v="BHARAT BUILDCON"/>
    <n v="23"/>
    <n v="5"/>
    <n v="0"/>
    <n v="7.5"/>
    <n v="7.5"/>
    <n v="7.5"/>
    <n v="19"/>
    <n v="0"/>
    <n v="27.5"/>
    <n v="0"/>
    <n v="0"/>
    <n v="0"/>
    <n v="97"/>
  </r>
  <r>
    <x v="703"/>
    <n v="808914"/>
    <s v="KRISHNA CEMENT SUPPLIERS"/>
    <n v="119026"/>
    <s v="FRIENDS SUPPLIERS CO.(L"/>
    <n v="30"/>
    <n v="51"/>
    <n v="40"/>
    <n v="94.75"/>
    <n v="35"/>
    <n v="0"/>
    <n v="12"/>
    <n v="0"/>
    <n v="25"/>
    <n v="30"/>
    <n v="0"/>
    <n v="20.25"/>
    <n v="338"/>
  </r>
  <r>
    <x v="704"/>
    <n v="808924"/>
    <s v="SHRI RAM BUILDING MATERIAL"/>
    <n v="179877"/>
    <s v="HANUMANGARH  INT SUPPLIERS"/>
    <n v="0"/>
    <n v="0"/>
    <n v="0"/>
    <n v="0"/>
    <n v="0"/>
    <n v="0"/>
    <n v="12.5"/>
    <n v="22.5"/>
    <n v="25"/>
    <n v="15"/>
    <n v="55"/>
    <n v="19"/>
    <n v="149"/>
  </r>
  <r>
    <x v="705"/>
    <n v="808925"/>
    <s v="GOYAL TRADING COMPANY"/>
    <n v="119023"/>
    <s v="AGARWAL MACHINERY STORES"/>
    <n v="0"/>
    <n v="0"/>
    <n v="0"/>
    <n v="0"/>
    <n v="0"/>
    <n v="0"/>
    <n v="152"/>
    <n v="144"/>
    <n v="106"/>
    <n v="62"/>
    <n v="155"/>
    <n v="107"/>
    <n v="726"/>
  </r>
  <r>
    <x v="706"/>
    <n v="808926"/>
    <s v="B L BUILDING MATERIAL"/>
    <n v="119023"/>
    <s v="AGARWAL MACHINERY STORES"/>
    <n v="0"/>
    <n v="0"/>
    <n v="0"/>
    <n v="0"/>
    <n v="0"/>
    <n v="0"/>
    <n v="127"/>
    <n v="138.5"/>
    <n v="0"/>
    <n v="57.5"/>
    <n v="199.7"/>
    <n v="124"/>
    <n v="646.70000000000005"/>
  </r>
  <r>
    <x v="707"/>
    <n v="808928"/>
    <s v="KUMKUM KIRANA STORE"/>
    <n v="202842"/>
    <s v="M.R.TRADING COMPANY"/>
    <n v="30"/>
    <n v="52"/>
    <n v="100"/>
    <n v="52.5"/>
    <n v="60"/>
    <n v="96.5"/>
    <n v="45"/>
    <n v="5"/>
    <n v="95"/>
    <n v="75"/>
    <n v="40"/>
    <n v="105"/>
    <n v="756"/>
  </r>
  <r>
    <x v="708"/>
    <n v="808929"/>
    <s v="MISTY TRADING COMPANY"/>
    <n v="119044"/>
    <s v="PANWAR TRADING CORPORATION LTD"/>
    <n v="35"/>
    <n v="20"/>
    <n v="25"/>
    <n v="57.5"/>
    <n v="19.5"/>
    <n v="50"/>
    <n v="50"/>
    <n v="0"/>
    <n v="0"/>
    <n v="0"/>
    <n v="0"/>
    <n v="0"/>
    <n v="257"/>
  </r>
  <r>
    <x v="709"/>
    <n v="808930"/>
    <s v="JAGRITI AGENCIES"/>
    <n v="170392"/>
    <s v="JYOTI SUPPLIERS"/>
    <n v="13.25"/>
    <n v="0"/>
    <n v="20"/>
    <n v="0"/>
    <n v="0"/>
    <n v="0"/>
    <n v="11.1"/>
    <n v="10"/>
    <n v="36"/>
    <n v="46.85"/>
    <n v="5"/>
    <n v="10"/>
    <n v="152.19999999999999"/>
  </r>
  <r>
    <x v="710"/>
    <n v="808931"/>
    <s v="SHREE GOVIND TRADERS"/>
    <n v="170248"/>
    <s v="MAHAVEER ENTERPRISES"/>
    <n v="1"/>
    <n v="0"/>
    <n v="0"/>
    <n v="0"/>
    <n v="10"/>
    <n v="7.5"/>
    <n v="0"/>
    <n v="0"/>
    <n v="1"/>
    <n v="0"/>
    <n v="0"/>
    <n v="0"/>
    <n v="19.5"/>
  </r>
  <r>
    <x v="711"/>
    <n v="808934"/>
    <s v="DEEP BUILDING MATERIAL"/>
    <n v="142843"/>
    <s v="GURUNANAK IRON STORE"/>
    <n v="79"/>
    <n v="91"/>
    <n v="60"/>
    <n v="110.5"/>
    <n v="93"/>
    <n v="110"/>
    <n v="103"/>
    <n v="100.6"/>
    <n v="89"/>
    <n v="126"/>
    <n v="205.85"/>
    <n v="71.5"/>
    <n v="1239.45"/>
  </r>
  <r>
    <x v="712"/>
    <n v="808937"/>
    <s v="R K TRADERS"/>
    <n v="125022"/>
    <s v="SHIV CEMENT AGENCY"/>
    <n v="10"/>
    <n v="28.5"/>
    <n v="63"/>
    <n v="47.5"/>
    <n v="55"/>
    <n v="34"/>
    <n v="69"/>
    <n v="30.5"/>
    <n v="37.5"/>
    <n v="5"/>
    <n v="2.5"/>
    <n v="20"/>
    <n v="402.5"/>
  </r>
  <r>
    <x v="713"/>
    <n v="808938"/>
    <s v="MANILAL BUNKAR"/>
    <n v="178764"/>
    <s v="PERFECT TRADERS"/>
    <n v="62"/>
    <n v="30"/>
    <n v="75"/>
    <n v="55"/>
    <n v="30"/>
    <n v="48"/>
    <n v="25"/>
    <n v="35"/>
    <n v="30"/>
    <n v="47"/>
    <n v="97"/>
    <n v="125"/>
    <n v="659"/>
  </r>
  <r>
    <x v="714"/>
    <n v="808939"/>
    <s v="PARASHAR BUILDERS"/>
    <n v="119044"/>
    <s v="PANWAR TRADING CORPORATION LTD"/>
    <n v="0"/>
    <n v="15"/>
    <n v="75"/>
    <n v="72"/>
    <n v="37"/>
    <n v="0"/>
    <n v="10"/>
    <n v="27.5"/>
    <n v="0"/>
    <n v="0"/>
    <n v="0"/>
    <n v="0"/>
    <n v="236.5"/>
  </r>
  <r>
    <x v="715"/>
    <n v="808939"/>
    <s v="PARASHAR BUILDERS"/>
    <n v="147640"/>
    <s v="GEDHAR STEEL SHUTTERING"/>
    <n v="0"/>
    <n v="0"/>
    <n v="0"/>
    <n v="0"/>
    <n v="0"/>
    <n v="0"/>
    <n v="0"/>
    <n v="0"/>
    <n v="17"/>
    <n v="90"/>
    <n v="125"/>
    <n v="0"/>
    <n v="232"/>
  </r>
  <r>
    <x v="716"/>
    <n v="808940"/>
    <s v="BAJRANG BUILDING MATERIAL"/>
    <n v="174034"/>
    <s v="RADHE BUILDING MATERIAL"/>
    <n v="10"/>
    <n v="0"/>
    <n v="25"/>
    <n v="137"/>
    <n v="40"/>
    <n v="58"/>
    <n v="110"/>
    <n v="0"/>
    <n v="152"/>
    <n v="195"/>
    <n v="237"/>
    <n v="236"/>
    <n v="1200"/>
  </r>
  <r>
    <x v="717"/>
    <n v="808941"/>
    <s v="PATIDAR KRISHI SEWA KENDRA"/>
    <n v="122377"/>
    <s v="NILKANTH CONSTRUCTION"/>
    <n v="55"/>
    <n v="110"/>
    <n v="157"/>
    <n v="119"/>
    <n v="90"/>
    <n v="50"/>
    <n v="25"/>
    <n v="50"/>
    <n v="88.5"/>
    <n v="115"/>
    <n v="35"/>
    <n v="32.5"/>
    <n v="927"/>
  </r>
  <r>
    <x v="718"/>
    <n v="808951"/>
    <s v="SHREE KARNI ENTERPRISES"/>
    <n v="119154"/>
    <s v="SHRI GANPATI ENTERPRISES"/>
    <n v="60"/>
    <n v="65"/>
    <n v="97"/>
    <n v="50"/>
    <n v="30"/>
    <n v="65"/>
    <n v="65"/>
    <n v="0"/>
    <n v="75"/>
    <n v="98"/>
    <n v="125"/>
    <n v="170"/>
    <n v="900"/>
  </r>
  <r>
    <x v="719"/>
    <n v="808957"/>
    <s v="GHANSHYAM CEMENT SUPPLIERS"/>
    <n v="119044"/>
    <s v="PANWAR TRADING CORPORATION LTD"/>
    <n v="7.5"/>
    <n v="30"/>
    <n v="20"/>
    <n v="3.5"/>
    <n v="0"/>
    <n v="0"/>
    <n v="0"/>
    <n v="0"/>
    <n v="0"/>
    <n v="0"/>
    <n v="0"/>
    <n v="0"/>
    <n v="61"/>
  </r>
  <r>
    <x v="720"/>
    <n v="808958"/>
    <s v="BALU RAM MEENA"/>
    <n v="173310"/>
    <s v="NAGORA  &amp; COMPANY"/>
    <n v="20"/>
    <n v="20"/>
    <n v="41"/>
    <n v="50"/>
    <n v="30"/>
    <n v="10"/>
    <n v="0"/>
    <n v="10"/>
    <n v="30.5"/>
    <n v="10"/>
    <n v="26"/>
    <n v="53.25"/>
    <n v="300.75"/>
  </r>
  <r>
    <x v="721"/>
    <n v="808959"/>
    <s v="PURNIMA BUILDING MATERIAL SANI"/>
    <n v="178669"/>
    <s v="JAIN STONE SUPPLIERS"/>
    <n v="0"/>
    <n v="0"/>
    <n v="0"/>
    <n v="0"/>
    <n v="0"/>
    <n v="35"/>
    <n v="40"/>
    <n v="30"/>
    <n v="57"/>
    <n v="19"/>
    <n v="117.5"/>
    <n v="109.3"/>
    <n v="407.8"/>
  </r>
  <r>
    <x v="722"/>
    <n v="808979"/>
    <s v="GOVERDHAN ENTERPRISES"/>
    <n v="149996"/>
    <s v="GOKLENDRA BUILDING MATERIAL"/>
    <n v="10"/>
    <n v="0"/>
    <n v="20"/>
    <n v="10"/>
    <n v="17"/>
    <n v="0"/>
    <n v="35"/>
    <n v="0"/>
    <n v="10"/>
    <n v="10"/>
    <n v="60"/>
    <n v="35"/>
    <n v="207"/>
  </r>
  <r>
    <x v="723"/>
    <n v="808980"/>
    <s v="TRILOK NATH AGARWAL"/>
    <n v="175717"/>
    <s v="S S AGRAWAL AND COMPANY"/>
    <n v="10"/>
    <n v="7"/>
    <n v="15"/>
    <n v="29.5"/>
    <n v="0"/>
    <n v="0"/>
    <n v="19"/>
    <n v="10"/>
    <n v="52"/>
    <n v="40"/>
    <n v="38.9"/>
    <n v="74.5"/>
    <n v="295.89999999999998"/>
  </r>
  <r>
    <x v="724"/>
    <n v="809004"/>
    <s v="GOUR CEMENT AGENCY"/>
    <n v="175662"/>
    <s v="VINAYAK CONSTRUCTION COMPANY"/>
    <n v="30"/>
    <n v="30"/>
    <n v="71"/>
    <n v="40"/>
    <n v="0"/>
    <n v="35"/>
    <n v="0"/>
    <n v="0"/>
    <n v="45"/>
    <n v="50"/>
    <n v="105"/>
    <n v="70"/>
    <n v="476"/>
  </r>
  <r>
    <x v="725"/>
    <n v="809004"/>
    <s v="GOUR CEMENT AGENCY"/>
    <n v="207290"/>
    <s v="RAGESHWARI SUPPLIERS AND CONST"/>
    <n v="0"/>
    <n v="0"/>
    <n v="0"/>
    <n v="0"/>
    <n v="0"/>
    <n v="0"/>
    <n v="0"/>
    <n v="0"/>
    <n v="15"/>
    <n v="0"/>
    <n v="0"/>
    <n v="0"/>
    <n v="15"/>
  </r>
  <r>
    <x v="726"/>
    <n v="809012"/>
    <s v="PRATHVI BUILDING MATERIAL"/>
    <n v="146968"/>
    <s v="BHARAT BUILDCON"/>
    <n v="10"/>
    <n v="8.6"/>
    <n v="12"/>
    <n v="18.5"/>
    <n v="7.5"/>
    <n v="0"/>
    <n v="0"/>
    <n v="0"/>
    <n v="20"/>
    <n v="20"/>
    <n v="3.5"/>
    <n v="57.5"/>
    <n v="157.6"/>
  </r>
  <r>
    <x v="727"/>
    <n v="809016"/>
    <s v="BALAJI TRADERS"/>
    <n v="171887"/>
    <s v="CHOHAN CEMENT AGENCY"/>
    <n v="60"/>
    <n v="32"/>
    <n v="70"/>
    <n v="6.8"/>
    <n v="25"/>
    <n v="22.5"/>
    <n v="32"/>
    <n v="0"/>
    <n v="57"/>
    <n v="45.5"/>
    <n v="65"/>
    <n v="22"/>
    <n v="437.8"/>
  </r>
  <r>
    <x v="728"/>
    <n v="809020"/>
    <s v="RAJ VIDYA CEMENT SUPPLIER"/>
    <n v="140848"/>
    <s v="PADAM CEMENT SUPPLIERS"/>
    <n v="36"/>
    <n v="41"/>
    <n v="36.5"/>
    <n v="52"/>
    <n v="48.5"/>
    <n v="46"/>
    <n v="45"/>
    <n v="20"/>
    <n v="40"/>
    <n v="32"/>
    <n v="59"/>
    <n v="100"/>
    <n v="556"/>
  </r>
  <r>
    <x v="729"/>
    <n v="809020"/>
    <s v="RAJ VIDYA CEMENT SUPPLIER"/>
    <n v="208776"/>
    <s v="ABHIS BUILDTECH"/>
    <n v="0"/>
    <n v="0"/>
    <n v="0"/>
    <n v="0"/>
    <n v="0"/>
    <n v="0"/>
    <n v="0"/>
    <n v="0"/>
    <n v="0"/>
    <n v="0"/>
    <n v="7.5"/>
    <n v="0"/>
    <n v="7.5"/>
  </r>
  <r>
    <x v="730"/>
    <n v="809039"/>
    <s v="JOSHI CEMENT SUPPLIERS"/>
    <n v="172497"/>
    <s v="VINAYAK INDUSTRIES"/>
    <n v="0"/>
    <n v="18"/>
    <n v="10"/>
    <n v="0"/>
    <n v="10"/>
    <n v="20"/>
    <n v="20"/>
    <n v="10"/>
    <n v="20"/>
    <n v="0"/>
    <n v="12.5"/>
    <n v="20"/>
    <n v="140.5"/>
  </r>
  <r>
    <x v="731"/>
    <n v="809044"/>
    <s v="SHRINATH SANITARY AND HARDWARE"/>
    <n v="119221"/>
    <s v="AKSHAY TRADERS"/>
    <n v="68.5"/>
    <n v="27.5"/>
    <n v="110.75"/>
    <n v="170.25"/>
    <n v="165"/>
    <n v="58"/>
    <n v="164.5"/>
    <n v="45"/>
    <n v="98"/>
    <n v="165.6"/>
    <n v="136"/>
    <n v="211.8"/>
    <n v="1420.8999999999999"/>
  </r>
  <r>
    <x v="732"/>
    <n v="809102"/>
    <s v="MAYANK ENTERPRISES"/>
    <n v="171839"/>
    <s v="SARAWAGI CEMENT AGENCY"/>
    <n v="15"/>
    <n v="115"/>
    <n v="115"/>
    <n v="62"/>
    <n v="59.5"/>
    <n v="60.5"/>
    <n v="25"/>
    <n v="20.5"/>
    <n v="45"/>
    <n v="0"/>
    <n v="80.5"/>
    <n v="40"/>
    <n v="638"/>
  </r>
  <r>
    <x v="733"/>
    <n v="809103"/>
    <s v="GOPIRAM"/>
    <n v="171923"/>
    <s v="SHIV SHAKTI BUILDING MATERIAL"/>
    <n v="6.5"/>
    <n v="38"/>
    <n v="20"/>
    <n v="2.5"/>
    <n v="11"/>
    <n v="35"/>
    <n v="20"/>
    <n v="0"/>
    <n v="74.5"/>
    <n v="75"/>
    <n v="21.5"/>
    <n v="101"/>
    <n v="405"/>
  </r>
  <r>
    <x v="734"/>
    <n v="809114"/>
    <s v="NARESH KUMAR"/>
    <n v="205966"/>
    <s v="POKHARNA CEMENT SUPPLIERS"/>
    <n v="5"/>
    <n v="55"/>
    <n v="5"/>
    <n v="21"/>
    <n v="15"/>
    <n v="15"/>
    <n v="7.5"/>
    <n v="10"/>
    <n v="22.5"/>
    <n v="30"/>
    <n v="77.5"/>
    <n v="41"/>
    <n v="304.5"/>
  </r>
  <r>
    <x v="735"/>
    <n v="809115"/>
    <s v="BASANTI LAL JAIN"/>
    <n v="140967"/>
    <s v="B.L.JAIN &amp; SONS"/>
    <n v="35"/>
    <n v="150"/>
    <n v="37.5"/>
    <n v="35"/>
    <n v="70"/>
    <n v="15"/>
    <n v="75"/>
    <n v="81"/>
    <n v="86"/>
    <n v="79"/>
    <n v="35"/>
    <n v="20"/>
    <n v="718.5"/>
  </r>
  <r>
    <x v="736"/>
    <n v="809117"/>
    <s v="RAHUL CHATWANI"/>
    <n v="177259"/>
    <s v="R R CAPITAL"/>
    <n v="10"/>
    <n v="0"/>
    <n v="0"/>
    <n v="10"/>
    <n v="0"/>
    <n v="0"/>
    <n v="10"/>
    <n v="0"/>
    <n v="10"/>
    <n v="0"/>
    <n v="0"/>
    <n v="0"/>
    <n v="40"/>
  </r>
  <r>
    <x v="737"/>
    <n v="809120"/>
    <s v="JAY BAJRANG BALI BUILDING MATE"/>
    <n v="208183"/>
    <s v="AAGRAWAL TRADING COMPANY"/>
    <n v="0"/>
    <n v="30"/>
    <n v="96.1"/>
    <n v="41.25"/>
    <n v="70.5"/>
    <n v="0"/>
    <n v="0"/>
    <n v="0"/>
    <n v="0"/>
    <n v="0"/>
    <n v="0"/>
    <n v="0"/>
    <n v="237.85"/>
  </r>
  <r>
    <x v="738"/>
    <n v="809121"/>
    <s v="HARISH TRADING COMPANY"/>
    <n v="141177"/>
    <s v="MANISH TRADING COMPANY"/>
    <n v="0"/>
    <n v="0"/>
    <n v="20"/>
    <n v="20"/>
    <n v="10"/>
    <n v="0"/>
    <n v="32"/>
    <n v="23"/>
    <n v="33"/>
    <n v="51"/>
    <n v="35"/>
    <n v="35"/>
    <n v="259"/>
  </r>
  <r>
    <x v="739"/>
    <n v="809121"/>
    <s v="HARISH TRADING COMPANY"/>
    <n v="170115"/>
    <s v="YADAV BUILDING MATERIAL"/>
    <n v="0"/>
    <n v="0"/>
    <n v="0"/>
    <n v="0"/>
    <n v="0"/>
    <n v="13"/>
    <n v="0"/>
    <n v="0"/>
    <n v="0"/>
    <n v="0"/>
    <n v="0"/>
    <n v="0"/>
    <n v="13"/>
  </r>
  <r>
    <x v="740"/>
    <n v="809133"/>
    <s v="ASHA ENTERPRISES"/>
    <n v="149885"/>
    <s v="LUHANI CEMENT SUPPLIERS"/>
    <n v="0"/>
    <n v="19"/>
    <n v="13"/>
    <n v="27.5"/>
    <n v="12.5"/>
    <n v="27.5"/>
    <n v="0"/>
    <n v="21"/>
    <n v="84"/>
    <n v="10"/>
    <n v="27.5"/>
    <n v="57.5"/>
    <n v="299.5"/>
  </r>
  <r>
    <x v="741"/>
    <n v="809142"/>
    <s v="MEHTA SANITARY &amp; HARDWARE"/>
    <n v="178764"/>
    <s v="PERFECT TRADERS"/>
    <n v="100"/>
    <n v="40"/>
    <n v="122"/>
    <n v="156"/>
    <n v="110"/>
    <n v="100"/>
    <n v="105"/>
    <n v="65"/>
    <n v="161"/>
    <n v="155"/>
    <n v="157.5"/>
    <n v="120"/>
    <n v="1391.5"/>
  </r>
  <r>
    <x v="742"/>
    <n v="809143"/>
    <s v="JOSHI CEMENT SUPPLIERS"/>
    <n v="119044"/>
    <s v="PANWAR TRADING CORPORATION LTD"/>
    <n v="0"/>
    <n v="30"/>
    <n v="0"/>
    <n v="7.5"/>
    <n v="17"/>
    <n v="0"/>
    <n v="10"/>
    <n v="15"/>
    <n v="2.5"/>
    <n v="0"/>
    <n v="0"/>
    <n v="0"/>
    <n v="82"/>
  </r>
  <r>
    <x v="743"/>
    <n v="809165"/>
    <s v="SHRI BALAJI BUILDING MATERIAL"/>
    <n v="119038"/>
    <s v="NAVEEN DISTRIBUTORS"/>
    <n v="30"/>
    <n v="40"/>
    <n v="0"/>
    <n v="20"/>
    <n v="15"/>
    <n v="15"/>
    <n v="20"/>
    <n v="0"/>
    <n v="20"/>
    <n v="14.5"/>
    <n v="25"/>
    <n v="0"/>
    <n v="199.5"/>
  </r>
  <r>
    <x v="744"/>
    <n v="809168"/>
    <s v="JAGDAMBA CEMENT AGENCY"/>
    <n v="119038"/>
    <s v="NAVEEN DISTRIBUTORS"/>
    <n v="0"/>
    <n v="0"/>
    <n v="0"/>
    <n v="0"/>
    <n v="15"/>
    <n v="0"/>
    <n v="0"/>
    <n v="0"/>
    <n v="0"/>
    <n v="0"/>
    <n v="0"/>
    <n v="0"/>
    <n v="15"/>
  </r>
  <r>
    <x v="745"/>
    <n v="809170"/>
    <s v="BALAJI KIRANA STORE"/>
    <n v="119038"/>
    <s v="NAVEEN DISTRIBUTORS"/>
    <n v="40"/>
    <n v="0"/>
    <n v="20"/>
    <n v="10"/>
    <n v="20"/>
    <n v="20"/>
    <n v="29"/>
    <n v="20"/>
    <n v="5"/>
    <n v="10"/>
    <n v="27"/>
    <n v="0"/>
    <n v="201"/>
  </r>
  <r>
    <x v="746"/>
    <n v="809179"/>
    <s v="KRISHNA ENTERPRISES"/>
    <n v="175856"/>
    <s v="SUMAN AGENCY"/>
    <n v="23"/>
    <n v="41"/>
    <n v="105"/>
    <n v="30"/>
    <n v="20"/>
    <n v="61"/>
    <n v="59.5"/>
    <n v="21"/>
    <n v="56"/>
    <n v="125"/>
    <n v="90"/>
    <n v="55"/>
    <n v="686.5"/>
  </r>
  <r>
    <x v="747"/>
    <n v="809180"/>
    <s v="MAHADEV INT UDHYOG"/>
    <n v="174299"/>
    <s v="DEEPAK CEMENT AGENCY"/>
    <n v="20"/>
    <n v="15"/>
    <n v="0"/>
    <n v="0"/>
    <n v="0"/>
    <n v="28"/>
    <n v="0"/>
    <n v="0"/>
    <n v="0"/>
    <n v="24.5"/>
    <n v="0"/>
    <n v="35"/>
    <n v="122.5"/>
  </r>
  <r>
    <x v="748"/>
    <n v="809181"/>
    <s v="CHARBHUJA SALES"/>
    <n v="171685"/>
    <s v="GANPATI TRADERS"/>
    <n v="0"/>
    <n v="0"/>
    <n v="10"/>
    <n v="0"/>
    <n v="0"/>
    <n v="0"/>
    <n v="0"/>
    <n v="0"/>
    <n v="0"/>
    <n v="0"/>
    <n v="0"/>
    <n v="0"/>
    <n v="10"/>
  </r>
  <r>
    <x v="749"/>
    <n v="809181"/>
    <s v="CHARBHUJA SALES"/>
    <n v="177202"/>
    <s v="GIRIRAJ TRADERS"/>
    <n v="45"/>
    <n v="40"/>
    <n v="30"/>
    <n v="40"/>
    <n v="37.549999999999997"/>
    <n v="1"/>
    <n v="11"/>
    <n v="10"/>
    <n v="0"/>
    <n v="0"/>
    <n v="0"/>
    <n v="0"/>
    <n v="214.55"/>
  </r>
  <r>
    <x v="750"/>
    <n v="809182"/>
    <s v="RAJARAM PARASHAR"/>
    <n v="178511"/>
    <s v="AMBIKA DISTRIBUTORS"/>
    <n v="37"/>
    <n v="71"/>
    <n v="22"/>
    <n v="34.5"/>
    <n v="7"/>
    <n v="17.5"/>
    <n v="16"/>
    <n v="36"/>
    <n v="19"/>
    <n v="20.5"/>
    <n v="28.5"/>
    <n v="15.5"/>
    <n v="324.5"/>
  </r>
  <r>
    <x v="751"/>
    <n v="809183"/>
    <s v="MOHAMMAD IMRAN"/>
    <n v="119208"/>
    <s v="SURAJMAL TANSUKH RAI"/>
    <n v="80"/>
    <n v="35"/>
    <n v="159.5"/>
    <n v="70"/>
    <n v="79"/>
    <n v="113"/>
    <n v="35"/>
    <n v="115"/>
    <n v="105"/>
    <n v="115"/>
    <n v="89.5"/>
    <n v="267"/>
    <n v="1263"/>
  </r>
  <r>
    <x v="752"/>
    <n v="809184"/>
    <s v="VIMAL KIRANA &amp; GENERAL STORE"/>
    <n v="119208"/>
    <s v="SURAJMAL TANSUKH RAI"/>
    <n v="35"/>
    <n v="0"/>
    <n v="157.5"/>
    <n v="0"/>
    <n v="0"/>
    <n v="0"/>
    <n v="0"/>
    <n v="0"/>
    <n v="0"/>
    <n v="0"/>
    <n v="0"/>
    <n v="0"/>
    <n v="192.5"/>
  </r>
  <r>
    <x v="753"/>
    <n v="809191"/>
    <s v="PARIDWAL TRADERS"/>
    <n v="170132"/>
    <s v="JAI KOSHLESH TRADING COMPANY"/>
    <n v="154"/>
    <n v="80"/>
    <n v="122"/>
    <n v="72.5"/>
    <n v="75"/>
    <n v="0"/>
    <n v="35"/>
    <n v="40"/>
    <n v="90"/>
    <n v="65"/>
    <n v="70"/>
    <n v="140"/>
    <n v="943.5"/>
  </r>
  <r>
    <x v="754"/>
    <n v="809205"/>
    <s v="GANPATI TRADERS"/>
    <n v="174299"/>
    <s v="DEEPAK CEMENT AGENCY"/>
    <n v="39"/>
    <n v="22"/>
    <n v="17"/>
    <n v="51"/>
    <n v="69"/>
    <n v="35"/>
    <n v="10"/>
    <n v="20"/>
    <n v="27"/>
    <n v="22"/>
    <n v="11"/>
    <n v="36"/>
    <n v="359"/>
  </r>
  <r>
    <x v="755"/>
    <n v="809212"/>
    <s v="SAMA RAM"/>
    <n v="170904"/>
    <s v="ASHAPURA CEMENT SALES"/>
    <n v="16"/>
    <n v="30"/>
    <n v="38"/>
    <n v="55"/>
    <n v="18"/>
    <n v="48"/>
    <n v="44"/>
    <n v="37"/>
    <n v="41.5"/>
    <n v="39"/>
    <n v="21"/>
    <n v="39.4"/>
    <n v="426.9"/>
  </r>
  <r>
    <x v="756"/>
    <n v="809217"/>
    <s v="SAIFEE HARDWARE"/>
    <n v="121572"/>
    <s v="FAKHRUDDIN ABDEALI LUKA WALA"/>
    <n v="20"/>
    <n v="15"/>
    <n v="35"/>
    <n v="37.5"/>
    <n v="27.5"/>
    <n v="37.5"/>
    <n v="15"/>
    <n v="20"/>
    <n v="62.5"/>
    <n v="80"/>
    <n v="60"/>
    <n v="70"/>
    <n v="480"/>
  </r>
  <r>
    <x v="757"/>
    <n v="809219"/>
    <s v="DUNGAR MAL"/>
    <n v="176833"/>
    <s v="NAKORA CEMENT SUPPLIERS"/>
    <n v="80"/>
    <n v="40"/>
    <n v="80"/>
    <n v="50"/>
    <n v="50"/>
    <n v="16"/>
    <n v="10"/>
    <n v="10"/>
    <n v="35"/>
    <n v="30"/>
    <n v="10"/>
    <n v="60"/>
    <n v="471"/>
  </r>
  <r>
    <x v="758"/>
    <n v="809221"/>
    <s v="STAR CONSTRUCTION"/>
    <n v="122377"/>
    <s v="NILKANTH CONSTRUCTION"/>
    <n v="0"/>
    <n v="10"/>
    <n v="0"/>
    <n v="0"/>
    <n v="0"/>
    <n v="0"/>
    <n v="0"/>
    <n v="0"/>
    <n v="15"/>
    <n v="0"/>
    <n v="0"/>
    <n v="0"/>
    <n v="25"/>
  </r>
  <r>
    <x v="759"/>
    <n v="809222"/>
    <s v="NITESH CEMENT AGENCY"/>
    <n v="140958"/>
    <s v="HEMRAJ SUTHAR CONTRACTOR"/>
    <n v="0"/>
    <n v="0"/>
    <n v="21"/>
    <n v="25"/>
    <n v="20"/>
    <n v="10"/>
    <n v="20"/>
    <n v="0"/>
    <n v="0"/>
    <n v="0"/>
    <n v="0"/>
    <n v="0"/>
    <n v="96"/>
  </r>
  <r>
    <x v="760"/>
    <n v="809223"/>
    <s v="J K BUILDING MATERIAL SUPPLIER"/>
    <n v="143301"/>
    <s v="LAXMI TRADERS"/>
    <n v="45"/>
    <n v="0"/>
    <n v="2.5"/>
    <n v="40"/>
    <n v="10"/>
    <n v="17.5"/>
    <n v="7.5"/>
    <n v="0"/>
    <n v="0"/>
    <n v="0"/>
    <n v="32.5"/>
    <n v="32.5"/>
    <n v="187.5"/>
  </r>
  <r>
    <x v="761"/>
    <n v="809241"/>
    <s v="UDAY SINGH"/>
    <n v="140860"/>
    <s v="VIPUL CEMENT SUPPLIERS"/>
    <n v="20"/>
    <n v="50"/>
    <n v="30"/>
    <n v="60"/>
    <n v="52"/>
    <n v="30"/>
    <n v="10"/>
    <n v="20"/>
    <n v="37.5"/>
    <n v="25"/>
    <n v="40"/>
    <n v="30"/>
    <n v="404.5"/>
  </r>
  <r>
    <x v="762"/>
    <n v="809242"/>
    <s v="GOOD LUCK TRADING COMPANY"/>
    <n v="170501"/>
    <s v="GURU OM KRIPA CEMENT SUPPLIERS"/>
    <n v="0"/>
    <n v="0"/>
    <n v="0"/>
    <n v="0"/>
    <n v="0"/>
    <n v="0"/>
    <n v="0"/>
    <n v="0"/>
    <n v="0"/>
    <n v="0"/>
    <n v="0"/>
    <n v="20"/>
    <n v="20"/>
  </r>
  <r>
    <x v="763"/>
    <n v="809267"/>
    <s v="RAJENDER KUMAR"/>
    <n v="177104"/>
    <s v="GARG SUPPLIERS"/>
    <n v="62"/>
    <n v="79"/>
    <n v="107"/>
    <n v="100"/>
    <n v="120"/>
    <n v="97.65"/>
    <n v="125.35"/>
    <n v="26"/>
    <n v="138"/>
    <n v="105"/>
    <n v="90.9"/>
    <n v="95"/>
    <n v="1145.9000000000001"/>
  </r>
  <r>
    <x v="764"/>
    <n v="809279"/>
    <s v="AAI JI CEMENT"/>
    <n v="173288"/>
    <s v="BHAGWATI STEELS"/>
    <n v="0"/>
    <n v="18"/>
    <n v="10"/>
    <n v="17.5"/>
    <n v="6"/>
    <n v="17.5"/>
    <n v="12"/>
    <n v="0"/>
    <n v="0"/>
    <n v="0"/>
    <n v="0"/>
    <n v="0"/>
    <n v="81"/>
  </r>
  <r>
    <x v="765"/>
    <n v="809280"/>
    <s v="HAKIM AND SONS"/>
    <n v="170775"/>
    <s v="GANPAT LAL MAROTHIYA AND SONS"/>
    <n v="10"/>
    <n v="23"/>
    <n v="70"/>
    <n v="75"/>
    <n v="55"/>
    <n v="0"/>
    <n v="35"/>
    <n v="0"/>
    <n v="45"/>
    <n v="45"/>
    <n v="20"/>
    <n v="110"/>
    <n v="488"/>
  </r>
  <r>
    <x v="766"/>
    <n v="809281"/>
    <s v="ARIHANT KIRANA AND BULDING MAT"/>
    <n v="140967"/>
    <s v="B.L.JAIN &amp; SONS"/>
    <n v="0"/>
    <n v="0"/>
    <n v="0"/>
    <n v="10"/>
    <n v="35"/>
    <n v="0"/>
    <n v="25.5"/>
    <n v="64.5"/>
    <n v="17.5"/>
    <n v="0"/>
    <n v="45"/>
    <n v="0"/>
    <n v="197.5"/>
  </r>
  <r>
    <x v="767"/>
    <n v="809282"/>
    <s v="JAI MAHADEV BUILDING MATERIAL"/>
    <n v="170775"/>
    <s v="GANPAT LAL MAROTHIYA AND SONS"/>
    <n v="25"/>
    <n v="15"/>
    <n v="40"/>
    <n v="25"/>
    <n v="20"/>
    <n v="10"/>
    <n v="120"/>
    <n v="55"/>
    <n v="87"/>
    <n v="87"/>
    <n v="25"/>
    <n v="60"/>
    <n v="569"/>
  </r>
  <r>
    <x v="768"/>
    <n v="809283"/>
    <s v="DURGA CEMENT AND SANITARY"/>
    <n v="119038"/>
    <s v="NAVEEN DISTRIBUTORS"/>
    <n v="30"/>
    <n v="20"/>
    <n v="75"/>
    <n v="112.5"/>
    <n v="111.35"/>
    <n v="167.65"/>
    <n v="90"/>
    <n v="101.5"/>
    <n v="105"/>
    <n v="127"/>
    <n v="159.5"/>
    <n v="108.5"/>
    <n v="1208"/>
  </r>
  <r>
    <x v="769"/>
    <n v="809284"/>
    <s v="RADHE SHYAM CEMENT SUPPLIERS"/>
    <n v="140958"/>
    <s v="HEMRAJ SUTHAR CONTRACTOR"/>
    <n v="10"/>
    <n v="50"/>
    <n v="133.75"/>
    <n v="65"/>
    <n v="30"/>
    <n v="60"/>
    <n v="0"/>
    <n v="0"/>
    <n v="70"/>
    <n v="60"/>
    <n v="50"/>
    <n v="36"/>
    <n v="564.75"/>
  </r>
  <r>
    <x v="770"/>
    <n v="809285"/>
    <s v="JINAL CONSTRUCTION"/>
    <n v="140967"/>
    <s v="B.L.JAIN &amp; SONS"/>
    <n v="35"/>
    <n v="45"/>
    <n v="135"/>
    <n v="35"/>
    <n v="100"/>
    <n v="20"/>
    <n v="20"/>
    <n v="65"/>
    <n v="41.5"/>
    <n v="8.5"/>
    <n v="100"/>
    <n v="0"/>
    <n v="605"/>
  </r>
  <r>
    <x v="771"/>
    <n v="809295"/>
    <s v="EXCELLENT  BUILDING MATERIAL S"/>
    <n v="171578"/>
    <s v="KOTA BUILDMAT"/>
    <n v="60"/>
    <n v="125"/>
    <n v="185"/>
    <n v="177"/>
    <n v="122"/>
    <n v="101"/>
    <n v="152"/>
    <n v="78.5"/>
    <n v="217"/>
    <n v="123.5"/>
    <n v="249"/>
    <n v="99.75"/>
    <n v="1689.75"/>
  </r>
  <r>
    <x v="772"/>
    <n v="809312"/>
    <s v="KHYALI LAL SUTHAR"/>
    <n v="173729"/>
    <s v="V. KAMLESH &amp; COMPANY"/>
    <n v="0"/>
    <n v="0"/>
    <n v="32.5"/>
    <n v="22"/>
    <n v="10"/>
    <n v="0"/>
    <n v="5"/>
    <n v="7.55"/>
    <n v="22.5"/>
    <n v="10"/>
    <n v="0"/>
    <n v="10"/>
    <n v="119.55"/>
  </r>
  <r>
    <x v="773"/>
    <n v="809315"/>
    <s v="SHREE GOPAL KRISHNA DAIRY FARM"/>
    <n v="205370"/>
    <s v="KANTHALIYA ENTERPRISES"/>
    <n v="71.5"/>
    <n v="68"/>
    <n v="7.5"/>
    <n v="50"/>
    <n v="62"/>
    <n v="30"/>
    <n v="5"/>
    <n v="10"/>
    <n v="10"/>
    <n v="30"/>
    <n v="41"/>
    <n v="20"/>
    <n v="405"/>
  </r>
  <r>
    <x v="774"/>
    <n v="809325"/>
    <s v="DILIP KUMAR PARAS MAL"/>
    <n v="205370"/>
    <s v="KANTHALIYA ENTERPRISES"/>
    <n v="35.5"/>
    <n v="34"/>
    <n v="10"/>
    <n v="43"/>
    <n v="20"/>
    <n v="10"/>
    <n v="5"/>
    <n v="0"/>
    <n v="11"/>
    <n v="10"/>
    <n v="10"/>
    <n v="0"/>
    <n v="188.5"/>
  </r>
  <r>
    <x v="775"/>
    <n v="809326"/>
    <s v="SHREE CHARBHUJA  GENERAL STORE"/>
    <n v="170392"/>
    <s v="JYOTI SUPPLIERS"/>
    <n v="30"/>
    <n v="22.5"/>
    <n v="57.5"/>
    <n v="40"/>
    <n v="41"/>
    <n v="0"/>
    <n v="10"/>
    <n v="2"/>
    <n v="49"/>
    <n v="40"/>
    <n v="62"/>
    <n v="52"/>
    <n v="406"/>
  </r>
  <r>
    <x v="776"/>
    <n v="809327"/>
    <s v="SHREE SANWARIYA CEMENT AGENCY"/>
    <n v="172648"/>
    <s v="JOGNIYA BUILDERS"/>
    <n v="46.5"/>
    <n v="50"/>
    <n v="74"/>
    <n v="45"/>
    <n v="70"/>
    <n v="17"/>
    <n v="28.5"/>
    <n v="10"/>
    <n v="117.5"/>
    <n v="124.75"/>
    <n v="128.5"/>
    <n v="101.25"/>
    <n v="813"/>
  </r>
  <r>
    <x v="777"/>
    <n v="809330"/>
    <s v="AGRAWAL PLYWOOD AND TIMBER"/>
    <n v="176647"/>
    <s v="SHREE RIDDHI SIDDHI TRADERS"/>
    <n v="2"/>
    <n v="25.5"/>
    <n v="164"/>
    <n v="168.5"/>
    <n v="142.9"/>
    <n v="122.85"/>
    <n v="87.5"/>
    <n v="154"/>
    <n v="202"/>
    <n v="200.5"/>
    <n v="207.25"/>
    <n v="184"/>
    <n v="1661"/>
  </r>
  <r>
    <x v="778"/>
    <n v="809332"/>
    <s v="MEHTA TRADERS"/>
    <n v="177093"/>
    <s v="CHOUDHARY TRADERS"/>
    <n v="84.75"/>
    <n v="20.25"/>
    <n v="30"/>
    <n v="60"/>
    <n v="90.5"/>
    <n v="68.75"/>
    <n v="28"/>
    <n v="46"/>
    <n v="21.5"/>
    <n v="32.5"/>
    <n v="44.5"/>
    <n v="108.75"/>
    <n v="635.5"/>
  </r>
  <r>
    <x v="779"/>
    <n v="809333"/>
    <s v="NEEL KAMAL  CEMENT SUPPLIERS"/>
    <n v="172640"/>
    <s v="KUSHAL TRADERS"/>
    <n v="55"/>
    <n v="123"/>
    <n v="55"/>
    <n v="301.5"/>
    <n v="93.5"/>
    <n v="177.5"/>
    <n v="90"/>
    <n v="48"/>
    <n v="100"/>
    <n v="45.75"/>
    <n v="112.5"/>
    <n v="0"/>
    <n v="1201.75"/>
  </r>
  <r>
    <x v="780"/>
    <n v="809334"/>
    <s v="CHOUDHARY ENTERPRISES"/>
    <n v="170392"/>
    <s v="JYOTI SUPPLIERS"/>
    <n v="10"/>
    <n v="60"/>
    <n v="50"/>
    <n v="40"/>
    <n v="0"/>
    <n v="0"/>
    <n v="20"/>
    <n v="0"/>
    <n v="10"/>
    <n v="0"/>
    <n v="0"/>
    <n v="0"/>
    <n v="190"/>
  </r>
  <r>
    <x v="781"/>
    <n v="809338"/>
    <s v="DEEPA RAM PATA RAM"/>
    <n v="119117"/>
    <s v="RAHMATULLA CEMENT AGENCY"/>
    <n v="65"/>
    <n v="60"/>
    <n v="135"/>
    <n v="110"/>
    <n v="140"/>
    <n v="57.5"/>
    <n v="60"/>
    <n v="28.5"/>
    <n v="90"/>
    <n v="50"/>
    <n v="0"/>
    <n v="112"/>
    <n v="908"/>
  </r>
  <r>
    <x v="782"/>
    <n v="809348"/>
    <s v="HARI OM STONE SUPPLIERS"/>
    <n v="173729"/>
    <s v="V. KAMLESH &amp; COMPANY"/>
    <n v="20.5"/>
    <n v="55"/>
    <n v="63.5"/>
    <n v="49"/>
    <n v="25"/>
    <n v="21.5"/>
    <n v="5"/>
    <n v="0"/>
    <n v="27.5"/>
    <n v="40"/>
    <n v="0"/>
    <n v="12.5"/>
    <n v="319.5"/>
  </r>
  <r>
    <x v="783"/>
    <n v="809350"/>
    <s v="HINGLAJ MAA FANCY &amp; READYMADE"/>
    <n v="172338"/>
    <s v="KHILJEE BUILDING MATERIAL"/>
    <n v="0"/>
    <n v="0"/>
    <n v="0"/>
    <n v="0"/>
    <n v="0"/>
    <n v="0"/>
    <n v="10"/>
    <n v="0"/>
    <n v="0"/>
    <n v="6"/>
    <n v="10"/>
    <n v="0"/>
    <n v="26"/>
  </r>
  <r>
    <x v="784"/>
    <n v="809354"/>
    <s v="SHREE KARNI BUILDING MATERIAL"/>
    <n v="174034"/>
    <s v="RADHE BUILDING MATERIAL"/>
    <n v="0"/>
    <n v="10"/>
    <n v="0"/>
    <n v="0"/>
    <n v="83"/>
    <n v="80"/>
    <n v="15"/>
    <n v="0"/>
    <n v="77"/>
    <n v="35"/>
    <n v="40"/>
    <n v="60"/>
    <n v="400"/>
  </r>
  <r>
    <x v="785"/>
    <n v="809361"/>
    <s v="GORISHANKAR SHARMA"/>
    <n v="177016"/>
    <s v="KHANDELWAL STONE"/>
    <n v="62"/>
    <n v="50"/>
    <n v="40"/>
    <n v="35.5"/>
    <n v="30.5"/>
    <n v="35"/>
    <n v="30"/>
    <n v="9"/>
    <n v="55"/>
    <n v="15"/>
    <n v="52.5"/>
    <n v="105"/>
    <n v="519.5"/>
  </r>
  <r>
    <x v="786"/>
    <n v="809368"/>
    <s v="ARVIND KIRANA STORE"/>
    <n v="144447"/>
    <s v="PARAS ENTERPRISES"/>
    <n v="25"/>
    <n v="25"/>
    <n v="45"/>
    <n v="59.5"/>
    <n v="62.5"/>
    <n v="37.5"/>
    <n v="54"/>
    <n v="50"/>
    <n v="55"/>
    <n v="60"/>
    <n v="98.5"/>
    <n v="55"/>
    <n v="627"/>
  </r>
  <r>
    <x v="787"/>
    <n v="809411"/>
    <s v="SUNDRAM  CEMENT SUPPLIERS"/>
    <n v="149885"/>
    <s v="LUHANI CEMENT SUPPLIERS"/>
    <n v="0"/>
    <n v="0"/>
    <n v="0"/>
    <n v="0"/>
    <n v="0"/>
    <n v="0"/>
    <n v="0"/>
    <n v="7.5"/>
    <n v="0"/>
    <n v="0"/>
    <n v="0"/>
    <n v="0"/>
    <n v="7.5"/>
  </r>
  <r>
    <x v="788"/>
    <n v="809411"/>
    <s v="SUNDRAM  CEMENT SUPPLIERS"/>
    <n v="170617"/>
    <s v="MANGALAM TRADING COMPANY"/>
    <n v="0"/>
    <n v="50"/>
    <n v="44.5"/>
    <n v="78.5"/>
    <n v="70.5"/>
    <n v="101.45"/>
    <n v="95.5"/>
    <n v="17.5"/>
    <n v="61.5"/>
    <n v="27.5"/>
    <n v="27"/>
    <n v="70.5"/>
    <n v="644.45000000000005"/>
  </r>
  <r>
    <x v="789"/>
    <n v="809413"/>
    <s v="BHATI CEMENT SUPPLIERS"/>
    <n v="119042"/>
    <s v="SARAS ENTERPRISES"/>
    <n v="20"/>
    <n v="20"/>
    <n v="15"/>
    <n v="40"/>
    <n v="23"/>
    <n v="21"/>
    <n v="10"/>
    <n v="25"/>
    <n v="20"/>
    <n v="12.5"/>
    <n v="30"/>
    <n v="30"/>
    <n v="266.5"/>
  </r>
  <r>
    <x v="790"/>
    <n v="809418"/>
    <s v="HARI OM CONSTRUCTION"/>
    <n v="144747"/>
    <s v="ROOP ENTERPRISES"/>
    <n v="0"/>
    <n v="0"/>
    <n v="35"/>
    <n v="0"/>
    <n v="0"/>
    <n v="0"/>
    <n v="0"/>
    <n v="0"/>
    <n v="0"/>
    <n v="0"/>
    <n v="0"/>
    <n v="0"/>
    <n v="35"/>
  </r>
  <r>
    <x v="791"/>
    <n v="809420"/>
    <s v="HITESH KALAL"/>
    <n v="174756"/>
    <s v="SHAH TRADERS"/>
    <n v="0"/>
    <n v="15"/>
    <n v="38"/>
    <n v="45"/>
    <n v="15"/>
    <n v="17.5"/>
    <n v="22"/>
    <n v="25"/>
    <n v="12.5"/>
    <n v="10"/>
    <n v="30"/>
    <n v="0"/>
    <n v="230"/>
  </r>
  <r>
    <x v="792"/>
    <n v="809421"/>
    <s v="KALA RAM CHOUDHARY"/>
    <n v="170904"/>
    <s v="ASHAPURA CEMENT SALES"/>
    <n v="16"/>
    <n v="12"/>
    <n v="20"/>
    <n v="36"/>
    <n v="20"/>
    <n v="32"/>
    <n v="12"/>
    <n v="6"/>
    <n v="20"/>
    <n v="25"/>
    <n v="10"/>
    <n v="25"/>
    <n v="234"/>
  </r>
  <r>
    <x v="793"/>
    <n v="809422"/>
    <s v="RAM PAL KHANDELWAL"/>
    <n v="177259"/>
    <s v="R R CAPITAL"/>
    <n v="0"/>
    <n v="0"/>
    <n v="0"/>
    <n v="10"/>
    <n v="0"/>
    <n v="0"/>
    <n v="0"/>
    <n v="0"/>
    <n v="0"/>
    <n v="0"/>
    <n v="0"/>
    <n v="0"/>
    <n v="10"/>
  </r>
  <r>
    <x v="794"/>
    <n v="809423"/>
    <s v="MAHADEV CONSTRUCTION"/>
    <n v="142269"/>
    <s v="CHAMUNDA BUILDING MATERIAL SUP"/>
    <n v="20"/>
    <n v="35"/>
    <n v="0"/>
    <n v="0"/>
    <n v="70"/>
    <n v="0"/>
    <n v="35"/>
    <n v="35"/>
    <n v="95"/>
    <n v="35"/>
    <n v="0"/>
    <n v="0"/>
    <n v="325"/>
  </r>
  <r>
    <x v="795"/>
    <n v="809424"/>
    <s v="RISHABH TRADERS"/>
    <n v="177202"/>
    <s v="GIRIRAJ TRADERS"/>
    <n v="0"/>
    <n v="0"/>
    <n v="0"/>
    <n v="0"/>
    <n v="0"/>
    <n v="1.5"/>
    <n v="0"/>
    <n v="0"/>
    <n v="0"/>
    <n v="0"/>
    <n v="0"/>
    <n v="0"/>
    <n v="1.5"/>
  </r>
  <r>
    <x v="796"/>
    <n v="809426"/>
    <s v="RAJENDER"/>
    <n v="171839"/>
    <s v="SARAWAGI CEMENT AGENCY"/>
    <n v="0"/>
    <n v="40"/>
    <n v="19.5"/>
    <n v="32.5"/>
    <n v="4.5"/>
    <n v="30"/>
    <n v="30"/>
    <n v="15"/>
    <n v="7.5"/>
    <n v="20"/>
    <n v="8.5"/>
    <n v="0"/>
    <n v="207.5"/>
  </r>
  <r>
    <x v="797"/>
    <n v="809438"/>
    <s v="ISHAR RAM PRAJAPAT"/>
    <n v="177016"/>
    <s v="KHANDELWAL STONE"/>
    <n v="20"/>
    <n v="20"/>
    <n v="20"/>
    <n v="20"/>
    <n v="8"/>
    <n v="20"/>
    <n v="33"/>
    <n v="15"/>
    <n v="10"/>
    <n v="0"/>
    <n v="35"/>
    <n v="30"/>
    <n v="231"/>
  </r>
  <r>
    <x v="798"/>
    <n v="809439"/>
    <s v="SHRI VISHWAKARMA BUILDING MATE"/>
    <n v="208183"/>
    <s v="AAGRAWAL TRADING COMPANY"/>
    <n v="0"/>
    <n v="0"/>
    <n v="45"/>
    <n v="28.75"/>
    <n v="30"/>
    <n v="0"/>
    <n v="0"/>
    <n v="0"/>
    <n v="0"/>
    <n v="4.5"/>
    <n v="0"/>
    <n v="0"/>
    <n v="108.25"/>
  </r>
  <r>
    <x v="799"/>
    <n v="809455"/>
    <s v="AJIT KIRANA STORE"/>
    <n v="146968"/>
    <s v="BHARAT BUILDCON"/>
    <n v="20"/>
    <n v="47.5"/>
    <n v="50"/>
    <n v="32.5"/>
    <n v="22.5"/>
    <n v="22.5"/>
    <n v="62"/>
    <n v="30"/>
    <n v="37.5"/>
    <n v="20"/>
    <n v="22.5"/>
    <n v="20"/>
    <n v="387"/>
  </r>
  <r>
    <x v="800"/>
    <n v="809457"/>
    <s v="KANTI LAL PANCHAL"/>
    <n v="122377"/>
    <s v="NILKANTH CONSTRUCTION"/>
    <n v="40"/>
    <n v="45"/>
    <n v="52"/>
    <n v="20"/>
    <n v="37.5"/>
    <n v="20"/>
    <n v="10"/>
    <n v="15"/>
    <n v="57.5"/>
    <n v="82.5"/>
    <n v="50"/>
    <n v="75"/>
    <n v="504.5"/>
  </r>
  <r>
    <x v="801"/>
    <n v="809459"/>
    <s v="AAI MATA CEMENT SUPPLIERS"/>
    <n v="119117"/>
    <s v="RAHMATULLA CEMENT AGENCY"/>
    <n v="15"/>
    <n v="0"/>
    <n v="15"/>
    <n v="0"/>
    <n v="0"/>
    <n v="0"/>
    <n v="0"/>
    <n v="0"/>
    <n v="0"/>
    <n v="0"/>
    <n v="0"/>
    <n v="0"/>
    <n v="30"/>
  </r>
  <r>
    <x v="802"/>
    <n v="809466"/>
    <s v="SHIV SHAKTI TRADERS"/>
    <n v="119046"/>
    <s v="GARG AGRO AGENCIES"/>
    <n v="85"/>
    <n v="104.5"/>
    <n v="90"/>
    <n v="40"/>
    <n v="25"/>
    <n v="45"/>
    <n v="14"/>
    <n v="10"/>
    <n v="30"/>
    <n v="10"/>
    <n v="60"/>
    <n v="0"/>
    <n v="513.5"/>
  </r>
  <r>
    <x v="803"/>
    <n v="809467"/>
    <s v="NATIONAL BUILDERS"/>
    <n v="175288"/>
    <s v="LAXMI TRADERS"/>
    <n v="30"/>
    <n v="0"/>
    <n v="0"/>
    <n v="0"/>
    <n v="0"/>
    <n v="0"/>
    <n v="15"/>
    <n v="45"/>
    <n v="115"/>
    <n v="50"/>
    <n v="40"/>
    <n v="105"/>
    <n v="400"/>
  </r>
  <r>
    <x v="804"/>
    <n v="809471"/>
    <s v="ANKUSH RATHI"/>
    <n v="119029"/>
    <s v="LALLAMAL KANHYALAL &amp; SONS"/>
    <n v="25"/>
    <n v="0"/>
    <n v="0"/>
    <n v="0"/>
    <n v="25"/>
    <n v="19.5"/>
    <n v="20"/>
    <n v="0"/>
    <n v="0"/>
    <n v="0"/>
    <n v="0"/>
    <n v="0"/>
    <n v="89.5"/>
  </r>
  <r>
    <x v="805"/>
    <n v="809476"/>
    <s v="ANOOP KUMAR RATHI"/>
    <n v="119029"/>
    <s v="LALLAMAL KANHYALAL &amp; SONS"/>
    <n v="57.5"/>
    <n v="15"/>
    <n v="53.5"/>
    <n v="80"/>
    <n v="0"/>
    <n v="25"/>
    <n v="20"/>
    <n v="0"/>
    <n v="40"/>
    <n v="0"/>
    <n v="0"/>
    <n v="0"/>
    <n v="291"/>
  </r>
  <r>
    <x v="806"/>
    <n v="809479"/>
    <s v="SHRI MINESH CONSTRUCTION COMPA"/>
    <n v="176303"/>
    <s v="ASHISH TRADERS"/>
    <n v="17.5"/>
    <n v="25.5"/>
    <n v="43.75"/>
    <n v="53.5"/>
    <n v="47.5"/>
    <n v="30"/>
    <n v="31.25"/>
    <n v="15"/>
    <n v="36"/>
    <n v="22.5"/>
    <n v="45"/>
    <n v="45.75"/>
    <n v="413.25"/>
  </r>
  <r>
    <x v="807"/>
    <n v="809506"/>
    <s v="MIHIR BHOJ CONSTRUCTION &amp; SUPP"/>
    <n v="149885"/>
    <s v="LUHANI CEMENT SUPPLIERS"/>
    <n v="15"/>
    <n v="36.25"/>
    <n v="61.5"/>
    <n v="93"/>
    <n v="41.5"/>
    <n v="55"/>
    <n v="97.65"/>
    <n v="40"/>
    <n v="70"/>
    <n v="108.8"/>
    <n v="95"/>
    <n v="233"/>
    <n v="946.69999999999993"/>
  </r>
  <r>
    <x v="808"/>
    <n v="809507"/>
    <s v="SHEETAL BUILDING MATERIAL SUPP"/>
    <n v="172712"/>
    <s v="JAIN BUILDING MATERIAL STORE"/>
    <n v="40"/>
    <n v="35"/>
    <n v="56"/>
    <n v="30.5"/>
    <n v="42.5"/>
    <n v="43.5"/>
    <n v="53"/>
    <n v="46"/>
    <n v="25"/>
    <n v="37"/>
    <n v="35"/>
    <n v="35"/>
    <n v="478.5"/>
  </r>
  <r>
    <x v="809"/>
    <n v="809527"/>
    <s v="JAI MAA BHAWANI BM"/>
    <n v="119154"/>
    <s v="SHRI GANPATI ENTERPRISES"/>
    <n v="0"/>
    <n v="20"/>
    <n v="25"/>
    <n v="30"/>
    <n v="26.5"/>
    <n v="25"/>
    <n v="15"/>
    <n v="0"/>
    <n v="95"/>
    <n v="40"/>
    <n v="70"/>
    <n v="25"/>
    <n v="371.5"/>
  </r>
  <r>
    <x v="810"/>
    <n v="809529"/>
    <s v="SUBHASH CHANDER"/>
    <n v="145394"/>
    <s v="DEVRAJ AND SONS"/>
    <n v="15"/>
    <n v="28"/>
    <n v="43"/>
    <n v="36.5"/>
    <n v="58.75"/>
    <n v="55"/>
    <n v="35"/>
    <n v="10"/>
    <n v="65"/>
    <n v="62"/>
    <n v="35"/>
    <n v="15"/>
    <n v="458.25"/>
  </r>
  <r>
    <x v="811"/>
    <n v="809532"/>
    <s v="ANJANI TRADING  COMPANY"/>
    <n v="177426"/>
    <s v="THALOR ENTERPRISES"/>
    <n v="28.5"/>
    <n v="41.5"/>
    <n v="20"/>
    <n v="28.5"/>
    <n v="10"/>
    <n v="40"/>
    <n v="22.5"/>
    <n v="20"/>
    <n v="42.25"/>
    <n v="0"/>
    <n v="43.5"/>
    <n v="82"/>
    <n v="378.75"/>
  </r>
  <r>
    <x v="812"/>
    <n v="809534"/>
    <s v="SATTGURU BUILDING MATERIAL SUP"/>
    <n v="174445"/>
    <s v="RAM JI BUILDING MATERIAL SUPPL"/>
    <n v="14.5"/>
    <n v="26.25"/>
    <n v="22.5"/>
    <n v="39.200000000000003"/>
    <n v="15"/>
    <n v="51.5"/>
    <n v="20"/>
    <n v="11"/>
    <n v="52.5"/>
    <n v="25"/>
    <n v="27.5"/>
    <n v="99.5"/>
    <n v="404.45"/>
  </r>
  <r>
    <x v="813"/>
    <n v="809550"/>
    <s v="MAHESH BUILDERS"/>
    <n v="173528"/>
    <s v="DHAKER TRADERS &amp; SUPPLIERS"/>
    <n v="65"/>
    <n v="20"/>
    <n v="0"/>
    <n v="52"/>
    <n v="67.5"/>
    <n v="43"/>
    <n v="42.5"/>
    <n v="20"/>
    <n v="60"/>
    <n v="104"/>
    <n v="63.2"/>
    <n v="65"/>
    <n v="602.20000000000005"/>
  </r>
  <r>
    <x v="814"/>
    <n v="809551"/>
    <s v="DEVI LAL KUMAWAT"/>
    <n v="205966"/>
    <s v="POKHARNA CEMENT SUPPLIERS"/>
    <n v="0"/>
    <n v="30"/>
    <n v="15"/>
    <n v="19.5"/>
    <n v="16"/>
    <n v="10"/>
    <n v="7.5"/>
    <n v="10"/>
    <n v="8.5"/>
    <n v="10"/>
    <n v="10"/>
    <n v="15"/>
    <n v="151.5"/>
  </r>
  <r>
    <x v="815"/>
    <n v="809552"/>
    <s v="PRAGATI CEMENT BHANDAR"/>
    <n v="176929"/>
    <s v="BHARAT TRADERS"/>
    <n v="89"/>
    <n v="0"/>
    <n v="35"/>
    <n v="92"/>
    <n v="99.75"/>
    <n v="127"/>
    <n v="63"/>
    <n v="20"/>
    <n v="41"/>
    <n v="123"/>
    <n v="65.5"/>
    <n v="180"/>
    <n v="935.25"/>
  </r>
  <r>
    <x v="816"/>
    <n v="809569"/>
    <s v="DEVENDRA BUILDING MATERIAL"/>
    <n v="171880"/>
    <s v="BHUVAN AGENCIES"/>
    <n v="0"/>
    <n v="10"/>
    <n v="0"/>
    <n v="10"/>
    <n v="0"/>
    <n v="25"/>
    <n v="10"/>
    <n v="0"/>
    <n v="0"/>
    <n v="0"/>
    <n v="0"/>
    <n v="0"/>
    <n v="55"/>
  </r>
  <r>
    <x v="817"/>
    <n v="809577"/>
    <s v="TAWANIYA CEMENT SUPPLIER"/>
    <n v="170847"/>
    <s v="SHREE BALAJI TRADING COMPANY"/>
    <n v="102"/>
    <n v="99.2"/>
    <n v="120"/>
    <n v="110"/>
    <n v="110"/>
    <n v="65"/>
    <n v="41"/>
    <n v="30"/>
    <n v="78.5"/>
    <n v="48"/>
    <n v="72.5"/>
    <n v="145.5"/>
    <n v="1021.7"/>
  </r>
  <r>
    <x v="818"/>
    <n v="809577"/>
    <s v="TAWANIYA CEMENT SUPPLIER"/>
    <n v="176693"/>
    <s v="SUBHAM AGENCIES"/>
    <n v="0"/>
    <n v="0"/>
    <n v="0"/>
    <n v="0"/>
    <n v="0"/>
    <n v="0"/>
    <n v="0"/>
    <n v="0"/>
    <n v="0"/>
    <n v="0"/>
    <n v="10"/>
    <n v="0"/>
    <n v="10"/>
  </r>
  <r>
    <x v="819"/>
    <n v="809578"/>
    <s v="JETHARAM SWAMI"/>
    <n v="177016"/>
    <s v="KHANDELWAL STONE"/>
    <n v="54"/>
    <n v="40"/>
    <n v="53"/>
    <n v="70"/>
    <n v="28"/>
    <n v="46"/>
    <n v="45"/>
    <n v="10"/>
    <n v="79"/>
    <n v="42.5"/>
    <n v="85"/>
    <n v="120"/>
    <n v="672.5"/>
  </r>
  <r>
    <x v="820"/>
    <n v="809579"/>
    <s v="TAMBI TRADING CO"/>
    <n v="119261"/>
    <s v="DURGESH ENTERPRISES"/>
    <n v="100"/>
    <n v="58"/>
    <n v="101"/>
    <n v="142"/>
    <n v="58.5"/>
    <n v="102"/>
    <n v="234.25"/>
    <n v="300.5"/>
    <n v="200"/>
    <n v="543.75"/>
    <n v="606.6"/>
    <n v="700.25"/>
    <n v="3146.85"/>
  </r>
  <r>
    <x v="821"/>
    <n v="809580"/>
    <s v="TANU BUILDING MATERIAL"/>
    <n v="170204"/>
    <s v="GOYAL BUILDING MATERIAL"/>
    <n v="0"/>
    <n v="0"/>
    <n v="212"/>
    <n v="67"/>
    <n v="0"/>
    <n v="0"/>
    <n v="0"/>
    <n v="0"/>
    <n v="0"/>
    <n v="0"/>
    <n v="0"/>
    <n v="0"/>
    <n v="279"/>
  </r>
  <r>
    <x v="822"/>
    <n v="809617"/>
    <s v="JEEV RAJ"/>
    <n v="171662"/>
    <s v="CHHABRA STONES"/>
    <n v="25"/>
    <n v="0"/>
    <n v="35"/>
    <n v="30"/>
    <n v="7.5"/>
    <n v="15"/>
    <n v="15"/>
    <n v="15"/>
    <n v="0"/>
    <n v="15"/>
    <n v="0"/>
    <n v="0"/>
    <n v="157.5"/>
  </r>
  <r>
    <x v="823"/>
    <n v="809618"/>
    <s v="PUNJABI BUILDING MATERIALS"/>
    <n v="171947"/>
    <s v="M.N.ASSOCIATES"/>
    <n v="55"/>
    <n v="23.5"/>
    <n v="37.5"/>
    <n v="82.5"/>
    <n v="107.5"/>
    <n v="93"/>
    <n v="80.25"/>
    <n v="49.75"/>
    <n v="85"/>
    <n v="102.5"/>
    <n v="62.5"/>
    <n v="139"/>
    <n v="918"/>
  </r>
  <r>
    <x v="824"/>
    <n v="809620"/>
    <s v="BRAR CEMENT AGENCY"/>
    <n v="119031"/>
    <s v="RAMESH CHANDRA RAJENDRA KUMAR"/>
    <n v="20"/>
    <n v="20"/>
    <n v="0"/>
    <n v="0"/>
    <n v="25"/>
    <n v="0"/>
    <n v="0"/>
    <n v="60"/>
    <n v="40"/>
    <n v="0"/>
    <n v="0"/>
    <n v="1"/>
    <n v="166"/>
  </r>
  <r>
    <x v="825"/>
    <n v="809621"/>
    <s v="ANIL KUMAR"/>
    <n v="142843"/>
    <s v="GURUNANAK IRON STORE"/>
    <n v="25"/>
    <n v="37"/>
    <n v="91"/>
    <n v="12"/>
    <n v="50"/>
    <n v="75"/>
    <n v="25"/>
    <n v="15"/>
    <n v="22.5"/>
    <n v="71.5"/>
    <n v="30"/>
    <n v="148"/>
    <n v="602"/>
  </r>
  <r>
    <x v="826"/>
    <n v="809622"/>
    <s v="SHRI MEHOJI BUILDING MATERIAL"/>
    <n v="119038"/>
    <s v="NAVEEN DISTRIBUTORS"/>
    <n v="30"/>
    <n v="40"/>
    <n v="35"/>
    <n v="65"/>
    <n v="15"/>
    <n v="20"/>
    <n v="0"/>
    <n v="14"/>
    <n v="20"/>
    <n v="24.5"/>
    <n v="34.5"/>
    <n v="25"/>
    <n v="323"/>
  </r>
  <r>
    <x v="827"/>
    <n v="809643"/>
    <s v="BHAGWATI KHAJDALA KIRANA STORE"/>
    <n v="173224"/>
    <s v="D.R.MARBLE &amp; SANITORY"/>
    <n v="0"/>
    <n v="0"/>
    <n v="0"/>
    <n v="0"/>
    <n v="0"/>
    <n v="0"/>
    <n v="0"/>
    <n v="0"/>
    <n v="0"/>
    <n v="7.5"/>
    <n v="0"/>
    <n v="10"/>
    <n v="17.5"/>
  </r>
  <r>
    <x v="828"/>
    <n v="809656"/>
    <s v="SAI TONU ENTERPRISES"/>
    <n v="171578"/>
    <s v="KOTA BUILDMAT"/>
    <n v="0"/>
    <n v="5"/>
    <n v="0"/>
    <n v="25"/>
    <n v="10"/>
    <n v="0"/>
    <n v="0"/>
    <n v="0"/>
    <n v="0"/>
    <n v="0"/>
    <n v="0"/>
    <n v="0"/>
    <n v="40"/>
  </r>
  <r>
    <x v="829"/>
    <n v="809735"/>
    <s v="CHANCHAL KACHAWA"/>
    <n v="119029"/>
    <s v="LALLAMAL KANHYALAL &amp; SONS"/>
    <n v="65.75"/>
    <n v="75"/>
    <n v="70"/>
    <n v="62.25"/>
    <n v="99"/>
    <n v="116.5"/>
    <n v="34"/>
    <n v="0"/>
    <n v="104.1"/>
    <n v="74"/>
    <n v="61.5"/>
    <n v="30.5"/>
    <n v="792.6"/>
  </r>
  <r>
    <x v="830"/>
    <n v="809736"/>
    <s v="MA KAILADEVI KHAD BEEJ BHANDAR"/>
    <n v="208183"/>
    <s v="AAGRAWAL TRADING COMPANY"/>
    <n v="0"/>
    <n v="15"/>
    <n v="76.5"/>
    <n v="128.5"/>
    <n v="55"/>
    <n v="0"/>
    <n v="0"/>
    <n v="15"/>
    <n v="0"/>
    <n v="0"/>
    <n v="0"/>
    <n v="0"/>
    <n v="290"/>
  </r>
  <r>
    <x v="831"/>
    <n v="809778"/>
    <s v="RAMDEV CEMENT SUPPLIERS"/>
    <n v="178230"/>
    <s v="SHREE RADHEY BUILDING MATERIAL"/>
    <n v="65"/>
    <n v="56"/>
    <n v="45"/>
    <n v="55"/>
    <n v="65"/>
    <n v="10"/>
    <n v="30"/>
    <n v="20"/>
    <n v="60"/>
    <n v="30"/>
    <n v="66"/>
    <n v="39"/>
    <n v="541"/>
  </r>
  <r>
    <x v="832"/>
    <n v="809780"/>
    <s v="BALRAM VERMA"/>
    <n v="206219"/>
    <s v="SALASAR TRADERS"/>
    <n v="77"/>
    <n v="50.45"/>
    <n v="53"/>
    <n v="62.5"/>
    <n v="56.7"/>
    <n v="56"/>
    <n v="88"/>
    <n v="32"/>
    <n v="103.5"/>
    <n v="71.2"/>
    <n v="89.9"/>
    <n v="46"/>
    <n v="786.25"/>
  </r>
  <r>
    <x v="833"/>
    <n v="809781"/>
    <s v="SANDHU BUILDING MATERIAL"/>
    <n v="141556"/>
    <s v="GYANI BUILDING MATERIALS"/>
    <n v="45"/>
    <n v="82"/>
    <n v="91"/>
    <n v="76.5"/>
    <n v="35"/>
    <n v="50"/>
    <n v="25"/>
    <n v="15"/>
    <n v="25"/>
    <n v="56.5"/>
    <n v="70"/>
    <n v="50"/>
    <n v="621"/>
  </r>
  <r>
    <x v="834"/>
    <n v="809785"/>
    <s v="GAURAV BUILDING MATERIAL SUPPL"/>
    <n v="149765"/>
    <s v="ARORA CEMENT AGENCY"/>
    <n v="92"/>
    <n v="95"/>
    <n v="120"/>
    <n v="40"/>
    <n v="78"/>
    <n v="65"/>
    <n v="133"/>
    <n v="114"/>
    <n v="205"/>
    <n v="49"/>
    <n v="105"/>
    <n v="105.9"/>
    <n v="1201.9000000000001"/>
  </r>
  <r>
    <x v="835"/>
    <n v="809794"/>
    <s v="SUBHASH BAJAJ AND SONS"/>
    <n v="119031"/>
    <s v="RAMESH CHANDRA RAJENDRA KUMAR"/>
    <n v="56.45"/>
    <n v="20"/>
    <n v="77.5"/>
    <n v="20"/>
    <n v="22"/>
    <n v="0"/>
    <n v="5"/>
    <n v="50"/>
    <n v="67.5"/>
    <n v="0"/>
    <n v="0"/>
    <n v="85"/>
    <n v="403.45"/>
  </r>
  <r>
    <x v="836"/>
    <n v="809860"/>
    <s v="GOPAL CEMENT SUPPLIER"/>
    <n v="119044"/>
    <s v="PANWAR TRADING CORPORATION LTD"/>
    <n v="86.5"/>
    <n v="74"/>
    <n v="155"/>
    <n v="30"/>
    <n v="112.5"/>
    <n v="35"/>
    <n v="70"/>
    <n v="55"/>
    <n v="20"/>
    <n v="60"/>
    <n v="80"/>
    <n v="125"/>
    <n v="903"/>
  </r>
  <r>
    <x v="837"/>
    <n v="809892"/>
    <s v="SHUBHAM TRADERS"/>
    <n v="119029"/>
    <s v="LALLAMAL KANHYALAL &amp; SONS"/>
    <n v="10"/>
    <n v="5"/>
    <n v="0"/>
    <n v="40"/>
    <n v="0"/>
    <n v="15"/>
    <n v="0"/>
    <n v="0"/>
    <n v="0"/>
    <n v="0"/>
    <n v="0"/>
    <n v="0"/>
    <n v="70"/>
  </r>
  <r>
    <x v="838"/>
    <n v="809893"/>
    <s v="SAMEER TRADERS"/>
    <n v="171662"/>
    <s v="CHHABRA STONES"/>
    <n v="110"/>
    <n v="60"/>
    <n v="85"/>
    <n v="65.5"/>
    <n v="40"/>
    <n v="77.5"/>
    <n v="52.5"/>
    <n v="40"/>
    <n v="87.5"/>
    <n v="72"/>
    <n v="145.75"/>
    <n v="113"/>
    <n v="948.75"/>
  </r>
  <r>
    <x v="839"/>
    <n v="809906"/>
    <s v="HARI SINGH CHOUHAN"/>
    <n v="119026"/>
    <s v="FRIENDS SUPPLIERS CO.(L"/>
    <n v="57.5"/>
    <n v="0"/>
    <n v="132.5"/>
    <n v="47.5"/>
    <n v="40"/>
    <n v="57.5"/>
    <n v="64.5"/>
    <n v="20"/>
    <n v="40"/>
    <n v="17.5"/>
    <n v="0"/>
    <n v="0"/>
    <n v="477"/>
  </r>
  <r>
    <x v="840"/>
    <n v="809907"/>
    <s v="HITESH CEMENT SUPPLIERS"/>
    <n v="140848"/>
    <s v="PADAM CEMENT SUPPLIERS"/>
    <n v="40"/>
    <n v="60"/>
    <n v="170"/>
    <n v="93.5"/>
    <n v="74.5"/>
    <n v="37.5"/>
    <n v="57.5"/>
    <n v="70"/>
    <n v="101"/>
    <n v="97"/>
    <n v="110"/>
    <n v="148.5"/>
    <n v="1059.5"/>
  </r>
  <r>
    <x v="841"/>
    <n v="809908"/>
    <s v="JAMINDARA SHUTTERING STORE"/>
    <n v="145394"/>
    <s v="DEVRAJ AND SONS"/>
    <n v="23"/>
    <n v="25"/>
    <n v="48.5"/>
    <n v="66.5"/>
    <n v="70"/>
    <n v="35"/>
    <n v="35"/>
    <n v="30"/>
    <n v="65"/>
    <n v="65"/>
    <n v="51.5"/>
    <n v="15"/>
    <n v="529.5"/>
  </r>
  <r>
    <x v="842"/>
    <n v="809909"/>
    <s v="SIDHU BUILDING MATERIAL STORE"/>
    <n v="145394"/>
    <s v="DEVRAJ AND SONS"/>
    <n v="52.5"/>
    <n v="48"/>
    <n v="54"/>
    <n v="21.75"/>
    <n v="29.5"/>
    <n v="30"/>
    <n v="35"/>
    <n v="15"/>
    <n v="45"/>
    <n v="45"/>
    <n v="15"/>
    <n v="10"/>
    <n v="400.75"/>
  </r>
  <r>
    <x v="843"/>
    <n v="809916"/>
    <s v="MUNSHI KHAN"/>
    <n v="119208"/>
    <s v="SURAJMAL TANSUKH RAI"/>
    <n v="0"/>
    <n v="0"/>
    <n v="0"/>
    <n v="0"/>
    <n v="0"/>
    <n v="0"/>
    <n v="0"/>
    <n v="125"/>
    <n v="0"/>
    <n v="0"/>
    <n v="0"/>
    <n v="249"/>
    <n v="374"/>
  </r>
  <r>
    <x v="844"/>
    <n v="809917"/>
    <s v="HIMANI ASSOCIATES"/>
    <n v="172150"/>
    <s v="GHODELA BUILDING MATERIAL AND"/>
    <n v="51.8"/>
    <n v="33.25"/>
    <n v="65"/>
    <n v="94"/>
    <n v="117.75"/>
    <n v="148.5"/>
    <n v="105.75"/>
    <n v="77.25"/>
    <n v="176.25"/>
    <n v="105"/>
    <n v="192.75"/>
    <n v="295"/>
    <n v="1462.3"/>
  </r>
  <r>
    <x v="845"/>
    <n v="809918"/>
    <s v="SHRI LAXMI AGENCIES"/>
    <n v="144868"/>
    <s v="ASHISH SALES CORPORATION"/>
    <n v="81"/>
    <n v="15"/>
    <n v="62"/>
    <n v="149.25"/>
    <n v="100.5"/>
    <n v="34"/>
    <n v="141.80000000000001"/>
    <n v="76.5"/>
    <n v="74"/>
    <n v="72.5"/>
    <n v="87.5"/>
    <n v="169.5"/>
    <n v="1063.55"/>
  </r>
  <r>
    <x v="846"/>
    <n v="809983"/>
    <s v="JAMBHESHWAR BUILDING MATERIAL"/>
    <n v="178230"/>
    <s v="SHREE RADHEY BUILDING MATERIAL"/>
    <n v="0"/>
    <n v="0"/>
    <n v="0"/>
    <n v="10"/>
    <n v="15"/>
    <n v="0"/>
    <n v="0"/>
    <n v="0"/>
    <n v="80"/>
    <n v="10"/>
    <n v="10"/>
    <n v="30"/>
    <n v="155"/>
  </r>
  <r>
    <x v="847"/>
    <n v="809984"/>
    <s v="DUNGAR MAL JAIN"/>
    <n v="119038"/>
    <s v="NAVEEN DISTRIBUTORS"/>
    <n v="10"/>
    <n v="10"/>
    <n v="34"/>
    <n v="25"/>
    <n v="10"/>
    <n v="10"/>
    <n v="20"/>
    <n v="0"/>
    <n v="0"/>
    <n v="20"/>
    <n v="35"/>
    <n v="65"/>
    <n v="239"/>
  </r>
  <r>
    <x v="848"/>
    <n v="809985"/>
    <s v="PADAM AGENCIES"/>
    <n v="119028"/>
    <s v="KANHAYALAL &amp; SONS"/>
    <n v="41"/>
    <n v="62"/>
    <n v="155"/>
    <n v="72"/>
    <n v="78"/>
    <n v="31"/>
    <n v="31"/>
    <n v="31"/>
    <n v="0"/>
    <n v="31"/>
    <n v="31"/>
    <n v="37"/>
    <n v="600"/>
  </r>
  <r>
    <x v="849"/>
    <n v="809986"/>
    <s v="TULSI RAM SALVI"/>
    <n v="119028"/>
    <s v="KANHAYALAL &amp; SONS"/>
    <n v="0"/>
    <n v="0"/>
    <n v="0"/>
    <n v="41"/>
    <n v="26"/>
    <n v="31"/>
    <n v="15"/>
    <n v="0"/>
    <n v="39"/>
    <n v="10"/>
    <n v="47"/>
    <n v="62"/>
    <n v="271"/>
  </r>
  <r>
    <x v="850"/>
    <n v="809989"/>
    <s v="VIKAS CONSTRUCTION AND BUILDIN"/>
    <n v="119066"/>
    <s v="RAJENDRA KUMAR RATAN LAL JAIN"/>
    <n v="50"/>
    <n v="55"/>
    <n v="76"/>
    <n v="74.2"/>
    <n v="3"/>
    <n v="54"/>
    <n v="52"/>
    <n v="0"/>
    <n v="85.25"/>
    <n v="50.5"/>
    <n v="55"/>
    <n v="107.5"/>
    <n v="662.45"/>
  </r>
  <r>
    <x v="851"/>
    <n v="810055"/>
    <s v="RUPESH KHANDELWAL BUILDERS"/>
    <n v="175288"/>
    <s v="LAXMI TRADERS"/>
    <n v="432"/>
    <n v="400"/>
    <n v="280.5"/>
    <n v="380"/>
    <n v="175"/>
    <n v="420"/>
    <n v="320"/>
    <n v="275"/>
    <n v="421"/>
    <n v="308"/>
    <n v="265"/>
    <n v="309"/>
    <n v="3985.5"/>
  </r>
  <r>
    <x v="852"/>
    <n v="810084"/>
    <s v="BALAJI TRADERS"/>
    <n v="172193"/>
    <s v="VARDHMAN CEMENT AGENCY"/>
    <n v="10"/>
    <n v="20"/>
    <n v="15"/>
    <n v="13.5"/>
    <n v="16.5"/>
    <n v="3"/>
    <n v="0"/>
    <n v="0"/>
    <n v="9.9"/>
    <n v="0"/>
    <n v="0"/>
    <n v="0"/>
    <n v="87.9"/>
  </r>
  <r>
    <x v="853"/>
    <n v="810094"/>
    <s v="ROOPANGARIYA BROTHERS"/>
    <n v="119029"/>
    <s v="LALLAMAL KANHYALAL &amp; SONS"/>
    <n v="47.5"/>
    <n v="35"/>
    <n v="69"/>
    <n v="39.5"/>
    <n v="18"/>
    <n v="45"/>
    <n v="60"/>
    <n v="0"/>
    <n v="10"/>
    <n v="0"/>
    <n v="10"/>
    <n v="66"/>
    <n v="400"/>
  </r>
  <r>
    <x v="854"/>
    <n v="810104"/>
    <s v="GAJANAND HARDWARE STORE"/>
    <n v="177947"/>
    <s v="BHARAT BUILDING MATERIAL"/>
    <n v="0"/>
    <n v="10"/>
    <n v="0"/>
    <n v="0"/>
    <n v="10"/>
    <n v="0"/>
    <n v="0"/>
    <n v="0"/>
    <n v="0"/>
    <n v="0"/>
    <n v="0"/>
    <n v="0"/>
    <n v="20"/>
  </r>
  <r>
    <x v="855"/>
    <n v="810105"/>
    <s v="VIKAS SHARMA"/>
    <n v="206219"/>
    <s v="SALASAR TRADERS"/>
    <n v="116.5"/>
    <n v="30"/>
    <n v="53"/>
    <n v="52.5"/>
    <n v="54"/>
    <n v="76"/>
    <n v="10"/>
    <n v="20"/>
    <n v="70"/>
    <n v="31"/>
    <n v="101"/>
    <n v="99.5"/>
    <n v="713.5"/>
  </r>
  <r>
    <x v="856"/>
    <n v="810120"/>
    <s v="ANIL SALES"/>
    <n v="148557"/>
    <s v="MITALI ALLOYS PVT LTD"/>
    <n v="40"/>
    <n v="95"/>
    <n v="68.650000000000006"/>
    <n v="90"/>
    <n v="49.5"/>
    <n v="53"/>
    <n v="53.5"/>
    <n v="32.5"/>
    <n v="92.5"/>
    <n v="0"/>
    <n v="55"/>
    <n v="50.5"/>
    <n v="680.15"/>
  </r>
  <r>
    <x v="857"/>
    <n v="810122"/>
    <s v="OM LAKSHY TRADING COMPANY"/>
    <n v="211137"/>
    <s v="BALAJI AGENCY"/>
    <n v="0"/>
    <n v="0"/>
    <n v="0"/>
    <n v="0"/>
    <n v="0"/>
    <n v="0"/>
    <n v="0"/>
    <n v="0"/>
    <n v="0"/>
    <n v="23.5"/>
    <n v="15"/>
    <n v="0"/>
    <n v="38.5"/>
  </r>
  <r>
    <x v="858"/>
    <n v="810127"/>
    <s v="KHANDELWAL TRADERS"/>
    <n v="178137"/>
    <s v="KHANDELWAL TRADING AND COMPANY"/>
    <n v="15.5"/>
    <n v="28"/>
    <n v="54.4"/>
    <n v="27.5"/>
    <n v="90.35"/>
    <n v="93.5"/>
    <n v="45.25"/>
    <n v="12.5"/>
    <n v="61"/>
    <n v="78.5"/>
    <n v="108.5"/>
    <n v="48.5"/>
    <n v="663.5"/>
  </r>
  <r>
    <x v="859"/>
    <n v="810128"/>
    <s v="PRABHU LAL MALI"/>
    <n v="178003"/>
    <s v="SHREE JI BUILDING MATERIAL SUP"/>
    <n v="50"/>
    <n v="0"/>
    <n v="0"/>
    <n v="14"/>
    <n v="10"/>
    <n v="20"/>
    <n v="20"/>
    <n v="8"/>
    <n v="0"/>
    <n v="13.5"/>
    <n v="35"/>
    <n v="0"/>
    <n v="170.5"/>
  </r>
  <r>
    <x v="860"/>
    <n v="810129"/>
    <s v="MADHAV LAL MENARIYA"/>
    <n v="178003"/>
    <s v="SHREE JI BUILDING MATERIAL SUP"/>
    <n v="27.5"/>
    <n v="10"/>
    <n v="0"/>
    <n v="20"/>
    <n v="10"/>
    <n v="10"/>
    <n v="16"/>
    <n v="8"/>
    <n v="28.5"/>
    <n v="37.5"/>
    <n v="5"/>
    <n v="10"/>
    <n v="182.5"/>
  </r>
  <r>
    <x v="861"/>
    <n v="810130"/>
    <s v="SHREE SANWALIYA CONSTRUCTION"/>
    <n v="178003"/>
    <s v="SHREE JI BUILDING MATERIAL SUP"/>
    <n v="0"/>
    <n v="30"/>
    <n v="0"/>
    <n v="60"/>
    <n v="0"/>
    <n v="5"/>
    <n v="19"/>
    <n v="8"/>
    <n v="25"/>
    <n v="20"/>
    <n v="10"/>
    <n v="18.75"/>
    <n v="195.75"/>
  </r>
  <r>
    <x v="862"/>
    <n v="810131"/>
    <s v="SHREE VISHWAKARMA TRADING"/>
    <n v="178836"/>
    <s v="JAI SHAKTI STONE CUTTING &amp; SUP"/>
    <n v="0"/>
    <n v="0"/>
    <n v="0"/>
    <n v="0"/>
    <n v="0"/>
    <n v="1"/>
    <n v="12"/>
    <n v="15"/>
    <n v="10"/>
    <n v="0"/>
    <n v="0"/>
    <n v="0"/>
    <n v="38"/>
  </r>
  <r>
    <x v="863"/>
    <n v="810132"/>
    <s v="SHREE SANWALIYA TRADERS"/>
    <n v="207643"/>
    <s v="SHREE SANWALIYA TRADERS"/>
    <n v="10"/>
    <n v="0"/>
    <n v="0"/>
    <n v="0"/>
    <n v="0"/>
    <n v="0"/>
    <n v="0"/>
    <n v="0"/>
    <n v="0"/>
    <n v="0"/>
    <n v="0"/>
    <n v="0"/>
    <n v="10"/>
  </r>
  <r>
    <x v="864"/>
    <n v="810155"/>
    <s v="SRI RAM FABRICATION"/>
    <n v="149764"/>
    <s v="JMD CEMENT &amp; IRON STORE"/>
    <n v="128.5"/>
    <n v="86.5"/>
    <n v="48"/>
    <n v="85"/>
    <n v="70"/>
    <n v="96.5"/>
    <n v="155"/>
    <n v="60"/>
    <n v="122.5"/>
    <n v="60.8"/>
    <n v="102.5"/>
    <n v="197"/>
    <n v="1212.3"/>
  </r>
  <r>
    <x v="865"/>
    <n v="810157"/>
    <s v="LAXMI SANITARY AND HARDWARE"/>
    <n v="140848"/>
    <s v="PADAM CEMENT SUPPLIERS"/>
    <n v="89"/>
    <n v="70"/>
    <n v="51"/>
    <n v="156.5"/>
    <n v="91.5"/>
    <n v="96.25"/>
    <n v="119"/>
    <n v="199"/>
    <n v="163.5"/>
    <n v="165"/>
    <n v="155"/>
    <n v="55"/>
    <n v="1410.75"/>
  </r>
  <r>
    <x v="866"/>
    <n v="810158"/>
    <s v="HEER ENTERPRISES"/>
    <n v="119066"/>
    <s v="RAJENDRA KUMAR RATAN LAL JAIN"/>
    <n v="0"/>
    <n v="0"/>
    <n v="0"/>
    <n v="0"/>
    <n v="0"/>
    <n v="0"/>
    <n v="51.4"/>
    <n v="0"/>
    <n v="0"/>
    <n v="0"/>
    <n v="0"/>
    <n v="0"/>
    <n v="51.4"/>
  </r>
  <r>
    <x v="867"/>
    <n v="810159"/>
    <s v="MAHADEV BUILDING MATERIAL"/>
    <n v="172084"/>
    <s v="PRAJAPATI BUILDING MATERIAL"/>
    <n v="30"/>
    <n v="80"/>
    <n v="50"/>
    <n v="77.5"/>
    <n v="70"/>
    <n v="41"/>
    <n v="80"/>
    <n v="40"/>
    <n v="50"/>
    <n v="45"/>
    <n v="55"/>
    <n v="61"/>
    <n v="679.5"/>
  </r>
  <r>
    <x v="868"/>
    <n v="810182"/>
    <s v="SHREE YADAIN BUILDERS"/>
    <n v="140829"/>
    <s v="SHREE YADEN BUILDING MATERIAL"/>
    <n v="62.5"/>
    <n v="110"/>
    <n v="54.5"/>
    <n v="100"/>
    <n v="15"/>
    <n v="70"/>
    <n v="80"/>
    <n v="70"/>
    <n v="55"/>
    <n v="140"/>
    <n v="35"/>
    <n v="139.5"/>
    <n v="931.5"/>
  </r>
  <r>
    <x v="869"/>
    <n v="810221"/>
    <s v="KAHAKAL DEV CONSTRUCTION"/>
    <n v="140857"/>
    <s v="MERAWAT CEMENT AGENCY"/>
    <n v="0"/>
    <n v="0"/>
    <n v="0"/>
    <n v="0"/>
    <n v="0"/>
    <n v="0"/>
    <n v="0"/>
    <n v="0"/>
    <n v="0"/>
    <n v="4"/>
    <n v="0"/>
    <n v="0"/>
    <n v="4"/>
  </r>
  <r>
    <x v="870"/>
    <n v="810221"/>
    <s v="KAHAKAL DEV CONSTRUCTION"/>
    <n v="140858"/>
    <s v="RAMESH CHANDRA JAI CHAND"/>
    <n v="57.5"/>
    <n v="76.5"/>
    <n v="45"/>
    <n v="46"/>
    <n v="55"/>
    <n v="57.5"/>
    <n v="67"/>
    <n v="50"/>
    <n v="70"/>
    <n v="87"/>
    <n v="114"/>
    <n v="182"/>
    <n v="907.5"/>
  </r>
  <r>
    <x v="871"/>
    <n v="810222"/>
    <s v="INDER SAIN"/>
    <n v="119263"/>
    <s v="KUKKAR ENTERPRISES"/>
    <n v="37"/>
    <n v="27"/>
    <n v="35"/>
    <n v="90"/>
    <n v="44.5"/>
    <n v="63"/>
    <n v="92"/>
    <n v="23"/>
    <n v="73"/>
    <n v="34.5"/>
    <n v="25"/>
    <n v="80.5"/>
    <n v="624.5"/>
  </r>
  <r>
    <x v="872"/>
    <n v="810223"/>
    <s v="SATGURU TRADERS"/>
    <n v="177104"/>
    <s v="GARG SUPPLIERS"/>
    <n v="0"/>
    <n v="0"/>
    <n v="0"/>
    <n v="0"/>
    <n v="0"/>
    <n v="0"/>
    <n v="0"/>
    <n v="25"/>
    <n v="24"/>
    <n v="60.5"/>
    <n v="35"/>
    <n v="65.349999999999994"/>
    <n v="209.85"/>
  </r>
  <r>
    <x v="873"/>
    <n v="810224"/>
    <s v="RADAJI KIRANA AND CEMENT SUPPL"/>
    <n v="119028"/>
    <s v="KANHAYALAL &amp; SONS"/>
    <n v="0"/>
    <n v="0"/>
    <n v="0"/>
    <n v="52"/>
    <n v="15"/>
    <n v="0"/>
    <n v="16"/>
    <n v="50"/>
    <n v="25"/>
    <n v="0"/>
    <n v="41"/>
    <n v="93"/>
    <n v="292"/>
  </r>
  <r>
    <x v="874"/>
    <n v="810225"/>
    <s v="JAI SANTOSHI ENTERPRISES"/>
    <n v="176833"/>
    <s v="NAKORA CEMENT SUPPLIERS"/>
    <n v="80"/>
    <n v="100"/>
    <n v="50"/>
    <n v="15"/>
    <n v="60"/>
    <n v="45"/>
    <n v="65"/>
    <n v="30"/>
    <n v="75"/>
    <n v="45"/>
    <n v="80"/>
    <n v="55"/>
    <n v="700"/>
  </r>
  <r>
    <x v="875"/>
    <n v="810242"/>
    <s v="GOYAL TRADERS"/>
    <n v="119261"/>
    <s v="DURGESH ENTERPRISES"/>
    <n v="343.75"/>
    <n v="117.25"/>
    <n v="141.25"/>
    <n v="255.75"/>
    <n v="542"/>
    <n v="1008.2"/>
    <n v="410.5"/>
    <n v="333.9"/>
    <n v="548.25"/>
    <n v="303.75"/>
    <n v="300.55"/>
    <n v="466.15"/>
    <n v="4771.2999999999993"/>
  </r>
  <r>
    <x v="876"/>
    <n v="810274"/>
    <s v="LEHARI VASTU SHASTRA &amp; CONSULT"/>
    <n v="144447"/>
    <s v="PARAS ENTERPRISES"/>
    <n v="20"/>
    <n v="0"/>
    <n v="30"/>
    <n v="30"/>
    <n v="38.5"/>
    <n v="30"/>
    <n v="37"/>
    <n v="25"/>
    <n v="35"/>
    <n v="50"/>
    <n v="75"/>
    <n v="95"/>
    <n v="465.5"/>
  </r>
  <r>
    <x v="877"/>
    <n v="810298"/>
    <s v="NAKSHATRA SINGH"/>
    <n v="172946"/>
    <s v="RIDHI SIDHI TRADERS"/>
    <n v="0"/>
    <n v="0"/>
    <n v="0"/>
    <n v="40"/>
    <n v="39"/>
    <n v="47.5"/>
    <n v="0"/>
    <n v="30"/>
    <n v="0"/>
    <n v="0"/>
    <n v="0"/>
    <n v="0"/>
    <n v="156.5"/>
  </r>
  <r>
    <x v="878"/>
    <n v="810299"/>
    <s v="PEMAJI SUTHAR"/>
    <n v="140851"/>
    <s v="PASHAWNATH CEMENT SUPPLIERS"/>
    <n v="5.5"/>
    <n v="10"/>
    <n v="20"/>
    <n v="25"/>
    <n v="0"/>
    <n v="10"/>
    <n v="25"/>
    <n v="30"/>
    <n v="15"/>
    <n v="0"/>
    <n v="0"/>
    <n v="20"/>
    <n v="160.5"/>
  </r>
  <r>
    <x v="879"/>
    <n v="810304"/>
    <s v="MATESHWARI CEMENT AGENCY"/>
    <n v="176929"/>
    <s v="BHARAT TRADERS"/>
    <n v="22"/>
    <n v="0"/>
    <n v="0"/>
    <n v="0"/>
    <n v="0"/>
    <n v="0"/>
    <n v="0"/>
    <n v="0"/>
    <n v="0"/>
    <n v="0"/>
    <n v="0"/>
    <n v="0"/>
    <n v="22"/>
  </r>
  <r>
    <x v="880"/>
    <n v="810305"/>
    <s v="SIDHI VINAYAK BUILDING MATERIA"/>
    <n v="140967"/>
    <s v="B.L.JAIN &amp; SONS"/>
    <n v="10"/>
    <n v="75"/>
    <n v="125"/>
    <n v="75"/>
    <n v="70"/>
    <n v="0"/>
    <n v="0"/>
    <n v="45"/>
    <n v="117"/>
    <n v="0"/>
    <n v="107.5"/>
    <n v="32"/>
    <n v="656.5"/>
  </r>
  <r>
    <x v="881"/>
    <n v="810324"/>
    <s v="GOYAL BUILDERS"/>
    <n v="175288"/>
    <s v="LAXMI TRADERS"/>
    <n v="0"/>
    <n v="0"/>
    <n v="0"/>
    <n v="0"/>
    <n v="0"/>
    <n v="0"/>
    <n v="0"/>
    <n v="0"/>
    <n v="60"/>
    <n v="55"/>
    <n v="40"/>
    <n v="70"/>
    <n v="225"/>
  </r>
  <r>
    <x v="882"/>
    <n v="810348"/>
    <s v="SOLANKI CEMENT SUPPLIERS"/>
    <n v="176870"/>
    <s v="KHANDELWAL CEMENT AGENCY"/>
    <n v="0"/>
    <n v="0"/>
    <n v="0"/>
    <n v="10"/>
    <n v="0"/>
    <n v="0"/>
    <n v="15"/>
    <n v="25"/>
    <n v="0"/>
    <n v="30"/>
    <n v="10"/>
    <n v="54.5"/>
    <n v="144.5"/>
  </r>
  <r>
    <x v="883"/>
    <n v="810376"/>
    <s v="HARIOM TRADING CO"/>
    <n v="146500"/>
    <s v="MUGAL TRADERS"/>
    <n v="0"/>
    <n v="0"/>
    <n v="0"/>
    <n v="2.5"/>
    <n v="15"/>
    <n v="0"/>
    <n v="0"/>
    <n v="0"/>
    <n v="0"/>
    <n v="0"/>
    <n v="0"/>
    <n v="0"/>
    <n v="17.5"/>
  </r>
  <r>
    <x v="884"/>
    <n v="810377"/>
    <s v="CHANDAN MAL JAIN"/>
    <n v="119038"/>
    <s v="NAVEEN DISTRIBUTORS"/>
    <n v="30"/>
    <n v="60"/>
    <n v="30"/>
    <n v="45"/>
    <n v="39"/>
    <n v="64"/>
    <n v="29.5"/>
    <n v="15"/>
    <n v="45"/>
    <n v="29.5"/>
    <n v="59"/>
    <n v="15"/>
    <n v="461"/>
  </r>
  <r>
    <x v="885"/>
    <n v="810386"/>
    <s v="BRIJ MOHAN"/>
    <n v="172946"/>
    <s v="RIDHI SIDHI TRADERS"/>
    <n v="0"/>
    <n v="50"/>
    <n v="60"/>
    <n v="41.9"/>
    <n v="61"/>
    <n v="50"/>
    <n v="45"/>
    <n v="45"/>
    <n v="55"/>
    <n v="20"/>
    <n v="0"/>
    <n v="0"/>
    <n v="427.9"/>
  </r>
  <r>
    <x v="886"/>
    <n v="810387"/>
    <s v="GARG ENTERPRISES"/>
    <n v="142843"/>
    <s v="GURUNANAK IRON STORE"/>
    <n v="25"/>
    <n v="21"/>
    <n v="91"/>
    <n v="15"/>
    <n v="129"/>
    <n v="67.55"/>
    <n v="50"/>
    <n v="10"/>
    <n v="0"/>
    <n v="48"/>
    <n v="23"/>
    <n v="1"/>
    <n v="480.55"/>
  </r>
  <r>
    <x v="887"/>
    <n v="810434"/>
    <s v="SHIVRAJ SINGH SOLANKI CONTRACT"/>
    <n v="174166"/>
    <s v="NAMOKAR STONE TRADERS"/>
    <n v="15"/>
    <n v="20"/>
    <n v="55"/>
    <n v="52.5"/>
    <n v="42.5"/>
    <n v="57.5"/>
    <n v="20"/>
    <n v="111"/>
    <n v="50"/>
    <n v="43"/>
    <n v="50"/>
    <n v="95"/>
    <n v="611.5"/>
  </r>
  <r>
    <x v="888"/>
    <n v="810435"/>
    <s v="NARENDRA SUPPLIERS"/>
    <n v="178661"/>
    <s v="KHAJANCHI TRADING CO."/>
    <n v="0"/>
    <n v="15"/>
    <n v="20"/>
    <n v="12"/>
    <n v="45"/>
    <n v="25"/>
    <n v="25"/>
    <n v="10"/>
    <n v="10"/>
    <n v="10"/>
    <n v="10"/>
    <n v="10"/>
    <n v="192"/>
  </r>
  <r>
    <x v="889"/>
    <n v="810480"/>
    <s v="BAYA CEMENT AND SANITARY"/>
    <n v="141115"/>
    <s v="KALPESH CEMENT AGENCY"/>
    <n v="27.4"/>
    <n v="26.5"/>
    <n v="48.5"/>
    <n v="60.5"/>
    <n v="23.5"/>
    <n v="0"/>
    <n v="0"/>
    <n v="30"/>
    <n v="30"/>
    <n v="0"/>
    <n v="0"/>
    <n v="0"/>
    <n v="246.4"/>
  </r>
  <r>
    <x v="890"/>
    <n v="810481"/>
    <s v="MULDAS B/M"/>
    <n v="172497"/>
    <s v="VINAYAK INDUSTRIES"/>
    <n v="21"/>
    <n v="0"/>
    <n v="20"/>
    <n v="0"/>
    <n v="0"/>
    <n v="6"/>
    <n v="0"/>
    <n v="10"/>
    <n v="0"/>
    <n v="10"/>
    <n v="0"/>
    <n v="20.3"/>
    <n v="87.3"/>
  </r>
  <r>
    <x v="891"/>
    <n v="810510"/>
    <s v="SHREE VEER TEJAJI DHARAMKANTA"/>
    <n v="174034"/>
    <s v="RADHE BUILDING MATERIAL"/>
    <n v="0"/>
    <n v="10"/>
    <n v="0"/>
    <n v="0"/>
    <n v="12.5"/>
    <n v="30"/>
    <n v="10"/>
    <n v="0"/>
    <n v="25"/>
    <n v="15"/>
    <n v="55"/>
    <n v="55"/>
    <n v="212.5"/>
  </r>
  <r>
    <x v="892"/>
    <n v="810511"/>
    <s v="SHIV SHAKTI BUILDING MATERIAL"/>
    <n v="119044"/>
    <s v="PANWAR TRADING CORPORATION LTD"/>
    <n v="45"/>
    <n v="126"/>
    <n v="160"/>
    <n v="105"/>
    <n v="60"/>
    <n v="122.85"/>
    <n v="67"/>
    <n v="20"/>
    <n v="65"/>
    <n v="20"/>
    <n v="290"/>
    <n v="172.5"/>
    <n v="1253.3499999999999"/>
  </r>
  <r>
    <x v="893"/>
    <n v="810512"/>
    <s v="SHRI DEVASI CEMENT AGENCY"/>
    <n v="119028"/>
    <s v="KANHAYALAL &amp; SONS"/>
    <n v="37.5"/>
    <n v="0"/>
    <n v="62"/>
    <n v="56"/>
    <n v="26"/>
    <n v="2.25"/>
    <n v="0"/>
    <n v="0"/>
    <n v="0"/>
    <n v="0"/>
    <n v="0"/>
    <n v="31"/>
    <n v="214.75"/>
  </r>
  <r>
    <x v="894"/>
    <n v="810513"/>
    <s v="HANUMAN RAM"/>
    <n v="176833"/>
    <s v="NAKORA CEMENT SUPPLIERS"/>
    <n v="60"/>
    <n v="120"/>
    <n v="85"/>
    <n v="70"/>
    <n v="105"/>
    <n v="45"/>
    <n v="105"/>
    <n v="45"/>
    <n v="60"/>
    <n v="110"/>
    <n v="60"/>
    <n v="135"/>
    <n v="1000"/>
  </r>
  <r>
    <x v="895"/>
    <n v="810533"/>
    <s v="NAGNECHYA CEMENT SUPPLIERS"/>
    <n v="178724"/>
    <s v="NEELKANTH MAHADEV ENTERPRISES"/>
    <n v="0"/>
    <n v="0"/>
    <n v="19"/>
    <n v="40"/>
    <n v="0"/>
    <n v="0"/>
    <n v="0"/>
    <n v="0"/>
    <n v="10"/>
    <n v="10"/>
    <n v="0"/>
    <n v="0"/>
    <n v="79"/>
  </r>
  <r>
    <x v="896"/>
    <n v="810558"/>
    <s v="VIKRAM PALIWAL"/>
    <n v="141115"/>
    <s v="KALPESH CEMENT AGENCY"/>
    <n v="0"/>
    <n v="0"/>
    <n v="0"/>
    <n v="0"/>
    <n v="0"/>
    <n v="0"/>
    <n v="0"/>
    <n v="0"/>
    <n v="0"/>
    <n v="0"/>
    <n v="51"/>
    <n v="93.5"/>
    <n v="144.5"/>
  </r>
  <r>
    <x v="897"/>
    <n v="810559"/>
    <s v="DUGGAR ENTERPRISES"/>
    <n v="145353"/>
    <s v="SHREE SARAS CORPORATION"/>
    <n v="105"/>
    <n v="102"/>
    <n v="70"/>
    <n v="111.5"/>
    <n v="0"/>
    <n v="0"/>
    <n v="0"/>
    <n v="30"/>
    <n v="85"/>
    <n v="60"/>
    <n v="80"/>
    <n v="70"/>
    <n v="713.5"/>
  </r>
  <r>
    <x v="898"/>
    <n v="810560"/>
    <s v="JAYNTILAL PARMAR"/>
    <n v="142332"/>
    <s v="SANTOSH KIRANA AND CEMENT"/>
    <n v="15"/>
    <n v="52.5"/>
    <n v="80"/>
    <n v="70"/>
    <n v="65"/>
    <n v="47.5"/>
    <n v="40"/>
    <n v="10"/>
    <n v="12.5"/>
    <n v="75"/>
    <n v="90"/>
    <n v="30"/>
    <n v="587.5"/>
  </r>
  <r>
    <x v="899"/>
    <n v="810583"/>
    <s v="HARSHAD LAL KIKOD"/>
    <n v="140958"/>
    <s v="HEMRAJ SUTHAR CONTRACTOR"/>
    <n v="10"/>
    <n v="20"/>
    <n v="10"/>
    <n v="52.5"/>
    <n v="30.5"/>
    <n v="0"/>
    <n v="10"/>
    <n v="0"/>
    <n v="15"/>
    <n v="10"/>
    <n v="30"/>
    <n v="35"/>
    <n v="223"/>
  </r>
  <r>
    <x v="900"/>
    <n v="810584"/>
    <s v="GANPATI TILES FACTORY"/>
    <n v="145394"/>
    <s v="DEVRAJ AND SONS"/>
    <n v="27.5"/>
    <n v="43"/>
    <n v="100"/>
    <n v="24"/>
    <n v="74.5"/>
    <n v="45"/>
    <n v="35"/>
    <n v="14.45"/>
    <n v="65"/>
    <n v="45"/>
    <n v="30"/>
    <n v="15"/>
    <n v="518.45000000000005"/>
  </r>
  <r>
    <x v="901"/>
    <n v="810595"/>
    <s v="NAGPAL BUILDERS"/>
    <n v="176641"/>
    <s v="UMA IRON &amp; CEMENT AGENCY"/>
    <n v="20"/>
    <n v="84.5"/>
    <n v="64"/>
    <n v="93.5"/>
    <n v="76.3"/>
    <n v="54"/>
    <n v="26.75"/>
    <n v="19.75"/>
    <n v="23.25"/>
    <n v="10"/>
    <n v="43"/>
    <n v="40"/>
    <n v="555.04999999999995"/>
  </r>
  <r>
    <x v="902"/>
    <n v="810596"/>
    <s v="GULAM NABI BHATI"/>
    <n v="176693"/>
    <s v="SUBHAM AGENCIES"/>
    <n v="0"/>
    <n v="0"/>
    <n v="65"/>
    <n v="55"/>
    <n v="23.75"/>
    <n v="75"/>
    <n v="53"/>
    <n v="35"/>
    <n v="59.5"/>
    <n v="98"/>
    <n v="37"/>
    <n v="40"/>
    <n v="541.25"/>
  </r>
  <r>
    <x v="903"/>
    <n v="810597"/>
    <s v="BABU LAL SWAMI"/>
    <n v="176693"/>
    <s v="SUBHAM AGENCIES"/>
    <n v="0"/>
    <n v="10"/>
    <n v="30"/>
    <n v="1"/>
    <n v="16"/>
    <n v="10"/>
    <n v="0"/>
    <n v="15"/>
    <n v="5"/>
    <n v="0"/>
    <n v="25"/>
    <n v="30"/>
    <n v="142"/>
  </r>
  <r>
    <x v="904"/>
    <n v="810647"/>
    <s v="SANJAY TRADING COMPANY"/>
    <n v="170617"/>
    <s v="MANGALAM TRADING COMPANY"/>
    <n v="67"/>
    <n v="70"/>
    <n v="73.599999999999994"/>
    <n v="129"/>
    <n v="187.65"/>
    <n v="109.1"/>
    <n v="82"/>
    <n v="70"/>
    <n v="220.5"/>
    <n v="197.9"/>
    <n v="154.5"/>
    <n v="344"/>
    <n v="1705.25"/>
  </r>
  <r>
    <x v="905"/>
    <n v="810648"/>
    <s v="JAI KISHAN BUILDING MATERIAL S"/>
    <n v="140481"/>
    <s v="Goyal &amp; Co."/>
    <n v="10"/>
    <n v="15"/>
    <n v="20"/>
    <n v="0"/>
    <n v="20"/>
    <n v="0"/>
    <n v="7.5"/>
    <n v="10"/>
    <n v="0"/>
    <n v="0"/>
    <n v="0"/>
    <n v="10"/>
    <n v="92.5"/>
  </r>
  <r>
    <x v="906"/>
    <n v="810653"/>
    <s v="VIJAY KUMAR"/>
    <n v="142843"/>
    <s v="GURUNANAK IRON STORE"/>
    <n v="67"/>
    <n v="30"/>
    <n v="50.5"/>
    <n v="42.5"/>
    <n v="56.5"/>
    <n v="55"/>
    <n v="25"/>
    <n v="40"/>
    <n v="10"/>
    <n v="73.5"/>
    <n v="69"/>
    <n v="51"/>
    <n v="570"/>
  </r>
  <r>
    <x v="907"/>
    <n v="810683"/>
    <s v="AGGARWAL CEMENT STORE"/>
    <n v="178661"/>
    <s v="KHAJANCHI TRADING CO."/>
    <n v="20"/>
    <n v="25"/>
    <n v="46"/>
    <n v="78"/>
    <n v="60"/>
    <n v="85"/>
    <n v="50"/>
    <n v="53"/>
    <n v="89"/>
    <n v="85"/>
    <n v="20"/>
    <n v="95.5"/>
    <n v="706.5"/>
  </r>
  <r>
    <x v="908"/>
    <n v="810684"/>
    <s v="CHANDER TIMBER DEPOT"/>
    <n v="119261"/>
    <s v="DURGESH ENTERPRISES"/>
    <n v="0"/>
    <n v="0"/>
    <n v="0"/>
    <n v="11"/>
    <n v="0"/>
    <n v="0"/>
    <n v="31"/>
    <n v="0"/>
    <n v="21"/>
    <n v="0"/>
    <n v="0"/>
    <n v="0"/>
    <n v="63"/>
  </r>
  <r>
    <x v="909"/>
    <n v="810685"/>
    <s v="VISHRAM LAL MALI"/>
    <n v="119208"/>
    <s v="SURAJMAL TANSUKH RAI"/>
    <n v="45"/>
    <n v="186"/>
    <n v="0"/>
    <n v="111.5"/>
    <n v="45"/>
    <n v="45"/>
    <n v="0"/>
    <n v="0"/>
    <n v="129.5"/>
    <n v="0"/>
    <n v="35"/>
    <n v="4"/>
    <n v="601"/>
  </r>
  <r>
    <x v="910"/>
    <n v="810686"/>
    <s v="SAINI KHAD BEEJ BHANDAR"/>
    <n v="178661"/>
    <s v="KHAJANCHI TRADING CO."/>
    <n v="25"/>
    <n v="55"/>
    <n v="45"/>
    <n v="70"/>
    <n v="109.6"/>
    <n v="54.5"/>
    <n v="55"/>
    <n v="30"/>
    <n v="63"/>
    <n v="77"/>
    <n v="30"/>
    <n v="60"/>
    <n v="674.1"/>
  </r>
  <r>
    <x v="911"/>
    <n v="810700"/>
    <s v="SHREE TEMDARAI CEMENT STORE"/>
    <n v="119154"/>
    <s v="SHRI GANPATI ENTERPRISES"/>
    <n v="0"/>
    <n v="15"/>
    <n v="40"/>
    <n v="15"/>
    <n v="2.5"/>
    <n v="0"/>
    <n v="0"/>
    <n v="0"/>
    <n v="35"/>
    <n v="0"/>
    <n v="50"/>
    <n v="37"/>
    <n v="194.5"/>
  </r>
  <r>
    <x v="912"/>
    <n v="810734"/>
    <s v="BABA STEEL AND BUILDING MATERI"/>
    <n v="119065"/>
    <s v="AJMERA TRANSPORTER"/>
    <n v="0"/>
    <n v="0"/>
    <n v="0"/>
    <n v="0"/>
    <n v="67.5"/>
    <n v="42.5"/>
    <n v="60"/>
    <n v="70.75"/>
    <n v="41.25"/>
    <n v="37.5"/>
    <n v="70"/>
    <n v="139.1"/>
    <n v="528.6"/>
  </r>
  <r>
    <x v="913"/>
    <n v="810741"/>
    <s v="ASHAPURA KIRANA AND GENERAL ST"/>
    <n v="172597"/>
    <s v="SONU TRADERS"/>
    <n v="43"/>
    <n v="0"/>
    <n v="0"/>
    <n v="20"/>
    <n v="27.5"/>
    <n v="40"/>
    <n v="35"/>
    <n v="15"/>
    <n v="51"/>
    <n v="15"/>
    <n v="10"/>
    <n v="104"/>
    <n v="360.5"/>
  </r>
  <r>
    <x v="914"/>
    <n v="810751"/>
    <s v="JAGDAMBA CEMENT AND STONE SUPP"/>
    <n v="176870"/>
    <s v="KHANDELWAL CEMENT AGENCY"/>
    <n v="0"/>
    <n v="0"/>
    <n v="0"/>
    <n v="0"/>
    <n v="0"/>
    <n v="0"/>
    <n v="0"/>
    <n v="21"/>
    <n v="0"/>
    <n v="5"/>
    <n v="7.5"/>
    <n v="5"/>
    <n v="38.5"/>
  </r>
  <r>
    <x v="915"/>
    <n v="810756"/>
    <s v="SANTOSH BUILDING MATERIAL"/>
    <n v="208329"/>
    <s v="MAHALAXMI ENTERPRISES"/>
    <n v="0"/>
    <n v="0"/>
    <n v="24.9"/>
    <n v="41"/>
    <n v="31.3"/>
    <n v="0"/>
    <n v="0"/>
    <n v="0"/>
    <n v="0"/>
    <n v="0"/>
    <n v="0"/>
    <n v="0"/>
    <n v="97.2"/>
  </r>
  <r>
    <x v="916"/>
    <n v="810762"/>
    <s v="S R V ENTERPRISES"/>
    <n v="119044"/>
    <s v="PANWAR TRADING CORPORATION LTD"/>
    <n v="17.5"/>
    <n v="40"/>
    <n v="28.5"/>
    <n v="62.5"/>
    <n v="2"/>
    <n v="0"/>
    <n v="0"/>
    <n v="12"/>
    <n v="27.5"/>
    <n v="60"/>
    <n v="20"/>
    <n v="92.5"/>
    <n v="362.5"/>
  </r>
  <r>
    <x v="917"/>
    <n v="810798"/>
    <s v="PREM KUMAR SINGLA"/>
    <n v="119031"/>
    <s v="RAMESH CHANDRA RAJENDRA KUMAR"/>
    <n v="81.5"/>
    <n v="95.75"/>
    <n v="152.5"/>
    <n v="110.9"/>
    <n v="92"/>
    <n v="133"/>
    <n v="95"/>
    <n v="153.25"/>
    <n v="179.5"/>
    <n v="75"/>
    <n v="107.75"/>
    <n v="96.5"/>
    <n v="1372.65"/>
  </r>
  <r>
    <x v="918"/>
    <n v="810799"/>
    <s v="SHYAM LAL"/>
    <n v="206219"/>
    <s v="SALASAR TRADERS"/>
    <n v="42"/>
    <n v="43.5"/>
    <n v="42"/>
    <n v="24"/>
    <n v="42"/>
    <n v="45.05"/>
    <n v="5.5"/>
    <n v="23"/>
    <n v="59"/>
    <n v="0"/>
    <n v="85"/>
    <n v="30"/>
    <n v="441.05"/>
  </r>
  <r>
    <x v="919"/>
    <n v="810821"/>
    <s v="S R TRADERS"/>
    <n v="141512"/>
    <s v="MISHRA TRADERS"/>
    <n v="10"/>
    <n v="3"/>
    <n v="50"/>
    <n v="51"/>
    <n v="22.5"/>
    <n v="25"/>
    <n v="31"/>
    <n v="40"/>
    <n v="50"/>
    <n v="20"/>
    <n v="45"/>
    <n v="76"/>
    <n v="423.5"/>
  </r>
  <r>
    <x v="920"/>
    <n v="810830"/>
    <s v="SUMAN ENTERPRISES"/>
    <n v="119261"/>
    <s v="DURGESH ENTERPRISES"/>
    <n v="30"/>
    <n v="0"/>
    <n v="0"/>
    <n v="16.5"/>
    <n v="21"/>
    <n v="22.5"/>
    <n v="0"/>
    <n v="21"/>
    <n v="51"/>
    <n v="50"/>
    <n v="0"/>
    <n v="0"/>
    <n v="212"/>
  </r>
  <r>
    <x v="921"/>
    <n v="810839"/>
    <s v="MAESTRO NAGRIK SEVA KENDRA"/>
    <n v="122377"/>
    <s v="NILKANTH CONSTRUCTION"/>
    <n v="103"/>
    <n v="171"/>
    <n v="190"/>
    <n v="155"/>
    <n v="95"/>
    <n v="85"/>
    <n v="80"/>
    <n v="55"/>
    <n v="177"/>
    <n v="178.5"/>
    <n v="196"/>
    <n v="140"/>
    <n v="1625.5"/>
  </r>
  <r>
    <x v="922"/>
    <n v="810840"/>
    <s v="BHERUNATH CEMENT SUPPLIERS"/>
    <n v="119026"/>
    <s v="FRIENDS SUPPLIERS CO.(L"/>
    <n v="104"/>
    <n v="52.55"/>
    <n v="156.25"/>
    <n v="151.49999999999997"/>
    <n v="105"/>
    <n v="145"/>
    <n v="50"/>
    <n v="45"/>
    <n v="57.65"/>
    <n v="30"/>
    <n v="111"/>
    <n v="119.5"/>
    <n v="1127.4499999999998"/>
  </r>
  <r>
    <x v="923"/>
    <n v="810841"/>
    <s v="RAKESH STONE SUPPLIERS"/>
    <n v="179755"/>
    <s v="R &amp; K ENTERPRISES"/>
    <n v="20"/>
    <n v="35"/>
    <n v="55"/>
    <n v="75"/>
    <n v="77"/>
    <n v="40"/>
    <n v="55"/>
    <n v="35"/>
    <n v="68"/>
    <n v="60"/>
    <n v="89"/>
    <n v="49"/>
    <n v="658"/>
  </r>
  <r>
    <x v="924"/>
    <n v="810843"/>
    <s v="RAJESHWAR KIRANA STORE"/>
    <n v="176773"/>
    <s v="MANIK CHAND LAKHMI CHAND"/>
    <n v="14.5"/>
    <n v="17.5"/>
    <n v="42.5"/>
    <n v="63.5"/>
    <n v="42.25"/>
    <n v="22.5"/>
    <n v="32"/>
    <n v="15"/>
    <n v="18.7"/>
    <n v="25.1"/>
    <n v="12.5"/>
    <n v="23.35"/>
    <n v="329.40000000000003"/>
  </r>
  <r>
    <x v="925"/>
    <n v="810852"/>
    <s v="ROHIT STEEL AND BUILDING MATER"/>
    <n v="179911"/>
    <s v="DIPESH STEEL AND BUILDING MATE"/>
    <n v="4"/>
    <n v="13.75"/>
    <n v="11.5"/>
    <n v="2.5"/>
    <n v="7.5"/>
    <n v="2.5"/>
    <n v="0"/>
    <n v="11.5"/>
    <n v="18.5"/>
    <n v="0"/>
    <n v="1"/>
    <n v="7"/>
    <n v="79.75"/>
  </r>
  <r>
    <x v="926"/>
    <n v="810871"/>
    <s v="FATEH LAL VAYA"/>
    <n v="140860"/>
    <s v="VIPUL CEMENT SUPPLIERS"/>
    <n v="0"/>
    <n v="0"/>
    <n v="0"/>
    <n v="30"/>
    <n v="43"/>
    <n v="10"/>
    <n v="0"/>
    <n v="0"/>
    <n v="37.5"/>
    <n v="5"/>
    <n v="55"/>
    <n v="20"/>
    <n v="200.5"/>
  </r>
  <r>
    <x v="927"/>
    <n v="810894"/>
    <s v="SHRI KHETLAJI HARDWARE"/>
    <n v="201280"/>
    <s v="SIDDHI VINAYAK CEMENT DISTRIBU"/>
    <n v="0"/>
    <n v="37"/>
    <n v="62.5"/>
    <n v="116.5"/>
    <n v="103.75"/>
    <n v="74.5"/>
    <n v="62"/>
    <n v="30"/>
    <n v="83"/>
    <n v="51"/>
    <n v="67"/>
    <n v="15"/>
    <n v="702.25"/>
  </r>
  <r>
    <x v="928"/>
    <n v="810896"/>
    <s v="AASHAPURA TRADERS"/>
    <n v="179467"/>
    <s v="R K TRADERS"/>
    <n v="60"/>
    <n v="10"/>
    <n v="10"/>
    <n v="0"/>
    <n v="35"/>
    <n v="5"/>
    <n v="20"/>
    <n v="50"/>
    <n v="85"/>
    <n v="97.5"/>
    <n v="15"/>
    <n v="65"/>
    <n v="452.5"/>
  </r>
  <r>
    <x v="929"/>
    <n v="810897"/>
    <s v="DURGA CEMENT SUPPLIERS"/>
    <n v="179467"/>
    <s v="R K TRADERS"/>
    <n v="101.5"/>
    <n v="5"/>
    <n v="135"/>
    <n v="0"/>
    <n v="45"/>
    <n v="45"/>
    <n v="65"/>
    <n v="103.5"/>
    <n v="130"/>
    <n v="104"/>
    <n v="247.5"/>
    <n v="316.5"/>
    <n v="1298"/>
  </r>
  <r>
    <x v="930"/>
    <n v="810898"/>
    <s v="SHREE BALAJI CEMENT SUPPLIERS"/>
    <n v="140881"/>
    <s v="NAM DEV STONE SUPPLIERS"/>
    <n v="47"/>
    <n v="87"/>
    <n v="25"/>
    <n v="30"/>
    <n v="0"/>
    <n v="32.5"/>
    <n v="0"/>
    <n v="55"/>
    <n v="55"/>
    <n v="0"/>
    <n v="0"/>
    <n v="10"/>
    <n v="341.5"/>
  </r>
  <r>
    <x v="931"/>
    <n v="810899"/>
    <s v="KISHANA RAM GODARA"/>
    <n v="177295"/>
    <s v="ROHIT TRADERS"/>
    <n v="0"/>
    <n v="147"/>
    <n v="234"/>
    <n v="65"/>
    <n v="90"/>
    <n v="35.5"/>
    <n v="70"/>
    <n v="0"/>
    <n v="75"/>
    <n v="75"/>
    <n v="30"/>
    <n v="40"/>
    <n v="861.5"/>
  </r>
  <r>
    <x v="932"/>
    <n v="810901"/>
    <s v="SATTA RAM SAU"/>
    <n v="177295"/>
    <s v="ROHIT TRADERS"/>
    <n v="160"/>
    <n v="227.5"/>
    <n v="170"/>
    <n v="65"/>
    <n v="200"/>
    <n v="20"/>
    <n v="130"/>
    <n v="10"/>
    <n v="124"/>
    <n v="75"/>
    <n v="70"/>
    <n v="250"/>
    <n v="1501.5"/>
  </r>
  <r>
    <x v="933"/>
    <n v="810902"/>
    <s v="SAD RAM"/>
    <n v="177295"/>
    <s v="ROHIT TRADERS"/>
    <n v="10"/>
    <n v="130"/>
    <n v="150"/>
    <n v="55"/>
    <n v="105"/>
    <n v="40"/>
    <n v="80"/>
    <n v="0"/>
    <n v="83"/>
    <n v="75"/>
    <n v="20"/>
    <n v="50"/>
    <n v="798"/>
  </r>
  <r>
    <x v="934"/>
    <n v="810906"/>
    <s v="SOMNATH CONSTRUCTION AND BUILD"/>
    <n v="173728"/>
    <s v="LAXMI CEMANT AND BUILDING MATE"/>
    <n v="0"/>
    <n v="0"/>
    <n v="0"/>
    <n v="0"/>
    <n v="0"/>
    <n v="0"/>
    <n v="12"/>
    <n v="0"/>
    <n v="23"/>
    <n v="20"/>
    <n v="0"/>
    <n v="0"/>
    <n v="55"/>
  </r>
  <r>
    <x v="935"/>
    <n v="810907"/>
    <s v="TEJA CONSTRUCTION"/>
    <n v="142269"/>
    <s v="CHAMUNDA BUILDING MATERIAL SUP"/>
    <n v="0"/>
    <n v="0"/>
    <n v="0"/>
    <n v="0"/>
    <n v="0"/>
    <n v="0"/>
    <n v="0"/>
    <n v="0"/>
    <n v="12.5"/>
    <n v="0"/>
    <n v="0"/>
    <n v="0"/>
    <n v="12.5"/>
  </r>
  <r>
    <x v="936"/>
    <n v="810908"/>
    <s v="TEJ PAL"/>
    <n v="140850"/>
    <s v="MAHAVEER SANITARY &amp; CEMENT AGE"/>
    <n v="20"/>
    <n v="20"/>
    <n v="65"/>
    <n v="40"/>
    <n v="40"/>
    <n v="35"/>
    <n v="10"/>
    <n v="20"/>
    <n v="50"/>
    <n v="53"/>
    <n v="50.5"/>
    <n v="60"/>
    <n v="463.5"/>
  </r>
  <r>
    <x v="937"/>
    <n v="810913"/>
    <s v="MOHAN LAL"/>
    <n v="119029"/>
    <s v="LALLAMAL KANHYALAL &amp; SONS"/>
    <n v="20"/>
    <n v="0"/>
    <n v="0"/>
    <n v="12"/>
    <n v="0"/>
    <n v="15"/>
    <n v="0"/>
    <n v="0"/>
    <n v="20"/>
    <n v="0"/>
    <n v="12"/>
    <n v="15"/>
    <n v="94"/>
  </r>
  <r>
    <x v="938"/>
    <n v="810914"/>
    <s v="RAHUL STONE"/>
    <n v="119179"/>
    <s v="KUMAWAT BUILDING MATERIALS"/>
    <n v="10"/>
    <n v="0"/>
    <n v="15"/>
    <n v="25"/>
    <n v="5"/>
    <n v="15.5"/>
    <n v="15"/>
    <n v="7"/>
    <n v="20"/>
    <n v="22.5"/>
    <n v="15"/>
    <n v="22.5"/>
    <n v="172.5"/>
  </r>
  <r>
    <x v="939"/>
    <n v="810919"/>
    <s v="IMPERIAL INFRA"/>
    <n v="170248"/>
    <s v="MAHAVEER ENTERPRISES"/>
    <n v="1"/>
    <n v="20"/>
    <n v="0"/>
    <n v="10"/>
    <n v="17.5"/>
    <n v="10.5"/>
    <n v="0"/>
    <n v="0"/>
    <n v="4.5"/>
    <n v="7"/>
    <n v="16"/>
    <n v="0"/>
    <n v="86.5"/>
  </r>
  <r>
    <x v="940"/>
    <n v="810920"/>
    <s v="RAMLAL PRAJAPAT"/>
    <n v="119109"/>
    <s v="MAHENDRA KUMAR TEJARAM PRAJAPA"/>
    <n v="25"/>
    <n v="0"/>
    <n v="0"/>
    <n v="35"/>
    <n v="0"/>
    <n v="0"/>
    <n v="45"/>
    <n v="25"/>
    <n v="0"/>
    <n v="40"/>
    <n v="59"/>
    <n v="97.5"/>
    <n v="326.5"/>
  </r>
  <r>
    <x v="941"/>
    <n v="810922"/>
    <s v="KALPANA CEMENT AGENCY"/>
    <n v="175288"/>
    <s v="LAXMI TRADERS"/>
    <n v="90"/>
    <n v="60"/>
    <n v="55"/>
    <n v="60"/>
    <n v="30"/>
    <n v="60"/>
    <n v="60"/>
    <n v="10"/>
    <n v="0"/>
    <n v="0"/>
    <n v="0"/>
    <n v="0"/>
    <n v="425"/>
  </r>
  <r>
    <x v="942"/>
    <n v="810951"/>
    <s v="MANOHAR LAL"/>
    <n v="177295"/>
    <s v="ROHIT TRADERS"/>
    <n v="182"/>
    <n v="310"/>
    <n v="335"/>
    <n v="136"/>
    <n v="233.5"/>
    <n v="82"/>
    <n v="300.5"/>
    <n v="0"/>
    <n v="430.5"/>
    <n v="115"/>
    <n v="150.5"/>
    <n v="444.5"/>
    <n v="2719.5"/>
  </r>
  <r>
    <x v="943"/>
    <n v="810952"/>
    <s v="BABA RAMDEV TRADING COMPANY"/>
    <n v="140881"/>
    <s v="NAM DEV STONE SUPPLIERS"/>
    <n v="0"/>
    <n v="0"/>
    <n v="0"/>
    <n v="0"/>
    <n v="0"/>
    <n v="0"/>
    <n v="20"/>
    <n v="0"/>
    <n v="40"/>
    <n v="0"/>
    <n v="0"/>
    <n v="20"/>
    <n v="80"/>
  </r>
  <r>
    <x v="944"/>
    <n v="810953"/>
    <s v="SHREE VISHWAKARMA CEMENT SUPPL"/>
    <n v="140881"/>
    <s v="NAM DEV STONE SUPPLIERS"/>
    <n v="35"/>
    <n v="67"/>
    <n v="25"/>
    <n v="0"/>
    <n v="0"/>
    <n v="0"/>
    <n v="25"/>
    <n v="40"/>
    <n v="40"/>
    <n v="0"/>
    <n v="35"/>
    <n v="65"/>
    <n v="332"/>
  </r>
  <r>
    <x v="945"/>
    <n v="810954"/>
    <s v="S K TRADERS"/>
    <n v="174034"/>
    <s v="RADHE BUILDING MATERIAL"/>
    <n v="10"/>
    <n v="10"/>
    <n v="10"/>
    <n v="10"/>
    <n v="0"/>
    <n v="0"/>
    <n v="0"/>
    <n v="0"/>
    <n v="0"/>
    <n v="0"/>
    <n v="0"/>
    <n v="0"/>
    <n v="40"/>
  </r>
  <r>
    <x v="946"/>
    <n v="810956"/>
    <s v="OM PRAKASH PRAJAPAT"/>
    <n v="179869"/>
    <s v="SHREE BALAJI CEMENT"/>
    <n v="50"/>
    <n v="31.5"/>
    <n v="45"/>
    <n v="30"/>
    <n v="16"/>
    <n v="17.5"/>
    <n v="30"/>
    <n v="10"/>
    <n v="42.5"/>
    <n v="55.5"/>
    <n v="70"/>
    <n v="77"/>
    <n v="475"/>
  </r>
  <r>
    <x v="947"/>
    <n v="810958"/>
    <s v="BALAJI TRADING COMPANY"/>
    <n v="179877"/>
    <s v="HANUMANGARH  INT SUPPLIERS"/>
    <n v="55.5"/>
    <n v="20"/>
    <n v="62"/>
    <n v="62.5"/>
    <n v="47.5"/>
    <n v="52.5"/>
    <n v="68.5"/>
    <n v="35.5"/>
    <n v="68"/>
    <n v="87.5"/>
    <n v="76.25"/>
    <n v="139.44999999999999"/>
    <n v="775.2"/>
  </r>
  <r>
    <x v="948"/>
    <n v="810991"/>
    <s v="SHREE SANWARIYA CONSTRUCTION"/>
    <n v="172640"/>
    <s v="KUSHAL TRADERS"/>
    <n v="0"/>
    <n v="20"/>
    <n v="10"/>
    <n v="17.5"/>
    <n v="42.5"/>
    <n v="10"/>
    <n v="90"/>
    <n v="20"/>
    <n v="37.5"/>
    <n v="120"/>
    <n v="55.5"/>
    <n v="4.5"/>
    <n v="427.5"/>
  </r>
  <r>
    <x v="949"/>
    <n v="811032"/>
    <s v="ABDUL BUILDING MATERIALS"/>
    <n v="170204"/>
    <s v="GOYAL BUILDING MATERIAL"/>
    <n v="21"/>
    <n v="70"/>
    <n v="112"/>
    <n v="154"/>
    <n v="0"/>
    <n v="20"/>
    <n v="0"/>
    <n v="42"/>
    <n v="72"/>
    <n v="77"/>
    <n v="70"/>
    <n v="45"/>
    <n v="683"/>
  </r>
  <r>
    <x v="950"/>
    <n v="811033"/>
    <s v="VEER TEJA BUILDING MATERIAL"/>
    <n v="179877"/>
    <s v="HANUMANGARH  INT SUPPLIERS"/>
    <n v="0"/>
    <n v="25"/>
    <n v="0"/>
    <n v="0"/>
    <n v="0"/>
    <n v="0"/>
    <n v="0"/>
    <n v="0"/>
    <n v="0"/>
    <n v="0"/>
    <n v="0"/>
    <n v="0"/>
    <n v="25"/>
  </r>
  <r>
    <x v="951"/>
    <n v="811034"/>
    <s v="AJAY KUMAR SALVI"/>
    <n v="207643"/>
    <s v="SHREE SANWALIYA TRADERS"/>
    <n v="0"/>
    <n v="0"/>
    <n v="40"/>
    <n v="0"/>
    <n v="0"/>
    <n v="5"/>
    <n v="0"/>
    <n v="0"/>
    <n v="0"/>
    <n v="0"/>
    <n v="0"/>
    <n v="0"/>
    <n v="45"/>
  </r>
  <r>
    <x v="952"/>
    <n v="811036"/>
    <s v="JAGDISH CHANDAR KUMAWAT"/>
    <n v="170846"/>
    <s v="SANGAM ENTERPRISES"/>
    <n v="0"/>
    <n v="25.75"/>
    <n v="0"/>
    <n v="18.5"/>
    <n v="0"/>
    <n v="20"/>
    <n v="0"/>
    <n v="5"/>
    <n v="10"/>
    <n v="0"/>
    <n v="0"/>
    <n v="49"/>
    <n v="128.25"/>
  </r>
  <r>
    <x v="953"/>
    <n v="811037"/>
    <s v="PAWAN KUMAR PRAJAPAT"/>
    <n v="179869"/>
    <s v="SHREE BALAJI CEMENT"/>
    <n v="83"/>
    <n v="85"/>
    <n v="46"/>
    <n v="20.5"/>
    <n v="52"/>
    <n v="20"/>
    <n v="37.5"/>
    <n v="19"/>
    <n v="82.5"/>
    <n v="55"/>
    <n v="7.5"/>
    <n v="115.5"/>
    <n v="623.5"/>
  </r>
  <r>
    <x v="954"/>
    <n v="811038"/>
    <s v="JAGDAMBA CEMENT SUPPLIER"/>
    <n v="172497"/>
    <s v="VINAYAK INDUSTRIES"/>
    <n v="0"/>
    <n v="0"/>
    <n v="0"/>
    <n v="0"/>
    <n v="0"/>
    <n v="0"/>
    <n v="0"/>
    <n v="0"/>
    <n v="10"/>
    <n v="10"/>
    <n v="0"/>
    <n v="0"/>
    <n v="20"/>
  </r>
  <r>
    <x v="955"/>
    <n v="811045"/>
    <s v="MATESHWARI CEMENT SUPPLIERS"/>
    <n v="172905"/>
    <s v="SHRI CHARBHUJA CEMENT SUPPLIER"/>
    <n v="0"/>
    <n v="0"/>
    <n v="0"/>
    <n v="0"/>
    <n v="5"/>
    <n v="20"/>
    <n v="10"/>
    <n v="0"/>
    <n v="52.5"/>
    <n v="27"/>
    <n v="21"/>
    <n v="35"/>
    <n v="170.5"/>
  </r>
  <r>
    <x v="956"/>
    <n v="811047"/>
    <s v="RAI SINGH AND SANTOSH KUNWAR"/>
    <n v="174756"/>
    <s v="SHAH TRADERS"/>
    <n v="25"/>
    <n v="35"/>
    <n v="66.25"/>
    <n v="26"/>
    <n v="35"/>
    <n v="22.5"/>
    <n v="63.5"/>
    <n v="45"/>
    <n v="39"/>
    <n v="95"/>
    <n v="77.5"/>
    <n v="75"/>
    <n v="604.75"/>
  </r>
  <r>
    <x v="957"/>
    <n v="811049"/>
    <s v="HANUMAN SINGH DAIYA"/>
    <n v="119117"/>
    <s v="RAHMATULLA CEMENT AGENCY"/>
    <n v="0"/>
    <n v="0"/>
    <n v="0"/>
    <n v="0"/>
    <n v="0"/>
    <n v="35"/>
    <n v="10"/>
    <n v="65"/>
    <n v="76"/>
    <n v="30"/>
    <n v="0"/>
    <n v="50"/>
    <n v="266"/>
  </r>
  <r>
    <x v="958"/>
    <n v="811051"/>
    <s v="JAI AAI MATAJI"/>
    <n v="173849"/>
    <s v="MAHADEV HARDWARE"/>
    <n v="20"/>
    <n v="0"/>
    <n v="0"/>
    <n v="10"/>
    <n v="10"/>
    <n v="0"/>
    <n v="22"/>
    <n v="0"/>
    <n v="10"/>
    <n v="9.25"/>
    <n v="10"/>
    <n v="0"/>
    <n v="91.25"/>
  </r>
  <r>
    <x v="959"/>
    <n v="811052"/>
    <s v="DEVASI TRADING COMPANY"/>
    <n v="178219"/>
    <s v="BALAJI CEMENT COMPANY"/>
    <n v="1"/>
    <n v="0"/>
    <n v="20"/>
    <n v="0"/>
    <n v="0"/>
    <n v="0"/>
    <n v="0"/>
    <n v="0"/>
    <n v="0"/>
    <n v="0"/>
    <n v="0"/>
    <n v="0"/>
    <n v="21"/>
  </r>
  <r>
    <x v="960"/>
    <n v="811064"/>
    <s v="SHREE SHYAM SANITARY AND HARDW"/>
    <n v="170248"/>
    <s v="MAHAVEER ENTERPRISES"/>
    <n v="1"/>
    <n v="0"/>
    <n v="1.25"/>
    <n v="0"/>
    <n v="29.25"/>
    <n v="7.5"/>
    <n v="10"/>
    <n v="0"/>
    <n v="2"/>
    <n v="16"/>
    <n v="0"/>
    <n v="0"/>
    <n v="67"/>
  </r>
  <r>
    <x v="961"/>
    <n v="811066"/>
    <s v="BABA RAMDEV PAINTS &amp; HARDWARE"/>
    <n v="119038"/>
    <s v="NAVEEN DISTRIBUTORS"/>
    <n v="85"/>
    <n v="0"/>
    <n v="25"/>
    <n v="30"/>
    <n v="30"/>
    <n v="20"/>
    <n v="18.5"/>
    <n v="21.1"/>
    <n v="30"/>
    <n v="0"/>
    <n v="75.5"/>
    <n v="0"/>
    <n v="335.1"/>
  </r>
  <r>
    <x v="962"/>
    <n v="811070"/>
    <s v="SHRI BHAIRUNATH CEMENT SUPPLIE"/>
    <n v="170501"/>
    <s v="GURU OM KRIPA CEMENT SUPPLIERS"/>
    <n v="23.75"/>
    <n v="5"/>
    <n v="33"/>
    <n v="21"/>
    <n v="7.5"/>
    <n v="5"/>
    <n v="0"/>
    <n v="5"/>
    <n v="7.5"/>
    <n v="0"/>
    <n v="0"/>
    <n v="0"/>
    <n v="107.75"/>
  </r>
  <r>
    <x v="963"/>
    <n v="811071"/>
    <s v="MAA ASHAPURA CEMENT DEPOT"/>
    <n v="173288"/>
    <s v="BHAGWATI STEELS"/>
    <n v="0"/>
    <n v="26"/>
    <n v="16"/>
    <n v="7.5"/>
    <n v="0"/>
    <n v="18"/>
    <n v="12"/>
    <n v="6"/>
    <n v="0"/>
    <n v="0"/>
    <n v="0"/>
    <n v="0"/>
    <n v="85.5"/>
  </r>
  <r>
    <x v="964"/>
    <n v="811085"/>
    <s v="SHREE BALAJI SAND STONE &amp; CUTT"/>
    <n v="178230"/>
    <s v="SHREE RADHEY BUILDING MATERIAL"/>
    <n v="10"/>
    <n v="0"/>
    <n v="0"/>
    <n v="7.5"/>
    <n v="0"/>
    <n v="0"/>
    <n v="0"/>
    <n v="0"/>
    <n v="0"/>
    <n v="0"/>
    <n v="0"/>
    <n v="0"/>
    <n v="17.5"/>
  </r>
  <r>
    <x v="965"/>
    <n v="811086"/>
    <s v="MAHADEV CEMENT AGENCY"/>
    <n v="178230"/>
    <s v="SHREE RADHEY BUILDING MATERIAL"/>
    <n v="36"/>
    <n v="40"/>
    <n v="70"/>
    <n v="86"/>
    <n v="23.5"/>
    <n v="40"/>
    <n v="50"/>
    <n v="0"/>
    <n v="15"/>
    <n v="45"/>
    <n v="20"/>
    <n v="46"/>
    <n v="471.5"/>
  </r>
  <r>
    <x v="966"/>
    <n v="811088"/>
    <s v="DEVENDRA KUMAR JAIN"/>
    <n v="143114"/>
    <s v="RAJESH TRADING COMPANY"/>
    <n v="53"/>
    <n v="15"/>
    <n v="95.5"/>
    <n v="102.5"/>
    <n v="87.5"/>
    <n v="70"/>
    <n v="32.5"/>
    <n v="60"/>
    <n v="78"/>
    <n v="80"/>
    <n v="66.25"/>
    <n v="37.5"/>
    <n v="777.75"/>
  </r>
  <r>
    <x v="967"/>
    <n v="811089"/>
    <s v="HANUMANGARH INT SUPPLIERS"/>
    <n v="170228"/>
    <s v="SHRI RAM TRADERS"/>
    <n v="0"/>
    <n v="0"/>
    <n v="0"/>
    <n v="0"/>
    <n v="0"/>
    <n v="0"/>
    <n v="0"/>
    <n v="0"/>
    <n v="0"/>
    <n v="8.5"/>
    <n v="0"/>
    <n v="0"/>
    <n v="8.5"/>
  </r>
  <r>
    <x v="968"/>
    <n v="811089"/>
    <s v="HANUMANGARH INT SUPPLIERS"/>
    <n v="179877"/>
    <s v="HANUMANGARH  INT SUPPLIERS"/>
    <n v="71.95"/>
    <n v="66"/>
    <n v="95"/>
    <n v="73.55"/>
    <n v="88.5"/>
    <n v="113"/>
    <n v="151"/>
    <n v="91.5"/>
    <n v="142.5"/>
    <n v="151"/>
    <n v="75"/>
    <n v="142.9"/>
    <n v="1261.9000000000001"/>
  </r>
  <r>
    <x v="969"/>
    <n v="811091"/>
    <s v="SHRI SHYAM STEEL"/>
    <n v="140481"/>
    <s v="Goyal &amp; Co."/>
    <n v="0"/>
    <n v="10"/>
    <n v="0"/>
    <n v="20"/>
    <n v="0"/>
    <n v="0"/>
    <n v="0"/>
    <n v="0"/>
    <n v="0"/>
    <n v="0"/>
    <n v="0"/>
    <n v="0"/>
    <n v="30"/>
  </r>
  <r>
    <x v="970"/>
    <n v="811092"/>
    <s v="RIDHIMA ENTERPRISES"/>
    <n v="176641"/>
    <s v="UMA IRON &amp; CEMENT AGENCY"/>
    <n v="166"/>
    <n v="40.549999999999997"/>
    <n v="105"/>
    <n v="38.5"/>
    <n v="79"/>
    <n v="106.5"/>
    <n v="67.5"/>
    <n v="40"/>
    <n v="73.5"/>
    <n v="41"/>
    <n v="36"/>
    <n v="106.5"/>
    <n v="900.05"/>
  </r>
  <r>
    <x v="971"/>
    <n v="811093"/>
    <s v="YOGENDRA GOYAL"/>
    <n v="176844"/>
    <s v="MITTAL BUILDING MATERIAL"/>
    <n v="0"/>
    <n v="20"/>
    <n v="60"/>
    <n v="55"/>
    <n v="20"/>
    <n v="20"/>
    <n v="32"/>
    <n v="42"/>
    <n v="20"/>
    <n v="40"/>
    <n v="20"/>
    <n v="0"/>
    <n v="329"/>
  </r>
  <r>
    <x v="972"/>
    <n v="811098"/>
    <s v="GOVIND CEMENT"/>
    <n v="119038"/>
    <s v="NAVEEN DISTRIBUTORS"/>
    <n v="0"/>
    <n v="0"/>
    <n v="0"/>
    <n v="20"/>
    <n v="45"/>
    <n v="105"/>
    <n v="35"/>
    <n v="70"/>
    <n v="0"/>
    <n v="0"/>
    <n v="0"/>
    <n v="35"/>
    <n v="310"/>
  </r>
  <r>
    <x v="973"/>
    <n v="811099"/>
    <s v="SHRAWAN SINGH"/>
    <n v="179869"/>
    <s v="SHREE BALAJI CEMENT"/>
    <n v="0"/>
    <n v="0"/>
    <n v="20"/>
    <n v="16"/>
    <n v="1"/>
    <n v="0"/>
    <n v="22.5"/>
    <n v="10"/>
    <n v="32.5"/>
    <n v="15"/>
    <n v="35"/>
    <n v="23"/>
    <n v="175"/>
  </r>
  <r>
    <x v="974"/>
    <n v="811106"/>
    <s v="SATISH CHAND GUPTA"/>
    <n v="178237"/>
    <s v="BADAYA TRADERS"/>
    <n v="196"/>
    <n v="182.5"/>
    <n v="196.25"/>
    <n v="149"/>
    <n v="130.5"/>
    <n v="194"/>
    <n v="209.5"/>
    <n v="143"/>
    <n v="259"/>
    <n v="171.25"/>
    <n v="170.5"/>
    <n v="281.45"/>
    <n v="2282.9499999999998"/>
  </r>
  <r>
    <x v="975"/>
    <n v="811106"/>
    <s v="SATISH CHAND GUPTA"/>
    <n v="178234"/>
    <s v="SHREE GIRIRAJ TRADERS"/>
    <n v="0"/>
    <n v="0"/>
    <n v="0"/>
    <n v="0"/>
    <n v="0"/>
    <n v="0"/>
    <n v="0"/>
    <n v="0"/>
    <n v="10"/>
    <n v="0"/>
    <n v="0"/>
    <n v="0"/>
    <n v="10"/>
  </r>
  <r>
    <x v="976"/>
    <n v="811107"/>
    <s v="GURU KRIPA BUILDING MATERIAL"/>
    <n v="170204"/>
    <s v="GOYAL BUILDING MATERIAL"/>
    <n v="0"/>
    <n v="0"/>
    <n v="0"/>
    <n v="3"/>
    <n v="0"/>
    <n v="0"/>
    <n v="0"/>
    <n v="0"/>
    <n v="0"/>
    <n v="0"/>
    <n v="0"/>
    <n v="0"/>
    <n v="3"/>
  </r>
  <r>
    <x v="977"/>
    <n v="811118"/>
    <s v="PRIYANKA BUILDING CONTRACTOR"/>
    <n v="141905"/>
    <s v="BS ENTERPRISES"/>
    <n v="40"/>
    <n v="51"/>
    <n v="0"/>
    <n v="30"/>
    <n v="37"/>
    <n v="20"/>
    <n v="23"/>
    <n v="17.5"/>
    <n v="10"/>
    <n v="0"/>
    <n v="0"/>
    <n v="10"/>
    <n v="238.5"/>
  </r>
  <r>
    <x v="978"/>
    <n v="811119"/>
    <s v="RUPA RAM"/>
    <n v="177068"/>
    <s v="MAHALAXMI ENTERPRISES"/>
    <n v="0"/>
    <n v="0"/>
    <n v="0"/>
    <n v="0"/>
    <n v="0"/>
    <n v="0"/>
    <n v="0"/>
    <n v="0"/>
    <n v="0"/>
    <n v="0"/>
    <n v="0"/>
    <n v="27"/>
    <n v="27"/>
  </r>
  <r>
    <x v="979"/>
    <n v="811119"/>
    <s v="RUPA RAM"/>
    <n v="177662"/>
    <s v="MANOJ KUMAR S/0 BHERA RAM"/>
    <n v="31.5"/>
    <n v="20"/>
    <n v="7.5"/>
    <n v="56.5"/>
    <n v="42"/>
    <n v="49"/>
    <n v="17.5"/>
    <n v="0"/>
    <n v="33"/>
    <n v="21"/>
    <n v="15.5"/>
    <n v="35"/>
    <n v="328.5"/>
  </r>
  <r>
    <x v="980"/>
    <n v="811121"/>
    <s v="AMRIT LAL PATEL"/>
    <n v="143607"/>
    <s v="KRISHNA AGENCIES"/>
    <n v="10"/>
    <n v="60"/>
    <n v="25"/>
    <n v="39"/>
    <n v="40"/>
    <n v="13"/>
    <n v="20"/>
    <n v="50"/>
    <n v="57.5"/>
    <n v="37.5"/>
    <n v="43.5"/>
    <n v="34"/>
    <n v="429.5"/>
  </r>
  <r>
    <x v="981"/>
    <n v="811134"/>
    <s v="ANKUR ENTERPRISES"/>
    <n v="173749"/>
    <s v="NIDHI ENTERPRISES"/>
    <n v="0"/>
    <n v="0"/>
    <n v="0"/>
    <n v="0"/>
    <n v="0"/>
    <n v="2.5"/>
    <n v="0"/>
    <n v="0"/>
    <n v="5"/>
    <n v="0"/>
    <n v="0"/>
    <n v="0"/>
    <n v="7.5"/>
  </r>
  <r>
    <x v="982"/>
    <n v="811135"/>
    <s v="KANHA BUILDERS"/>
    <n v="175288"/>
    <s v="LAXMI TRADERS"/>
    <n v="80"/>
    <n v="80"/>
    <n v="95"/>
    <n v="90"/>
    <n v="50"/>
    <n v="50"/>
    <n v="100"/>
    <n v="150"/>
    <n v="163"/>
    <n v="160"/>
    <n v="115"/>
    <n v="115"/>
    <n v="1248"/>
  </r>
  <r>
    <x v="983"/>
    <n v="811136"/>
    <s v="KASHAN ENTERPRISES"/>
    <n v="174166"/>
    <s v="NAMOKAR STONE TRADERS"/>
    <n v="177"/>
    <n v="141.25"/>
    <n v="155"/>
    <n v="140"/>
    <n v="107.5"/>
    <n v="110"/>
    <n v="103.5"/>
    <n v="10"/>
    <n v="0"/>
    <n v="0"/>
    <n v="0"/>
    <n v="0"/>
    <n v="944.25"/>
  </r>
  <r>
    <x v="984"/>
    <n v="811136"/>
    <s v="KASHAN ENTERPRISES"/>
    <n v="175856"/>
    <s v="SUMAN AGENCY"/>
    <n v="25"/>
    <n v="0"/>
    <n v="0"/>
    <n v="0"/>
    <n v="0"/>
    <n v="0"/>
    <n v="0"/>
    <n v="0"/>
    <n v="0"/>
    <n v="0"/>
    <n v="0"/>
    <n v="0"/>
    <n v="25"/>
  </r>
  <r>
    <x v="985"/>
    <n v="811137"/>
    <s v="AGARWAL TRADERS"/>
    <n v="177957"/>
    <s v="MITTAL AGENCY"/>
    <n v="33.5"/>
    <n v="33.75"/>
    <n v="91.75"/>
    <n v="83.5"/>
    <n v="85.5"/>
    <n v="85.5"/>
    <n v="38.9"/>
    <n v="44.25"/>
    <n v="85.25"/>
    <n v="117.25"/>
    <n v="63.3"/>
    <n v="161.25"/>
    <n v="923.69999999999993"/>
  </r>
  <r>
    <x v="986"/>
    <n v="811138"/>
    <s v="NILESH JAIN"/>
    <n v="173310"/>
    <s v="NAGORA  &amp; COMPANY"/>
    <n v="50"/>
    <n v="49.5"/>
    <n v="101"/>
    <n v="77"/>
    <n v="60.5"/>
    <n v="50.75"/>
    <n v="55.5"/>
    <n v="35"/>
    <n v="50.1"/>
    <n v="32"/>
    <n v="62.45"/>
    <n v="93.95"/>
    <n v="717.75000000000011"/>
  </r>
  <r>
    <x v="987"/>
    <n v="811139"/>
    <s v="YUVRAJ CEMENT SALES"/>
    <n v="170248"/>
    <s v="MAHAVEER ENTERPRISES"/>
    <n v="3"/>
    <n v="0"/>
    <n v="0"/>
    <n v="0"/>
    <n v="0"/>
    <n v="0"/>
    <n v="0"/>
    <n v="0"/>
    <n v="0"/>
    <n v="0"/>
    <n v="0"/>
    <n v="0"/>
    <n v="3"/>
  </r>
  <r>
    <x v="988"/>
    <n v="811165"/>
    <s v="ROHIT KUMAR MITTAL"/>
    <n v="176844"/>
    <s v="MITTAL BUILDING MATERIAL"/>
    <n v="0"/>
    <n v="30"/>
    <n v="30"/>
    <n v="67"/>
    <n v="15"/>
    <n v="47"/>
    <n v="20"/>
    <n v="0"/>
    <n v="15"/>
    <n v="65"/>
    <n v="63.5"/>
    <n v="50"/>
    <n v="402.5"/>
  </r>
  <r>
    <x v="989"/>
    <n v="811172"/>
    <s v="SAMAY BUILD TECH"/>
    <n v="172640"/>
    <s v="KUSHAL TRADERS"/>
    <n v="36"/>
    <n v="20"/>
    <n v="118.75"/>
    <n v="149"/>
    <n v="76"/>
    <n v="92"/>
    <n v="55"/>
    <n v="149"/>
    <n v="98.5"/>
    <n v="95.5"/>
    <n v="124.5"/>
    <n v="151"/>
    <n v="1165.25"/>
  </r>
  <r>
    <x v="990"/>
    <n v="811173"/>
    <s v="PREM RAJ SUTHAR"/>
    <n v="177290"/>
    <s v="SHREE CHARBHUJA BUILDING MATER"/>
    <n v="14"/>
    <n v="30"/>
    <n v="30"/>
    <n v="13"/>
    <n v="1"/>
    <n v="20"/>
    <n v="0"/>
    <n v="0"/>
    <n v="0"/>
    <n v="10"/>
    <n v="0"/>
    <n v="20"/>
    <n v="138"/>
  </r>
  <r>
    <x v="991"/>
    <n v="811181"/>
    <s v="BALAJI MARBLE AND GRENIGHT"/>
    <n v="170228"/>
    <s v="SHRI RAM TRADERS"/>
    <n v="0"/>
    <n v="0"/>
    <n v="0"/>
    <n v="0"/>
    <n v="0"/>
    <n v="0"/>
    <n v="0"/>
    <n v="0"/>
    <n v="0"/>
    <n v="35"/>
    <n v="0"/>
    <n v="0"/>
    <n v="35"/>
  </r>
  <r>
    <x v="992"/>
    <n v="811182"/>
    <s v="SHREE DHARNEDHAR JI BUILDING M"/>
    <n v="174316"/>
    <s v="DHAKAD BUILDING MATERIALS SUPP"/>
    <n v="54"/>
    <n v="67"/>
    <n v="40"/>
    <n v="37"/>
    <n v="30"/>
    <n v="25"/>
    <n v="40"/>
    <n v="5"/>
    <n v="20"/>
    <n v="15"/>
    <n v="88"/>
    <n v="54"/>
    <n v="475"/>
  </r>
  <r>
    <x v="993"/>
    <n v="811183"/>
    <s v="SHARMA BUILDING MATERIAL SUPPL"/>
    <n v="174445"/>
    <s v="RAM JI BUILDING MATERIAL SUPPL"/>
    <n v="16"/>
    <n v="22.5"/>
    <n v="15"/>
    <n v="54"/>
    <n v="20"/>
    <n v="19"/>
    <n v="10"/>
    <n v="11"/>
    <n v="40"/>
    <n v="25"/>
    <n v="26"/>
    <n v="144"/>
    <n v="402.5"/>
  </r>
  <r>
    <x v="994"/>
    <n v="811184"/>
    <s v="BAJRANG LAL JAT"/>
    <n v="201090"/>
    <s v="SHANKAR LAL CONSTRUCTION CO"/>
    <n v="16"/>
    <n v="0"/>
    <n v="0"/>
    <n v="0"/>
    <n v="0"/>
    <n v="0"/>
    <n v="0"/>
    <n v="0"/>
    <n v="0"/>
    <n v="0"/>
    <n v="0"/>
    <n v="0"/>
    <n v="16"/>
  </r>
  <r>
    <x v="995"/>
    <n v="811185"/>
    <s v="SHREE ARIHANT TRADING COMPANY"/>
    <n v="119034"/>
    <s v="SOGANI AGENCIES"/>
    <n v="35"/>
    <n v="29.5"/>
    <n v="0"/>
    <n v="0"/>
    <n v="0"/>
    <n v="5"/>
    <n v="0"/>
    <n v="25"/>
    <n v="15"/>
    <n v="0"/>
    <n v="0"/>
    <n v="20"/>
    <n v="129.5"/>
  </r>
  <r>
    <x v="996"/>
    <n v="811186"/>
    <s v="SHUBHAM ENTERPRISES"/>
    <n v="143607"/>
    <s v="KRISHNA AGENCIES"/>
    <n v="37"/>
    <n v="60"/>
    <n v="50"/>
    <n v="72"/>
    <n v="77"/>
    <n v="38"/>
    <n v="20"/>
    <n v="24"/>
    <n v="69.5"/>
    <n v="55"/>
    <n v="52.5"/>
    <n v="45"/>
    <n v="600"/>
  </r>
  <r>
    <x v="997"/>
    <n v="811187"/>
    <s v="BHANWAR LAL SUTHAR"/>
    <n v="140967"/>
    <s v="B.L.JAIN &amp; SONS"/>
    <n v="30"/>
    <n v="10"/>
    <n v="0"/>
    <n v="20"/>
    <n v="85"/>
    <n v="0"/>
    <n v="0"/>
    <n v="0"/>
    <n v="52.5"/>
    <n v="0"/>
    <n v="131.85"/>
    <n v="141"/>
    <n v="470.35"/>
  </r>
  <r>
    <x v="998"/>
    <n v="811189"/>
    <s v="JAY RAM S/O RANA RAM"/>
    <n v="176833"/>
    <s v="NAKORA CEMENT SUPPLIERS"/>
    <n v="170"/>
    <n v="177"/>
    <n v="152"/>
    <n v="65"/>
    <n v="135"/>
    <n v="42"/>
    <n v="101"/>
    <n v="45"/>
    <n v="171"/>
    <n v="95"/>
    <n v="90"/>
    <n v="97"/>
    <n v="1340"/>
  </r>
  <r>
    <x v="999"/>
    <n v="811191"/>
    <s v="MONU KUMAR TELI"/>
    <n v="207977"/>
    <s v="YASH TRADERS"/>
    <n v="20"/>
    <n v="35"/>
    <n v="20"/>
    <n v="27"/>
    <n v="30"/>
    <n v="6"/>
    <n v="22"/>
    <n v="10"/>
    <n v="8"/>
    <n v="20"/>
    <n v="20"/>
    <n v="30"/>
    <n v="248"/>
  </r>
  <r>
    <x v="1000"/>
    <n v="811192"/>
    <s v="MONIKA TRADERS"/>
    <n v="174166"/>
    <s v="NAMOKAR STONE TRADERS"/>
    <n v="0"/>
    <n v="30"/>
    <n v="65"/>
    <n v="30"/>
    <n v="42.5"/>
    <n v="52.5"/>
    <n v="82.85"/>
    <n v="75"/>
    <n v="55"/>
    <n v="45"/>
    <n v="136.5"/>
    <n v="55"/>
    <n v="669.35"/>
  </r>
  <r>
    <x v="1001"/>
    <n v="811214"/>
    <s v="BHAGWATI BUILDING MATERIAL"/>
    <n v="173288"/>
    <s v="BHAGWATI STEELS"/>
    <n v="0"/>
    <n v="26"/>
    <n v="45"/>
    <n v="13"/>
    <n v="9"/>
    <n v="22"/>
    <n v="12"/>
    <n v="12"/>
    <n v="10"/>
    <n v="32"/>
    <n v="29"/>
    <n v="86"/>
    <n v="296"/>
  </r>
  <r>
    <x v="1002"/>
    <n v="811218"/>
    <s v="DEEPAK TRADING COMPANY"/>
    <n v="178236"/>
    <s v="BHORIWAL CEMENT UDYOG"/>
    <n v="66.8"/>
    <n v="198"/>
    <n v="45.5"/>
    <n v="131.25"/>
    <n v="54.75"/>
    <n v="73"/>
    <n v="15"/>
    <n v="0"/>
    <n v="60"/>
    <n v="30"/>
    <n v="15"/>
    <n v="80"/>
    <n v="769.3"/>
  </r>
  <r>
    <x v="1003"/>
    <n v="811219"/>
    <s v="HIMANSHU CEMENT AGENCY"/>
    <n v="143301"/>
    <s v="LAXMI TRADERS"/>
    <n v="0"/>
    <n v="0"/>
    <n v="0"/>
    <n v="17.5"/>
    <n v="4"/>
    <n v="26.5"/>
    <n v="7.5"/>
    <n v="0"/>
    <n v="0"/>
    <n v="0"/>
    <n v="26.5"/>
    <n v="0"/>
    <n v="82"/>
  </r>
  <r>
    <x v="1004"/>
    <n v="811241"/>
    <s v="GOHIL TRADING COMPANY"/>
    <n v="170146"/>
    <s v="KASLIWAL KRISHI SEWA KENDRA"/>
    <n v="0"/>
    <n v="0"/>
    <n v="0"/>
    <n v="10"/>
    <n v="0"/>
    <n v="0"/>
    <n v="0"/>
    <n v="0"/>
    <n v="0"/>
    <n v="0"/>
    <n v="0"/>
    <n v="0"/>
    <n v="10"/>
  </r>
  <r>
    <x v="1005"/>
    <n v="811242"/>
    <s v="ASHISH SUPPLIERS"/>
    <n v="147770"/>
    <s v="POOJA TRADERS"/>
    <n v="0"/>
    <n v="0"/>
    <n v="0"/>
    <n v="0"/>
    <n v="0"/>
    <n v="0"/>
    <n v="0"/>
    <n v="0"/>
    <n v="0"/>
    <n v="19.600000000000001"/>
    <n v="19"/>
    <n v="5"/>
    <n v="43.6"/>
  </r>
  <r>
    <x v="1006"/>
    <n v="811243"/>
    <s v="ANKIT TRADERS &amp; CONSTRUCTION"/>
    <n v="176303"/>
    <s v="ASHISH TRADERS"/>
    <n v="0"/>
    <n v="40"/>
    <n v="0"/>
    <n v="0"/>
    <n v="0"/>
    <n v="0"/>
    <n v="5"/>
    <n v="0"/>
    <n v="0"/>
    <n v="5"/>
    <n v="5"/>
    <n v="0"/>
    <n v="55"/>
  </r>
  <r>
    <x v="1007"/>
    <n v="811244"/>
    <s v="MOHAN SINGH"/>
    <n v="178768"/>
    <s v="JAI BAJRANG CEMENT AGENCIES"/>
    <n v="0"/>
    <n v="15"/>
    <n v="0"/>
    <n v="41"/>
    <n v="0"/>
    <n v="35"/>
    <n v="0"/>
    <n v="0"/>
    <n v="18"/>
    <n v="0"/>
    <n v="0"/>
    <n v="5"/>
    <n v="114"/>
  </r>
  <r>
    <x v="1008"/>
    <n v="811251"/>
    <s v="VIVEK ENTERPRISES"/>
    <n v="144868"/>
    <s v="ASHISH SALES CORPORATION"/>
    <n v="8"/>
    <n v="0"/>
    <n v="5"/>
    <n v="5"/>
    <n v="10"/>
    <n v="0"/>
    <n v="5"/>
    <n v="12.5"/>
    <n v="14"/>
    <n v="20"/>
    <n v="14.5"/>
    <n v="25"/>
    <n v="119"/>
  </r>
  <r>
    <x v="1009"/>
    <n v="811253"/>
    <s v="GALAXY AGENCY"/>
    <n v="119066"/>
    <s v="RAJENDRA KUMAR RATAN LAL JAIN"/>
    <n v="0"/>
    <n v="0"/>
    <n v="0"/>
    <n v="0"/>
    <n v="0"/>
    <n v="0"/>
    <n v="0"/>
    <n v="0"/>
    <n v="0"/>
    <n v="0"/>
    <n v="0"/>
    <n v="57"/>
    <n v="57"/>
  </r>
  <r>
    <x v="1010"/>
    <n v="811254"/>
    <s v="BHARAT LAL PATIDAR"/>
    <n v="202881"/>
    <s v="MS SANITARY &amp; PAINTS"/>
    <n v="0"/>
    <n v="0"/>
    <n v="20"/>
    <n v="0"/>
    <n v="0"/>
    <n v="0"/>
    <n v="0"/>
    <n v="0"/>
    <n v="0"/>
    <n v="0"/>
    <n v="0"/>
    <n v="0"/>
    <n v="20"/>
  </r>
  <r>
    <x v="1011"/>
    <n v="811254"/>
    <s v="BHARAT LAL PATIDAR"/>
    <n v="208066"/>
    <s v="SHIV CORPORATION"/>
    <n v="0"/>
    <n v="0"/>
    <n v="0"/>
    <n v="0"/>
    <n v="9.5"/>
    <n v="16"/>
    <n v="7"/>
    <n v="0"/>
    <n v="25"/>
    <n v="0"/>
    <n v="0"/>
    <n v="0"/>
    <n v="57.5"/>
  </r>
  <r>
    <x v="1012"/>
    <n v="811255"/>
    <s v="SHAKTI STEEL"/>
    <n v="176773"/>
    <s v="MANIK CHAND LAKHMI CHAND"/>
    <n v="15"/>
    <n v="15"/>
    <n v="15"/>
    <n v="26.25"/>
    <n v="15"/>
    <n v="15"/>
    <n v="15"/>
    <n v="15"/>
    <n v="0"/>
    <n v="0"/>
    <n v="0"/>
    <n v="0"/>
    <n v="131.25"/>
  </r>
  <r>
    <x v="1013"/>
    <n v="811256"/>
    <s v="DURGA RAM"/>
    <n v="179879"/>
    <s v="JITENDRA &amp; COMPANY"/>
    <n v="0"/>
    <n v="35"/>
    <n v="49"/>
    <n v="9"/>
    <n v="41"/>
    <n v="0"/>
    <n v="20"/>
    <n v="15"/>
    <n v="28.5"/>
    <n v="15"/>
    <n v="60"/>
    <n v="20"/>
    <n v="292.5"/>
  </r>
  <r>
    <x v="1014"/>
    <n v="811270"/>
    <s v="VARDHMAN AGENCIES"/>
    <n v="179560"/>
    <s v="TIRUPATI TRADING COMPANY"/>
    <n v="33.5"/>
    <n v="55"/>
    <n v="95"/>
    <n v="154.80000000000001"/>
    <n v="234.5"/>
    <n v="206.25"/>
    <n v="109"/>
    <n v="145"/>
    <n v="110"/>
    <n v="150"/>
    <n v="115"/>
    <n v="74.849999999999994"/>
    <n v="1482.8999999999999"/>
  </r>
  <r>
    <x v="1015"/>
    <n v="811271"/>
    <s v="ASHAPURA PAINTS"/>
    <n v="141115"/>
    <s v="KALPESH CEMENT AGENCY"/>
    <n v="51.5"/>
    <n v="0"/>
    <n v="0"/>
    <n v="61.5"/>
    <n v="30"/>
    <n v="0"/>
    <n v="90"/>
    <n v="60"/>
    <n v="56.25"/>
    <n v="50"/>
    <n v="51"/>
    <n v="30"/>
    <n v="480.25"/>
  </r>
  <r>
    <x v="1016"/>
    <n v="811273"/>
    <s v="PATEL CEMENT SUPPLEIRS"/>
    <n v="170501"/>
    <s v="GURU OM KRIPA CEMENT SUPPLIERS"/>
    <n v="0"/>
    <n v="10"/>
    <n v="10"/>
    <n v="9.5"/>
    <n v="0"/>
    <n v="0"/>
    <n v="0"/>
    <n v="0"/>
    <n v="0"/>
    <n v="0"/>
    <n v="5"/>
    <n v="45.25"/>
    <n v="79.75"/>
  </r>
  <r>
    <x v="1017"/>
    <n v="811274"/>
    <s v="MAHENDRA SINGH RAJPUT"/>
    <n v="140848"/>
    <s v="PADAM CEMENT SUPPLIERS"/>
    <n v="20"/>
    <n v="40"/>
    <n v="20"/>
    <n v="37.5"/>
    <n v="41"/>
    <n v="40"/>
    <n v="10"/>
    <n v="60"/>
    <n v="10"/>
    <n v="0"/>
    <n v="10"/>
    <n v="10"/>
    <n v="298.5"/>
  </r>
  <r>
    <x v="1018"/>
    <n v="811275"/>
    <s v="PRITHVI BUILDING MATERIAL"/>
    <n v="179946"/>
    <s v="GAGAN STEEL"/>
    <n v="0"/>
    <n v="0"/>
    <n v="0"/>
    <n v="11"/>
    <n v="0"/>
    <n v="0"/>
    <n v="50"/>
    <n v="0"/>
    <n v="63"/>
    <n v="30"/>
    <n v="25"/>
    <n v="246.25"/>
    <n v="425.25"/>
  </r>
  <r>
    <x v="1019"/>
    <n v="811315"/>
    <s v="SEEMA RANI"/>
    <n v="119031"/>
    <s v="RAMESH CHANDRA RAJENDRA KUMAR"/>
    <n v="43"/>
    <n v="18.850000000000001"/>
    <n v="136.5"/>
    <n v="17.5"/>
    <n v="115"/>
    <n v="42"/>
    <n v="65"/>
    <n v="12"/>
    <n v="37.5"/>
    <n v="133"/>
    <n v="27"/>
    <n v="15"/>
    <n v="662.35"/>
  </r>
  <r>
    <x v="1020"/>
    <n v="811316"/>
    <s v="KADELA BUILDING MATERIAL"/>
    <n v="178230"/>
    <s v="SHREE RADHEY BUILDING MATERIAL"/>
    <n v="100"/>
    <n v="80"/>
    <n v="36"/>
    <n v="127.5"/>
    <n v="26"/>
    <n v="0"/>
    <n v="0"/>
    <n v="10"/>
    <n v="30"/>
    <n v="33.5"/>
    <n v="58.5"/>
    <n v="35"/>
    <n v="536.5"/>
  </r>
  <r>
    <x v="1021"/>
    <n v="811324"/>
    <s v="SAINI BUILDING MATERIAL"/>
    <n v="170204"/>
    <s v="GOYAL BUILDING MATERIAL"/>
    <n v="17.5"/>
    <n v="62.5"/>
    <n v="144"/>
    <n v="30"/>
    <n v="0"/>
    <n v="17.5"/>
    <n v="0"/>
    <n v="15"/>
    <n v="40"/>
    <n v="45"/>
    <n v="36"/>
    <n v="22"/>
    <n v="429.5"/>
  </r>
  <r>
    <x v="1022"/>
    <n v="811328"/>
    <s v="HEM DAN CHARAN"/>
    <n v="176833"/>
    <s v="NAKORA CEMENT SUPPLIERS"/>
    <n v="55"/>
    <n v="55"/>
    <n v="95"/>
    <n v="40"/>
    <n v="70"/>
    <n v="30"/>
    <n v="25"/>
    <n v="45"/>
    <n v="80"/>
    <n v="60"/>
    <n v="20"/>
    <n v="40"/>
    <n v="615"/>
  </r>
  <r>
    <x v="1023"/>
    <n v="811329"/>
    <s v="DALPAT SINGH"/>
    <n v="177595"/>
    <s v="SHAH MITHA LAL SOHAN RAJ"/>
    <n v="0"/>
    <n v="0"/>
    <n v="0"/>
    <n v="0"/>
    <n v="30"/>
    <n v="0"/>
    <n v="0"/>
    <n v="0"/>
    <n v="0"/>
    <n v="0"/>
    <n v="0"/>
    <n v="0"/>
    <n v="30"/>
  </r>
  <r>
    <x v="1024"/>
    <n v="811348"/>
    <s v="JAYANT KUMAR"/>
    <n v="119117"/>
    <s v="RAHMATULLA CEMENT AGENCY"/>
    <n v="0"/>
    <n v="0"/>
    <n v="0"/>
    <n v="0"/>
    <n v="0"/>
    <n v="0"/>
    <n v="0"/>
    <n v="45"/>
    <n v="10"/>
    <n v="0"/>
    <n v="0"/>
    <n v="0"/>
    <n v="55"/>
  </r>
  <r>
    <x v="1025"/>
    <n v="811349"/>
    <s v="NEW MAHADEV CONSTRUCTION COMPA"/>
    <n v="178230"/>
    <s v="SHREE RADHEY BUILDING MATERIAL"/>
    <n v="0"/>
    <n v="0"/>
    <n v="10"/>
    <n v="10"/>
    <n v="30"/>
    <n v="35"/>
    <n v="25"/>
    <n v="25"/>
    <n v="0"/>
    <n v="0"/>
    <n v="8.5"/>
    <n v="16"/>
    <n v="159.5"/>
  </r>
  <r>
    <x v="1026"/>
    <n v="811350"/>
    <s v="BENIWAL CEMENT AGENCY"/>
    <n v="177379"/>
    <s v="MANGILAL &amp; SONS"/>
    <n v="43.5"/>
    <n v="30"/>
    <n v="30"/>
    <n v="20"/>
    <n v="15"/>
    <n v="123.5"/>
    <n v="85"/>
    <n v="60"/>
    <n v="0"/>
    <n v="20"/>
    <n v="60"/>
    <n v="139.5"/>
    <n v="626.5"/>
  </r>
  <r>
    <x v="1027"/>
    <n v="811356"/>
    <s v="DINESH TRADERS"/>
    <n v="170146"/>
    <s v="KASLIWAL KRISHI SEWA KENDRA"/>
    <n v="15"/>
    <n v="20"/>
    <n v="73"/>
    <n v="30"/>
    <n v="62"/>
    <n v="0"/>
    <n v="50"/>
    <n v="5"/>
    <n v="57"/>
    <n v="0"/>
    <n v="0"/>
    <n v="5"/>
    <n v="317"/>
  </r>
  <r>
    <x v="1028"/>
    <n v="811357"/>
    <s v="MEENA TRADING COMPANY"/>
    <n v="170132"/>
    <s v="JAI KOSHLESH TRADING COMPANY"/>
    <n v="0"/>
    <n v="0"/>
    <n v="21"/>
    <n v="0"/>
    <n v="0"/>
    <n v="0"/>
    <n v="0"/>
    <n v="0"/>
    <n v="0"/>
    <n v="0"/>
    <n v="0"/>
    <n v="0"/>
    <n v="21"/>
  </r>
  <r>
    <x v="1029"/>
    <n v="811357"/>
    <s v="MEENA TRADING COMPANY"/>
    <n v="170146"/>
    <s v="KASLIWAL KRISHI SEWA KENDRA"/>
    <n v="0"/>
    <n v="0"/>
    <n v="0"/>
    <n v="21"/>
    <n v="20"/>
    <n v="0"/>
    <n v="10"/>
    <n v="0"/>
    <n v="35"/>
    <n v="6"/>
    <n v="0"/>
    <n v="5"/>
    <n v="97"/>
  </r>
  <r>
    <x v="1030"/>
    <n v="811360"/>
    <s v="SHIKHAR CHAND JAIN"/>
    <n v="170013"/>
    <s v="PADAM CHAND AND BROTHERS"/>
    <n v="15"/>
    <n v="25"/>
    <n v="0"/>
    <n v="73.5"/>
    <n v="47.5"/>
    <n v="59"/>
    <n v="25"/>
    <n v="7"/>
    <n v="38"/>
    <n v="30"/>
    <n v="70"/>
    <n v="80"/>
    <n v="470"/>
  </r>
  <r>
    <x v="1031"/>
    <n v="811385"/>
    <s v="GARV CONSTRUCTION"/>
    <n v="142269"/>
    <s v="CHAMUNDA BUILDING MATERIAL SUP"/>
    <n v="30"/>
    <n v="15"/>
    <n v="63"/>
    <n v="40"/>
    <n v="20"/>
    <n v="10"/>
    <n v="85"/>
    <n v="70"/>
    <n v="30"/>
    <n v="35"/>
    <n v="70"/>
    <n v="116.5"/>
    <n v="584.5"/>
  </r>
  <r>
    <x v="1032"/>
    <n v="811386"/>
    <s v="LUCKY TRADERS"/>
    <n v="119066"/>
    <s v="RAJENDRA KUMAR RATAN LAL JAIN"/>
    <n v="70"/>
    <n v="122"/>
    <n v="160"/>
    <n v="3"/>
    <n v="107"/>
    <n v="104"/>
    <n v="71"/>
    <n v="0"/>
    <n v="107"/>
    <n v="70"/>
    <n v="85"/>
    <n v="100"/>
    <n v="999"/>
  </r>
  <r>
    <x v="1033"/>
    <n v="811387"/>
    <s v="ASHISH KHANDELWAL"/>
    <n v="179560"/>
    <s v="TIRUPATI TRADING COMPANY"/>
    <n v="21"/>
    <n v="0"/>
    <n v="27.5"/>
    <n v="45"/>
    <n v="27.5"/>
    <n v="25"/>
    <n v="5"/>
    <n v="15"/>
    <n v="35"/>
    <n v="10"/>
    <n v="12.5"/>
    <n v="15"/>
    <n v="238.5"/>
  </r>
  <r>
    <x v="1034"/>
    <n v="811401"/>
    <s v="KAMAL SINGH GURJAR"/>
    <n v="145639"/>
    <s v="GOVIND TRADERS"/>
    <n v="0"/>
    <n v="0"/>
    <n v="0"/>
    <n v="4"/>
    <n v="21"/>
    <n v="9"/>
    <n v="0"/>
    <n v="5"/>
    <n v="7.5"/>
    <n v="0"/>
    <n v="0"/>
    <n v="17.5"/>
    <n v="64"/>
  </r>
  <r>
    <x v="1035"/>
    <n v="811402"/>
    <s v="ASHA RAM"/>
    <n v="176869"/>
    <s v="CHHABRA CEMENT SUPPLIERS"/>
    <n v="44"/>
    <n v="72"/>
    <n v="252.5"/>
    <n v="157"/>
    <n v="108.5"/>
    <n v="150"/>
    <n v="55.5"/>
    <n v="35"/>
    <n v="192"/>
    <n v="67.5"/>
    <n v="124.5"/>
    <n v="131"/>
    <n v="1389.5"/>
  </r>
  <r>
    <x v="1036"/>
    <n v="811403"/>
    <s v="AHASAN HUSSAIN CONTRACTOR"/>
    <n v="207977"/>
    <s v="YASH TRADERS"/>
    <n v="0"/>
    <n v="0"/>
    <n v="0"/>
    <n v="0"/>
    <n v="0"/>
    <n v="6"/>
    <n v="5"/>
    <n v="0"/>
    <n v="10"/>
    <n v="0"/>
    <n v="10"/>
    <n v="0"/>
    <n v="31"/>
  </r>
  <r>
    <x v="1037"/>
    <n v="811405"/>
    <s v="KANCHAN DEVI"/>
    <n v="178768"/>
    <s v="JAI BAJRANG CEMENT AGENCIES"/>
    <n v="100"/>
    <n v="80"/>
    <n v="170"/>
    <n v="89.5"/>
    <n v="39"/>
    <n v="93.8"/>
    <n v="15"/>
    <n v="96.2"/>
    <n v="60"/>
    <n v="87.5"/>
    <n v="100"/>
    <n v="160"/>
    <n v="1091"/>
  </r>
  <r>
    <x v="1038"/>
    <n v="811418"/>
    <s v="DIVYA ENTERPRISES"/>
    <n v="174034"/>
    <s v="RADHE BUILDING MATERIAL"/>
    <n v="140"/>
    <n v="65"/>
    <n v="25"/>
    <n v="0"/>
    <n v="0"/>
    <n v="0"/>
    <n v="0"/>
    <n v="0"/>
    <n v="0"/>
    <n v="15"/>
    <n v="30"/>
    <n v="125"/>
    <n v="400"/>
  </r>
  <r>
    <x v="1039"/>
    <n v="811419"/>
    <s v="SUMAR KHAN"/>
    <n v="201578"/>
    <s v="RATHORE SUPPLIER &amp; CONSTRUCTIO"/>
    <n v="0"/>
    <n v="0"/>
    <n v="25"/>
    <n v="0"/>
    <n v="0"/>
    <n v="0"/>
    <n v="0"/>
    <n v="30"/>
    <n v="0"/>
    <n v="15"/>
    <n v="0"/>
    <n v="0"/>
    <n v="70"/>
  </r>
  <r>
    <x v="1040"/>
    <n v="811420"/>
    <s v="SANTOSH KUMAR"/>
    <n v="119221"/>
    <s v="AKSHAY TRADERS"/>
    <n v="0"/>
    <n v="0"/>
    <n v="0"/>
    <n v="0"/>
    <n v="0"/>
    <n v="0"/>
    <n v="0"/>
    <n v="56"/>
    <n v="0"/>
    <n v="0"/>
    <n v="0"/>
    <n v="0"/>
    <n v="56"/>
  </r>
  <r>
    <x v="1041"/>
    <n v="811420"/>
    <s v="SANTOSH KUMAR"/>
    <n v="176833"/>
    <s v="NAKORA CEMENT SUPPLIERS"/>
    <n v="78"/>
    <n v="54"/>
    <n v="60"/>
    <n v="20"/>
    <n v="60"/>
    <n v="25"/>
    <n v="55"/>
    <n v="20"/>
    <n v="75"/>
    <n v="35"/>
    <n v="20"/>
    <n v="50"/>
    <n v="552"/>
  </r>
  <r>
    <x v="1042"/>
    <n v="811422"/>
    <s v="SHARMA TRADERS"/>
    <n v="175288"/>
    <s v="LAXMI TRADERS"/>
    <n v="60"/>
    <n v="60"/>
    <n v="60"/>
    <n v="20"/>
    <n v="20"/>
    <n v="0"/>
    <n v="20"/>
    <n v="70"/>
    <n v="90"/>
    <n v="50"/>
    <n v="105"/>
    <n v="145"/>
    <n v="700"/>
  </r>
  <r>
    <x v="1043"/>
    <n v="811423"/>
    <s v="NEW SHARMA BUILDING MATERIAL"/>
    <n v="141905"/>
    <s v="BS ENTERPRISES"/>
    <n v="0"/>
    <n v="0"/>
    <n v="0"/>
    <n v="0"/>
    <n v="0"/>
    <n v="0"/>
    <n v="10"/>
    <n v="0"/>
    <n v="0"/>
    <n v="5"/>
    <n v="0"/>
    <n v="0"/>
    <n v="15"/>
  </r>
  <r>
    <x v="1044"/>
    <n v="811425"/>
    <s v="JAI MALINATH ENTERPRISES"/>
    <n v="175547"/>
    <s v="S.S.BHATI ENTERPRISES"/>
    <n v="166"/>
    <n v="235"/>
    <n v="211"/>
    <n v="171"/>
    <n v="402"/>
    <n v="290"/>
    <n v="245"/>
    <n v="245"/>
    <n v="347"/>
    <n v="326"/>
    <n v="336"/>
    <n v="415"/>
    <n v="3389"/>
  </r>
  <r>
    <x v="1045"/>
    <n v="811433"/>
    <s v="RAM MARBEL TILE &amp; HARDWARE"/>
    <n v="119038"/>
    <s v="NAVEEN DISTRIBUTORS"/>
    <n v="0"/>
    <n v="0"/>
    <n v="25"/>
    <n v="20"/>
    <n v="10"/>
    <n v="10"/>
    <n v="20"/>
    <n v="0"/>
    <n v="0"/>
    <n v="20"/>
    <n v="20"/>
    <n v="0"/>
    <n v="125"/>
  </r>
  <r>
    <x v="1046"/>
    <n v="811454"/>
    <s v="BALAJI TRADERS"/>
    <n v="144243"/>
    <s v="SHRI SHYAM TRADING COMPANY"/>
    <n v="48.6"/>
    <n v="82"/>
    <n v="52.5"/>
    <n v="15"/>
    <n v="14.5"/>
    <n v="40"/>
    <n v="20"/>
    <n v="15"/>
    <n v="25"/>
    <n v="27.25"/>
    <n v="17"/>
    <n v="50"/>
    <n v="406.85"/>
  </r>
  <r>
    <x v="1047"/>
    <n v="811455"/>
    <s v="MADAN SANITATION"/>
    <n v="176279"/>
    <s v="ADITYA ENTERPRISES"/>
    <n v="5"/>
    <n v="10"/>
    <n v="31.25"/>
    <n v="27.5"/>
    <n v="50"/>
    <n v="50.5"/>
    <n v="19.75"/>
    <n v="12.5"/>
    <n v="37"/>
    <n v="30"/>
    <n v="27.5"/>
    <n v="59"/>
    <n v="360"/>
  </r>
  <r>
    <x v="1048"/>
    <n v="811475"/>
    <s v="SAINI TRADERS"/>
    <n v="178844"/>
    <s v="SAINI BUILDING MATERIAL SUPPLI"/>
    <n v="17"/>
    <n v="0"/>
    <n v="7"/>
    <n v="0"/>
    <n v="0"/>
    <n v="0"/>
    <n v="0"/>
    <n v="0"/>
    <n v="0"/>
    <n v="0"/>
    <n v="0"/>
    <n v="0"/>
    <n v="24"/>
  </r>
  <r>
    <x v="1049"/>
    <n v="811479"/>
    <s v="CHATURBHUJ"/>
    <n v="145394"/>
    <s v="DEVRAJ AND SONS"/>
    <n v="24"/>
    <n v="20"/>
    <n v="33"/>
    <n v="21.5"/>
    <n v="61.5"/>
    <n v="47"/>
    <n v="25"/>
    <n v="15"/>
    <n v="45"/>
    <n v="52.5"/>
    <n v="30"/>
    <n v="30"/>
    <n v="404.5"/>
  </r>
  <r>
    <x v="1050"/>
    <n v="811480"/>
    <s v="GAURAV BUILDING MATERIAL SUPPL"/>
    <n v="119071"/>
    <s v="GANESH AGENCIES"/>
    <n v="30"/>
    <n v="10"/>
    <n v="94"/>
    <n v="62.75"/>
    <n v="86"/>
    <n v="55"/>
    <n v="20"/>
    <n v="20"/>
    <n v="112.5"/>
    <n v="22.5"/>
    <n v="38.5"/>
    <n v="98.75"/>
    <n v="650"/>
  </r>
  <r>
    <x v="1051"/>
    <n v="811481"/>
    <s v="M R NIYAJEE TRADERS"/>
    <n v="179891"/>
    <s v="DOSTI CONSTRUCTION"/>
    <n v="0"/>
    <n v="0"/>
    <n v="0"/>
    <n v="0"/>
    <n v="0"/>
    <n v="1"/>
    <n v="0"/>
    <n v="0"/>
    <n v="0"/>
    <n v="0"/>
    <n v="0"/>
    <n v="0"/>
    <n v="1"/>
  </r>
  <r>
    <x v="1052"/>
    <n v="811489"/>
    <s v="RAJENDRA KUMAR CHAMPALAL JAIN"/>
    <n v="179879"/>
    <s v="JITENDRA &amp; COMPANY"/>
    <n v="0"/>
    <n v="15"/>
    <n v="10"/>
    <n v="0"/>
    <n v="0"/>
    <n v="0"/>
    <n v="0"/>
    <n v="0"/>
    <n v="20"/>
    <n v="0"/>
    <n v="0"/>
    <n v="0"/>
    <n v="45"/>
  </r>
  <r>
    <x v="1053"/>
    <n v="811510"/>
    <s v="SATPAL"/>
    <n v="206219"/>
    <s v="SALASAR TRADERS"/>
    <n v="72.5"/>
    <n v="54"/>
    <n v="44"/>
    <n v="46"/>
    <n v="78.900000000000006"/>
    <n v="33"/>
    <n v="30"/>
    <n v="0"/>
    <n v="11"/>
    <n v="32"/>
    <n v="74.5"/>
    <n v="126"/>
    <n v="601.9"/>
  </r>
  <r>
    <x v="1054"/>
    <n v="811511"/>
    <s v="RATHORE BUILDING MATERIAL"/>
    <n v="174034"/>
    <s v="RADHE BUILDING MATERIAL"/>
    <n v="0"/>
    <n v="0"/>
    <n v="0"/>
    <n v="12"/>
    <n v="98"/>
    <n v="11"/>
    <n v="0"/>
    <n v="0"/>
    <n v="0"/>
    <n v="0"/>
    <n v="40"/>
    <n v="20"/>
    <n v="181"/>
  </r>
  <r>
    <x v="1055"/>
    <n v="811512"/>
    <s v="RATAN LAL NAGDA"/>
    <n v="140967"/>
    <s v="B.L.JAIN &amp; SONS"/>
    <n v="10"/>
    <n v="15"/>
    <n v="25"/>
    <n v="62.5"/>
    <n v="45"/>
    <n v="10"/>
    <n v="0"/>
    <n v="0"/>
    <n v="7.5"/>
    <n v="120"/>
    <n v="30"/>
    <n v="80"/>
    <n v="405"/>
  </r>
  <r>
    <x v="1056"/>
    <n v="811513"/>
    <s v="SHREE DHANLAXMI TRADING COMPAN"/>
    <n v="206066"/>
    <s v="GAJANAND CEMENT AGENCY"/>
    <n v="116"/>
    <n v="61"/>
    <n v="63"/>
    <n v="134.5"/>
    <n v="115"/>
    <n v="65"/>
    <n v="44.5"/>
    <n v="30"/>
    <n v="98"/>
    <n v="45"/>
    <n v="85"/>
    <n v="15"/>
    <n v="872"/>
  </r>
  <r>
    <x v="1057"/>
    <n v="811514"/>
    <s v="AKBAR ALI AZIZ"/>
    <n v="178764"/>
    <s v="PERFECT TRADERS"/>
    <n v="45"/>
    <n v="81"/>
    <n v="162"/>
    <n v="95"/>
    <n v="95"/>
    <n v="100"/>
    <n v="110"/>
    <n v="80"/>
    <n v="115"/>
    <n v="210"/>
    <n v="210"/>
    <n v="190"/>
    <n v="1493"/>
  </r>
  <r>
    <x v="1058"/>
    <n v="811522"/>
    <s v="JASORIA DISTRIBUTORS"/>
    <n v="175288"/>
    <s v="LAXMI TRADERS"/>
    <n v="0"/>
    <n v="0"/>
    <n v="0"/>
    <n v="0"/>
    <n v="0"/>
    <n v="0"/>
    <n v="0"/>
    <n v="0"/>
    <n v="0"/>
    <n v="0"/>
    <n v="10"/>
    <n v="70"/>
    <n v="80"/>
  </r>
  <r>
    <x v="1059"/>
    <n v="811523"/>
    <s v="PIYUSH ANUJ"/>
    <n v="201117"/>
    <s v="LOKESH ROOFING'S"/>
    <n v="42.65"/>
    <n v="40"/>
    <n v="45.8"/>
    <n v="79.45"/>
    <n v="55.3"/>
    <n v="59.25"/>
    <n v="85.25"/>
    <n v="32.5"/>
    <n v="34.5"/>
    <n v="70.5"/>
    <n v="92.5"/>
    <n v="45"/>
    <n v="682.7"/>
  </r>
  <r>
    <x v="1060"/>
    <n v="811534"/>
    <s v="AJAY KUMAR SHARMA"/>
    <n v="119034"/>
    <s v="SOGANI AGENCIES"/>
    <n v="10"/>
    <n v="35"/>
    <n v="37.5"/>
    <n v="10.5"/>
    <n v="16.55"/>
    <n v="0"/>
    <n v="0"/>
    <n v="13"/>
    <n v="25.75"/>
    <n v="20"/>
    <n v="0"/>
    <n v="21"/>
    <n v="189.3"/>
  </r>
  <r>
    <x v="1061"/>
    <n v="811535"/>
    <s v="SHREE BALAJI BUILDING MATERIAL"/>
    <n v="176279"/>
    <s v="ADITYA ENTERPRISES"/>
    <n v="0"/>
    <n v="11"/>
    <n v="5"/>
    <n v="38.5"/>
    <n v="17.5"/>
    <n v="10"/>
    <n v="15"/>
    <n v="34.5"/>
    <n v="67.25"/>
    <n v="45"/>
    <n v="32.5"/>
    <n v="65.25"/>
    <n v="341.5"/>
  </r>
  <r>
    <x v="1062"/>
    <n v="811543"/>
    <s v="VAIBHAV LAXMI ENTERPRISES"/>
    <n v="119066"/>
    <s v="RAJENDRA KUMAR RATAN LAL JAIN"/>
    <n v="35"/>
    <n v="0"/>
    <n v="15"/>
    <n v="0"/>
    <n v="3"/>
    <n v="3"/>
    <n v="0"/>
    <n v="0"/>
    <n v="3"/>
    <n v="0"/>
    <n v="0"/>
    <n v="0"/>
    <n v="59"/>
  </r>
  <r>
    <x v="1063"/>
    <n v="811544"/>
    <s v="KASWA CEMENT SUPPLIERS"/>
    <n v="172497"/>
    <s v="VINAYAK INDUSTRIES"/>
    <n v="10"/>
    <n v="0"/>
    <n v="5"/>
    <n v="10"/>
    <n v="0"/>
    <n v="10"/>
    <n v="0"/>
    <n v="0"/>
    <n v="0"/>
    <n v="20"/>
    <n v="0"/>
    <n v="12.5"/>
    <n v="67.5"/>
  </r>
  <r>
    <x v="1064"/>
    <n v="811545"/>
    <s v="SHREE KULETI CEMENT SUPPLIERS"/>
    <n v="178460"/>
    <s v="BHARAT KUMAR PREMJI MALI"/>
    <n v="46"/>
    <n v="45"/>
    <n v="20"/>
    <n v="37"/>
    <n v="53"/>
    <n v="15"/>
    <n v="33"/>
    <n v="0"/>
    <n v="0"/>
    <n v="0"/>
    <n v="0"/>
    <n v="0"/>
    <n v="249"/>
  </r>
  <r>
    <x v="1065"/>
    <n v="811546"/>
    <s v="LUCKY BUILDING MATERIAL"/>
    <n v="179908"/>
    <s v="SANWLA ENTERPRISES"/>
    <n v="45"/>
    <n v="50"/>
    <n v="15"/>
    <n v="35"/>
    <n v="30"/>
    <n v="41"/>
    <n v="20"/>
    <n v="60"/>
    <n v="66"/>
    <n v="30"/>
    <n v="40"/>
    <n v="174"/>
    <n v="606"/>
  </r>
  <r>
    <x v="1066"/>
    <n v="811547"/>
    <s v="ADITYA ENTERPRISES"/>
    <n v="179908"/>
    <s v="SANWLA ENTERPRISES"/>
    <n v="15"/>
    <n v="10"/>
    <n v="0"/>
    <n v="7.5"/>
    <n v="0"/>
    <n v="0"/>
    <n v="10"/>
    <n v="25"/>
    <n v="30"/>
    <n v="40"/>
    <n v="30"/>
    <n v="20"/>
    <n v="187.5"/>
  </r>
  <r>
    <x v="1067"/>
    <n v="811547"/>
    <s v="ADITYA ENTERPRISES"/>
    <n v="204869"/>
    <s v="SISODIYA TRADERS"/>
    <n v="0"/>
    <n v="0"/>
    <n v="0"/>
    <n v="6.5"/>
    <n v="0"/>
    <n v="0"/>
    <n v="0"/>
    <n v="0"/>
    <n v="0"/>
    <n v="0"/>
    <n v="0"/>
    <n v="0"/>
    <n v="6.5"/>
  </r>
  <r>
    <x v="1068"/>
    <n v="811549"/>
    <s v="NISHA ENTERPRISES"/>
    <n v="178150"/>
    <s v="FALODI KIRANA STORE"/>
    <n v="0"/>
    <n v="10"/>
    <n v="20"/>
    <n v="25"/>
    <n v="15"/>
    <n v="22.5"/>
    <n v="15"/>
    <n v="25"/>
    <n v="33"/>
    <n v="15"/>
    <n v="55"/>
    <n v="65"/>
    <n v="300.5"/>
  </r>
  <r>
    <x v="1069"/>
    <n v="811549"/>
    <s v="NISHA ENTERPRISES"/>
    <n v="204869"/>
    <s v="SISODIYA TRADERS"/>
    <n v="0"/>
    <n v="0"/>
    <n v="0"/>
    <n v="0"/>
    <n v="15"/>
    <n v="0"/>
    <n v="0"/>
    <n v="0"/>
    <n v="0"/>
    <n v="0"/>
    <n v="0"/>
    <n v="0"/>
    <n v="15"/>
  </r>
  <r>
    <x v="1070"/>
    <n v="811550"/>
    <s v="AMRUDDIN KHAN"/>
    <n v="119208"/>
    <s v="SURAJMAL TANSUKH RAI"/>
    <n v="0"/>
    <n v="0"/>
    <n v="0"/>
    <n v="0"/>
    <n v="0"/>
    <n v="0"/>
    <n v="105"/>
    <n v="0"/>
    <n v="0"/>
    <n v="0"/>
    <n v="0"/>
    <n v="123.5"/>
    <n v="228.5"/>
  </r>
  <r>
    <x v="1071"/>
    <n v="811582"/>
    <s v="MOHAN LAL"/>
    <n v="170550"/>
    <s v="SHIV TRADERS"/>
    <n v="30"/>
    <n v="20"/>
    <n v="45"/>
    <n v="10"/>
    <n v="27.5"/>
    <n v="35"/>
    <n v="28.5"/>
    <n v="25"/>
    <n v="15"/>
    <n v="39.5"/>
    <n v="99"/>
    <n v="39"/>
    <n v="413.5"/>
  </r>
  <r>
    <x v="1072"/>
    <n v="811584"/>
    <s v="MANISHA TRADERS"/>
    <n v="170013"/>
    <s v="PADAM CHAND AND BROTHERS"/>
    <n v="7.5"/>
    <n v="20"/>
    <n v="52.5"/>
    <n v="54"/>
    <n v="3.5"/>
    <n v="6"/>
    <n v="0"/>
    <n v="0"/>
    <n v="0"/>
    <n v="0"/>
    <n v="7.5"/>
    <n v="0"/>
    <n v="151"/>
  </r>
  <r>
    <x v="1073"/>
    <n v="811585"/>
    <s v="RAM NIWAS SISODIYA"/>
    <n v="202288"/>
    <s v="DEEPAK TRADING COMPANY"/>
    <n v="48.5"/>
    <n v="15"/>
    <n v="0"/>
    <n v="19"/>
    <n v="15"/>
    <n v="7.5"/>
    <n v="12.5"/>
    <n v="25"/>
    <n v="25"/>
    <n v="25"/>
    <n v="48"/>
    <n v="32"/>
    <n v="272.5"/>
  </r>
  <r>
    <x v="1074"/>
    <n v="811588"/>
    <s v="SATYA NARAYAN NAMA"/>
    <n v="143114"/>
    <s v="RAJESH TRADING COMPANY"/>
    <n v="0"/>
    <n v="0"/>
    <n v="20"/>
    <n v="0"/>
    <n v="0"/>
    <n v="0"/>
    <n v="0"/>
    <n v="0"/>
    <n v="0"/>
    <n v="0"/>
    <n v="0"/>
    <n v="0"/>
    <n v="20"/>
  </r>
  <r>
    <x v="1075"/>
    <n v="811588"/>
    <s v="SATYA NARAYAN NAMA"/>
    <n v="202204"/>
    <s v="NEERAJ &amp; BROTHERS"/>
    <n v="47.5"/>
    <n v="0"/>
    <n v="65.5"/>
    <n v="93"/>
    <n v="10"/>
    <n v="104"/>
    <n v="35"/>
    <n v="0"/>
    <n v="48"/>
    <n v="15"/>
    <n v="70"/>
    <n v="147.35"/>
    <n v="635.35"/>
  </r>
  <r>
    <x v="1076"/>
    <n v="811596"/>
    <s v="JAY AMBE STONE SUPPLIERS"/>
    <n v="119050"/>
    <s v="RAJASTHAN CEMENT CORPORATION"/>
    <n v="20"/>
    <n v="30"/>
    <n v="111"/>
    <n v="48.5"/>
    <n v="5"/>
    <n v="17.5"/>
    <n v="25"/>
    <n v="0"/>
    <n v="12.5"/>
    <n v="50"/>
    <n v="35"/>
    <n v="65"/>
    <n v="419.5"/>
  </r>
  <r>
    <x v="1077"/>
    <n v="811621"/>
    <s v="ATARI MEHAR KIRANA STORE"/>
    <n v="173224"/>
    <s v="D.R.MARBLE &amp; SANITORY"/>
    <n v="100"/>
    <n v="103.5"/>
    <n v="100"/>
    <n v="83.5"/>
    <n v="40"/>
    <n v="22.5"/>
    <n v="40"/>
    <n v="15"/>
    <n v="76"/>
    <n v="7.5"/>
    <n v="30"/>
    <n v="10"/>
    <n v="628"/>
  </r>
  <r>
    <x v="1078"/>
    <n v="811622"/>
    <s v="TEJAS MARBLE GRANITE"/>
    <n v="173224"/>
    <s v="D.R.MARBLE &amp; SANITORY"/>
    <n v="50"/>
    <n v="41"/>
    <n v="45"/>
    <n v="42.5"/>
    <n v="37.5"/>
    <n v="15"/>
    <n v="22"/>
    <n v="1"/>
    <n v="24.5"/>
    <n v="28.5"/>
    <n v="31"/>
    <n v="74"/>
    <n v="412"/>
  </r>
  <r>
    <x v="1079"/>
    <n v="811623"/>
    <s v="PARSHWANATH BUILDING MATERIAL"/>
    <n v="179560"/>
    <s v="TIRUPATI TRADING COMPANY"/>
    <n v="45"/>
    <n v="42"/>
    <n v="81.5"/>
    <n v="64.25"/>
    <n v="66.5"/>
    <n v="47.5"/>
    <n v="31"/>
    <n v="30"/>
    <n v="25"/>
    <n v="25"/>
    <n v="46.5"/>
    <n v="84"/>
    <n v="588.25"/>
  </r>
  <r>
    <x v="1080"/>
    <n v="811624"/>
    <s v="KUBER ENTERPRISES"/>
    <n v="179560"/>
    <s v="TIRUPATI TRADING COMPANY"/>
    <n v="0"/>
    <n v="10"/>
    <n v="35"/>
    <n v="41.85"/>
    <n v="65"/>
    <n v="82.5"/>
    <n v="25"/>
    <n v="27"/>
    <n v="62.5"/>
    <n v="30"/>
    <n v="0"/>
    <n v="21"/>
    <n v="399.85"/>
  </r>
  <r>
    <x v="1081"/>
    <n v="811625"/>
    <s v="KAILASH KUMAR MALI S/O SHRI UK"/>
    <n v="176773"/>
    <s v="MANIK CHAND LAKHMI CHAND"/>
    <n v="45"/>
    <n v="30.25"/>
    <n v="33"/>
    <n v="49.75"/>
    <n v="27"/>
    <n v="40.9"/>
    <n v="46.5"/>
    <n v="31.85"/>
    <n v="82.5"/>
    <n v="57.5"/>
    <n v="37.5"/>
    <n v="60.15"/>
    <n v="541.9"/>
  </r>
  <r>
    <x v="1082"/>
    <n v="811628"/>
    <s v="DASHRATH LAL SVAMI"/>
    <n v="202288"/>
    <s v="DEEPAK TRADING COMPANY"/>
    <n v="0"/>
    <n v="0"/>
    <n v="0"/>
    <n v="0"/>
    <n v="0"/>
    <n v="0"/>
    <n v="10"/>
    <n v="0"/>
    <n v="0"/>
    <n v="0"/>
    <n v="0"/>
    <n v="0"/>
    <n v="10"/>
  </r>
  <r>
    <x v="1083"/>
    <n v="811629"/>
    <s v="HARI NARAYAN SHARMA"/>
    <n v="170013"/>
    <s v="PADAM CHAND AND BROTHERS"/>
    <n v="25"/>
    <n v="0"/>
    <n v="20"/>
    <n v="25"/>
    <n v="0"/>
    <n v="11"/>
    <n v="0"/>
    <n v="10"/>
    <n v="0"/>
    <n v="20"/>
    <n v="0"/>
    <n v="15"/>
    <n v="126"/>
  </r>
  <r>
    <x v="1084"/>
    <n v="811630"/>
    <s v="PANKAJ KUMAR YADAV"/>
    <n v="140481"/>
    <s v="Goyal &amp; Co."/>
    <n v="0"/>
    <n v="50"/>
    <n v="30"/>
    <n v="30"/>
    <n v="10"/>
    <n v="32"/>
    <n v="27.5"/>
    <n v="40"/>
    <n v="55"/>
    <n v="35"/>
    <n v="164"/>
    <n v="150"/>
    <n v="623.5"/>
  </r>
  <r>
    <x v="1085"/>
    <n v="811633"/>
    <s v="SHREE SHYAM DHARAMKANTA"/>
    <n v="170617"/>
    <s v="MANGALAM TRADING COMPANY"/>
    <n v="0"/>
    <n v="0"/>
    <n v="0"/>
    <n v="0"/>
    <n v="0"/>
    <n v="67.5"/>
    <n v="46.25"/>
    <n v="22.5"/>
    <n v="23"/>
    <n v="0"/>
    <n v="0"/>
    <n v="0"/>
    <n v="159.25"/>
  </r>
  <r>
    <x v="1086"/>
    <n v="811634"/>
    <s v="SHRI TANOT MATAJI DHARAMKANTA"/>
    <n v="170617"/>
    <s v="MANGALAM TRADING COMPANY"/>
    <n v="117"/>
    <n v="80.5"/>
    <n v="110.75"/>
    <n v="66"/>
    <n v="134.5"/>
    <n v="80"/>
    <n v="134.15"/>
    <n v="124"/>
    <n v="165.75"/>
    <n v="121.5"/>
    <n v="65"/>
    <n v="10"/>
    <n v="1209.1500000000001"/>
  </r>
  <r>
    <x v="1087"/>
    <n v="811639"/>
    <s v="SAPNA TRADERS"/>
    <n v="141512"/>
    <s v="MISHRA TRADERS"/>
    <n v="30"/>
    <n v="5"/>
    <n v="25"/>
    <n v="33"/>
    <n v="67.699999999999989"/>
    <n v="51.75"/>
    <n v="50.05"/>
    <n v="10"/>
    <n v="34.5"/>
    <n v="11.5"/>
    <n v="8"/>
    <n v="74.5"/>
    <n v="401"/>
  </r>
  <r>
    <x v="1088"/>
    <n v="811647"/>
    <s v="HIRALAL"/>
    <n v="171839"/>
    <s v="SARAWAGI CEMENT AGENCY"/>
    <n v="10"/>
    <n v="76"/>
    <n v="69"/>
    <n v="67"/>
    <n v="24.5"/>
    <n v="45"/>
    <n v="50"/>
    <n v="10"/>
    <n v="57.5"/>
    <n v="50"/>
    <n v="15"/>
    <n v="0"/>
    <n v="474"/>
  </r>
  <r>
    <x v="1089"/>
    <n v="811648"/>
    <s v="VIKAS JAIN"/>
    <n v="172640"/>
    <s v="KUSHAL TRADERS"/>
    <n v="17"/>
    <n v="10"/>
    <n v="17.5"/>
    <n v="24"/>
    <n v="30"/>
    <n v="15"/>
    <n v="20"/>
    <n v="0"/>
    <n v="43"/>
    <n v="69"/>
    <n v="158.75"/>
    <n v="0"/>
    <n v="404.25"/>
  </r>
  <r>
    <x v="1090"/>
    <n v="811663"/>
    <s v="POOJA BEEJ BHANDAR"/>
    <n v="178003"/>
    <s v="SHREE JI BUILDING MATERIAL SUP"/>
    <n v="0"/>
    <n v="10"/>
    <n v="10"/>
    <n v="20"/>
    <n v="0"/>
    <n v="10"/>
    <n v="35"/>
    <n v="22"/>
    <n v="5"/>
    <n v="28"/>
    <n v="10"/>
    <n v="66"/>
    <n v="216"/>
  </r>
  <r>
    <x v="1091"/>
    <n v="811672"/>
    <s v="BHERAV TRADERS"/>
    <n v="205370"/>
    <s v="KANTHALIYA ENTERPRISES"/>
    <n v="97"/>
    <n v="115.5"/>
    <n v="88"/>
    <n v="98.25"/>
    <n v="134"/>
    <n v="40"/>
    <n v="19"/>
    <n v="10"/>
    <n v="37.75"/>
    <n v="82.5"/>
    <n v="64"/>
    <n v="115"/>
    <n v="901"/>
  </r>
  <r>
    <x v="1092"/>
    <n v="811674"/>
    <s v="ISHWAR PATEL"/>
    <n v="179784"/>
    <s v="NEW KRISHNA STONE AND BUILDING"/>
    <n v="93.5"/>
    <n v="117.5"/>
    <n v="126.5"/>
    <n v="51"/>
    <n v="60.5"/>
    <n v="57.25"/>
    <n v="111.05"/>
    <n v="45"/>
    <n v="110.5"/>
    <n v="62"/>
    <n v="122"/>
    <n v="203"/>
    <n v="1159.8"/>
  </r>
  <r>
    <x v="1093"/>
    <n v="811676"/>
    <s v="SHIV NARAYAN PATEL"/>
    <n v="179784"/>
    <s v="NEW KRISHNA STONE AND BUILDING"/>
    <n v="45.85"/>
    <n v="50"/>
    <n v="55"/>
    <n v="30"/>
    <n v="35"/>
    <n v="27.5"/>
    <n v="15"/>
    <n v="9.5"/>
    <n v="14"/>
    <n v="33"/>
    <n v="65"/>
    <n v="53"/>
    <n v="432.85"/>
  </r>
  <r>
    <x v="1094"/>
    <n v="811677"/>
    <s v="ASHVINI ENTERPRISES"/>
    <n v="170617"/>
    <s v="MANGALAM TRADING COMPANY"/>
    <n v="8"/>
    <n v="0"/>
    <n v="64"/>
    <n v="67"/>
    <n v="39.5"/>
    <n v="21"/>
    <n v="80"/>
    <n v="30"/>
    <n v="75"/>
    <n v="32.5"/>
    <n v="40"/>
    <n v="156"/>
    <n v="613"/>
  </r>
  <r>
    <x v="1095"/>
    <n v="811679"/>
    <s v="SHREE KRISHNA GRANITE AND MARB"/>
    <n v="177016"/>
    <s v="KHANDELWAL STONE"/>
    <n v="20"/>
    <n v="50"/>
    <n v="20"/>
    <n v="35"/>
    <n v="8"/>
    <n v="24"/>
    <n v="0"/>
    <n v="0"/>
    <n v="15"/>
    <n v="0"/>
    <n v="0"/>
    <n v="0"/>
    <n v="172"/>
  </r>
  <r>
    <x v="1096"/>
    <n v="811681"/>
    <s v="DHAKER CEMENT AGENCY"/>
    <n v="173611"/>
    <s v="AMBIKA TRADERS"/>
    <n v="10"/>
    <n v="0"/>
    <n v="0"/>
    <n v="0"/>
    <n v="0"/>
    <n v="0"/>
    <n v="10"/>
    <n v="0"/>
    <n v="0"/>
    <n v="0"/>
    <n v="0"/>
    <n v="0"/>
    <n v="20"/>
  </r>
  <r>
    <x v="1097"/>
    <n v="811681"/>
    <s v="DHAKER CEMENT AGENCY"/>
    <n v="177425"/>
    <s v="KRISHNA FERTILIZERS"/>
    <n v="75"/>
    <n v="0"/>
    <n v="52"/>
    <n v="45"/>
    <n v="10"/>
    <n v="20"/>
    <n v="10"/>
    <n v="35"/>
    <n v="70"/>
    <n v="90"/>
    <n v="35"/>
    <n v="77"/>
    <n v="519"/>
  </r>
  <r>
    <x v="1098"/>
    <n v="811682"/>
    <s v="KAJOD"/>
    <n v="174631"/>
    <s v="OM TRADERS"/>
    <n v="88.5"/>
    <n v="136"/>
    <n v="144"/>
    <n v="87.75"/>
    <n v="51"/>
    <n v="68.5"/>
    <n v="47.25"/>
    <n v="55.75"/>
    <n v="42.5"/>
    <n v="86"/>
    <n v="42"/>
    <n v="120"/>
    <n v="969.25"/>
  </r>
  <r>
    <x v="1099"/>
    <n v="811683"/>
    <s v="MEHAR CEMENT AGENCY"/>
    <n v="178230"/>
    <s v="SHREE RADHEY BUILDING MATERIAL"/>
    <n v="80"/>
    <n v="70"/>
    <n v="75"/>
    <n v="100"/>
    <n v="60"/>
    <n v="85"/>
    <n v="65"/>
    <n v="30"/>
    <n v="95"/>
    <n v="80"/>
    <n v="150"/>
    <n v="61"/>
    <n v="951"/>
  </r>
  <r>
    <x v="1100"/>
    <n v="811685"/>
    <s v="SHREE CHAMUNDA STONE"/>
    <n v="201280"/>
    <s v="SIDDHI VINAYAK CEMENT DISTRIBU"/>
    <n v="60"/>
    <n v="0"/>
    <n v="35"/>
    <n v="102.5"/>
    <n v="88"/>
    <n v="64"/>
    <n v="59"/>
    <n v="53"/>
    <n v="98.1"/>
    <n v="79"/>
    <n v="122"/>
    <n v="47"/>
    <n v="807.6"/>
  </r>
  <r>
    <x v="1101"/>
    <n v="811686"/>
    <s v="OMPARKASH"/>
    <n v="171839"/>
    <s v="SARAWAGI CEMENT AGENCY"/>
    <n v="61.5"/>
    <n v="128"/>
    <n v="100"/>
    <n v="107"/>
    <n v="31.5"/>
    <n v="105"/>
    <n v="95"/>
    <n v="136.5"/>
    <n v="122.5"/>
    <n v="55"/>
    <n v="60"/>
    <n v="189"/>
    <n v="1191"/>
  </r>
  <r>
    <x v="1102"/>
    <n v="811686"/>
    <s v="OMPARKASH"/>
    <n v="205949"/>
    <s v="BHAWANI CEMENT AGENCY"/>
    <n v="0"/>
    <n v="10"/>
    <n v="0"/>
    <n v="0"/>
    <n v="0"/>
    <n v="0"/>
    <n v="0"/>
    <n v="0"/>
    <n v="0"/>
    <n v="0"/>
    <n v="0"/>
    <n v="0"/>
    <n v="10"/>
  </r>
  <r>
    <x v="1103"/>
    <n v="811687"/>
    <s v="BHAGIRATH"/>
    <n v="143608"/>
    <s v="OM IRON AND CEMENT AGENCY"/>
    <n v="26.65"/>
    <n v="112"/>
    <n v="76.5"/>
    <n v="118"/>
    <n v="118"/>
    <n v="101"/>
    <n v="95"/>
    <n v="84.75"/>
    <n v="68"/>
    <n v="126.5"/>
    <n v="55"/>
    <n v="90"/>
    <n v="1071.4000000000001"/>
  </r>
  <r>
    <x v="1104"/>
    <n v="811693"/>
    <s v="SANDEEP"/>
    <n v="119029"/>
    <s v="LALLAMAL KANHYALAL &amp; SONS"/>
    <n v="20"/>
    <n v="32.5"/>
    <n v="0"/>
    <n v="19"/>
    <n v="20"/>
    <n v="25"/>
    <n v="65"/>
    <n v="0"/>
    <n v="95"/>
    <n v="45"/>
    <n v="42"/>
    <n v="37"/>
    <n v="400.5"/>
  </r>
  <r>
    <x v="1105"/>
    <n v="811694"/>
    <s v="JAI HANUMAN ENTERPRISES"/>
    <n v="170197"/>
    <s v="ARVIND BUILDING MATERIAL"/>
    <n v="171"/>
    <n v="140"/>
    <n v="164"/>
    <n v="453"/>
    <n v="234"/>
    <n v="90"/>
    <n v="186"/>
    <n v="154"/>
    <n v="202"/>
    <n v="209"/>
    <n v="244.5"/>
    <n v="401"/>
    <n v="2648.5"/>
  </r>
  <r>
    <x v="1106"/>
    <n v="811733"/>
    <s v="NATIONAL CEMENT SUPPLIERS"/>
    <n v="179560"/>
    <s v="TIRUPATI TRADING COMPANY"/>
    <n v="0"/>
    <n v="10"/>
    <n v="25"/>
    <n v="25.85"/>
    <n v="0"/>
    <n v="2.5"/>
    <n v="0"/>
    <n v="0"/>
    <n v="0"/>
    <n v="0"/>
    <n v="0"/>
    <n v="0"/>
    <n v="63.35"/>
  </r>
  <r>
    <x v="1107"/>
    <n v="811735"/>
    <s v="FARHAN AHMED"/>
    <n v="201280"/>
    <s v="SIDDHI VINAYAK CEMENT DISTRIBU"/>
    <n v="99"/>
    <n v="63"/>
    <n v="82.25"/>
    <n v="139"/>
    <n v="54"/>
    <n v="76.5"/>
    <n v="93.9"/>
    <n v="37"/>
    <n v="100"/>
    <n v="79"/>
    <n v="75"/>
    <n v="103"/>
    <n v="1001.65"/>
  </r>
  <r>
    <x v="1108"/>
    <n v="811771"/>
    <s v="SHARMA SANITARY &amp; BUILDING MAT"/>
    <n v="170550"/>
    <s v="SHIV TRADERS"/>
    <n v="0"/>
    <n v="80"/>
    <n v="46"/>
    <n v="10.5"/>
    <n v="32.5"/>
    <n v="15"/>
    <n v="17.5"/>
    <n v="15"/>
    <n v="17.5"/>
    <n v="34.5"/>
    <n v="79"/>
    <n v="61"/>
    <n v="408.5"/>
  </r>
  <r>
    <x v="1109"/>
    <n v="811772"/>
    <s v="SITARAM PRAJAPAT"/>
    <n v="119044"/>
    <s v="PANWAR TRADING CORPORATION LTD"/>
    <n v="0"/>
    <n v="25"/>
    <n v="30"/>
    <n v="57"/>
    <n v="99.5"/>
    <n v="15"/>
    <n v="95"/>
    <n v="105"/>
    <n v="213.5"/>
    <n v="81.5"/>
    <n v="30"/>
    <n v="52.5"/>
    <n v="804"/>
  </r>
  <r>
    <x v="1110"/>
    <n v="811773"/>
    <s v="S L CEMENT SUPPLIERS"/>
    <n v="140881"/>
    <s v="NAM DEV STONE SUPPLIERS"/>
    <n v="0"/>
    <n v="0"/>
    <n v="0"/>
    <n v="0"/>
    <n v="15"/>
    <n v="0"/>
    <n v="0"/>
    <n v="0"/>
    <n v="0"/>
    <n v="0"/>
    <n v="0"/>
    <n v="0"/>
    <n v="15"/>
  </r>
  <r>
    <x v="1111"/>
    <n v="811774"/>
    <s v="HARI SINGH RAJPUT"/>
    <n v="119028"/>
    <s v="KANHAYALAL &amp; SONS"/>
    <n v="0"/>
    <n v="0"/>
    <n v="0"/>
    <n v="0"/>
    <n v="0"/>
    <n v="31"/>
    <n v="31"/>
    <n v="62"/>
    <n v="56"/>
    <n v="20"/>
    <n v="22"/>
    <n v="0"/>
    <n v="222"/>
  </r>
  <r>
    <x v="1112"/>
    <n v="811776"/>
    <s v="VIDHYA SAGAR TRADERS"/>
    <n v="119066"/>
    <s v="RAJENDRA KUMAR RATAN LAL JAIN"/>
    <n v="0"/>
    <n v="38.5"/>
    <n v="0"/>
    <n v="0"/>
    <n v="0"/>
    <n v="0"/>
    <n v="0"/>
    <n v="0"/>
    <n v="10"/>
    <n v="0"/>
    <n v="0"/>
    <n v="0"/>
    <n v="48.5"/>
  </r>
  <r>
    <x v="1113"/>
    <n v="811777"/>
    <s v="BALA RAM S/O GOMARAM GORA"/>
    <n v="178031"/>
    <s v="JAIN TRADERS"/>
    <n v="100"/>
    <n v="25"/>
    <n v="35"/>
    <n v="55"/>
    <n v="98"/>
    <n v="20"/>
    <n v="60"/>
    <n v="0"/>
    <n v="40"/>
    <n v="45"/>
    <n v="65"/>
    <n v="70"/>
    <n v="613"/>
  </r>
  <r>
    <x v="1114"/>
    <n v="811778"/>
    <s v="CHETAN RAM S/O HUKMA RAM"/>
    <n v="179879"/>
    <s v="JITENDRA &amp; COMPANY"/>
    <n v="35"/>
    <n v="15"/>
    <n v="40"/>
    <n v="0"/>
    <n v="39"/>
    <n v="0"/>
    <n v="25"/>
    <n v="20"/>
    <n v="15"/>
    <n v="20"/>
    <n v="0"/>
    <n v="0"/>
    <n v="209"/>
  </r>
  <r>
    <x v="1115"/>
    <n v="811779"/>
    <s v="BHAVYA CEMENT AGENCY"/>
    <n v="178230"/>
    <s v="SHREE RADHEY BUILDING MATERIAL"/>
    <n v="0"/>
    <n v="0"/>
    <n v="20"/>
    <n v="0"/>
    <n v="0"/>
    <n v="0"/>
    <n v="0"/>
    <n v="0"/>
    <n v="0"/>
    <n v="0"/>
    <n v="0"/>
    <n v="0"/>
    <n v="20"/>
  </r>
  <r>
    <x v="1116"/>
    <n v="811780"/>
    <s v="ARIHANT JEENGAR"/>
    <n v="205591"/>
    <s v="ROOP RAJAT TRADING CO"/>
    <n v="10"/>
    <n v="50"/>
    <n v="40"/>
    <n v="89"/>
    <n v="52.5"/>
    <n v="50"/>
    <n v="10"/>
    <n v="40"/>
    <n v="53"/>
    <n v="55"/>
    <n v="80"/>
    <n v="117.25"/>
    <n v="646.75"/>
  </r>
  <r>
    <x v="1117"/>
    <n v="811781"/>
    <s v="HARI OM TRADING COMPANY"/>
    <n v="170248"/>
    <s v="MAHAVEER ENTERPRISES"/>
    <n v="4"/>
    <n v="0"/>
    <n v="0"/>
    <n v="0"/>
    <n v="0"/>
    <n v="0"/>
    <n v="0"/>
    <n v="0"/>
    <n v="0"/>
    <n v="0"/>
    <n v="0"/>
    <n v="0"/>
    <n v="4"/>
  </r>
  <r>
    <x v="1118"/>
    <n v="811782"/>
    <s v="PRADEEP DHAKER"/>
    <n v="207643"/>
    <s v="SHREE SANWALIYA TRADERS"/>
    <n v="0"/>
    <n v="0"/>
    <n v="10"/>
    <n v="0"/>
    <n v="0"/>
    <n v="0"/>
    <n v="0"/>
    <n v="0"/>
    <n v="0"/>
    <n v="0"/>
    <n v="0"/>
    <n v="0"/>
    <n v="10"/>
  </r>
  <r>
    <x v="1119"/>
    <n v="811799"/>
    <s v="MANVENDRA SINGH RATHORE"/>
    <n v="119208"/>
    <s v="SURAJMAL TANSUKH RAI"/>
    <n v="115"/>
    <n v="0"/>
    <n v="10"/>
    <n v="0"/>
    <n v="44"/>
    <n v="74"/>
    <n v="0"/>
    <n v="0"/>
    <n v="115"/>
    <n v="0"/>
    <n v="0"/>
    <n v="43"/>
    <n v="401"/>
  </r>
  <r>
    <x v="1120"/>
    <n v="811800"/>
    <s v="GHANSHYAM SINGH"/>
    <n v="119208"/>
    <s v="SURAJMAL TANSUKH RAI"/>
    <n v="49.5"/>
    <n v="50"/>
    <n v="15"/>
    <n v="16"/>
    <n v="0"/>
    <n v="0"/>
    <n v="39"/>
    <n v="0"/>
    <n v="77.5"/>
    <n v="0"/>
    <n v="45"/>
    <n v="161"/>
    <n v="453"/>
  </r>
  <r>
    <x v="1121"/>
    <n v="811848"/>
    <s v="R R CONSTRUCTION COMPANY"/>
    <n v="202758"/>
    <s v="B M TRADING &amp; CONSTRUCTION COM"/>
    <n v="25"/>
    <n v="0"/>
    <n v="79"/>
    <n v="58.5"/>
    <n v="68.5"/>
    <n v="70.5"/>
    <n v="34"/>
    <n v="22"/>
    <n v="54.5"/>
    <n v="40"/>
    <n v="38"/>
    <n v="81"/>
    <n v="571"/>
  </r>
  <r>
    <x v="1122"/>
    <n v="811860"/>
    <s v="PAWAN KUMAR CHHIPA"/>
    <n v="175049"/>
    <s v="KASHISH ENTERPRISES"/>
    <n v="0"/>
    <n v="0"/>
    <n v="0"/>
    <n v="0"/>
    <n v="1"/>
    <n v="0"/>
    <n v="0"/>
    <n v="0"/>
    <n v="0"/>
    <n v="0"/>
    <n v="0"/>
    <n v="0"/>
    <n v="1"/>
  </r>
  <r>
    <x v="1123"/>
    <n v="811862"/>
    <s v="AKHIL AGARWAL"/>
    <n v="149872"/>
    <s v="GD ASSOCIATES"/>
    <n v="77"/>
    <n v="35"/>
    <n v="126"/>
    <n v="160"/>
    <n v="181.75"/>
    <n v="150.5"/>
    <n v="69.400000000000006"/>
    <n v="133.25"/>
    <n v="328"/>
    <n v="240.5"/>
    <n v="242.25"/>
    <n v="244"/>
    <n v="1987.65"/>
  </r>
  <r>
    <x v="1124"/>
    <n v="811863"/>
    <s v="MUKESH KUMAR"/>
    <n v="174631"/>
    <s v="OM TRADERS"/>
    <n v="124.5"/>
    <n v="161.5"/>
    <n v="121.4"/>
    <n v="112.25"/>
    <n v="133"/>
    <n v="66"/>
    <n v="65"/>
    <n v="120.25"/>
    <n v="56"/>
    <n v="230.5"/>
    <n v="50"/>
    <n v="25"/>
    <n v="1265.4000000000001"/>
  </r>
  <r>
    <x v="1125"/>
    <n v="811864"/>
    <s v="KANHAIYA LAL KUMAWAT"/>
    <n v="178062"/>
    <s v="SHRI SATYAM BUILDERS"/>
    <n v="55.5"/>
    <n v="27.5"/>
    <n v="52"/>
    <n v="23"/>
    <n v="39.5"/>
    <n v="30"/>
    <n v="15"/>
    <n v="10"/>
    <n v="25.5"/>
    <n v="17"/>
    <n v="42"/>
    <n v="64.5"/>
    <n v="401.5"/>
  </r>
  <r>
    <x v="1126"/>
    <n v="811868"/>
    <s v="MAHADEV STEEL"/>
    <n v="206066"/>
    <s v="GAJANAND CEMENT AGENCY"/>
    <n v="0"/>
    <n v="0"/>
    <n v="0"/>
    <n v="0"/>
    <n v="0"/>
    <n v="0"/>
    <n v="0"/>
    <n v="0"/>
    <n v="20"/>
    <n v="0"/>
    <n v="0"/>
    <n v="0"/>
    <n v="20"/>
  </r>
  <r>
    <x v="1127"/>
    <n v="811869"/>
    <s v="JIVAN LAL GURJAR"/>
    <n v="175049"/>
    <s v="KASHISH ENTERPRISES"/>
    <n v="5"/>
    <n v="5"/>
    <n v="10"/>
    <n v="5"/>
    <n v="11"/>
    <n v="6"/>
    <n v="0"/>
    <n v="0"/>
    <n v="0"/>
    <n v="0"/>
    <n v="0"/>
    <n v="0"/>
    <n v="42"/>
  </r>
  <r>
    <x v="1128"/>
    <n v="811870"/>
    <s v="TEJARAM"/>
    <n v="206219"/>
    <s v="SALASAR TRADERS"/>
    <n v="0"/>
    <n v="0"/>
    <n v="0"/>
    <n v="0"/>
    <n v="0"/>
    <n v="0"/>
    <n v="0"/>
    <n v="0"/>
    <n v="0"/>
    <n v="10"/>
    <n v="23"/>
    <n v="0"/>
    <n v="33"/>
  </r>
  <r>
    <x v="1129"/>
    <n v="811871"/>
    <s v="PANKAJ GARG"/>
    <n v="206219"/>
    <s v="SALASAR TRADERS"/>
    <n v="81.25"/>
    <n v="68.5"/>
    <n v="151.5"/>
    <n v="87"/>
    <n v="110"/>
    <n v="142.5"/>
    <n v="68"/>
    <n v="65"/>
    <n v="159.75"/>
    <n v="142.1"/>
    <n v="118.35"/>
    <n v="90"/>
    <n v="1283.9499999999998"/>
  </r>
  <r>
    <x v="1130"/>
    <n v="811872"/>
    <s v="BALESHWAR IRON AND STEEL"/>
    <n v="146968"/>
    <s v="BHARAT BUILDCON"/>
    <n v="23"/>
    <n v="20"/>
    <n v="10"/>
    <n v="35"/>
    <n v="28.95"/>
    <n v="29"/>
    <n v="44.5"/>
    <n v="20"/>
    <n v="42.5"/>
    <n v="35"/>
    <n v="48"/>
    <n v="36"/>
    <n v="371.95"/>
  </r>
  <r>
    <x v="1131"/>
    <n v="811891"/>
    <s v="SHRI DEV CONTRACTOR"/>
    <n v="143114"/>
    <s v="RAJESH TRADING COMPANY"/>
    <n v="0"/>
    <n v="0"/>
    <n v="0"/>
    <n v="0"/>
    <n v="7"/>
    <n v="7"/>
    <n v="0"/>
    <n v="0"/>
    <n v="0"/>
    <n v="0"/>
    <n v="0"/>
    <n v="0"/>
    <n v="14"/>
  </r>
  <r>
    <x v="1132"/>
    <n v="811892"/>
    <s v="FALODI KIRANA STORE"/>
    <n v="178150"/>
    <s v="FALODI KIRANA STORE"/>
    <n v="91.5"/>
    <n v="70"/>
    <n v="52.5"/>
    <n v="70"/>
    <n v="0"/>
    <n v="18"/>
    <n v="0"/>
    <n v="20"/>
    <n v="56"/>
    <n v="30"/>
    <n v="55"/>
    <n v="10"/>
    <n v="473"/>
  </r>
  <r>
    <x v="1133"/>
    <n v="811896"/>
    <s v="MEHATA KHAD BHANDAR"/>
    <n v="205840"/>
    <s v="KUCHHAL STEEL MARKETING"/>
    <n v="20"/>
    <n v="10"/>
    <n v="50"/>
    <n v="28"/>
    <n v="0"/>
    <n v="20"/>
    <n v="15"/>
    <n v="0"/>
    <n v="14"/>
    <n v="0"/>
    <n v="0"/>
    <n v="0"/>
    <n v="157"/>
  </r>
  <r>
    <x v="1134"/>
    <n v="811897"/>
    <s v="SHREE DHAKAD BUILDING MATERIAL"/>
    <n v="173611"/>
    <s v="AMBIKA TRADERS"/>
    <n v="10"/>
    <n v="0"/>
    <n v="35"/>
    <n v="20"/>
    <n v="0"/>
    <n v="40"/>
    <n v="0"/>
    <n v="20"/>
    <n v="30"/>
    <n v="19.45"/>
    <n v="40"/>
    <n v="30"/>
    <n v="244.45"/>
  </r>
  <r>
    <x v="1135"/>
    <n v="811910"/>
    <s v="BALAJI CONSTRUCTION COMPANY"/>
    <n v="179877"/>
    <s v="HANUMANGARH  INT SUPPLIERS"/>
    <n v="28"/>
    <n v="12"/>
    <n v="0"/>
    <n v="10"/>
    <n v="12"/>
    <n v="7.5"/>
    <n v="30"/>
    <n v="10"/>
    <n v="39.75"/>
    <n v="7.5"/>
    <n v="3.05"/>
    <n v="35"/>
    <n v="194.8"/>
  </r>
  <r>
    <x v="1136"/>
    <n v="811913"/>
    <s v="JAMEEL MOHAMMED PINARA"/>
    <n v="178511"/>
    <s v="AMBIKA DISTRIBUTORS"/>
    <n v="5"/>
    <n v="5"/>
    <n v="0"/>
    <n v="10"/>
    <n v="0"/>
    <n v="0"/>
    <n v="0"/>
    <n v="0"/>
    <n v="11"/>
    <n v="9"/>
    <n v="6"/>
    <n v="10"/>
    <n v="56"/>
  </r>
  <r>
    <x v="1137"/>
    <n v="811918"/>
    <s v="ARIF MOHAMMAD"/>
    <n v="171839"/>
    <s v="SARAWAGI CEMENT AGENCY"/>
    <n v="10"/>
    <n v="27.5"/>
    <n v="57"/>
    <n v="29.5"/>
    <n v="4.5"/>
    <n v="50"/>
    <n v="40"/>
    <n v="0"/>
    <n v="30"/>
    <n v="30"/>
    <n v="0"/>
    <n v="0"/>
    <n v="278.5"/>
  </r>
  <r>
    <x v="1138"/>
    <n v="811921"/>
    <s v="RAMZAN KHAN"/>
    <n v="177300"/>
    <s v="SHIVAM TRADING COMPANY"/>
    <n v="0"/>
    <n v="0"/>
    <n v="0"/>
    <n v="0"/>
    <n v="0"/>
    <n v="0"/>
    <n v="0"/>
    <n v="0"/>
    <n v="10"/>
    <n v="0"/>
    <n v="0"/>
    <n v="0"/>
    <n v="10"/>
  </r>
  <r>
    <x v="1139"/>
    <n v="811921"/>
    <s v="RAMZAN KHAN"/>
    <n v="208156"/>
    <s v="SHRI BAJRANG TRADERS"/>
    <n v="34.5"/>
    <n v="35"/>
    <n v="51.5"/>
    <n v="46"/>
    <n v="30.5"/>
    <n v="45"/>
    <n v="10"/>
    <n v="8.4499999999999993"/>
    <n v="53.5"/>
    <n v="0"/>
    <n v="0"/>
    <n v="3"/>
    <n v="317.45"/>
  </r>
  <r>
    <x v="1140"/>
    <n v="811922"/>
    <s v="MAHESH KUMAR"/>
    <n v="176693"/>
    <s v="SUBHAM AGENCIES"/>
    <n v="0"/>
    <n v="0"/>
    <n v="0"/>
    <n v="0"/>
    <n v="0"/>
    <n v="0"/>
    <n v="0"/>
    <n v="0"/>
    <n v="0"/>
    <n v="0"/>
    <n v="15"/>
    <n v="0"/>
    <n v="15"/>
  </r>
  <r>
    <x v="1141"/>
    <n v="811922"/>
    <s v="MAHESH KUMAR"/>
    <n v="177787"/>
    <s v="S M TILES UDYOG"/>
    <n v="12"/>
    <n v="24"/>
    <n v="57"/>
    <n v="15"/>
    <n v="15"/>
    <n v="15"/>
    <n v="0"/>
    <n v="25"/>
    <n v="40"/>
    <n v="45"/>
    <n v="22.5"/>
    <n v="50"/>
    <n v="320.5"/>
  </r>
  <r>
    <x v="1142"/>
    <n v="811924"/>
    <s v="KHAN BUILDING MATERIAL"/>
    <n v="170363"/>
    <s v="GOLDEN TRADERS"/>
    <n v="45"/>
    <n v="75"/>
    <n v="257"/>
    <n v="21"/>
    <n v="60"/>
    <n v="0"/>
    <n v="60"/>
    <n v="20"/>
    <n v="152"/>
    <n v="97"/>
    <n v="35"/>
    <n v="134"/>
    <n v="956"/>
  </r>
  <r>
    <x v="1143"/>
    <n v="811944"/>
    <s v="RAVINDRA SINGH PARMAR"/>
    <n v="179894"/>
    <s v="SHARMA CEMENT AGENCY"/>
    <n v="94.5"/>
    <n v="72.5"/>
    <n v="95"/>
    <n v="60"/>
    <n v="37.5"/>
    <n v="13.5"/>
    <n v="33.5"/>
    <n v="25"/>
    <n v="52.5"/>
    <n v="42"/>
    <n v="40"/>
    <n v="55"/>
    <n v="621"/>
  </r>
  <r>
    <x v="1144"/>
    <n v="811996"/>
    <s v="ASHOK KUMAR MEENA"/>
    <n v="178695"/>
    <s v="SEN CONSTRUCTION"/>
    <n v="50"/>
    <n v="30"/>
    <n v="49.5"/>
    <n v="30"/>
    <n v="10"/>
    <n v="20"/>
    <n v="10"/>
    <n v="10"/>
    <n v="10"/>
    <n v="50"/>
    <n v="32.5"/>
    <n v="89.25"/>
    <n v="391.25"/>
  </r>
  <r>
    <x v="1145"/>
    <n v="811998"/>
    <s v="JAI BHERUNATH KIRANA AND GENER"/>
    <n v="119028"/>
    <s v="KANHAYALAL &amp; SONS"/>
    <n v="0"/>
    <n v="0"/>
    <n v="0"/>
    <n v="0"/>
    <n v="0"/>
    <n v="10"/>
    <n v="0"/>
    <n v="0"/>
    <n v="0"/>
    <n v="0"/>
    <n v="0"/>
    <n v="0"/>
    <n v="10"/>
  </r>
  <r>
    <x v="1146"/>
    <n v="812000"/>
    <s v="AADESH JAY BABA RAMDEV STONE S"/>
    <n v="179550"/>
    <s v="PAWAN CEMENT &amp; HARDWARE CENTRE"/>
    <n v="0"/>
    <n v="0"/>
    <n v="5"/>
    <n v="0"/>
    <n v="0"/>
    <n v="7.3"/>
    <n v="15"/>
    <n v="0"/>
    <n v="5"/>
    <n v="25"/>
    <n v="0"/>
    <n v="15"/>
    <n v="72.3"/>
  </r>
  <r>
    <x v="1147"/>
    <n v="812003"/>
    <s v="SHRI RAM CEMENT SUPPLIERS"/>
    <n v="119028"/>
    <s v="KANHAYALAL &amp; SONS"/>
    <n v="0"/>
    <n v="0"/>
    <n v="0"/>
    <n v="11"/>
    <n v="27"/>
    <n v="31"/>
    <n v="31"/>
    <n v="0"/>
    <n v="15"/>
    <n v="0"/>
    <n v="31"/>
    <n v="0"/>
    <n v="146"/>
  </r>
  <r>
    <x v="1148"/>
    <n v="812005"/>
    <s v="LALURAM GURJAR"/>
    <n v="202427"/>
    <s v="JAIN KHAD BHANDAR"/>
    <n v="31"/>
    <n v="80"/>
    <n v="84"/>
    <n v="90"/>
    <n v="82.5"/>
    <n v="85.5"/>
    <n v="20"/>
    <n v="55"/>
    <n v="89"/>
    <n v="65"/>
    <n v="67.5"/>
    <n v="80"/>
    <n v="829.5"/>
  </r>
  <r>
    <x v="1149"/>
    <n v="812043"/>
    <s v="SHRI GURUKRIPA TILES PLAZA"/>
    <n v="144243"/>
    <s v="SHRI SHYAM TRADING COMPANY"/>
    <n v="0"/>
    <n v="40"/>
    <n v="10"/>
    <n v="27.5"/>
    <n v="7.5"/>
    <n v="20"/>
    <n v="15"/>
    <n v="8"/>
    <n v="0"/>
    <n v="0"/>
    <n v="2.5"/>
    <n v="0"/>
    <n v="130.5"/>
  </r>
  <r>
    <x v="1150"/>
    <n v="812047"/>
    <s v="VISHU ENTERPRISES"/>
    <n v="201838"/>
    <s v="SUKHWAL KRISHI KENDER"/>
    <n v="0"/>
    <n v="0"/>
    <n v="0"/>
    <n v="0"/>
    <n v="0"/>
    <n v="5"/>
    <n v="0"/>
    <n v="0"/>
    <n v="0"/>
    <n v="0"/>
    <n v="0"/>
    <n v="50"/>
    <n v="55"/>
  </r>
  <r>
    <x v="1151"/>
    <n v="812049"/>
    <s v="UDAY LAL SHARMA"/>
    <n v="170392"/>
    <s v="JYOTI SUPPLIERS"/>
    <n v="165"/>
    <n v="119.5"/>
    <n v="234.1"/>
    <n v="181"/>
    <n v="105.25"/>
    <n v="45"/>
    <n v="15"/>
    <n v="32"/>
    <n v="211"/>
    <n v="160.5"/>
    <n v="199"/>
    <n v="156"/>
    <n v="1623.35"/>
  </r>
  <r>
    <x v="1152"/>
    <n v="812052"/>
    <s v="SHREE CHAND SARSWAT"/>
    <n v="119044"/>
    <s v="PANWAR TRADING CORPORATION LTD"/>
    <n v="0"/>
    <n v="20"/>
    <n v="75"/>
    <n v="35"/>
    <n v="2.5"/>
    <n v="0"/>
    <n v="25"/>
    <n v="30"/>
    <n v="0"/>
    <n v="0"/>
    <n v="35"/>
    <n v="20"/>
    <n v="242.5"/>
  </r>
  <r>
    <x v="1153"/>
    <n v="812056"/>
    <s v="RAKESH BUILDERS"/>
    <n v="175288"/>
    <s v="LAXMI TRADERS"/>
    <n v="20"/>
    <n v="0"/>
    <n v="0"/>
    <n v="0"/>
    <n v="0"/>
    <n v="0"/>
    <n v="0"/>
    <n v="0"/>
    <n v="0"/>
    <n v="0"/>
    <n v="0"/>
    <n v="0"/>
    <n v="20"/>
  </r>
  <r>
    <x v="1154"/>
    <n v="812059"/>
    <s v="HANUMAN PRASAD MEENA"/>
    <n v="172193"/>
    <s v="VARDHMAN CEMENT AGENCY"/>
    <n v="45"/>
    <n v="80"/>
    <n v="30"/>
    <n v="44.5"/>
    <n v="30"/>
    <n v="39"/>
    <n v="75"/>
    <n v="0"/>
    <n v="46"/>
    <n v="50"/>
    <n v="15"/>
    <n v="150"/>
    <n v="604.5"/>
  </r>
  <r>
    <x v="1155"/>
    <n v="812060"/>
    <s v="PATIDAR BROTHERS"/>
    <n v="179908"/>
    <s v="SANWLA ENTERPRISES"/>
    <n v="10"/>
    <n v="20"/>
    <n v="76"/>
    <n v="35"/>
    <n v="12.5"/>
    <n v="25"/>
    <n v="20"/>
    <n v="0"/>
    <n v="15"/>
    <n v="0"/>
    <n v="15"/>
    <n v="70"/>
    <n v="298.5"/>
  </r>
  <r>
    <x v="1156"/>
    <n v="812064"/>
    <s v="SHRI BALAJI DHARMKANTA &amp; BUILD"/>
    <n v="177426"/>
    <s v="THALOR ENTERPRISES"/>
    <n v="0"/>
    <n v="5"/>
    <n v="58"/>
    <n v="7.5"/>
    <n v="0"/>
    <n v="0"/>
    <n v="0"/>
    <n v="0"/>
    <n v="0"/>
    <n v="0"/>
    <n v="0"/>
    <n v="12.5"/>
    <n v="83"/>
  </r>
  <r>
    <x v="1157"/>
    <n v="812065"/>
    <s v="SISODIYA CONSTRUCTION AND SUPP"/>
    <n v="179908"/>
    <s v="SANWLA ENTERPRISES"/>
    <n v="35"/>
    <n v="0"/>
    <n v="0"/>
    <n v="35"/>
    <n v="0"/>
    <n v="22"/>
    <n v="0"/>
    <n v="0"/>
    <n v="30"/>
    <n v="0"/>
    <n v="0"/>
    <n v="0"/>
    <n v="122"/>
  </r>
  <r>
    <x v="1158"/>
    <n v="812066"/>
    <s v="SAINI BUILDING MATERIAL"/>
    <n v="170149"/>
    <s v="ASHOK TRADING  COMPANY"/>
    <n v="0"/>
    <n v="67"/>
    <n v="77"/>
    <n v="129"/>
    <n v="20"/>
    <n v="67.5"/>
    <n v="65"/>
    <n v="0"/>
    <n v="70"/>
    <n v="20"/>
    <n v="125"/>
    <n v="76.5"/>
    <n v="717"/>
  </r>
  <r>
    <x v="1159"/>
    <n v="812066"/>
    <s v="SAINI BUILDING MATERIAL"/>
    <n v="170204"/>
    <s v="GOYAL BUILDING MATERIAL"/>
    <n v="0"/>
    <n v="0"/>
    <n v="0"/>
    <n v="0"/>
    <n v="0"/>
    <n v="15"/>
    <n v="0"/>
    <n v="0"/>
    <n v="0"/>
    <n v="0"/>
    <n v="0"/>
    <n v="0"/>
    <n v="15"/>
  </r>
  <r>
    <x v="1160"/>
    <n v="812067"/>
    <s v="KALRA BUILDING MATERIAL"/>
    <n v="119026"/>
    <s v="FRIENDS SUPPLIERS CO.(L"/>
    <n v="144.5"/>
    <n v="70"/>
    <n v="104.1"/>
    <n v="93.25"/>
    <n v="110"/>
    <n v="155.05000000000001"/>
    <n v="176.5"/>
    <n v="100"/>
    <n v="100"/>
    <n v="72.5"/>
    <n v="137.75"/>
    <n v="159"/>
    <n v="1422.65"/>
  </r>
  <r>
    <x v="1161"/>
    <n v="812067"/>
    <s v="KALRA BUILDING MATERIAL"/>
    <n v="141115"/>
    <s v="KALPESH CEMENT AGENCY"/>
    <n v="0"/>
    <n v="0"/>
    <n v="10"/>
    <n v="0"/>
    <n v="0"/>
    <n v="0"/>
    <n v="0"/>
    <n v="0"/>
    <n v="0"/>
    <n v="0"/>
    <n v="0"/>
    <n v="0"/>
    <n v="10"/>
  </r>
  <r>
    <x v="1162"/>
    <n v="812068"/>
    <s v="SHREE VEER TEJA BUILDING MATER"/>
    <n v="140881"/>
    <s v="NAM DEV STONE SUPPLIERS"/>
    <n v="105"/>
    <n v="25"/>
    <n v="0"/>
    <n v="40"/>
    <n v="35"/>
    <n v="50"/>
    <n v="0"/>
    <n v="35"/>
    <n v="30"/>
    <n v="0"/>
    <n v="0"/>
    <n v="0"/>
    <n v="320"/>
  </r>
  <r>
    <x v="1163"/>
    <n v="812069"/>
    <s v="YOGESH IRON STORE"/>
    <n v="202913"/>
    <s v="SACHIN CEMENT STORE"/>
    <n v="4.5"/>
    <n v="15"/>
    <n v="46.5"/>
    <n v="2"/>
    <n v="22.5"/>
    <n v="15"/>
    <n v="0"/>
    <n v="0"/>
    <n v="0"/>
    <n v="0"/>
    <n v="0"/>
    <n v="16.649999999999999"/>
    <n v="122.15"/>
  </r>
  <r>
    <x v="1164"/>
    <n v="812070"/>
    <s v="KULWANT SINGH"/>
    <n v="202913"/>
    <s v="SACHIN CEMENT STORE"/>
    <n v="0"/>
    <n v="0"/>
    <n v="0"/>
    <n v="0"/>
    <n v="0"/>
    <n v="0"/>
    <n v="0"/>
    <n v="0"/>
    <n v="30"/>
    <n v="15"/>
    <n v="20"/>
    <n v="0"/>
    <n v="65"/>
  </r>
  <r>
    <x v="1165"/>
    <n v="812071"/>
    <s v="SHRI BAJRANG STEEL &amp; CEMENT AG"/>
    <n v="179911"/>
    <s v="DIPESH STEEL AND BUILDING MATE"/>
    <n v="57.5"/>
    <n v="84.25"/>
    <n v="89.5"/>
    <n v="46.25"/>
    <n v="68"/>
    <n v="65.5"/>
    <n v="80"/>
    <n v="61"/>
    <n v="45"/>
    <n v="49.35"/>
    <n v="7.9"/>
    <n v="70.5"/>
    <n v="724.75"/>
  </r>
  <r>
    <x v="1166"/>
    <n v="812072"/>
    <s v="ANUPAM PAINTS AND HARDWARES"/>
    <n v="144868"/>
    <s v="ASHISH SALES CORPORATION"/>
    <n v="5"/>
    <n v="2.5"/>
    <n v="0"/>
    <n v="5"/>
    <n v="15"/>
    <n v="0"/>
    <n v="0"/>
    <n v="2.5"/>
    <n v="10"/>
    <n v="11.5"/>
    <n v="0"/>
    <n v="0"/>
    <n v="51.5"/>
  </r>
  <r>
    <x v="1167"/>
    <n v="812076"/>
    <s v="SHRINATH TRADERS"/>
    <n v="178234"/>
    <s v="SHREE GIRIRAJ TRADERS"/>
    <n v="15"/>
    <n v="15"/>
    <n v="40"/>
    <n v="60"/>
    <n v="15"/>
    <n v="37.5"/>
    <n v="103"/>
    <n v="0"/>
    <n v="41"/>
    <n v="34.5"/>
    <n v="40.200000000000003"/>
    <n v="51"/>
    <n v="452.2"/>
  </r>
  <r>
    <x v="1168"/>
    <n v="812077"/>
    <s v="SARWAN KUMAR MAHESH KUMAR"/>
    <n v="202452"/>
    <s v="MANGLA STEELS AGENCY"/>
    <n v="40"/>
    <n v="10"/>
    <n v="37"/>
    <n v="17"/>
    <n v="44.25"/>
    <n v="15"/>
    <n v="16.25"/>
    <n v="27.5"/>
    <n v="34"/>
    <n v="17.5"/>
    <n v="42.5"/>
    <n v="35.5"/>
    <n v="336.5"/>
  </r>
  <r>
    <x v="1169"/>
    <n v="812096"/>
    <s v="MAHADEV MARBLE AND BUILDING MA"/>
    <n v="173224"/>
    <s v="D.R.MARBLE &amp; SANITORY"/>
    <n v="120"/>
    <n v="110"/>
    <n v="104.5"/>
    <n v="101"/>
    <n v="87.5"/>
    <n v="32.5"/>
    <n v="80"/>
    <n v="0"/>
    <n v="57.5"/>
    <n v="41"/>
    <n v="75"/>
    <n v="130"/>
    <n v="939"/>
  </r>
  <r>
    <x v="1170"/>
    <n v="812097"/>
    <s v="HARI DARSHAN GENERAL STORE KHI"/>
    <n v="177379"/>
    <s v="MANGILAL &amp; SONS"/>
    <n v="0"/>
    <n v="27"/>
    <n v="50"/>
    <n v="60"/>
    <n v="75"/>
    <n v="50"/>
    <n v="0"/>
    <n v="25"/>
    <n v="20"/>
    <n v="15"/>
    <n v="45"/>
    <n v="20"/>
    <n v="387"/>
  </r>
  <r>
    <x v="1171"/>
    <n v="812099"/>
    <s v="MAA VAISHNO DEVI BUILDING MATE"/>
    <n v="144243"/>
    <s v="SHRI SHYAM TRADING COMPANY"/>
    <n v="52.5"/>
    <n v="48"/>
    <n v="39"/>
    <n v="30"/>
    <n v="12.5"/>
    <n v="55"/>
    <n v="15"/>
    <n v="10"/>
    <n v="32.5"/>
    <n v="46"/>
    <n v="25.5"/>
    <n v="55"/>
    <n v="421"/>
  </r>
  <r>
    <x v="1172"/>
    <n v="812100"/>
    <s v="MAHALAXMI B M TRADERS"/>
    <n v="178234"/>
    <s v="SHREE GIRIRAJ TRADERS"/>
    <n v="0"/>
    <n v="10"/>
    <n v="0"/>
    <n v="10"/>
    <n v="0"/>
    <n v="0"/>
    <n v="0"/>
    <n v="0"/>
    <n v="0"/>
    <n v="0"/>
    <n v="0"/>
    <n v="0"/>
    <n v="20"/>
  </r>
  <r>
    <x v="1173"/>
    <n v="812100"/>
    <s v="MAHALAXMI B M TRADERS"/>
    <n v="203236"/>
    <s v="SAINI STONE SUPPLIERS"/>
    <n v="37.5"/>
    <n v="54"/>
    <n v="60"/>
    <n v="0"/>
    <n v="30"/>
    <n v="15"/>
    <n v="37"/>
    <n v="0"/>
    <n v="0"/>
    <n v="0"/>
    <n v="0"/>
    <n v="0"/>
    <n v="233.5"/>
  </r>
  <r>
    <x v="1174"/>
    <n v="812102"/>
    <s v="RIYA TRADERS"/>
    <n v="145639"/>
    <s v="GOVIND TRADERS"/>
    <n v="10"/>
    <n v="10.5"/>
    <n v="27.75"/>
    <n v="12"/>
    <n v="21"/>
    <n v="19"/>
    <n v="15.5"/>
    <n v="10"/>
    <n v="38.5"/>
    <n v="0"/>
    <n v="14.5"/>
    <n v="42.5"/>
    <n v="221.25"/>
  </r>
  <r>
    <x v="1175"/>
    <n v="812109"/>
    <s v="LILADHAR"/>
    <n v="171924"/>
    <s v="BALAJI CEMENT AGENCY"/>
    <n v="41.5"/>
    <n v="42"/>
    <n v="42"/>
    <n v="51"/>
    <n v="20"/>
    <n v="75"/>
    <n v="0"/>
    <n v="0"/>
    <n v="0"/>
    <n v="0"/>
    <n v="0"/>
    <n v="108.95"/>
    <n v="380.45"/>
  </r>
  <r>
    <x v="1176"/>
    <n v="812110"/>
    <s v="MAJISA KHAAD BEEJ BHANDAR"/>
    <n v="119038"/>
    <s v="NAVEEN DISTRIBUTORS"/>
    <n v="45"/>
    <n v="0"/>
    <n v="41"/>
    <n v="30"/>
    <n v="50"/>
    <n v="30"/>
    <n v="20"/>
    <n v="15"/>
    <n v="25"/>
    <n v="0"/>
    <n v="10"/>
    <n v="0"/>
    <n v="266"/>
  </r>
  <r>
    <x v="1177"/>
    <n v="812134"/>
    <s v="YOGI TRADERS"/>
    <n v="170146"/>
    <s v="KASLIWAL KRISHI SEWA KENDRA"/>
    <n v="104"/>
    <n v="129.5"/>
    <n v="110"/>
    <n v="92"/>
    <n v="5"/>
    <n v="55"/>
    <n v="122"/>
    <n v="0"/>
    <n v="137"/>
    <n v="58"/>
    <n v="77"/>
    <n v="15"/>
    <n v="904.5"/>
  </r>
  <r>
    <x v="1178"/>
    <n v="812142"/>
    <s v="GURUKRIPA SUPPLIERS"/>
    <n v="174445"/>
    <s v="RAM JI BUILDING MATERIAL SUPPL"/>
    <n v="14.5"/>
    <n v="15"/>
    <n v="20.5"/>
    <n v="38"/>
    <n v="15"/>
    <n v="19"/>
    <n v="10"/>
    <n v="5"/>
    <n v="22.5"/>
    <n v="25"/>
    <n v="29"/>
    <n v="7.5"/>
    <n v="221"/>
  </r>
  <r>
    <x v="1179"/>
    <n v="812160"/>
    <s v="SHIV TRADERS"/>
    <n v="203154"/>
    <s v="OM SHIV CEMENT SUPPLIERS"/>
    <n v="81"/>
    <n v="52.35"/>
    <n v="242.55"/>
    <n v="133.5"/>
    <n v="8.25"/>
    <n v="101"/>
    <n v="50.5"/>
    <n v="90.5"/>
    <n v="150.75"/>
    <n v="153.5"/>
    <n v="181"/>
    <n v="192.25"/>
    <n v="1437.15"/>
  </r>
  <r>
    <x v="1180"/>
    <n v="812161"/>
    <s v="ARPIT TRADERS"/>
    <n v="145639"/>
    <s v="GOVIND TRADERS"/>
    <n v="68"/>
    <n v="50"/>
    <n v="114.5"/>
    <n v="93.5"/>
    <n v="127.75"/>
    <n v="110.5"/>
    <n v="82.5"/>
    <n v="34.5"/>
    <n v="106"/>
    <n v="80.75"/>
    <n v="100.25"/>
    <n v="167"/>
    <n v="1135.25"/>
  </r>
  <r>
    <x v="1181"/>
    <n v="812175"/>
    <s v="NAKODA IRON AND CEMENT"/>
    <n v="141115"/>
    <s v="KALPESH CEMENT AGENCY"/>
    <n v="10"/>
    <n v="0"/>
    <n v="0"/>
    <n v="22.5"/>
    <n v="35"/>
    <n v="35"/>
    <n v="40"/>
    <n v="27.5"/>
    <n v="32.5"/>
    <n v="0"/>
    <n v="21"/>
    <n v="0"/>
    <n v="223.5"/>
  </r>
  <r>
    <x v="1182"/>
    <n v="812176"/>
    <s v="SANWARIYA CONSTRUCTION AND BUI"/>
    <n v="170059"/>
    <s v="SHREE OM CEMENT &amp; STONE SUPPLI"/>
    <n v="10"/>
    <n v="0"/>
    <n v="25"/>
    <n v="0"/>
    <n v="0"/>
    <n v="0"/>
    <n v="0"/>
    <n v="0"/>
    <n v="0"/>
    <n v="0"/>
    <n v="0"/>
    <n v="0"/>
    <n v="35"/>
  </r>
  <r>
    <x v="1183"/>
    <n v="812176"/>
    <s v="SANWARIYA CONSTRUCTION AND BUI"/>
    <n v="179560"/>
    <s v="TIRUPATI TRADING COMPANY"/>
    <n v="25"/>
    <n v="45"/>
    <n v="25"/>
    <n v="55"/>
    <n v="45.5"/>
    <n v="40"/>
    <n v="40"/>
    <n v="20"/>
    <n v="45"/>
    <n v="35"/>
    <n v="25"/>
    <n v="15"/>
    <n v="415.5"/>
  </r>
  <r>
    <x v="1184"/>
    <n v="812177"/>
    <s v="BHERU LAL KUMHAR"/>
    <n v="140967"/>
    <s v="B.L.JAIN &amp; SONS"/>
    <n v="25"/>
    <n v="25"/>
    <n v="0"/>
    <n v="17.5"/>
    <n v="35"/>
    <n v="0"/>
    <n v="0"/>
    <n v="0"/>
    <n v="15"/>
    <n v="0"/>
    <n v="51"/>
    <n v="131"/>
    <n v="299.5"/>
  </r>
  <r>
    <x v="1185"/>
    <n v="812178"/>
    <s v="SHAKTI CEMENT BHANDAR"/>
    <n v="179928"/>
    <s v="BHAIRAV BUILDING MATERIAL SUPP"/>
    <n v="0"/>
    <n v="0"/>
    <n v="0"/>
    <n v="0"/>
    <n v="0"/>
    <n v="0"/>
    <n v="0"/>
    <n v="10"/>
    <n v="0"/>
    <n v="0"/>
    <n v="0"/>
    <n v="0"/>
    <n v="10"/>
  </r>
  <r>
    <x v="1186"/>
    <n v="812178"/>
    <s v="SHAKTI CEMENT BHANDAR"/>
    <n v="201280"/>
    <s v="SIDDHI VINAYAK CEMENT DISTRIBU"/>
    <n v="0"/>
    <n v="0"/>
    <n v="0"/>
    <n v="0"/>
    <n v="0"/>
    <n v="0"/>
    <n v="0"/>
    <n v="0"/>
    <n v="0"/>
    <n v="0"/>
    <n v="50"/>
    <n v="104"/>
    <n v="154"/>
  </r>
  <r>
    <x v="1187"/>
    <n v="812195"/>
    <s v="SHARMA CEMENT AGENCY"/>
    <n v="141905"/>
    <s v="BS ENTERPRISES"/>
    <n v="10"/>
    <n v="10"/>
    <n v="24.5"/>
    <n v="22"/>
    <n v="8"/>
    <n v="15.75"/>
    <n v="2.5"/>
    <n v="10"/>
    <n v="10"/>
    <n v="18.5"/>
    <n v="11.5"/>
    <n v="18"/>
    <n v="160.75"/>
  </r>
  <r>
    <x v="1188"/>
    <n v="812196"/>
    <s v="SHREE KALYAN BUILDING MATERIAL"/>
    <n v="174445"/>
    <s v="RAM JI BUILDING MATERIAL SUPPL"/>
    <n v="0"/>
    <n v="15"/>
    <n v="20"/>
    <n v="42.5"/>
    <n v="20"/>
    <n v="19"/>
    <n v="27"/>
    <n v="15"/>
    <n v="30"/>
    <n v="0"/>
    <n v="10"/>
    <n v="15.25"/>
    <n v="213.75"/>
  </r>
  <r>
    <x v="1189"/>
    <n v="812218"/>
    <s v="JAINICO DISTRIBUTORS"/>
    <n v="119026"/>
    <s v="FRIENDS SUPPLIERS CO.(L"/>
    <n v="50"/>
    <n v="0"/>
    <n v="5"/>
    <n v="62.5"/>
    <n v="20"/>
    <n v="15"/>
    <n v="10"/>
    <n v="20"/>
    <n v="22.5"/>
    <n v="55"/>
    <n v="0"/>
    <n v="32.5"/>
    <n v="292.5"/>
  </r>
  <r>
    <x v="1190"/>
    <n v="812236"/>
    <s v="BHATERI"/>
    <n v="179486"/>
    <s v="MOROLIA TRADERS"/>
    <n v="20"/>
    <n v="40"/>
    <n v="25"/>
    <n v="20"/>
    <n v="30"/>
    <n v="45"/>
    <n v="0"/>
    <n v="0"/>
    <n v="30.2"/>
    <n v="10"/>
    <n v="10"/>
    <n v="6.75"/>
    <n v="236.95"/>
  </r>
  <r>
    <x v="1191"/>
    <n v="812237"/>
    <s v="MEENA BUILDING MATERIAL SUPPLI"/>
    <n v="174445"/>
    <s v="RAM JI BUILDING MATERIAL SUPPL"/>
    <n v="15.6"/>
    <n v="23.75"/>
    <n v="27.5"/>
    <n v="40"/>
    <n v="20.5"/>
    <n v="74.5"/>
    <n v="10"/>
    <n v="37.5"/>
    <n v="142.5"/>
    <n v="35"/>
    <n v="30.5"/>
    <n v="42.5"/>
    <n v="499.85"/>
  </r>
  <r>
    <x v="1192"/>
    <n v="812265"/>
    <s v="NIKHIL NENAWA"/>
    <n v="141115"/>
    <s v="KALPESH CEMENT AGENCY"/>
    <n v="0"/>
    <n v="0"/>
    <n v="0"/>
    <n v="10"/>
    <n v="35"/>
    <n v="0"/>
    <n v="0"/>
    <n v="0"/>
    <n v="0"/>
    <n v="193.55"/>
    <n v="139.25"/>
    <n v="171.75"/>
    <n v="549.54999999999995"/>
  </r>
  <r>
    <x v="1193"/>
    <n v="812266"/>
    <s v="MEWADA BUILDING MATERIAL SUPPL"/>
    <n v="140859"/>
    <s v="KESHRIYA JI HARDWARE &amp; METAL S"/>
    <n v="22"/>
    <n v="30"/>
    <n v="50"/>
    <n v="81"/>
    <n v="61"/>
    <n v="0"/>
    <n v="0"/>
    <n v="0"/>
    <n v="20"/>
    <n v="0"/>
    <n v="10"/>
    <n v="10"/>
    <n v="284"/>
  </r>
  <r>
    <x v="1194"/>
    <n v="812267"/>
    <s v="OM SAI BUILDING MATERIAL &amp; CON"/>
    <n v="172084"/>
    <s v="PRAJAPATI BUILDING MATERIAL"/>
    <n v="135"/>
    <n v="108"/>
    <n v="117"/>
    <n v="132.5"/>
    <n v="65"/>
    <n v="106"/>
    <n v="60"/>
    <n v="50"/>
    <n v="132.5"/>
    <n v="145"/>
    <n v="88.5"/>
    <n v="102"/>
    <n v="1241.5"/>
  </r>
  <r>
    <x v="1195"/>
    <n v="812267"/>
    <s v="OM SAI BUILDING MATERIAL &amp; CON"/>
    <n v="203330"/>
    <s v="VIKAS TRADING COMPANY"/>
    <n v="35"/>
    <n v="0"/>
    <n v="0"/>
    <n v="0"/>
    <n v="0"/>
    <n v="0"/>
    <n v="0"/>
    <n v="0"/>
    <n v="0"/>
    <n v="0"/>
    <n v="0"/>
    <n v="0"/>
    <n v="35"/>
  </r>
  <r>
    <x v="1196"/>
    <n v="812282"/>
    <s v="ANKUR TRADERS"/>
    <n v="174166"/>
    <s v="NAMOKAR STONE TRADERS"/>
    <n v="117.6"/>
    <n v="40"/>
    <n v="133.75"/>
    <n v="93.4"/>
    <n v="70.5"/>
    <n v="94.95"/>
    <n v="117"/>
    <n v="80"/>
    <n v="85"/>
    <n v="15"/>
    <n v="39.450000000000003"/>
    <n v="50"/>
    <n v="936.65000000000009"/>
  </r>
  <r>
    <x v="1197"/>
    <n v="812289"/>
    <s v="MAHALAXMI BUILDING MATERIAL"/>
    <n v="179560"/>
    <s v="TIRUPATI TRADING COMPANY"/>
    <n v="73"/>
    <n v="30"/>
    <n v="25"/>
    <n v="60"/>
    <n v="62.5"/>
    <n v="72.5"/>
    <n v="63.5"/>
    <n v="35"/>
    <n v="108.5"/>
    <n v="78.5"/>
    <n v="112.5"/>
    <n v="186"/>
    <n v="907"/>
  </r>
  <r>
    <x v="1198"/>
    <n v="812291"/>
    <s v="FAIR TRADING CO"/>
    <n v="149765"/>
    <s v="ARORA CEMENT AGENCY"/>
    <n v="45"/>
    <n v="20"/>
    <n v="30"/>
    <n v="0"/>
    <n v="30"/>
    <n v="30"/>
    <n v="10"/>
    <n v="30"/>
    <n v="40"/>
    <n v="20"/>
    <n v="30"/>
    <n v="10"/>
    <n v="295"/>
  </r>
  <r>
    <x v="1199"/>
    <n v="812299"/>
    <s v="VIJAY TRADING COMPANY"/>
    <n v="143531"/>
    <s v="JAIN KHAD BEEJ BHANDAR"/>
    <n v="20"/>
    <n v="0"/>
    <n v="49"/>
    <n v="21"/>
    <n v="26.5"/>
    <n v="0"/>
    <n v="0"/>
    <n v="20"/>
    <n v="30"/>
    <n v="0"/>
    <n v="54.5"/>
    <n v="0"/>
    <n v="221"/>
  </r>
  <r>
    <x v="1200"/>
    <n v="812300"/>
    <s v="LAXMI BANS BALLI UDYOG"/>
    <n v="149765"/>
    <s v="ARORA CEMENT AGENCY"/>
    <n v="60"/>
    <n v="20"/>
    <n v="50"/>
    <n v="0"/>
    <n v="60"/>
    <n v="40"/>
    <n v="98"/>
    <n v="20"/>
    <n v="50"/>
    <n v="48"/>
    <n v="30"/>
    <n v="125"/>
    <n v="601"/>
  </r>
  <r>
    <x v="1201"/>
    <n v="812301"/>
    <s v="MUKESH CHOUDHARY"/>
    <n v="119208"/>
    <s v="SURAJMAL TANSUKH RAI"/>
    <n v="102"/>
    <n v="0"/>
    <n v="0"/>
    <n v="0"/>
    <n v="0"/>
    <n v="0"/>
    <n v="0"/>
    <n v="0"/>
    <n v="0"/>
    <n v="0"/>
    <n v="0"/>
    <n v="0"/>
    <n v="102"/>
  </r>
  <r>
    <x v="1202"/>
    <n v="812317"/>
    <s v="AMRIT LAL SUTHAR"/>
    <n v="174756"/>
    <s v="SHAH TRADERS"/>
    <n v="10"/>
    <n v="25"/>
    <n v="45"/>
    <n v="73.5"/>
    <n v="30"/>
    <n v="27"/>
    <n v="37.5"/>
    <n v="40"/>
    <n v="52"/>
    <n v="77.5"/>
    <n v="72"/>
    <n v="54.25"/>
    <n v="543.75"/>
  </r>
  <r>
    <x v="1203"/>
    <n v="812320"/>
    <s v="ANEEL TRADERS"/>
    <n v="172084"/>
    <s v="PRAJAPATI BUILDING MATERIAL"/>
    <n v="0"/>
    <n v="0"/>
    <n v="0"/>
    <n v="0"/>
    <n v="0"/>
    <n v="0"/>
    <n v="0"/>
    <n v="0"/>
    <n v="50"/>
    <n v="85"/>
    <n v="94"/>
    <n v="45"/>
    <n v="274"/>
  </r>
  <r>
    <x v="1204"/>
    <n v="812333"/>
    <s v="DEVARAM GURJAR"/>
    <n v="171662"/>
    <s v="CHHABRA STONES"/>
    <n v="0"/>
    <n v="0"/>
    <n v="5"/>
    <n v="7.5"/>
    <n v="0"/>
    <n v="0"/>
    <n v="0"/>
    <n v="0"/>
    <n v="0"/>
    <n v="0"/>
    <n v="0"/>
    <n v="0"/>
    <n v="12.5"/>
  </r>
  <r>
    <x v="1205"/>
    <n v="812336"/>
    <s v="SHIV TRADING COMPANY"/>
    <n v="178109"/>
    <s v="KRISHI SEWA KENDRA"/>
    <n v="52.5"/>
    <n v="75.5"/>
    <n v="77.5"/>
    <n v="32.5"/>
    <n v="55"/>
    <n v="56.5"/>
    <n v="20"/>
    <n v="41"/>
    <n v="10"/>
    <n v="55"/>
    <n v="41.5"/>
    <n v="0"/>
    <n v="517"/>
  </r>
  <r>
    <x v="1206"/>
    <n v="812344"/>
    <s v="SUNIL TELI"/>
    <n v="202635"/>
    <s v="KALIKA BUILDING MATERIAL SUPPL"/>
    <n v="0"/>
    <n v="0"/>
    <n v="0"/>
    <n v="28.5"/>
    <n v="20"/>
    <n v="0"/>
    <n v="6"/>
    <n v="30"/>
    <n v="20"/>
    <n v="6"/>
    <n v="0"/>
    <n v="21"/>
    <n v="131.5"/>
  </r>
  <r>
    <x v="1207"/>
    <n v="812346"/>
    <s v="SHORYA INDUSTRIES"/>
    <n v="173100"/>
    <s v="BANSHI LAL BHATI AND SONS"/>
    <n v="50"/>
    <n v="0"/>
    <n v="0"/>
    <n v="55"/>
    <n v="0"/>
    <n v="0"/>
    <n v="35"/>
    <n v="0"/>
    <n v="0"/>
    <n v="0"/>
    <n v="0"/>
    <n v="0"/>
    <n v="140"/>
  </r>
  <r>
    <x v="1208"/>
    <n v="812360"/>
    <s v="SHREE KARNI CEMENT AGENCY"/>
    <n v="173224"/>
    <s v="D.R.MARBLE &amp; SANITORY"/>
    <n v="20"/>
    <n v="45"/>
    <n v="60"/>
    <n v="40"/>
    <n v="27.5"/>
    <n v="0"/>
    <n v="40"/>
    <n v="15"/>
    <n v="25"/>
    <n v="30"/>
    <n v="10"/>
    <n v="7.5"/>
    <n v="320"/>
  </r>
  <r>
    <x v="1209"/>
    <n v="812362"/>
    <s v="NEW BALAJI BUILDING MATERIAL &amp;"/>
    <n v="173224"/>
    <s v="D.R.MARBLE &amp; SANITORY"/>
    <n v="35"/>
    <n v="30"/>
    <n v="40"/>
    <n v="26"/>
    <n v="37.5"/>
    <n v="20"/>
    <n v="30"/>
    <n v="30"/>
    <n v="12.5"/>
    <n v="12.5"/>
    <n v="30"/>
    <n v="31"/>
    <n v="334.5"/>
  </r>
  <r>
    <x v="1210"/>
    <n v="812372"/>
    <s v="YOGESH CONSTRUCTION"/>
    <n v="202849"/>
    <s v="AKHLESH TRADING COMPANY"/>
    <n v="0"/>
    <n v="0"/>
    <n v="0"/>
    <n v="0"/>
    <n v="0"/>
    <n v="0"/>
    <n v="32"/>
    <n v="61"/>
    <n v="32"/>
    <n v="13"/>
    <n v="32"/>
    <n v="82"/>
    <n v="252"/>
  </r>
  <r>
    <x v="1211"/>
    <n v="812382"/>
    <s v="NEERAJ ENTERPRISES"/>
    <n v="179893"/>
    <s v="AGRAWAL TRADERS"/>
    <n v="81"/>
    <n v="112"/>
    <n v="98.5"/>
    <n v="93.5"/>
    <n v="51.5"/>
    <n v="59"/>
    <n v="15"/>
    <n v="90"/>
    <n v="119"/>
    <n v="25"/>
    <n v="48"/>
    <n v="115"/>
    <n v="907.5"/>
  </r>
  <r>
    <x v="1212"/>
    <n v="812384"/>
    <s v="GURUKRIPA BUILDING MATERIAL"/>
    <n v="178237"/>
    <s v="BADAYA TRADERS"/>
    <n v="0"/>
    <n v="0"/>
    <n v="0"/>
    <n v="0"/>
    <n v="0"/>
    <n v="0"/>
    <n v="0"/>
    <n v="0"/>
    <n v="0"/>
    <n v="0"/>
    <n v="0"/>
    <n v="31.5"/>
    <n v="31.5"/>
  </r>
  <r>
    <x v="1213"/>
    <n v="812384"/>
    <s v="GURUKRIPA BUILDING MATERIAL"/>
    <n v="178298"/>
    <s v="SAINI BUILDING MATERIAL"/>
    <n v="206"/>
    <n v="238.5"/>
    <n v="201.5"/>
    <n v="235"/>
    <n v="147"/>
    <n v="247.25"/>
    <n v="190"/>
    <n v="184"/>
    <n v="204.5"/>
    <n v="224"/>
    <n v="120"/>
    <n v="225"/>
    <n v="2422.75"/>
  </r>
  <r>
    <x v="1214"/>
    <n v="812389"/>
    <s v="SHARMA TRADING COMPANY"/>
    <n v="176693"/>
    <s v="SUBHAM AGENCIES"/>
    <n v="0"/>
    <n v="0"/>
    <n v="0"/>
    <n v="0"/>
    <n v="0"/>
    <n v="0"/>
    <n v="0"/>
    <n v="0"/>
    <n v="0"/>
    <n v="0"/>
    <n v="20"/>
    <n v="0"/>
    <n v="20"/>
  </r>
  <r>
    <x v="1215"/>
    <n v="812389"/>
    <s v="SHARMA TRADING COMPANY"/>
    <n v="177787"/>
    <s v="S M TILES UDYOG"/>
    <n v="0"/>
    <n v="0"/>
    <n v="12"/>
    <n v="15"/>
    <n v="13"/>
    <n v="15"/>
    <n v="32"/>
    <n v="28"/>
    <n v="73"/>
    <n v="60"/>
    <n v="50"/>
    <n v="80"/>
    <n v="378"/>
  </r>
  <r>
    <x v="1216"/>
    <n v="812389"/>
    <s v="SHARMA TRADING COMPANY"/>
    <n v="208055"/>
    <s v="SHIV SHAKTI BUILDING MATERIAL"/>
    <n v="0"/>
    <n v="0"/>
    <n v="0"/>
    <n v="0"/>
    <n v="0"/>
    <n v="0"/>
    <n v="0"/>
    <n v="0"/>
    <n v="0"/>
    <n v="15"/>
    <n v="0"/>
    <n v="0"/>
    <n v="15"/>
  </r>
  <r>
    <x v="1217"/>
    <n v="812391"/>
    <s v="SAINI CHIPS &amp; MARBLE"/>
    <n v="149765"/>
    <s v="ARORA CEMENT AGENCY"/>
    <n v="45"/>
    <n v="5"/>
    <n v="12"/>
    <n v="0"/>
    <n v="10"/>
    <n v="0"/>
    <n v="2.0499999999999998"/>
    <n v="10"/>
    <n v="0"/>
    <n v="0"/>
    <n v="20"/>
    <n v="10"/>
    <n v="114.05"/>
  </r>
  <r>
    <x v="1218"/>
    <n v="812392"/>
    <s v="JAI MATADI  BUILDING MATERIAL"/>
    <n v="178237"/>
    <s v="BADAYA TRADERS"/>
    <n v="12"/>
    <n v="15"/>
    <n v="29"/>
    <n v="35"/>
    <n v="20"/>
    <n v="34"/>
    <n v="0"/>
    <n v="10"/>
    <n v="42"/>
    <n v="0"/>
    <n v="12.5"/>
    <n v="73"/>
    <n v="282.5"/>
  </r>
  <r>
    <x v="1219"/>
    <n v="812393"/>
    <s v="MUNNI DEVI"/>
    <n v="176693"/>
    <s v="SUBHAM AGENCIES"/>
    <n v="0"/>
    <n v="0"/>
    <n v="0"/>
    <n v="10"/>
    <n v="0"/>
    <n v="0"/>
    <n v="0"/>
    <n v="0"/>
    <n v="0"/>
    <n v="0"/>
    <n v="0"/>
    <n v="0"/>
    <n v="10"/>
  </r>
  <r>
    <x v="1220"/>
    <n v="812395"/>
    <s v="P B GROVER AND SONS"/>
    <n v="174166"/>
    <s v="NAMOKAR STONE TRADERS"/>
    <n v="0"/>
    <n v="0"/>
    <n v="15"/>
    <n v="0"/>
    <n v="0"/>
    <n v="0"/>
    <n v="0"/>
    <n v="0"/>
    <n v="0"/>
    <n v="10"/>
    <n v="5"/>
    <n v="25"/>
    <n v="55"/>
  </r>
  <r>
    <x v="1221"/>
    <n v="812396"/>
    <s v="SHIVBHAGAWAN SHARMA"/>
    <n v="208156"/>
    <s v="SHRI BAJRANG TRADERS"/>
    <n v="0"/>
    <n v="12"/>
    <n v="0"/>
    <n v="2"/>
    <n v="0"/>
    <n v="0"/>
    <n v="0"/>
    <n v="0"/>
    <n v="10"/>
    <n v="13"/>
    <n v="0"/>
    <n v="7.5"/>
    <n v="44.5"/>
  </r>
  <r>
    <x v="1222"/>
    <n v="812404"/>
    <s v="GUPTA HARDWARE STORE"/>
    <n v="179894"/>
    <s v="SHARMA CEMENT AGENCY"/>
    <n v="42"/>
    <n v="72"/>
    <n v="62.5"/>
    <n v="50"/>
    <n v="50"/>
    <n v="60"/>
    <n v="33.5"/>
    <n v="25"/>
    <n v="37.5"/>
    <n v="20"/>
    <n v="5"/>
    <n v="27.5"/>
    <n v="485"/>
  </r>
  <r>
    <x v="1223"/>
    <n v="812407"/>
    <s v="HARI SINGH GURJAR"/>
    <n v="178237"/>
    <s v="BADAYA TRADERS"/>
    <n v="0"/>
    <n v="0"/>
    <n v="10"/>
    <n v="0"/>
    <n v="0"/>
    <n v="0"/>
    <n v="0"/>
    <n v="0"/>
    <n v="0"/>
    <n v="0"/>
    <n v="0"/>
    <n v="0"/>
    <n v="10"/>
  </r>
  <r>
    <x v="1224"/>
    <n v="812409"/>
    <s v="RATHORE CEMENT AGENCY"/>
    <n v="202225"/>
    <s v="ASTOLIA INDUSTRIES"/>
    <n v="72.5"/>
    <n v="52"/>
    <n v="13.5"/>
    <n v="35"/>
    <n v="15"/>
    <n v="15"/>
    <n v="0"/>
    <n v="25"/>
    <n v="25"/>
    <n v="25"/>
    <n v="45"/>
    <n v="97"/>
    <n v="420"/>
  </r>
  <r>
    <x v="1225"/>
    <n v="812425"/>
    <s v="KUSHAL TRADING COMPANY"/>
    <n v="146909"/>
    <s v="AMERIA BUILDING MATERIAL"/>
    <n v="129.44999999999999"/>
    <n v="35"/>
    <n v="170.5"/>
    <n v="186"/>
    <n v="190"/>
    <n v="110.5"/>
    <n v="51.25"/>
    <n v="92.5"/>
    <n v="116.5"/>
    <n v="72.5"/>
    <n v="117.25"/>
    <n v="158"/>
    <n v="1429.45"/>
  </r>
  <r>
    <x v="1226"/>
    <n v="812426"/>
    <s v="DEV TRADING COMPANY"/>
    <n v="178109"/>
    <s v="KRISHI SEWA KENDRA"/>
    <n v="47.5"/>
    <n v="0"/>
    <n v="35"/>
    <n v="0"/>
    <n v="0"/>
    <n v="0"/>
    <n v="0"/>
    <n v="0"/>
    <n v="0"/>
    <n v="0"/>
    <n v="0"/>
    <n v="50"/>
    <n v="132.5"/>
  </r>
  <r>
    <x v="1227"/>
    <n v="812428"/>
    <s v="SHREE JI HARDWARE &amp; SANITARY"/>
    <n v="176279"/>
    <s v="ADITYA ENTERPRISES"/>
    <n v="30.25"/>
    <n v="14.3"/>
    <n v="32.450000000000003"/>
    <n v="17.5"/>
    <n v="20"/>
    <n v="0"/>
    <n v="0"/>
    <n v="0"/>
    <n v="0"/>
    <n v="0"/>
    <n v="0"/>
    <n v="0"/>
    <n v="114.5"/>
  </r>
  <r>
    <x v="1228"/>
    <n v="812433"/>
    <s v="GANESHARAM"/>
    <n v="208156"/>
    <s v="SHRI BAJRANG TRADERS"/>
    <n v="0"/>
    <n v="0"/>
    <n v="0"/>
    <n v="25.5"/>
    <n v="0"/>
    <n v="0"/>
    <n v="0"/>
    <n v="15.5"/>
    <n v="0"/>
    <n v="24"/>
    <n v="10"/>
    <n v="50"/>
    <n v="125"/>
  </r>
  <r>
    <x v="1229"/>
    <n v="812450"/>
    <s v="RUPENDRA SINGH SHAKTAWAT"/>
    <n v="140851"/>
    <s v="PASHAWNATH CEMENT SUPPLIERS"/>
    <n v="45"/>
    <n v="0"/>
    <n v="45"/>
    <n v="62.5"/>
    <n v="10"/>
    <n v="40"/>
    <n v="25"/>
    <n v="10"/>
    <n v="25"/>
    <n v="40"/>
    <n v="40"/>
    <n v="50"/>
    <n v="392.5"/>
  </r>
  <r>
    <x v="1230"/>
    <n v="812451"/>
    <s v="SURESH KUMAR"/>
    <n v="140858"/>
    <s v="RAMESH CHANDRA JAI CHAND"/>
    <n v="20"/>
    <n v="10"/>
    <n v="45"/>
    <n v="50"/>
    <n v="45"/>
    <n v="38.5"/>
    <n v="45"/>
    <n v="40"/>
    <n v="20"/>
    <n v="0"/>
    <n v="0"/>
    <n v="30"/>
    <n v="343.5"/>
  </r>
  <r>
    <x v="1231"/>
    <n v="812461"/>
    <s v="TANU CEMENT AGENCY"/>
    <n v="179893"/>
    <s v="AGRAWAL TRADERS"/>
    <n v="0"/>
    <n v="10"/>
    <n v="10"/>
    <n v="46"/>
    <n v="20"/>
    <n v="15"/>
    <n v="15"/>
    <n v="20"/>
    <n v="49"/>
    <n v="0"/>
    <n v="30"/>
    <n v="30"/>
    <n v="245"/>
  </r>
  <r>
    <x v="1232"/>
    <n v="812469"/>
    <s v="SHREE KRISHNA TRADERS"/>
    <n v="201065"/>
    <s v="SHRI RADHEY KRISHAN TRADERS"/>
    <n v="20"/>
    <n v="39.5"/>
    <n v="60"/>
    <n v="37.5"/>
    <n v="43"/>
    <n v="37"/>
    <n v="0"/>
    <n v="0"/>
    <n v="0"/>
    <n v="0"/>
    <n v="10"/>
    <n v="0"/>
    <n v="247"/>
  </r>
  <r>
    <x v="1233"/>
    <n v="812472"/>
    <s v="RAJENDER CHOUDHARY"/>
    <n v="170115"/>
    <s v="YADAV BUILDING MATERIAL"/>
    <n v="0"/>
    <n v="0"/>
    <n v="0"/>
    <n v="0"/>
    <n v="20"/>
    <n v="0"/>
    <n v="20"/>
    <n v="0"/>
    <n v="0"/>
    <n v="0"/>
    <n v="0"/>
    <n v="0"/>
    <n v="40"/>
  </r>
  <r>
    <x v="1234"/>
    <n v="812474"/>
    <s v="DEEPENDRA SINGH CHOUHAN"/>
    <n v="178234"/>
    <s v="SHREE GIRIRAJ TRADERS"/>
    <n v="35"/>
    <n v="30"/>
    <n v="93"/>
    <n v="100.5"/>
    <n v="65"/>
    <n v="48.5"/>
    <n v="54"/>
    <n v="31"/>
    <n v="0"/>
    <n v="0"/>
    <n v="16"/>
    <n v="13"/>
    <n v="486"/>
  </r>
  <r>
    <x v="1235"/>
    <n v="812483"/>
    <s v="SHREE PANCHMUKHI TRADERS"/>
    <n v="174166"/>
    <s v="NAMOKAR STONE TRADERS"/>
    <n v="0"/>
    <n v="10"/>
    <n v="0"/>
    <n v="25"/>
    <n v="30"/>
    <n v="20"/>
    <n v="20"/>
    <n v="20"/>
    <n v="0"/>
    <n v="0"/>
    <n v="15"/>
    <n v="40.700000000000003"/>
    <n v="180.7"/>
  </r>
  <r>
    <x v="1236"/>
    <n v="812505"/>
    <s v="RAJESHWAR CEMENT SUPPLIER"/>
    <n v="146861"/>
    <s v="BALAJI CEMENT AGENCY"/>
    <n v="70"/>
    <n v="75"/>
    <n v="110"/>
    <n v="80"/>
    <n v="0"/>
    <n v="0"/>
    <n v="0"/>
    <n v="0"/>
    <n v="0"/>
    <n v="0"/>
    <n v="0"/>
    <n v="0"/>
    <n v="335"/>
  </r>
  <r>
    <x v="1237"/>
    <n v="812507"/>
    <s v="MEWAR MILK COLLECTION CENTER"/>
    <n v="144447"/>
    <s v="PARAS ENTERPRISES"/>
    <n v="0"/>
    <n v="0"/>
    <n v="10"/>
    <n v="15"/>
    <n v="20"/>
    <n v="0"/>
    <n v="0"/>
    <n v="10"/>
    <n v="10"/>
    <n v="0"/>
    <n v="5"/>
    <n v="40"/>
    <n v="110"/>
  </r>
  <r>
    <x v="1238"/>
    <n v="812535"/>
    <s v="KISHORE KUMAR KUMAWAT"/>
    <n v="149885"/>
    <s v="LUHANI CEMENT SUPPLIERS"/>
    <n v="20"/>
    <n v="43"/>
    <n v="47"/>
    <n v="40"/>
    <n v="50.5"/>
    <n v="20"/>
    <n v="40"/>
    <n v="65"/>
    <n v="27.5"/>
    <n v="30"/>
    <n v="7.5"/>
    <n v="32.5"/>
    <n v="423"/>
  </r>
  <r>
    <x v="1239"/>
    <n v="812536"/>
    <s v="LAKSHITA SALES"/>
    <n v="119212"/>
    <s v="SURENDRA KUMAR &amp; CO"/>
    <n v="133.55000000000001"/>
    <n v="149"/>
    <n v="137"/>
    <n v="135"/>
    <n v="50"/>
    <n v="131.5"/>
    <n v="86"/>
    <n v="104"/>
    <n v="121.25"/>
    <n v="35"/>
    <n v="52.5"/>
    <n v="65"/>
    <n v="1199.8"/>
  </r>
  <r>
    <x v="1240"/>
    <n v="812537"/>
    <s v="YADAV CEMENT AGENCY"/>
    <n v="144343"/>
    <s v="SHREE BALAJI CEMENT AGENCY"/>
    <n v="0"/>
    <n v="7.5"/>
    <n v="20"/>
    <n v="7.5"/>
    <n v="24"/>
    <n v="15"/>
    <n v="30"/>
    <n v="15"/>
    <n v="7.5"/>
    <n v="15"/>
    <n v="0"/>
    <n v="0"/>
    <n v="141.5"/>
  </r>
  <r>
    <x v="1241"/>
    <n v="812545"/>
    <s v="RAKESH KUMAWAT"/>
    <n v="170392"/>
    <s v="JYOTI SUPPLIERS"/>
    <n v="10"/>
    <n v="0"/>
    <n v="0"/>
    <n v="0"/>
    <n v="0"/>
    <n v="0"/>
    <n v="0"/>
    <n v="0"/>
    <n v="0"/>
    <n v="0"/>
    <n v="0"/>
    <n v="0"/>
    <n v="10"/>
  </r>
  <r>
    <x v="1242"/>
    <n v="812545"/>
    <s v="RAKESH KUMAWAT"/>
    <n v="177727"/>
    <s v="SIDDHI ENTERPRISES"/>
    <n v="43"/>
    <n v="40"/>
    <n v="10"/>
    <n v="80"/>
    <n v="121"/>
    <n v="76.5"/>
    <n v="68.5"/>
    <n v="8"/>
    <n v="36"/>
    <n v="77"/>
    <n v="69"/>
    <n v="85"/>
    <n v="714"/>
  </r>
  <r>
    <x v="1243"/>
    <n v="812545"/>
    <s v="RAKESH KUMAWAT"/>
    <n v="204375"/>
    <s v="JAI MATESHWARI CONSTRUCTION"/>
    <n v="0"/>
    <n v="4"/>
    <n v="0"/>
    <n v="0"/>
    <n v="0"/>
    <n v="0"/>
    <n v="0"/>
    <n v="0"/>
    <n v="0"/>
    <n v="0"/>
    <n v="0"/>
    <n v="0"/>
    <n v="4"/>
  </r>
  <r>
    <x v="1244"/>
    <n v="812546"/>
    <s v="MADHAV TRADERS"/>
    <n v="176388"/>
    <s v="KUMAWAT TRADERS"/>
    <n v="25"/>
    <n v="5"/>
    <n v="15"/>
    <n v="15"/>
    <n v="20"/>
    <n v="22.5"/>
    <n v="15"/>
    <n v="0"/>
    <n v="0"/>
    <n v="0"/>
    <n v="0"/>
    <n v="0"/>
    <n v="117.5"/>
  </r>
  <r>
    <x v="1245"/>
    <n v="812548"/>
    <s v="OM PRAKASH"/>
    <n v="172855"/>
    <s v="BALAJI CEMENT AGENCY"/>
    <n v="31"/>
    <n v="25"/>
    <n v="50"/>
    <n v="30"/>
    <n v="30"/>
    <n v="20"/>
    <n v="50"/>
    <n v="21"/>
    <n v="36"/>
    <n v="50"/>
    <n v="30"/>
    <n v="90"/>
    <n v="463"/>
  </r>
  <r>
    <x v="1246"/>
    <n v="812551"/>
    <s v="VARUN GOYAL"/>
    <n v="119177"/>
    <s v="G.S.SALES CORPORATION"/>
    <n v="0"/>
    <n v="0"/>
    <n v="0"/>
    <n v="23"/>
    <n v="0"/>
    <n v="0"/>
    <n v="0"/>
    <n v="0"/>
    <n v="0"/>
    <n v="0"/>
    <n v="0"/>
    <n v="0"/>
    <n v="23"/>
  </r>
  <r>
    <x v="1247"/>
    <n v="812551"/>
    <s v="VARUN GOYAL"/>
    <n v="203137"/>
    <s v="GOYAL BUILDING MATERIAL STORE"/>
    <n v="124.5"/>
    <n v="113"/>
    <n v="92"/>
    <n v="0"/>
    <n v="0"/>
    <n v="45"/>
    <n v="65"/>
    <n v="70"/>
    <n v="45"/>
    <n v="40"/>
    <n v="0"/>
    <n v="45"/>
    <n v="639.5"/>
  </r>
  <r>
    <x v="1248"/>
    <n v="812552"/>
    <s v="BHATI CEMENT AND EIT SUPPLIERS"/>
    <n v="170775"/>
    <s v="GANPAT LAL MAROTHIYA AND SONS"/>
    <n v="0"/>
    <n v="0"/>
    <n v="0"/>
    <n v="10"/>
    <n v="15"/>
    <n v="0"/>
    <n v="40"/>
    <n v="68"/>
    <n v="50"/>
    <n v="25"/>
    <n v="82"/>
    <n v="55"/>
    <n v="345"/>
  </r>
  <r>
    <x v="1249"/>
    <n v="812561"/>
    <s v="LAXMI BUILDING MATERIAL"/>
    <n v="179877"/>
    <s v="HANUMANGARH  INT SUPPLIERS"/>
    <n v="36.5"/>
    <n v="42"/>
    <n v="50"/>
    <n v="62.5"/>
    <n v="37.5"/>
    <n v="50"/>
    <n v="35"/>
    <n v="34"/>
    <n v="70"/>
    <n v="65"/>
    <n v="47.5"/>
    <n v="132.25"/>
    <n v="662.25"/>
  </r>
  <r>
    <x v="1250"/>
    <n v="812562"/>
    <s v="MOHAN LAL SAINI"/>
    <n v="178237"/>
    <s v="BADAYA TRADERS"/>
    <n v="0"/>
    <n v="0"/>
    <n v="0"/>
    <n v="0"/>
    <n v="0"/>
    <n v="0"/>
    <n v="0"/>
    <n v="0"/>
    <n v="20"/>
    <n v="39.5"/>
    <n v="20.5"/>
    <n v="17.5"/>
    <n v="97.5"/>
  </r>
  <r>
    <x v="1251"/>
    <n v="812563"/>
    <s v="SAVETA CEMENT AGENCY"/>
    <n v="141556"/>
    <s v="GYANI BUILDING MATERIALS"/>
    <n v="43.5"/>
    <n v="59.5"/>
    <n v="57"/>
    <n v="31.5"/>
    <n v="55"/>
    <n v="17.5"/>
    <n v="25"/>
    <n v="0"/>
    <n v="41.5"/>
    <n v="63"/>
    <n v="60"/>
    <n v="50"/>
    <n v="503.5"/>
  </r>
  <r>
    <x v="1252"/>
    <n v="812564"/>
    <s v="BHAMBHU TILES"/>
    <n v="141556"/>
    <s v="GYANI BUILDING MATERIALS"/>
    <n v="0"/>
    <n v="0"/>
    <n v="0"/>
    <n v="0"/>
    <n v="0"/>
    <n v="0"/>
    <n v="0"/>
    <n v="0"/>
    <n v="15"/>
    <n v="41.5"/>
    <n v="65"/>
    <n v="70"/>
    <n v="191.5"/>
  </r>
  <r>
    <x v="1253"/>
    <n v="812565"/>
    <s v="PRAKASH CHANDRA SHARMA"/>
    <n v="170392"/>
    <s v="JYOTI SUPPLIERS"/>
    <n v="10"/>
    <n v="20"/>
    <n v="15"/>
    <n v="40"/>
    <n v="20"/>
    <n v="0"/>
    <n v="0"/>
    <n v="0"/>
    <n v="20"/>
    <n v="0"/>
    <n v="0"/>
    <n v="0"/>
    <n v="125"/>
  </r>
  <r>
    <x v="1254"/>
    <n v="812569"/>
    <s v="HARSHITA ENTERPRSES"/>
    <n v="119029"/>
    <s v="LALLAMAL KANHYALAL &amp; SONS"/>
    <n v="167"/>
    <n v="80"/>
    <n v="155"/>
    <n v="111"/>
    <n v="90"/>
    <n v="184.5"/>
    <n v="94.5"/>
    <n v="63.9"/>
    <n v="151"/>
    <n v="133.5"/>
    <n v="117"/>
    <n v="46.5"/>
    <n v="1393.9"/>
  </r>
  <r>
    <x v="1255"/>
    <n v="812570"/>
    <s v="HADA ENTERPRISES"/>
    <n v="208638"/>
    <s v="SHRI GANESH CEMENT &amp; STEELS"/>
    <n v="0"/>
    <n v="0"/>
    <n v="0"/>
    <n v="0"/>
    <n v="0"/>
    <n v="0"/>
    <n v="0"/>
    <n v="0"/>
    <n v="10"/>
    <n v="0"/>
    <n v="0"/>
    <n v="0"/>
    <n v="10"/>
  </r>
  <r>
    <x v="1256"/>
    <n v="812571"/>
    <s v="DURGA TRADERS"/>
    <n v="173750"/>
    <s v="SISODIYA TRADERS"/>
    <n v="17.5"/>
    <n v="0"/>
    <n v="0"/>
    <n v="0"/>
    <n v="0"/>
    <n v="0"/>
    <n v="0"/>
    <n v="0"/>
    <n v="0"/>
    <n v="0"/>
    <n v="0"/>
    <n v="0"/>
    <n v="17.5"/>
  </r>
  <r>
    <x v="1257"/>
    <n v="812572"/>
    <s v="DESHRAJ KUMAWAT"/>
    <n v="202428"/>
    <s v="JAIN HARDWARE AND BUILDING MAT"/>
    <n v="0"/>
    <n v="20"/>
    <n v="27.5"/>
    <n v="17"/>
    <n v="34.1"/>
    <n v="52.85"/>
    <n v="17.5"/>
    <n v="35"/>
    <n v="61.5"/>
    <n v="9"/>
    <n v="0"/>
    <n v="0"/>
    <n v="274.45"/>
  </r>
  <r>
    <x v="1258"/>
    <n v="812615"/>
    <s v="LODHA BUILDING MATERIAL SUPPLI"/>
    <n v="177069"/>
    <s v="LOVEVANSHI ENTERPRISES"/>
    <n v="45"/>
    <n v="105"/>
    <n v="55"/>
    <n v="45"/>
    <n v="70"/>
    <n v="25"/>
    <n v="30"/>
    <n v="15"/>
    <n v="85"/>
    <n v="70"/>
    <n v="95"/>
    <n v="166"/>
    <n v="806"/>
  </r>
  <r>
    <x v="1259"/>
    <n v="812616"/>
    <s v="JAI MATA DI ENTERPRISES &amp; CEME"/>
    <n v="202428"/>
    <s v="JAIN HARDWARE AND BUILDING MAT"/>
    <n v="50.75"/>
    <n v="20"/>
    <n v="182.5"/>
    <n v="52.25"/>
    <n v="63"/>
    <n v="71.650000000000006"/>
    <n v="0"/>
    <n v="0"/>
    <n v="0"/>
    <n v="0"/>
    <n v="0"/>
    <n v="0"/>
    <n v="440.15"/>
  </r>
  <r>
    <x v="1260"/>
    <n v="812616"/>
    <s v="JAI MATA DI ENTERPRISES &amp; CEME"/>
    <n v="207977"/>
    <s v="YASH TRADERS"/>
    <n v="0"/>
    <n v="0"/>
    <n v="0"/>
    <n v="0"/>
    <n v="0"/>
    <n v="5"/>
    <n v="0"/>
    <n v="0"/>
    <n v="0"/>
    <n v="0"/>
    <n v="0"/>
    <n v="0"/>
    <n v="5"/>
  </r>
  <r>
    <x v="1261"/>
    <n v="812617"/>
    <s v="SHREE GIRRAJ JI TRADERS"/>
    <n v="173298"/>
    <s v="RAKHI AGRO SALES"/>
    <n v="20"/>
    <n v="70"/>
    <n v="40"/>
    <n v="30"/>
    <n v="20"/>
    <n v="40"/>
    <n v="0"/>
    <n v="0"/>
    <n v="40"/>
    <n v="61"/>
    <n v="55"/>
    <n v="90.55"/>
    <n v="466.55"/>
  </r>
  <r>
    <x v="1262"/>
    <n v="812624"/>
    <s v="SANJAY KUMAR HASTIMAL"/>
    <n v="176833"/>
    <s v="NAKORA CEMENT SUPPLIERS"/>
    <n v="70"/>
    <n v="105"/>
    <n v="60"/>
    <n v="0"/>
    <n v="35"/>
    <n v="35"/>
    <n v="71"/>
    <n v="0"/>
    <n v="65"/>
    <n v="40"/>
    <n v="20"/>
    <n v="99"/>
    <n v="600"/>
  </r>
  <r>
    <x v="1263"/>
    <n v="812625"/>
    <s v="NAYACH CEMENT SUPPLIERS"/>
    <n v="179868"/>
    <s v="M K NAYACH CONSTRUCTION COMPAN"/>
    <n v="35"/>
    <n v="44"/>
    <n v="40"/>
    <n v="0"/>
    <n v="0"/>
    <n v="65"/>
    <n v="0"/>
    <n v="0"/>
    <n v="0"/>
    <n v="40"/>
    <n v="80"/>
    <n v="25"/>
    <n v="329"/>
  </r>
  <r>
    <x v="1264"/>
    <n v="812626"/>
    <s v="SARDAR SINGH"/>
    <n v="176833"/>
    <s v="NAKORA CEMENT SUPPLIERS"/>
    <n v="10"/>
    <n v="0"/>
    <n v="0"/>
    <n v="20"/>
    <n v="0"/>
    <n v="0"/>
    <n v="0"/>
    <n v="0"/>
    <n v="0"/>
    <n v="10"/>
    <n v="0"/>
    <n v="5"/>
    <n v="45"/>
  </r>
  <r>
    <x v="1265"/>
    <n v="812627"/>
    <s v="NAGAR CEMENT AGENCY"/>
    <n v="174316"/>
    <s v="DHAKAD BUILDING MATERIALS SUPP"/>
    <n v="25"/>
    <n v="45"/>
    <n v="37"/>
    <n v="0"/>
    <n v="15"/>
    <n v="20"/>
    <n v="0"/>
    <n v="10"/>
    <n v="15"/>
    <n v="10"/>
    <n v="31"/>
    <n v="0"/>
    <n v="208"/>
  </r>
  <r>
    <x v="1266"/>
    <n v="812630"/>
    <s v="BHAGWATI LAL MENARIYA"/>
    <n v="205370"/>
    <s v="KANTHALIYA ENTERPRISES"/>
    <n v="63"/>
    <n v="60"/>
    <n v="16.5"/>
    <n v="20"/>
    <n v="51"/>
    <n v="14"/>
    <n v="15"/>
    <n v="10"/>
    <n v="1"/>
    <n v="35"/>
    <n v="21"/>
    <n v="98.75"/>
    <n v="405.25"/>
  </r>
  <r>
    <x v="1267"/>
    <n v="812634"/>
    <s v="KOHARI CONSTRUCTION COMPANY"/>
    <n v="174357"/>
    <s v="M R TRADERS"/>
    <n v="0"/>
    <n v="0"/>
    <n v="0"/>
    <n v="0"/>
    <n v="102.5"/>
    <n v="310"/>
    <n v="0"/>
    <n v="25"/>
    <n v="77.5"/>
    <n v="115"/>
    <n v="0"/>
    <n v="0"/>
    <n v="630"/>
  </r>
  <r>
    <x v="1268"/>
    <n v="812654"/>
    <s v="SOLANKI ENTERPRISES"/>
    <n v="172299"/>
    <s v="SAFALATA BUILDING MATERIAL"/>
    <n v="73"/>
    <n v="89"/>
    <n v="61.5"/>
    <n v="0"/>
    <n v="0"/>
    <n v="0"/>
    <n v="0"/>
    <n v="0"/>
    <n v="0"/>
    <n v="0"/>
    <n v="0"/>
    <n v="0"/>
    <n v="223.5"/>
  </r>
  <r>
    <x v="1269"/>
    <n v="812658"/>
    <s v="SHREE SHYAM CONSTRUCTION COMPA"/>
    <n v="119071"/>
    <s v="GANESH AGENCIES"/>
    <n v="31"/>
    <n v="30"/>
    <n v="0"/>
    <n v="15"/>
    <n v="22.5"/>
    <n v="0"/>
    <n v="10"/>
    <n v="0"/>
    <n v="10"/>
    <n v="0"/>
    <n v="0"/>
    <n v="0"/>
    <n v="118.5"/>
  </r>
  <r>
    <x v="1270"/>
    <n v="812663"/>
    <s v="BHATI CEMENT &amp; BUILDING MATERI"/>
    <n v="175340"/>
    <s v="VISHNU CEMENT &amp; IRON STORE"/>
    <n v="1.3"/>
    <n v="0"/>
    <n v="0"/>
    <n v="21"/>
    <n v="0"/>
    <n v="0"/>
    <n v="0"/>
    <n v="0"/>
    <n v="0"/>
    <n v="0"/>
    <n v="0"/>
    <n v="0"/>
    <n v="22.3"/>
  </r>
  <r>
    <x v="1271"/>
    <n v="812664"/>
    <s v="SHAKTI SINGH"/>
    <n v="179928"/>
    <s v="BHAIRAV BUILDING MATERIAL SUPP"/>
    <n v="89.5"/>
    <n v="61"/>
    <n v="66"/>
    <n v="38"/>
    <n v="56.75"/>
    <n v="10"/>
    <n v="0"/>
    <n v="0"/>
    <n v="21"/>
    <n v="35.5"/>
    <n v="26"/>
    <n v="15"/>
    <n v="418.75"/>
  </r>
  <r>
    <x v="1272"/>
    <n v="812665"/>
    <s v="SHANKAR LAL"/>
    <n v="205949"/>
    <s v="BHAWANI CEMENT AGENCY"/>
    <n v="20"/>
    <n v="10"/>
    <n v="312"/>
    <n v="3"/>
    <n v="33"/>
    <n v="1"/>
    <n v="135"/>
    <n v="0"/>
    <n v="55"/>
    <n v="0"/>
    <n v="0"/>
    <n v="31"/>
    <n v="600"/>
  </r>
  <r>
    <x v="1273"/>
    <n v="812666"/>
    <s v="JAI ASHAPURA MARBLE GRANITE &amp;"/>
    <n v="179928"/>
    <s v="BHAIRAV BUILDING MATERIAL SUPP"/>
    <n v="110.5"/>
    <n v="50"/>
    <n v="65.5"/>
    <n v="71.849999999999994"/>
    <n v="104"/>
    <n v="60"/>
    <n v="38"/>
    <n v="52"/>
    <n v="41"/>
    <n v="66.5"/>
    <n v="134"/>
    <n v="199.5"/>
    <n v="992.85"/>
  </r>
  <r>
    <x v="1274"/>
    <n v="812667"/>
    <s v="JAGDISH LOHA UDHYOG"/>
    <n v="201280"/>
    <s v="SIDDHI VINAYAK CEMENT DISTRIBU"/>
    <n v="0"/>
    <n v="0"/>
    <n v="0"/>
    <n v="0"/>
    <n v="0"/>
    <n v="0"/>
    <n v="0"/>
    <n v="0"/>
    <n v="103"/>
    <n v="153"/>
    <n v="101"/>
    <n v="101"/>
    <n v="458"/>
  </r>
  <r>
    <x v="1275"/>
    <n v="812668"/>
    <s v="SAILANI CEMENT AGENCY"/>
    <n v="201280"/>
    <s v="SIDDHI VINAYAK CEMENT DISTRIBU"/>
    <n v="30"/>
    <n v="15"/>
    <n v="15"/>
    <n v="21"/>
    <n v="43.5"/>
    <n v="15.5"/>
    <n v="20"/>
    <n v="20"/>
    <n v="42.5"/>
    <n v="43"/>
    <n v="41"/>
    <n v="100"/>
    <n v="406.5"/>
  </r>
  <r>
    <x v="1276"/>
    <n v="812684"/>
    <s v="KAILASH CEMENT AGENCY"/>
    <n v="170363"/>
    <s v="GOLDEN TRADERS"/>
    <n v="0"/>
    <n v="15"/>
    <n v="20"/>
    <n v="0"/>
    <n v="15"/>
    <n v="0"/>
    <n v="0"/>
    <n v="0"/>
    <n v="10"/>
    <n v="15"/>
    <n v="17.5"/>
    <n v="17"/>
    <n v="109.5"/>
  </r>
  <r>
    <x v="1277"/>
    <n v="812687"/>
    <s v="KAILASH KHAD BEEJ BHANDAR"/>
    <n v="202142"/>
    <s v="PRAHALAD KUMAR LABOUR SUPPLIER"/>
    <n v="0"/>
    <n v="35"/>
    <n v="122.5"/>
    <n v="90"/>
    <n v="20"/>
    <n v="25"/>
    <n v="40"/>
    <n v="69.5"/>
    <n v="30"/>
    <n v="5"/>
    <n v="29.5"/>
    <n v="140"/>
    <n v="606.5"/>
  </r>
  <r>
    <x v="1278"/>
    <n v="812688"/>
    <s v="DEV SANIK ENTERPRISES"/>
    <n v="119042"/>
    <s v="SARAS ENTERPRISES"/>
    <n v="0"/>
    <n v="0"/>
    <n v="0"/>
    <n v="0"/>
    <n v="0"/>
    <n v="0"/>
    <n v="0"/>
    <n v="0"/>
    <n v="0"/>
    <n v="0"/>
    <n v="5"/>
    <n v="0"/>
    <n v="5"/>
  </r>
  <r>
    <x v="1279"/>
    <n v="812700"/>
    <s v="SHREE DEVAL TRADERS"/>
    <n v="119117"/>
    <s v="RAHMATULLA CEMENT AGENCY"/>
    <n v="40"/>
    <n v="10"/>
    <n v="40"/>
    <n v="80"/>
    <n v="155"/>
    <n v="71"/>
    <n v="30"/>
    <n v="30"/>
    <n v="0"/>
    <n v="0"/>
    <n v="0"/>
    <n v="0"/>
    <n v="456"/>
  </r>
  <r>
    <x v="1280"/>
    <n v="812701"/>
    <s v="KULDEEP KUMAR"/>
    <n v="202941"/>
    <s v="SHRI BALAJI BUILDING MATERIAL"/>
    <n v="52.5"/>
    <n v="77.5"/>
    <n v="78"/>
    <n v="85"/>
    <n v="40.5"/>
    <n v="7.5"/>
    <n v="0"/>
    <n v="45"/>
    <n v="25"/>
    <n v="26.5"/>
    <n v="20"/>
    <n v="41"/>
    <n v="498.5"/>
  </r>
  <r>
    <x v="1281"/>
    <n v="812703"/>
    <s v="LAXMAN SINGH"/>
    <n v="177202"/>
    <s v="GIRIRAJ TRADERS"/>
    <n v="20"/>
    <n v="20"/>
    <n v="0"/>
    <n v="0"/>
    <n v="12.95"/>
    <n v="1"/>
    <n v="0"/>
    <n v="0"/>
    <n v="0"/>
    <n v="0"/>
    <n v="0"/>
    <n v="0"/>
    <n v="53.95"/>
  </r>
  <r>
    <x v="1282"/>
    <n v="812705"/>
    <s v="MATESHWARI CEMENT SUPPLIERS"/>
    <n v="142269"/>
    <s v="CHAMUNDA BUILDING MATERIAL SUP"/>
    <n v="0"/>
    <n v="0"/>
    <n v="0"/>
    <n v="0"/>
    <n v="0"/>
    <n v="0"/>
    <n v="0"/>
    <n v="0"/>
    <n v="0"/>
    <n v="0"/>
    <n v="0"/>
    <n v="15"/>
    <n v="15"/>
  </r>
  <r>
    <x v="1283"/>
    <n v="812706"/>
    <s v="GHATA RANI KISHAN SEVA KENDRA"/>
    <n v="170248"/>
    <s v="MAHAVEER ENTERPRISES"/>
    <n v="13"/>
    <n v="0"/>
    <n v="10"/>
    <n v="10"/>
    <n v="0"/>
    <n v="0"/>
    <n v="0"/>
    <n v="0"/>
    <n v="0"/>
    <n v="0"/>
    <n v="0"/>
    <n v="0"/>
    <n v="33"/>
  </r>
  <r>
    <x v="1284"/>
    <n v="812712"/>
    <s v="PARDEEP KUMAR"/>
    <n v="202913"/>
    <s v="SACHIN CEMENT STORE"/>
    <n v="17.5"/>
    <n v="60"/>
    <n v="115"/>
    <n v="1"/>
    <n v="39.5"/>
    <n v="47"/>
    <n v="15"/>
    <n v="29.75"/>
    <n v="160.44999999999999"/>
    <n v="174"/>
    <n v="92"/>
    <n v="176.75"/>
    <n v="927.95"/>
  </r>
  <r>
    <x v="1285"/>
    <n v="812723"/>
    <s v="MAHAVEER MEHTA"/>
    <n v="179163"/>
    <s v="NAGAR CEMANT AGENCY"/>
    <n v="0"/>
    <n v="0"/>
    <n v="0"/>
    <n v="0"/>
    <n v="0"/>
    <n v="0"/>
    <n v="0"/>
    <n v="0"/>
    <n v="0"/>
    <n v="105"/>
    <n v="32"/>
    <n v="42"/>
    <n v="179"/>
  </r>
  <r>
    <x v="1286"/>
    <n v="812723"/>
    <s v="MAHAVEER MEHTA"/>
    <n v="179387"/>
    <s v="AMIT KUMAR &amp; COMPANY"/>
    <n v="0"/>
    <n v="0"/>
    <n v="0"/>
    <n v="0"/>
    <n v="0"/>
    <n v="0"/>
    <n v="0"/>
    <n v="0"/>
    <n v="0"/>
    <n v="0"/>
    <n v="25"/>
    <n v="0"/>
    <n v="25"/>
  </r>
  <r>
    <x v="1287"/>
    <n v="812723"/>
    <s v="MAHAVEER MEHTA"/>
    <n v="201841"/>
    <s v="S K TRADING COMPANY"/>
    <n v="0"/>
    <n v="0"/>
    <n v="0"/>
    <n v="0"/>
    <n v="0"/>
    <n v="0"/>
    <n v="0"/>
    <n v="0"/>
    <n v="0"/>
    <n v="34"/>
    <n v="0"/>
    <n v="0"/>
    <n v="34"/>
  </r>
  <r>
    <x v="1288"/>
    <n v="812723"/>
    <s v="MAHAVEER MEHTA"/>
    <n v="202980"/>
    <s v="KAPIL TRADERS"/>
    <n v="147"/>
    <n v="126"/>
    <n v="146.5"/>
    <n v="154"/>
    <n v="0"/>
    <n v="0"/>
    <n v="0"/>
    <n v="0"/>
    <n v="0"/>
    <n v="0"/>
    <n v="0"/>
    <n v="0"/>
    <n v="573.5"/>
  </r>
  <r>
    <x v="1289"/>
    <n v="812723"/>
    <s v="MAHAVEER MEHTA"/>
    <n v="207229"/>
    <s v="BALAJI GOODS SUPPLIERS"/>
    <n v="0"/>
    <n v="0"/>
    <n v="0"/>
    <n v="0"/>
    <n v="0"/>
    <n v="0"/>
    <n v="0"/>
    <n v="0"/>
    <n v="0"/>
    <n v="20"/>
    <n v="0"/>
    <n v="20"/>
    <n v="40"/>
  </r>
  <r>
    <x v="1290"/>
    <n v="812729"/>
    <s v="AGGARWAL BUILDING MATERIAL"/>
    <n v="145394"/>
    <s v="DEVRAJ AND SONS"/>
    <n v="11.5"/>
    <n v="30"/>
    <n v="39"/>
    <n v="7"/>
    <n v="1"/>
    <n v="0"/>
    <n v="0"/>
    <n v="0"/>
    <n v="0"/>
    <n v="20"/>
    <n v="0"/>
    <n v="0"/>
    <n v="108.5"/>
  </r>
  <r>
    <x v="1291"/>
    <n v="812730"/>
    <s v="BHOLENATH CONSTRUCTION"/>
    <n v="119066"/>
    <s v="RAJENDRA KUMAR RATAN LAL JAIN"/>
    <n v="62.5"/>
    <n v="67.5"/>
    <n v="20"/>
    <n v="0"/>
    <n v="53"/>
    <n v="3"/>
    <n v="1"/>
    <n v="0"/>
    <n v="104"/>
    <n v="51"/>
    <n v="63"/>
    <n v="0"/>
    <n v="425"/>
  </r>
  <r>
    <x v="1292"/>
    <n v="812737"/>
    <s v="PRITI CHOUDHARY"/>
    <n v="170614"/>
    <s v="HARIKARAN CHAUDHARY"/>
    <n v="90.25"/>
    <n v="40"/>
    <n v="90"/>
    <n v="125"/>
    <n v="35"/>
    <n v="40"/>
    <n v="105"/>
    <n v="11"/>
    <n v="30"/>
    <n v="0"/>
    <n v="40"/>
    <n v="25"/>
    <n v="631.25"/>
  </r>
  <r>
    <x v="1293"/>
    <n v="812738"/>
    <s v="DEV BUILDING MATERIAL"/>
    <n v="171226"/>
    <s v="SATYA TRADERS"/>
    <n v="122.1"/>
    <n v="75"/>
    <n v="142"/>
    <n v="15"/>
    <n v="45"/>
    <n v="0"/>
    <n v="25"/>
    <n v="70"/>
    <n v="97"/>
    <n v="105"/>
    <n v="64"/>
    <n v="154"/>
    <n v="914.1"/>
  </r>
  <r>
    <x v="1294"/>
    <n v="812741"/>
    <s v="LAXMI BUILDING MATERIAL"/>
    <n v="129599"/>
    <s v="Kuntal Building Material"/>
    <n v="41"/>
    <n v="40.5"/>
    <n v="41.5"/>
    <n v="0"/>
    <n v="22.25"/>
    <n v="42.5"/>
    <n v="45"/>
    <n v="10.5"/>
    <n v="30"/>
    <n v="13.5"/>
    <n v="20"/>
    <n v="0"/>
    <n v="306.75"/>
  </r>
  <r>
    <x v="1295"/>
    <n v="812743"/>
    <s v="MS. SHARWAN KUMAR"/>
    <n v="202852"/>
    <s v="BALAJI GENERAL STORE"/>
    <n v="0"/>
    <n v="15"/>
    <n v="0"/>
    <n v="25"/>
    <n v="10"/>
    <n v="10"/>
    <n v="0"/>
    <n v="0"/>
    <n v="20"/>
    <n v="7.5"/>
    <n v="0"/>
    <n v="10"/>
    <n v="97.5"/>
  </r>
  <r>
    <x v="1296"/>
    <n v="812747"/>
    <s v="ENGINEERING CHOICE"/>
    <n v="170392"/>
    <s v="JYOTI SUPPLIERS"/>
    <n v="40"/>
    <n v="0"/>
    <n v="0"/>
    <n v="0"/>
    <n v="0"/>
    <n v="0"/>
    <n v="0"/>
    <n v="0"/>
    <n v="0"/>
    <n v="0"/>
    <n v="0"/>
    <n v="0"/>
    <n v="40"/>
  </r>
  <r>
    <x v="1297"/>
    <n v="812747"/>
    <s v="ENGINEERING CHOICE"/>
    <n v="208032"/>
    <s v="AKASH MACHINERY MART"/>
    <n v="0"/>
    <n v="0"/>
    <n v="0"/>
    <n v="0"/>
    <n v="0"/>
    <n v="0"/>
    <n v="26.2"/>
    <n v="9.75"/>
    <n v="10"/>
    <n v="0"/>
    <n v="0"/>
    <n v="0"/>
    <n v="45.95"/>
  </r>
  <r>
    <x v="1298"/>
    <n v="812751"/>
    <s v="KARTIK SANITARY &amp; BUILDING MAT"/>
    <n v="178237"/>
    <s v="BADAYA TRADERS"/>
    <n v="18.25"/>
    <n v="26"/>
    <n v="0"/>
    <n v="0"/>
    <n v="0"/>
    <n v="0"/>
    <n v="39"/>
    <n v="20"/>
    <n v="40.5"/>
    <n v="25.5"/>
    <n v="30"/>
    <n v="101"/>
    <n v="300.25"/>
  </r>
  <r>
    <x v="1299"/>
    <n v="812752"/>
    <s v="RADHE SHYAM GURJAR"/>
    <n v="203649"/>
    <s v="ANANTRAJ ENTERPRISES"/>
    <n v="50"/>
    <n v="20.5"/>
    <n v="12"/>
    <n v="34.5"/>
    <n v="12.5"/>
    <n v="7.5"/>
    <n v="7.5"/>
    <n v="12.5"/>
    <n v="2.5"/>
    <n v="17.5"/>
    <n v="10"/>
    <n v="5"/>
    <n v="192"/>
  </r>
  <r>
    <x v="1300"/>
    <n v="812755"/>
    <s v="DEV NARAYAN BUILDING MATERIAL"/>
    <n v="203811"/>
    <s v="RAMPRASAD FERTILIZERS"/>
    <n v="55"/>
    <n v="0"/>
    <n v="0"/>
    <n v="7"/>
    <n v="0"/>
    <n v="0"/>
    <n v="0"/>
    <n v="0"/>
    <n v="5"/>
    <n v="0"/>
    <n v="0"/>
    <n v="0"/>
    <n v="67"/>
  </r>
  <r>
    <x v="1301"/>
    <n v="812757"/>
    <s v="KALPESH  PATEL"/>
    <n v="147110"/>
    <s v="RAKESH PATEL"/>
    <n v="30"/>
    <n v="35"/>
    <n v="30.5"/>
    <n v="22.5"/>
    <n v="5"/>
    <n v="5"/>
    <n v="0"/>
    <n v="0"/>
    <n v="0"/>
    <n v="0"/>
    <n v="0"/>
    <n v="0"/>
    <n v="128"/>
  </r>
  <r>
    <x v="1302"/>
    <n v="812757"/>
    <s v="KALPESH  PATEL"/>
    <n v="174756"/>
    <s v="SHAH TRADERS"/>
    <n v="0"/>
    <n v="0"/>
    <n v="0"/>
    <n v="0"/>
    <n v="0"/>
    <n v="0"/>
    <n v="7.5"/>
    <n v="0"/>
    <n v="25.5"/>
    <n v="35"/>
    <n v="30"/>
    <n v="30"/>
    <n v="128"/>
  </r>
  <r>
    <x v="1303"/>
    <n v="812759"/>
    <s v="VINAYAK TRADERS"/>
    <n v="119066"/>
    <s v="RAJENDRA KUMAR RATAN LAL JAIN"/>
    <n v="5"/>
    <n v="0"/>
    <n v="101.75"/>
    <n v="24.5"/>
    <n v="31"/>
    <n v="53"/>
    <n v="137"/>
    <n v="0"/>
    <n v="64.5"/>
    <n v="51"/>
    <n v="75"/>
    <n v="104.80000000000001"/>
    <n v="647.54999999999995"/>
  </r>
  <r>
    <x v="1304"/>
    <n v="812760"/>
    <s v="KANHIYA LAL TELI"/>
    <n v="170846"/>
    <s v="SANGAM ENTERPRISES"/>
    <n v="60.5"/>
    <n v="32.25"/>
    <n v="31.5"/>
    <n v="17"/>
    <n v="52.25"/>
    <n v="56.25"/>
    <n v="12"/>
    <n v="10"/>
    <n v="28"/>
    <n v="28.5"/>
    <n v="53.5"/>
    <n v="58"/>
    <n v="439.75"/>
  </r>
  <r>
    <x v="1305"/>
    <n v="812760"/>
    <s v="KANHIYA LAL TELI"/>
    <n v="172640"/>
    <s v="KUSHAL TRADERS"/>
    <n v="0"/>
    <n v="0"/>
    <n v="0"/>
    <n v="0"/>
    <n v="0"/>
    <n v="0"/>
    <n v="0"/>
    <n v="0"/>
    <n v="15"/>
    <n v="0"/>
    <n v="0"/>
    <n v="0"/>
    <n v="15"/>
  </r>
  <r>
    <x v="1306"/>
    <n v="812768"/>
    <s v="SHRI BALAJI CEMENT AGENCY"/>
    <n v="176773"/>
    <s v="MANIK CHAND LAKHMI CHAND"/>
    <n v="17.5"/>
    <n v="25"/>
    <n v="28"/>
    <n v="17.5"/>
    <n v="30"/>
    <n v="7.5"/>
    <n v="0"/>
    <n v="0"/>
    <n v="0"/>
    <n v="0"/>
    <n v="0"/>
    <n v="0"/>
    <n v="125.5"/>
  </r>
  <r>
    <x v="1307"/>
    <n v="812768"/>
    <s v="SHRI BALAJI CEMENT AGENCY"/>
    <n v="210075"/>
    <s v="TOLJI ENTERPRISES"/>
    <n v="0"/>
    <n v="0"/>
    <n v="0"/>
    <n v="0"/>
    <n v="0"/>
    <n v="0"/>
    <n v="0"/>
    <n v="0"/>
    <n v="0"/>
    <n v="0"/>
    <n v="26"/>
    <n v="77.25"/>
    <n v="103.25"/>
  </r>
  <r>
    <x v="1308"/>
    <n v="812776"/>
    <s v="SHREE MAA RUDHRANI BUILDING MA"/>
    <n v="178287"/>
    <s v="ADINATH BUILDCON"/>
    <n v="25"/>
    <n v="0"/>
    <n v="0"/>
    <n v="0"/>
    <n v="0"/>
    <n v="0"/>
    <n v="0"/>
    <n v="0"/>
    <n v="0"/>
    <n v="0"/>
    <n v="0"/>
    <n v="0"/>
    <n v="25"/>
  </r>
  <r>
    <x v="1309"/>
    <n v="812778"/>
    <s v="SHREE SAI SUPPLIERS"/>
    <n v="179907"/>
    <s v="SWETA STONE"/>
    <n v="10"/>
    <n v="10"/>
    <n v="20"/>
    <n v="0"/>
    <n v="0"/>
    <n v="5"/>
    <n v="0"/>
    <n v="0"/>
    <n v="10"/>
    <n v="10"/>
    <n v="15"/>
    <n v="25"/>
    <n v="105"/>
  </r>
  <r>
    <x v="1310"/>
    <n v="812780"/>
    <s v="SHREE KRISHANA BUILDING MATERI"/>
    <n v="202225"/>
    <s v="ASTOLIA INDUSTRIES"/>
    <n v="87.5"/>
    <n v="75"/>
    <n v="40"/>
    <n v="24"/>
    <n v="20"/>
    <n v="15"/>
    <n v="0"/>
    <n v="25"/>
    <n v="0"/>
    <n v="0"/>
    <n v="0"/>
    <n v="0"/>
    <n v="286.5"/>
  </r>
  <r>
    <x v="1311"/>
    <n v="812792"/>
    <s v="VINAYAK CEMENT AGENCY"/>
    <n v="201280"/>
    <s v="SIDDHI VINAYAK CEMENT DISTRIBU"/>
    <n v="0"/>
    <n v="0"/>
    <n v="0"/>
    <n v="102"/>
    <n v="57"/>
    <n v="107"/>
    <n v="58"/>
    <n v="0"/>
    <n v="102.1"/>
    <n v="51"/>
    <n v="133"/>
    <n v="155"/>
    <n v="765.1"/>
  </r>
  <r>
    <x v="1312"/>
    <n v="812793"/>
    <s v="GOTHAWAL CEMENT AGENCY"/>
    <n v="202452"/>
    <s v="MANGLA STEELS AGENCY"/>
    <n v="17.5"/>
    <n v="43.5"/>
    <n v="39"/>
    <n v="17.5"/>
    <n v="11"/>
    <n v="35"/>
    <n v="15"/>
    <n v="13"/>
    <n v="24.5"/>
    <n v="42"/>
    <n v="25"/>
    <n v="37.5"/>
    <n v="320.5"/>
  </r>
  <r>
    <x v="1313"/>
    <n v="812794"/>
    <s v="DINESH KUMAR KUMAWAT"/>
    <n v="202994"/>
    <s v="ARVIND CEMENT &amp; KALI UDYOG"/>
    <n v="0"/>
    <n v="20"/>
    <n v="15"/>
    <n v="17.5"/>
    <n v="12"/>
    <n v="18"/>
    <n v="9"/>
    <n v="4"/>
    <n v="17.5"/>
    <n v="10"/>
    <n v="17.5"/>
    <n v="0"/>
    <n v="140.5"/>
  </r>
  <r>
    <x v="1314"/>
    <n v="812807"/>
    <s v="DHANNARAM"/>
    <n v="177104"/>
    <s v="GARG SUPPLIERS"/>
    <n v="10"/>
    <n v="0"/>
    <n v="0"/>
    <n v="12.5"/>
    <n v="12"/>
    <n v="0"/>
    <n v="0"/>
    <n v="0"/>
    <n v="10"/>
    <n v="0"/>
    <n v="0"/>
    <n v="0"/>
    <n v="44.5"/>
  </r>
  <r>
    <x v="1315"/>
    <n v="812808"/>
    <s v="LAXMI NARAYAN"/>
    <n v="172855"/>
    <s v="BALAJI CEMENT AGENCY"/>
    <n v="30"/>
    <n v="25"/>
    <n v="55"/>
    <n v="21"/>
    <n v="35"/>
    <n v="15"/>
    <n v="45"/>
    <n v="55"/>
    <n v="55"/>
    <n v="50"/>
    <n v="55"/>
    <n v="95"/>
    <n v="536"/>
  </r>
  <r>
    <x v="1316"/>
    <n v="812810"/>
    <s v="VIRENDRA SAINI"/>
    <n v="203236"/>
    <s v="SAINI STONE SUPPLIERS"/>
    <n v="0"/>
    <n v="0"/>
    <n v="0"/>
    <n v="0"/>
    <n v="0"/>
    <n v="0"/>
    <n v="0"/>
    <n v="0"/>
    <n v="0"/>
    <n v="0"/>
    <n v="0"/>
    <n v="51"/>
    <n v="51"/>
  </r>
  <r>
    <x v="1317"/>
    <n v="812811"/>
    <s v="MADHU SHARMA"/>
    <n v="178237"/>
    <s v="BADAYA TRADERS"/>
    <n v="0"/>
    <n v="0"/>
    <n v="0"/>
    <n v="20"/>
    <n v="0"/>
    <n v="0"/>
    <n v="0"/>
    <n v="0"/>
    <n v="0"/>
    <n v="0"/>
    <n v="0"/>
    <n v="0"/>
    <n v="20"/>
  </r>
  <r>
    <x v="1318"/>
    <n v="812812"/>
    <s v="JITENDRA SINGH RATHORE"/>
    <n v="202288"/>
    <s v="DEEPAK TRADING COMPANY"/>
    <n v="20"/>
    <n v="10"/>
    <n v="30"/>
    <n v="20"/>
    <n v="0"/>
    <n v="14"/>
    <n v="12.5"/>
    <n v="0"/>
    <n v="0"/>
    <n v="8"/>
    <n v="14.5"/>
    <n v="23.6"/>
    <n v="152.6"/>
  </r>
  <r>
    <x v="1319"/>
    <n v="812821"/>
    <s v="AMAR CHAND"/>
    <n v="177104"/>
    <s v="GARG SUPPLIERS"/>
    <n v="10"/>
    <n v="20"/>
    <n v="19.5"/>
    <n v="22.5"/>
    <n v="16"/>
    <n v="20"/>
    <n v="7.5"/>
    <n v="0"/>
    <n v="30"/>
    <n v="0"/>
    <n v="44.5"/>
    <n v="1"/>
    <n v="191"/>
  </r>
  <r>
    <x v="1320"/>
    <n v="812823"/>
    <s v="NARATARAM NEELKAMAL"/>
    <n v="142843"/>
    <s v="GURUNANAK IRON STORE"/>
    <n v="12.5"/>
    <n v="45.5"/>
    <n v="59"/>
    <n v="61.5"/>
    <n v="93.9"/>
    <n v="70"/>
    <n v="45"/>
    <n v="47"/>
    <n v="85"/>
    <n v="104.5"/>
    <n v="64"/>
    <n v="213.6"/>
    <n v="901.5"/>
  </r>
  <r>
    <x v="1321"/>
    <n v="812838"/>
    <s v="CHANDER SHEKHAR"/>
    <n v="119031"/>
    <s v="RAMESH CHANDRA RAJENDRA KUMAR"/>
    <n v="64"/>
    <n v="85"/>
    <n v="145.5"/>
    <n v="123.85"/>
    <n v="87"/>
    <n v="125"/>
    <n v="125"/>
    <n v="80"/>
    <n v="62.5"/>
    <n v="90"/>
    <n v="62"/>
    <n v="158.20000000000002"/>
    <n v="1208.05"/>
  </r>
  <r>
    <x v="1322"/>
    <n v="812838"/>
    <s v="CHANDER SHEKHAR"/>
    <n v="179869"/>
    <s v="SHREE BALAJI CEMENT"/>
    <n v="0"/>
    <n v="5"/>
    <n v="0"/>
    <n v="0"/>
    <n v="0"/>
    <n v="0"/>
    <n v="0"/>
    <n v="0"/>
    <n v="0"/>
    <n v="0"/>
    <n v="0"/>
    <n v="0"/>
    <n v="5"/>
  </r>
  <r>
    <x v="1323"/>
    <n v="812842"/>
    <s v="PUJA IRON STORE"/>
    <n v="171938"/>
    <s v="AGARWAL IRON STORE"/>
    <n v="90"/>
    <n v="29.5"/>
    <n v="124"/>
    <n v="25"/>
    <n v="29"/>
    <n v="60"/>
    <n v="70"/>
    <n v="45"/>
    <n v="95"/>
    <n v="45"/>
    <n v="90"/>
    <n v="190"/>
    <n v="892.5"/>
  </r>
  <r>
    <x v="1324"/>
    <n v="812846"/>
    <s v="SURENDRA CEMENT SUPPLIERS"/>
    <n v="142512"/>
    <s v="GURU KRIPA TRADING CO"/>
    <n v="79"/>
    <n v="10"/>
    <n v="0"/>
    <n v="107.65"/>
    <n v="57.5"/>
    <n v="31.5"/>
    <n v="12.5"/>
    <n v="0"/>
    <n v="0"/>
    <n v="0"/>
    <n v="0"/>
    <n v="20"/>
    <n v="318.14999999999998"/>
  </r>
  <r>
    <x v="1325"/>
    <n v="812848"/>
    <s v="ADIL SAYED"/>
    <n v="147936"/>
    <s v="VKR CEMENT SUPPLIERS"/>
    <n v="50"/>
    <n v="10"/>
    <n v="50"/>
    <n v="44"/>
    <n v="39.099999999999994"/>
    <n v="41"/>
    <n v="20"/>
    <n v="30"/>
    <n v="20"/>
    <n v="0"/>
    <n v="30"/>
    <n v="125.45"/>
    <n v="459.55"/>
  </r>
  <r>
    <x v="1326"/>
    <n v="812850"/>
    <s v="TARVINDER KAUR"/>
    <n v="171662"/>
    <s v="CHHABRA STONES"/>
    <n v="100.75"/>
    <n v="96.5"/>
    <n v="123.45"/>
    <n v="110.75"/>
    <n v="87.75"/>
    <n v="97.5"/>
    <n v="72.5"/>
    <n v="51.75"/>
    <n v="140.5"/>
    <n v="134.25"/>
    <n v="69.5"/>
    <n v="134"/>
    <n v="1219.2"/>
  </r>
  <r>
    <x v="1327"/>
    <n v="812852"/>
    <s v="JOGENDRA"/>
    <n v="202941"/>
    <s v="SHRI BALAJI BUILDING MATERIAL"/>
    <n v="37.5"/>
    <n v="53"/>
    <n v="66"/>
    <n v="62"/>
    <n v="35"/>
    <n v="7.5"/>
    <n v="30"/>
    <n v="15"/>
    <n v="35"/>
    <n v="15"/>
    <n v="33"/>
    <n v="35"/>
    <n v="424"/>
  </r>
  <r>
    <x v="1328"/>
    <n v="812854"/>
    <s v="GHATVASAN BUILDING MATERIAL"/>
    <n v="178109"/>
    <s v="KRISHI SEWA KENDRA"/>
    <n v="65"/>
    <n v="30"/>
    <n v="22.5"/>
    <n v="30"/>
    <n v="50"/>
    <n v="40"/>
    <n v="50"/>
    <n v="35"/>
    <n v="42"/>
    <n v="0"/>
    <n v="55"/>
    <n v="0"/>
    <n v="419.5"/>
  </r>
  <r>
    <x v="1329"/>
    <n v="812856"/>
    <s v="BALAJI CEMENT SUPPLIERS"/>
    <n v="172497"/>
    <s v="VINAYAK INDUSTRIES"/>
    <n v="9"/>
    <n v="0"/>
    <n v="10"/>
    <n v="20"/>
    <n v="2.5"/>
    <n v="0"/>
    <n v="10"/>
    <n v="10"/>
    <n v="0"/>
    <n v="0"/>
    <n v="10"/>
    <n v="7.5"/>
    <n v="79"/>
  </r>
  <r>
    <x v="1330"/>
    <n v="812859"/>
    <s v="RAMKHILADI GURJAR"/>
    <n v="119034"/>
    <s v="SOGANI AGENCIES"/>
    <n v="25"/>
    <n v="57.5"/>
    <n v="15"/>
    <n v="40"/>
    <n v="10"/>
    <n v="10"/>
    <n v="27"/>
    <n v="0"/>
    <n v="50"/>
    <n v="45"/>
    <n v="0"/>
    <n v="122.5"/>
    <n v="402"/>
  </r>
  <r>
    <x v="1331"/>
    <n v="812860"/>
    <s v="SHREE BALAJI ENTERPRISE"/>
    <n v="202852"/>
    <s v="BALAJI GENERAL STORE"/>
    <n v="35"/>
    <n v="0"/>
    <n v="34"/>
    <n v="20"/>
    <n v="25"/>
    <n v="20"/>
    <n v="10"/>
    <n v="0"/>
    <n v="10"/>
    <n v="35"/>
    <n v="0"/>
    <n v="20"/>
    <n v="209"/>
  </r>
  <r>
    <x v="1332"/>
    <n v="812861"/>
    <s v="MOHANLAL SEJMAL KIRANA STORE"/>
    <n v="176833"/>
    <s v="NAKORA CEMENT SUPPLIERS"/>
    <n v="0"/>
    <n v="0"/>
    <n v="0"/>
    <n v="0"/>
    <n v="0"/>
    <n v="0"/>
    <n v="0"/>
    <n v="0"/>
    <n v="0"/>
    <n v="0"/>
    <n v="20"/>
    <n v="0"/>
    <n v="20"/>
  </r>
  <r>
    <x v="1333"/>
    <n v="812863"/>
    <s v="DARSHAN SINGH"/>
    <n v="145394"/>
    <s v="DEVRAJ AND SONS"/>
    <n v="53"/>
    <n v="30"/>
    <n v="65"/>
    <n v="21.5"/>
    <n v="58.75"/>
    <n v="35"/>
    <n v="35"/>
    <n v="20"/>
    <n v="86.5"/>
    <n v="40"/>
    <n v="41.5"/>
    <n v="50"/>
    <n v="536.25"/>
  </r>
  <r>
    <x v="1334"/>
    <n v="812866"/>
    <s v="FOJMAL DHABAI"/>
    <n v="141674"/>
    <s v="ARAVALI BUILDING MATERIAL SUPP"/>
    <n v="8"/>
    <n v="0"/>
    <n v="8"/>
    <n v="0"/>
    <n v="0"/>
    <n v="22.5"/>
    <n v="22"/>
    <n v="20.5"/>
    <n v="22.5"/>
    <n v="36.5"/>
    <n v="37"/>
    <n v="95"/>
    <n v="272"/>
  </r>
  <r>
    <x v="1335"/>
    <n v="812869"/>
    <s v="GOYAL STONE SUPPLIERS"/>
    <n v="202913"/>
    <s v="SACHIN CEMENT STORE"/>
    <n v="0"/>
    <n v="0"/>
    <n v="0"/>
    <n v="0"/>
    <n v="74"/>
    <n v="63"/>
    <n v="30"/>
    <n v="45"/>
    <n v="60"/>
    <n v="78.5"/>
    <n v="40"/>
    <n v="20"/>
    <n v="410.5"/>
  </r>
  <r>
    <x v="1336"/>
    <n v="812880"/>
    <s v="AJAY BUILDING MATERIAL"/>
    <n v="175856"/>
    <s v="SUMAN AGENCY"/>
    <n v="0"/>
    <n v="5"/>
    <n v="25"/>
    <n v="14"/>
    <n v="10"/>
    <n v="0"/>
    <n v="20"/>
    <n v="21"/>
    <n v="33"/>
    <n v="52"/>
    <n v="25"/>
    <n v="21"/>
    <n v="226"/>
  </r>
  <r>
    <x v="1337"/>
    <n v="812883"/>
    <s v="MARUTI ENTERPRISES"/>
    <n v="149825"/>
    <s v="MISHRA CEMENT AGENCIES"/>
    <n v="26"/>
    <n v="10"/>
    <n v="35"/>
    <n v="40"/>
    <n v="63.5"/>
    <n v="20"/>
    <n v="20"/>
    <n v="10"/>
    <n v="32.5"/>
    <n v="10"/>
    <n v="15"/>
    <n v="55"/>
    <n v="337"/>
  </r>
  <r>
    <x v="1338"/>
    <n v="812884"/>
    <s v="MAHAKAL ASSOCIATES"/>
    <n v="205620"/>
    <s v="NISHANT JAISWAL"/>
    <n v="200"/>
    <n v="42.5"/>
    <n v="30"/>
    <n v="0"/>
    <n v="0"/>
    <n v="0"/>
    <n v="0"/>
    <n v="0"/>
    <n v="0"/>
    <n v="0"/>
    <n v="0"/>
    <n v="0"/>
    <n v="272.5"/>
  </r>
  <r>
    <x v="1339"/>
    <n v="812891"/>
    <s v="QURESHI MARBEL &amp; TILES SUPPLIE"/>
    <n v="119212"/>
    <s v="SURENDRA KUMAR &amp; CO"/>
    <n v="59"/>
    <n v="10"/>
    <n v="88"/>
    <n v="129.30000000000001"/>
    <n v="72.75"/>
    <n v="35"/>
    <n v="47.5"/>
    <n v="22.5"/>
    <n v="58"/>
    <n v="32.75"/>
    <n v="34.5"/>
    <n v="23.5"/>
    <n v="612.79999999999995"/>
  </r>
  <r>
    <x v="1340"/>
    <n v="812893"/>
    <s v="ARIHANT BUILDING MATERIAL SUPP"/>
    <n v="170248"/>
    <s v="MAHAVEER ENTERPRISES"/>
    <n v="5"/>
    <n v="0"/>
    <n v="1"/>
    <n v="0"/>
    <n v="7"/>
    <n v="7.5"/>
    <n v="0"/>
    <n v="0"/>
    <n v="1"/>
    <n v="0"/>
    <n v="0"/>
    <n v="0"/>
    <n v="21.5"/>
  </r>
  <r>
    <x v="1341"/>
    <n v="812897"/>
    <s v="SHYAM LAL"/>
    <n v="202329"/>
    <s v="SHREE SHYAM STONE COMPANY"/>
    <n v="27.5"/>
    <n v="37"/>
    <n v="34"/>
    <n v="58.5"/>
    <n v="41.5"/>
    <n v="42"/>
    <n v="30"/>
    <n v="30"/>
    <n v="50"/>
    <n v="105.5"/>
    <n v="105"/>
    <n v="135"/>
    <n v="696"/>
  </r>
  <r>
    <x v="1342"/>
    <n v="812899"/>
    <s v="BALAJI CEMENT STORE"/>
    <n v="202329"/>
    <s v="SHREE SHYAM STONE COMPANY"/>
    <n v="37.5"/>
    <n v="38"/>
    <n v="15"/>
    <n v="0"/>
    <n v="0"/>
    <n v="0"/>
    <n v="0"/>
    <n v="0"/>
    <n v="0"/>
    <n v="0"/>
    <n v="0"/>
    <n v="0"/>
    <n v="90.5"/>
  </r>
  <r>
    <x v="1343"/>
    <n v="812900"/>
    <s v="SUNITA VAISHNAV"/>
    <n v="171662"/>
    <s v="CHHABRA STONES"/>
    <n v="83.9"/>
    <n v="70"/>
    <n v="105"/>
    <n v="54.5"/>
    <n v="82.5"/>
    <n v="57.5"/>
    <n v="50"/>
    <n v="72"/>
    <n v="124.5"/>
    <n v="80"/>
    <n v="27.5"/>
    <n v="95.5"/>
    <n v="902.9"/>
  </r>
  <r>
    <x v="1344"/>
    <n v="812902"/>
    <s v="SEEMA SHARMA"/>
    <n v="170248"/>
    <s v="MAHAVEER ENTERPRISES"/>
    <n v="1"/>
    <n v="15"/>
    <n v="0"/>
    <n v="10"/>
    <n v="12"/>
    <n v="7.5"/>
    <n v="0"/>
    <n v="0"/>
    <n v="1"/>
    <n v="2.5"/>
    <n v="13"/>
    <n v="15"/>
    <n v="77"/>
  </r>
  <r>
    <x v="1345"/>
    <n v="812903"/>
    <s v="BHAGA RAM"/>
    <n v="203421"/>
    <s v="ANGEL CONSTRUCTION COMPANY"/>
    <n v="84"/>
    <n v="66.5"/>
    <n v="71.5"/>
    <n v="80.5"/>
    <n v="75.400000000000006"/>
    <n v="60"/>
    <n v="35"/>
    <n v="43"/>
    <n v="77"/>
    <n v="55"/>
    <n v="45"/>
    <n v="90"/>
    <n v="782.9"/>
  </r>
  <r>
    <x v="1346"/>
    <n v="812905"/>
    <s v="SHREE MAHALAXMI TILES &amp; CEMENT"/>
    <n v="170248"/>
    <s v="MAHAVEER ENTERPRISES"/>
    <n v="5"/>
    <n v="10"/>
    <n v="7"/>
    <n v="10"/>
    <n v="12"/>
    <n v="7.5"/>
    <n v="20"/>
    <n v="5"/>
    <n v="0"/>
    <n v="24"/>
    <n v="10"/>
    <n v="10"/>
    <n v="120.5"/>
  </r>
  <r>
    <x v="1347"/>
    <n v="812909"/>
    <s v="RANAWAT CONSTRUCTION"/>
    <n v="203156"/>
    <s v="AMBESHWAR TRADING COMPANY"/>
    <n v="10"/>
    <n v="5"/>
    <n v="0"/>
    <n v="30"/>
    <n v="12.5"/>
    <n v="47.5"/>
    <n v="72.5"/>
    <n v="57"/>
    <n v="85"/>
    <n v="82.5"/>
    <n v="55"/>
    <n v="13"/>
    <n v="470"/>
  </r>
  <r>
    <x v="1348"/>
    <n v="812920"/>
    <s v="BALAJI TRADING COMPANY"/>
    <n v="149885"/>
    <s v="LUHANI CEMENT SUPPLIERS"/>
    <n v="0"/>
    <n v="10"/>
    <n v="15"/>
    <n v="35"/>
    <n v="0"/>
    <n v="12.5"/>
    <n v="7.5"/>
    <n v="7.5"/>
    <n v="0"/>
    <n v="12.5"/>
    <n v="7.5"/>
    <n v="2.5"/>
    <n v="110"/>
  </r>
  <r>
    <x v="1349"/>
    <n v="812944"/>
    <s v="HITA JK SUPER CEMENT"/>
    <n v="177829"/>
    <s v="GARG TRADING COMPANY"/>
    <n v="13"/>
    <n v="41"/>
    <n v="42"/>
    <n v="56.5"/>
    <n v="25.5"/>
    <n v="56"/>
    <n v="74"/>
    <n v="60.5"/>
    <n v="90"/>
    <n v="45"/>
    <n v="54"/>
    <n v="59"/>
    <n v="616.5"/>
  </r>
  <r>
    <x v="1350"/>
    <n v="812947"/>
    <s v="VIAAN ASSOCIATES"/>
    <n v="178226"/>
    <s v="PANKAJ TRADING COMPANY"/>
    <n v="27"/>
    <n v="35.5"/>
    <n v="40"/>
    <n v="80"/>
    <n v="80"/>
    <n v="22.5"/>
    <n v="80"/>
    <n v="10"/>
    <n v="60"/>
    <n v="80"/>
    <n v="60"/>
    <n v="50"/>
    <n v="625"/>
  </r>
  <r>
    <x v="1351"/>
    <n v="812949"/>
    <s v="NARENDER"/>
    <n v="204208"/>
    <s v="NIMBIWAL BUILDING MATERIAL&amp;SUP"/>
    <n v="100"/>
    <n v="80.5"/>
    <n v="60"/>
    <n v="97.5"/>
    <n v="35"/>
    <n v="65"/>
    <n v="35"/>
    <n v="35"/>
    <n v="115"/>
    <n v="70"/>
    <n v="30"/>
    <n v="70"/>
    <n v="793"/>
  </r>
  <r>
    <x v="1352"/>
    <n v="812964"/>
    <s v="MATO SHRI TRADERS"/>
    <n v="170132"/>
    <s v="JAI KOSHLESH TRADING COMPANY"/>
    <n v="0"/>
    <n v="0"/>
    <n v="21"/>
    <n v="0"/>
    <n v="0"/>
    <n v="0"/>
    <n v="0"/>
    <n v="0"/>
    <n v="0"/>
    <n v="0"/>
    <n v="0"/>
    <n v="0"/>
    <n v="21"/>
  </r>
  <r>
    <x v="1353"/>
    <n v="812964"/>
    <s v="MATO SHRI TRADERS"/>
    <n v="170146"/>
    <s v="KASLIWAL KRISHI SEWA KENDRA"/>
    <n v="10"/>
    <n v="20"/>
    <n v="60"/>
    <n v="86"/>
    <n v="25"/>
    <n v="77"/>
    <n v="65"/>
    <n v="20"/>
    <n v="55"/>
    <n v="14"/>
    <n v="35"/>
    <n v="135"/>
    <n v="602"/>
  </r>
  <r>
    <x v="1354"/>
    <n v="812967"/>
    <s v="BANSAL IRON &amp; CEMENT TRADERS"/>
    <n v="177829"/>
    <s v="GARG TRADING COMPANY"/>
    <n v="58.5"/>
    <n v="62.5"/>
    <n v="81"/>
    <n v="106.5"/>
    <n v="72.5"/>
    <n v="97"/>
    <n v="26"/>
    <n v="41"/>
    <n v="58"/>
    <n v="85.5"/>
    <n v="84.5"/>
    <n v="133"/>
    <n v="906"/>
  </r>
  <r>
    <x v="1355"/>
    <n v="812969"/>
    <s v="SHRI BALAJI CEMENT AGENCY"/>
    <n v="140481"/>
    <s v="Goyal &amp; Co."/>
    <n v="81.5"/>
    <n v="101.75"/>
    <n v="107"/>
    <n v="157"/>
    <n v="135"/>
    <n v="133.4"/>
    <n v="135.5"/>
    <n v="125"/>
    <n v="186"/>
    <n v="147"/>
    <n v="104"/>
    <n v="107"/>
    <n v="1520.15"/>
  </r>
  <r>
    <x v="1356"/>
    <n v="812971"/>
    <s v="SUNIL KUMAWAT"/>
    <n v="142353"/>
    <s v="SUNIL BUILDING MATERIAL"/>
    <n v="45"/>
    <n v="35"/>
    <n v="25"/>
    <n v="0"/>
    <n v="35"/>
    <n v="22"/>
    <n v="0"/>
    <n v="15"/>
    <n v="40"/>
    <n v="130"/>
    <n v="51"/>
    <n v="159"/>
    <n v="557"/>
  </r>
  <r>
    <x v="1357"/>
    <n v="812976"/>
    <s v="MATESHWARI CEMENT SUPPLIERS"/>
    <n v="119028"/>
    <s v="KANHAYALAL &amp; SONS"/>
    <n v="4"/>
    <n v="0"/>
    <n v="31"/>
    <n v="43"/>
    <n v="41"/>
    <n v="31"/>
    <n v="0"/>
    <n v="31"/>
    <n v="10"/>
    <n v="35"/>
    <n v="21"/>
    <n v="0"/>
    <n v="247"/>
  </r>
  <r>
    <x v="1358"/>
    <n v="812978"/>
    <s v="BHAGVATI LAL RAMESH CHANDRA"/>
    <n v="172906"/>
    <s v="MAA KRIPA CEMENT &amp; BUILDING MA"/>
    <n v="0.85"/>
    <n v="15"/>
    <n v="52"/>
    <n v="21"/>
    <n v="72.5"/>
    <n v="15"/>
    <n v="0"/>
    <n v="0"/>
    <n v="27.5"/>
    <n v="0"/>
    <n v="20"/>
    <n v="50.5"/>
    <n v="274.35000000000002"/>
  </r>
  <r>
    <x v="1359"/>
    <n v="812983"/>
    <s v="SHRI SHYAM TRADING COMPANY"/>
    <n v="119212"/>
    <s v="SURENDRA KUMAR &amp; CO"/>
    <n v="62.5"/>
    <n v="42"/>
    <n v="42.25"/>
    <n v="37.5"/>
    <n v="99.45"/>
    <n v="77.5"/>
    <n v="57"/>
    <n v="25"/>
    <n v="28"/>
    <n v="15"/>
    <n v="10"/>
    <n v="0"/>
    <n v="496.2"/>
  </r>
  <r>
    <x v="1360"/>
    <n v="812984"/>
    <s v="GEDAR BUILDING MATERIAL"/>
    <n v="178230"/>
    <s v="SHREE RADHEY BUILDING MATERIAL"/>
    <n v="88.5"/>
    <n v="58.5"/>
    <n v="115"/>
    <n v="73.5"/>
    <n v="40"/>
    <n v="30"/>
    <n v="39"/>
    <n v="43.5"/>
    <n v="30"/>
    <n v="45"/>
    <n v="15"/>
    <n v="65"/>
    <n v="643"/>
  </r>
  <r>
    <x v="1361"/>
    <n v="812985"/>
    <s v="M K CEMENT AGENCY"/>
    <n v="173224"/>
    <s v="D.R.MARBLE &amp; SANITORY"/>
    <n v="25"/>
    <n v="25"/>
    <n v="35"/>
    <n v="37.5"/>
    <n v="30"/>
    <n v="15"/>
    <n v="10"/>
    <n v="10"/>
    <n v="24"/>
    <n v="0"/>
    <n v="0"/>
    <n v="0"/>
    <n v="211.5"/>
  </r>
  <r>
    <x v="1362"/>
    <n v="812986"/>
    <s v="SHREE BAJRANG BALI BUILDING MA"/>
    <n v="173224"/>
    <s v="D.R.MARBLE &amp; SANITORY"/>
    <n v="25"/>
    <n v="25"/>
    <n v="35"/>
    <n v="52.5"/>
    <n v="37.5"/>
    <n v="10"/>
    <n v="0"/>
    <n v="42.5"/>
    <n v="20"/>
    <n v="0"/>
    <n v="10"/>
    <n v="55"/>
    <n v="312.5"/>
  </r>
  <r>
    <x v="1363"/>
    <n v="812990"/>
    <s v="BHOOMIYA JI CEMENT AGENCY"/>
    <n v="119038"/>
    <s v="NAVEEN DISTRIBUTORS"/>
    <n v="35"/>
    <n v="0"/>
    <n v="0"/>
    <n v="0"/>
    <n v="20"/>
    <n v="0"/>
    <n v="0"/>
    <n v="10"/>
    <n v="10"/>
    <n v="10"/>
    <n v="10"/>
    <n v="0"/>
    <n v="95"/>
  </r>
  <r>
    <x v="1364"/>
    <n v="812992"/>
    <s v="JAI SHREE AAI MAA SUPER MARKET"/>
    <n v="173224"/>
    <s v="D.R.MARBLE &amp; SANITORY"/>
    <n v="100"/>
    <n v="95"/>
    <n v="114.5"/>
    <n v="101"/>
    <n v="70"/>
    <n v="47.5"/>
    <n v="60"/>
    <n v="45"/>
    <n v="147.5"/>
    <n v="68.5"/>
    <n v="75"/>
    <n v="106"/>
    <n v="1030"/>
  </r>
  <r>
    <x v="1365"/>
    <n v="812994"/>
    <s v="MAHADEV BUILDING MATERIAL"/>
    <n v="173224"/>
    <s v="D.R.MARBLE &amp; SANITORY"/>
    <n v="98.5"/>
    <n v="85"/>
    <n v="102.5"/>
    <n v="84.5"/>
    <n v="75"/>
    <n v="37.5"/>
    <n v="60"/>
    <n v="25"/>
    <n v="60"/>
    <n v="80"/>
    <n v="57.5"/>
    <n v="147.5"/>
    <n v="913"/>
  </r>
  <r>
    <x v="1366"/>
    <n v="812996"/>
    <s v="MAHESH KUMAR BHIKAM CHAND CEME"/>
    <n v="201280"/>
    <s v="SIDDHI VINAYAK CEMENT DISTRIBU"/>
    <n v="72"/>
    <n v="0"/>
    <n v="31"/>
    <n v="26"/>
    <n v="2"/>
    <n v="14"/>
    <n v="7.5"/>
    <n v="5"/>
    <n v="35"/>
    <n v="86.5"/>
    <n v="53.9"/>
    <n v="100"/>
    <n v="432.9"/>
  </r>
  <r>
    <x v="1367"/>
    <n v="812999"/>
    <s v="SHREE BALAJI CEMENT SUPPLIERS"/>
    <n v="148233"/>
    <s v="NAGORA TRADERS"/>
    <n v="0"/>
    <n v="0"/>
    <n v="60"/>
    <n v="0"/>
    <n v="35"/>
    <n v="35"/>
    <n v="0"/>
    <n v="35"/>
    <n v="0"/>
    <n v="0"/>
    <n v="30"/>
    <n v="0"/>
    <n v="195"/>
  </r>
  <r>
    <x v="1368"/>
    <n v="813001"/>
    <s v="MANROOP TARACHAND AGARWAL"/>
    <n v="201280"/>
    <s v="SIDDHI VINAYAK CEMENT DISTRIBU"/>
    <n v="45"/>
    <n v="0"/>
    <n v="84"/>
    <n v="89"/>
    <n v="22"/>
    <n v="1"/>
    <n v="0"/>
    <n v="0"/>
    <n v="0"/>
    <n v="0"/>
    <n v="0"/>
    <n v="0"/>
    <n v="241"/>
  </r>
  <r>
    <x v="1369"/>
    <n v="813002"/>
    <s v="NIKHIL CHANDANI"/>
    <n v="201280"/>
    <s v="SIDDHI VINAYAK CEMENT DISTRIBU"/>
    <n v="376.7"/>
    <n v="0"/>
    <n v="0"/>
    <n v="113"/>
    <n v="156"/>
    <n v="157"/>
    <n v="305"/>
    <n v="45"/>
    <n v="205.9"/>
    <n v="192"/>
    <n v="152"/>
    <n v="103"/>
    <n v="1805.6000000000001"/>
  </r>
  <r>
    <x v="1370"/>
    <n v="813003"/>
    <s v="MOHAMMED AAMIR BHATI"/>
    <n v="177016"/>
    <s v="KHANDELWAL STONE"/>
    <n v="50"/>
    <n v="60"/>
    <n v="75"/>
    <n v="67.5"/>
    <n v="76"/>
    <n v="61"/>
    <n v="107"/>
    <n v="65"/>
    <n v="152"/>
    <n v="50"/>
    <n v="112.5"/>
    <n v="126"/>
    <n v="1002"/>
  </r>
  <r>
    <x v="1371"/>
    <n v="813005"/>
    <s v="MAHALAXMI STONE SUPPLIERS"/>
    <n v="179486"/>
    <s v="MOROLIA TRADERS"/>
    <n v="10"/>
    <n v="30"/>
    <n v="0"/>
    <n v="37.5"/>
    <n v="30"/>
    <n v="50"/>
    <n v="0"/>
    <n v="10"/>
    <n v="42"/>
    <n v="30"/>
    <n v="20"/>
    <n v="10"/>
    <n v="269.5"/>
  </r>
  <r>
    <x v="1372"/>
    <n v="813006"/>
    <s v="D R MARBLES"/>
    <n v="178230"/>
    <s v="SHREE RADHEY BUILDING MATERIAL"/>
    <n v="40"/>
    <n v="30.5"/>
    <n v="20"/>
    <n v="0"/>
    <n v="50"/>
    <n v="0"/>
    <n v="52"/>
    <n v="20"/>
    <n v="20"/>
    <n v="30"/>
    <n v="20"/>
    <n v="80"/>
    <n v="362.5"/>
  </r>
  <r>
    <x v="1373"/>
    <n v="813007"/>
    <s v="SHEETAL TRADING COMPANY"/>
    <n v="170617"/>
    <s v="MANGALAM TRADING COMPANY"/>
    <n v="15"/>
    <n v="45"/>
    <n v="0"/>
    <n v="64.75"/>
    <n v="139.75"/>
    <n v="53.85"/>
    <n v="34.5"/>
    <n v="20"/>
    <n v="62.5"/>
    <n v="52.5"/>
    <n v="40"/>
    <n v="77"/>
    <n v="604.85"/>
  </r>
  <r>
    <x v="1374"/>
    <n v="813008"/>
    <s v="RAJESH KUMAR"/>
    <n v="145394"/>
    <s v="DEVRAJ AND SONS"/>
    <n v="40"/>
    <n v="30"/>
    <n v="73.5"/>
    <n v="28.5"/>
    <n v="110"/>
    <n v="55"/>
    <n v="35"/>
    <n v="37.5"/>
    <n v="67"/>
    <n v="57.25"/>
    <n v="35"/>
    <n v="40"/>
    <n v="608.75"/>
  </r>
  <r>
    <x v="1375"/>
    <n v="813009"/>
    <s v="MEENA CEMENT AGENCY"/>
    <n v="175856"/>
    <s v="SUMAN AGENCY"/>
    <n v="20"/>
    <n v="30"/>
    <n v="20"/>
    <n v="20"/>
    <n v="10"/>
    <n v="39"/>
    <n v="0"/>
    <n v="21"/>
    <n v="45"/>
    <n v="45"/>
    <n v="40"/>
    <n v="61"/>
    <n v="351"/>
  </r>
  <r>
    <x v="1376"/>
    <n v="813010"/>
    <s v="JAGSEER SINGH"/>
    <n v="145394"/>
    <s v="DEVRAJ AND SONS"/>
    <n v="11.5"/>
    <n v="12"/>
    <n v="15"/>
    <n v="4.5"/>
    <n v="31"/>
    <n v="40"/>
    <n v="30"/>
    <n v="15"/>
    <n v="30"/>
    <n v="56.5"/>
    <n v="40"/>
    <n v="25"/>
    <n v="310.5"/>
  </r>
  <r>
    <x v="1377"/>
    <n v="813019"/>
    <s v="KATARA BUILDING MATERIAL"/>
    <n v="141115"/>
    <s v="KALPESH CEMENT AGENCY"/>
    <n v="73.5"/>
    <n v="45"/>
    <n v="179.4"/>
    <n v="99"/>
    <n v="35"/>
    <n v="35.5"/>
    <n v="65"/>
    <n v="40"/>
    <n v="52.5"/>
    <n v="0"/>
    <n v="30"/>
    <n v="0"/>
    <n v="654.9"/>
  </r>
  <r>
    <x v="1378"/>
    <n v="813020"/>
    <s v="RAM CHANDRA"/>
    <n v="177068"/>
    <s v="MAHALAXMI ENTERPRISES"/>
    <n v="0"/>
    <n v="0"/>
    <n v="0"/>
    <n v="0"/>
    <n v="0"/>
    <n v="0"/>
    <n v="0"/>
    <n v="0"/>
    <n v="0"/>
    <n v="0"/>
    <n v="0"/>
    <n v="15"/>
    <n v="15"/>
  </r>
  <r>
    <x v="1379"/>
    <n v="813020"/>
    <s v="RAM CHANDRA"/>
    <n v="177662"/>
    <s v="MANOJ KUMAR S/0 BHERA RAM"/>
    <n v="47"/>
    <n v="56"/>
    <n v="51.5"/>
    <n v="52.5"/>
    <n v="53"/>
    <n v="47"/>
    <n v="17.5"/>
    <n v="26.5"/>
    <n v="38"/>
    <n v="52.5"/>
    <n v="25"/>
    <n v="30"/>
    <n v="496.5"/>
  </r>
  <r>
    <x v="1380"/>
    <n v="813021"/>
    <s v="SANWARIYA BUILDING MATERIAL SU"/>
    <n v="170059"/>
    <s v="SHREE OM CEMENT &amp; STONE SUPPLI"/>
    <n v="0"/>
    <n v="0"/>
    <n v="0"/>
    <n v="65"/>
    <n v="63"/>
    <n v="58"/>
    <n v="55"/>
    <n v="25"/>
    <n v="50"/>
    <n v="82.5"/>
    <n v="67"/>
    <n v="112.5"/>
    <n v="578"/>
  </r>
  <r>
    <x v="1381"/>
    <n v="813022"/>
    <s v="SHREE DEV TRADERS"/>
    <n v="143113"/>
    <s v="SHREE RADHE GOPAL TRDERS"/>
    <n v="22"/>
    <n v="0"/>
    <n v="0"/>
    <n v="0"/>
    <n v="0"/>
    <n v="0"/>
    <n v="0"/>
    <n v="0"/>
    <n v="0"/>
    <n v="0"/>
    <n v="0"/>
    <n v="0"/>
    <n v="22"/>
  </r>
  <r>
    <x v="1382"/>
    <n v="813023"/>
    <s v="OMA SHANKAR MEENA"/>
    <n v="172193"/>
    <s v="VARDHMAN CEMENT AGENCY"/>
    <n v="0"/>
    <n v="0"/>
    <n v="0"/>
    <n v="3"/>
    <n v="3.5"/>
    <n v="3"/>
    <n v="0"/>
    <n v="0"/>
    <n v="18.700000000000003"/>
    <n v="0"/>
    <n v="0"/>
    <n v="0"/>
    <n v="28.200000000000003"/>
  </r>
  <r>
    <x v="1383"/>
    <n v="813031"/>
    <s v="BHANWAR LAL UTAM CHAND"/>
    <n v="170775"/>
    <s v="GANPAT LAL MAROTHIYA AND SONS"/>
    <n v="0"/>
    <n v="0"/>
    <n v="10"/>
    <n v="90"/>
    <n v="15"/>
    <n v="15"/>
    <n v="50"/>
    <n v="0"/>
    <n v="25"/>
    <n v="40"/>
    <n v="10"/>
    <n v="0"/>
    <n v="255"/>
  </r>
  <r>
    <x v="1384"/>
    <n v="813034"/>
    <s v="LAXMI TAK CEMENT"/>
    <n v="170775"/>
    <s v="GANPAT LAL MAROTHIYA AND SONS"/>
    <n v="0"/>
    <n v="0"/>
    <n v="25"/>
    <n v="0"/>
    <n v="0"/>
    <n v="15"/>
    <n v="0"/>
    <n v="20"/>
    <n v="43"/>
    <n v="0"/>
    <n v="0"/>
    <n v="53.5"/>
    <n v="156.5"/>
  </r>
  <r>
    <x v="1385"/>
    <n v="813036"/>
    <s v="DIVYA SALES"/>
    <n v="149885"/>
    <s v="LUHANI CEMENT SUPPLIERS"/>
    <n v="64.5"/>
    <n v="144.65"/>
    <n v="135"/>
    <n v="112.5"/>
    <n v="118.75"/>
    <n v="62"/>
    <n v="66.75"/>
    <n v="109.5"/>
    <n v="96.1"/>
    <n v="102.5"/>
    <n v="80.5"/>
    <n v="150.6"/>
    <n v="1243.3499999999999"/>
  </r>
  <r>
    <x v="1386"/>
    <n v="813040"/>
    <s v="SHREE BALAJI BUILDING MATERIAL"/>
    <n v="201091"/>
    <s v="SIDHI VINAYAK SANITARY HOUSE"/>
    <n v="10"/>
    <n v="20"/>
    <n v="17.5"/>
    <n v="0"/>
    <n v="0"/>
    <n v="0"/>
    <n v="0"/>
    <n v="0"/>
    <n v="0"/>
    <n v="0"/>
    <n v="0"/>
    <n v="0"/>
    <n v="47.5"/>
  </r>
  <r>
    <x v="1387"/>
    <n v="813048"/>
    <s v="BHAGWAN CONSTRUCTION"/>
    <n v="179908"/>
    <s v="SANWLA ENTERPRISES"/>
    <n v="0"/>
    <n v="10"/>
    <n v="0"/>
    <n v="0"/>
    <n v="0"/>
    <n v="30"/>
    <n v="0"/>
    <n v="0"/>
    <n v="0"/>
    <n v="0"/>
    <n v="0"/>
    <n v="10"/>
    <n v="50"/>
  </r>
  <r>
    <x v="1388"/>
    <n v="813050"/>
    <s v="SUNIL SOMANI"/>
    <n v="177016"/>
    <s v="KHANDELWAL STONE"/>
    <n v="30"/>
    <n v="19"/>
    <n v="20"/>
    <n v="35"/>
    <n v="10"/>
    <n v="40"/>
    <n v="0"/>
    <n v="19"/>
    <n v="60"/>
    <n v="7.5"/>
    <n v="55"/>
    <n v="105"/>
    <n v="400.5"/>
  </r>
  <r>
    <x v="1389"/>
    <n v="813053"/>
    <s v="TANWAR CEMENT AGENCY"/>
    <n v="177069"/>
    <s v="LOVEVANSHI ENTERPRISES"/>
    <n v="0"/>
    <n v="25"/>
    <n v="55"/>
    <n v="0"/>
    <n v="0"/>
    <n v="30"/>
    <n v="0"/>
    <n v="0"/>
    <n v="0"/>
    <n v="35"/>
    <n v="35"/>
    <n v="0"/>
    <n v="180"/>
  </r>
  <r>
    <x v="1390"/>
    <n v="813054"/>
    <s v="PRINCE TRADING COMPANY"/>
    <n v="170204"/>
    <s v="GOYAL BUILDING MATERIAL"/>
    <n v="115.5"/>
    <n v="68"/>
    <n v="35"/>
    <n v="0"/>
    <n v="0"/>
    <n v="37.5"/>
    <n v="25"/>
    <n v="20"/>
    <n v="35"/>
    <n v="0"/>
    <n v="50"/>
    <n v="25.5"/>
    <n v="411.5"/>
  </r>
  <r>
    <x v="1391"/>
    <n v="813055"/>
    <s v="SOHANLAL JOSHI"/>
    <n v="208156"/>
    <s v="SHRI BAJRANG TRADERS"/>
    <n v="0"/>
    <n v="0"/>
    <n v="10"/>
    <n v="2"/>
    <n v="0"/>
    <n v="0"/>
    <n v="10"/>
    <n v="10"/>
    <n v="0"/>
    <n v="0"/>
    <n v="0"/>
    <n v="3"/>
    <n v="35"/>
  </r>
  <r>
    <x v="1392"/>
    <n v="813056"/>
    <s v="KRISHNA BUILDING MATERIAL SUPP"/>
    <n v="141905"/>
    <s v="BS ENTERPRISES"/>
    <n v="20"/>
    <n v="20"/>
    <n v="10"/>
    <n v="0"/>
    <n v="32.5"/>
    <n v="28.25"/>
    <n v="17.5"/>
    <n v="0"/>
    <n v="29"/>
    <n v="50"/>
    <n v="39.5"/>
    <n v="58.5"/>
    <n v="305.25"/>
  </r>
  <r>
    <x v="1393"/>
    <n v="813056"/>
    <s v="KRISHNA BUILDING MATERIAL SUPP"/>
    <n v="175856"/>
    <s v="SUMAN AGENCY"/>
    <n v="0"/>
    <n v="0"/>
    <n v="0"/>
    <n v="0"/>
    <n v="0"/>
    <n v="0"/>
    <n v="10"/>
    <n v="10"/>
    <n v="0"/>
    <n v="0"/>
    <n v="0"/>
    <n v="0"/>
    <n v="20"/>
  </r>
  <r>
    <x v="1394"/>
    <n v="813060"/>
    <s v="SHIV SHAKTI TRADERS"/>
    <n v="174558"/>
    <s v="HARI OM MATERIAL SUPPLIERS"/>
    <n v="0"/>
    <n v="0"/>
    <n v="0"/>
    <n v="35"/>
    <n v="44.5"/>
    <n v="27.5"/>
    <n v="0"/>
    <n v="0"/>
    <n v="15"/>
    <n v="0"/>
    <n v="5"/>
    <n v="30"/>
    <n v="157"/>
  </r>
  <r>
    <x v="1395"/>
    <n v="813074"/>
    <s v="JAI KARAULI MAA TRADERS"/>
    <n v="177957"/>
    <s v="MITTAL AGENCY"/>
    <n v="5"/>
    <n v="0"/>
    <n v="33"/>
    <n v="22.5"/>
    <n v="17"/>
    <n v="31.5"/>
    <n v="5.65"/>
    <n v="21"/>
    <n v="29"/>
    <n v="21"/>
    <n v="14.25"/>
    <n v="25"/>
    <n v="224.9"/>
  </r>
  <r>
    <x v="1396"/>
    <n v="813096"/>
    <s v="SHREE KRISHNA CEMENT AGENCY"/>
    <n v="119042"/>
    <s v="SARAS ENTERPRISES"/>
    <n v="0"/>
    <n v="15"/>
    <n v="5"/>
    <n v="0"/>
    <n v="0"/>
    <n v="0"/>
    <n v="0"/>
    <n v="0"/>
    <n v="0"/>
    <n v="0"/>
    <n v="0"/>
    <n v="0"/>
    <n v="20"/>
  </r>
  <r>
    <x v="1397"/>
    <n v="813099"/>
    <s v="MAHADEV CEMENT AGENCY"/>
    <n v="173865"/>
    <s v="BHARDWAJ TRADERS"/>
    <n v="20"/>
    <n v="20"/>
    <n v="65"/>
    <n v="20"/>
    <n v="0"/>
    <n v="20"/>
    <n v="10"/>
    <n v="10"/>
    <n v="46.9"/>
    <n v="25"/>
    <n v="10"/>
    <n v="20"/>
    <n v="266.89999999999998"/>
  </r>
  <r>
    <x v="1398"/>
    <n v="813101"/>
    <s v="KRISHNA VATAR"/>
    <n v="173865"/>
    <s v="BHARDWAJ TRADERS"/>
    <n v="0"/>
    <n v="0"/>
    <n v="0"/>
    <n v="25"/>
    <n v="0"/>
    <n v="0"/>
    <n v="0"/>
    <n v="0"/>
    <n v="0"/>
    <n v="20"/>
    <n v="0"/>
    <n v="0"/>
    <n v="45"/>
  </r>
  <r>
    <x v="1399"/>
    <n v="813105"/>
    <s v="OM SAI KIRANA AND GENERAL STOR"/>
    <n v="202842"/>
    <s v="M.R.TRADING COMPANY"/>
    <n v="0"/>
    <n v="0"/>
    <n v="14"/>
    <n v="39.5"/>
    <n v="45"/>
    <n v="57.5"/>
    <n v="30"/>
    <n v="25"/>
    <n v="95"/>
    <n v="79.5"/>
    <n v="20"/>
    <n v="81.75"/>
    <n v="487.25"/>
  </r>
  <r>
    <x v="1400"/>
    <n v="813118"/>
    <s v="SHUBH DEEP KRISHI MANDIR"/>
    <n v="173865"/>
    <s v="BHARDWAJ TRADERS"/>
    <n v="20"/>
    <n v="0"/>
    <n v="18.5"/>
    <n v="25"/>
    <n v="0"/>
    <n v="0"/>
    <n v="0"/>
    <n v="0"/>
    <n v="0"/>
    <n v="0"/>
    <n v="0"/>
    <n v="0"/>
    <n v="63.5"/>
  </r>
  <r>
    <x v="1401"/>
    <n v="813120"/>
    <s v="ARYAN CEMENT SUPPLIER"/>
    <n v="119042"/>
    <s v="SARAS ENTERPRISES"/>
    <n v="10"/>
    <n v="0"/>
    <n v="10"/>
    <n v="25"/>
    <n v="10"/>
    <n v="20"/>
    <n v="7"/>
    <n v="0"/>
    <n v="0"/>
    <n v="0"/>
    <n v="0"/>
    <n v="0"/>
    <n v="82"/>
  </r>
  <r>
    <x v="1402"/>
    <n v="813122"/>
    <s v="YADHUVANSHI BUILDING MATERIAL"/>
    <n v="205183"/>
    <s v="SANWARIA TRADING COMPANY"/>
    <n v="0"/>
    <n v="0"/>
    <n v="0"/>
    <n v="20"/>
    <n v="27"/>
    <n v="10"/>
    <n v="15"/>
    <n v="62"/>
    <n v="0"/>
    <n v="0"/>
    <n v="0"/>
    <n v="0"/>
    <n v="134"/>
  </r>
  <r>
    <x v="1403"/>
    <n v="813122"/>
    <s v="YADHUVANSHI BUILDING MATERIAL"/>
    <n v="211137"/>
    <s v="BALAJI AGENCY"/>
    <n v="0"/>
    <n v="0"/>
    <n v="0"/>
    <n v="0"/>
    <n v="0"/>
    <n v="0"/>
    <n v="0"/>
    <n v="0"/>
    <n v="0"/>
    <n v="0"/>
    <n v="0"/>
    <n v="10"/>
    <n v="10"/>
  </r>
  <r>
    <x v="1404"/>
    <n v="813124"/>
    <s v="TEJKARAN AGARWAL"/>
    <n v="172640"/>
    <s v="KUSHAL TRADERS"/>
    <n v="137"/>
    <n v="0"/>
    <n v="0"/>
    <n v="0"/>
    <n v="0"/>
    <n v="10"/>
    <n v="0"/>
    <n v="0"/>
    <n v="0"/>
    <n v="0"/>
    <n v="0"/>
    <n v="0"/>
    <n v="147"/>
  </r>
  <r>
    <x v="1405"/>
    <n v="813146"/>
    <s v="SHREE ASHAPURA BUILDING MATERI"/>
    <n v="206066"/>
    <s v="GAJANAND CEMENT AGENCY"/>
    <n v="120"/>
    <n v="29"/>
    <n v="48"/>
    <n v="145"/>
    <n v="142"/>
    <n v="200"/>
    <n v="30"/>
    <n v="10"/>
    <n v="175"/>
    <n v="101"/>
    <n v="118"/>
    <n v="15"/>
    <n v="1133"/>
  </r>
  <r>
    <x v="1406"/>
    <n v="813147"/>
    <s v="RUCHI ENTERPRISES"/>
    <n v="204307"/>
    <s v="JAI BAJRANG STEELS"/>
    <n v="136.65"/>
    <n v="88"/>
    <n v="174.60000000000002"/>
    <n v="143.75"/>
    <n v="81"/>
    <n v="58.5"/>
    <n v="43"/>
    <n v="48.5"/>
    <n v="30"/>
    <n v="10"/>
    <n v="5"/>
    <n v="0"/>
    <n v="819"/>
  </r>
  <r>
    <x v="1407"/>
    <n v="813148"/>
    <s v="NARAYAN LAL"/>
    <n v="173310"/>
    <s v="NAGORA  &amp; COMPANY"/>
    <n v="60"/>
    <n v="15"/>
    <n v="58.75"/>
    <n v="54.7"/>
    <n v="52"/>
    <n v="22"/>
    <n v="20"/>
    <n v="30"/>
    <n v="56"/>
    <n v="45.5"/>
    <n v="53.5"/>
    <n v="61"/>
    <n v="528.45000000000005"/>
  </r>
  <r>
    <x v="1408"/>
    <n v="813149"/>
    <s v="RAVITA TRADERS"/>
    <n v="149583"/>
    <s v="M A TRADING COMPANY"/>
    <n v="50.5"/>
    <n v="50"/>
    <n v="66"/>
    <n v="42"/>
    <n v="31.5"/>
    <n v="20"/>
    <n v="19"/>
    <n v="20"/>
    <n v="50"/>
    <n v="50"/>
    <n v="29"/>
    <n v="101"/>
    <n v="529"/>
  </r>
  <r>
    <x v="1409"/>
    <n v="813150"/>
    <s v="JAI DURGA TRADERS"/>
    <n v="202225"/>
    <s v="ASTOLIA INDUSTRIES"/>
    <n v="30"/>
    <n v="55"/>
    <n v="60"/>
    <n v="35"/>
    <n v="0"/>
    <n v="0"/>
    <n v="0"/>
    <n v="0"/>
    <n v="0"/>
    <n v="0"/>
    <n v="0"/>
    <n v="0"/>
    <n v="180"/>
  </r>
  <r>
    <x v="1410"/>
    <n v="813151"/>
    <s v="RUPESH CEMENT AGENCY"/>
    <n v="179892"/>
    <s v="MADHAV ENTERPRISES"/>
    <n v="0"/>
    <n v="0"/>
    <n v="0"/>
    <n v="51"/>
    <n v="0"/>
    <n v="51"/>
    <n v="5"/>
    <n v="0"/>
    <n v="0"/>
    <n v="50.5"/>
    <n v="51"/>
    <n v="101"/>
    <n v="309.5"/>
  </r>
  <r>
    <x v="1411"/>
    <n v="813152"/>
    <s v="MAHIPAL SINGH SARANGDEVOT"/>
    <n v="140848"/>
    <s v="PADAM CEMENT SUPPLIERS"/>
    <n v="50"/>
    <n v="68"/>
    <n v="80"/>
    <n v="82.5"/>
    <n v="90"/>
    <n v="13.5"/>
    <n v="63.5"/>
    <n v="40"/>
    <n v="57.5"/>
    <n v="50"/>
    <n v="118"/>
    <n v="30"/>
    <n v="743"/>
  </r>
  <r>
    <x v="1412"/>
    <n v="813154"/>
    <s v="TIWARI AGENCIES"/>
    <n v="170708"/>
    <s v="BANSAL MARBLES"/>
    <n v="34"/>
    <n v="76.5"/>
    <n v="175"/>
    <n v="110"/>
    <n v="60"/>
    <n v="10"/>
    <n v="10"/>
    <n v="50.5"/>
    <n v="0"/>
    <n v="46"/>
    <n v="64"/>
    <n v="62"/>
    <n v="698"/>
  </r>
  <r>
    <x v="1413"/>
    <n v="813155"/>
    <s v="AMBEY BUILDING MATERIAL"/>
    <n v="208156"/>
    <s v="SHRI BAJRANG TRADERS"/>
    <n v="43"/>
    <n v="12"/>
    <n v="5"/>
    <n v="81"/>
    <n v="32"/>
    <n v="10"/>
    <n v="20"/>
    <n v="42.5"/>
    <n v="27.5"/>
    <n v="32"/>
    <n v="53.05"/>
    <n v="42"/>
    <n v="400.05"/>
  </r>
  <r>
    <x v="1414"/>
    <n v="813157"/>
    <s v="JAI BAJRANG CEMENT"/>
    <n v="202713"/>
    <s v="DADHICH STONE SUPPLIERS"/>
    <n v="0"/>
    <n v="0"/>
    <n v="10"/>
    <n v="3"/>
    <n v="0"/>
    <n v="0"/>
    <n v="0"/>
    <n v="0"/>
    <n v="0"/>
    <n v="0"/>
    <n v="0"/>
    <n v="0"/>
    <n v="13"/>
  </r>
  <r>
    <x v="1415"/>
    <n v="813158"/>
    <s v="JYOTI CEMENT UDHYOG"/>
    <n v="119042"/>
    <s v="SARAS ENTERPRISES"/>
    <n v="10"/>
    <n v="15"/>
    <n v="0"/>
    <n v="0"/>
    <n v="0"/>
    <n v="0"/>
    <n v="0"/>
    <n v="0"/>
    <n v="0"/>
    <n v="0"/>
    <n v="0"/>
    <n v="0"/>
    <n v="25"/>
  </r>
  <r>
    <x v="1416"/>
    <n v="813160"/>
    <s v="SHREE SHYAM TRADERS"/>
    <n v="172640"/>
    <s v="KUSHAL TRADERS"/>
    <n v="0"/>
    <n v="26"/>
    <n v="0"/>
    <n v="35"/>
    <n v="0"/>
    <n v="15"/>
    <n v="1"/>
    <n v="9"/>
    <n v="18"/>
    <n v="0"/>
    <n v="0"/>
    <n v="0"/>
    <n v="104"/>
  </r>
  <r>
    <x v="1417"/>
    <n v="813161"/>
    <s v="SHREE IDANA MAA BUILDING MATER"/>
    <n v="179560"/>
    <s v="TIRUPATI TRADING COMPANY"/>
    <n v="0"/>
    <n v="20"/>
    <n v="26"/>
    <n v="42.5"/>
    <n v="30"/>
    <n v="0"/>
    <n v="10"/>
    <n v="0"/>
    <n v="0"/>
    <n v="0"/>
    <n v="0"/>
    <n v="0"/>
    <n v="128.5"/>
  </r>
  <r>
    <x v="1418"/>
    <n v="813162"/>
    <s v="SHREE BALAJI BUILDING MATERIAL"/>
    <n v="174271"/>
    <s v="S K TRADERS"/>
    <n v="30"/>
    <n v="100"/>
    <n v="65"/>
    <n v="51"/>
    <n v="0"/>
    <n v="40"/>
    <n v="0"/>
    <n v="40"/>
    <n v="0"/>
    <n v="150"/>
    <n v="125"/>
    <n v="55"/>
    <n v="656"/>
  </r>
  <r>
    <x v="1419"/>
    <n v="813167"/>
    <s v="KRISHNA TRADERS"/>
    <n v="171578"/>
    <s v="KOTA BUILDMAT"/>
    <n v="20"/>
    <n v="50"/>
    <n v="30"/>
    <n v="62.5"/>
    <n v="47.5"/>
    <n v="30"/>
    <n v="31"/>
    <n v="40"/>
    <n v="32.5"/>
    <n v="30"/>
    <n v="45"/>
    <n v="10"/>
    <n v="428.5"/>
  </r>
  <r>
    <x v="1420"/>
    <n v="813167"/>
    <s v="KRISHNA TRADERS"/>
    <n v="175856"/>
    <s v="SUMAN AGENCY"/>
    <n v="0"/>
    <n v="0"/>
    <n v="0"/>
    <n v="13"/>
    <n v="0"/>
    <n v="0"/>
    <n v="0"/>
    <n v="0"/>
    <n v="0"/>
    <n v="0"/>
    <n v="0"/>
    <n v="0"/>
    <n v="13"/>
  </r>
  <r>
    <x v="1421"/>
    <n v="813167"/>
    <s v="KRISHNA TRADERS"/>
    <n v="207977"/>
    <s v="YASH TRADERS"/>
    <n v="0"/>
    <n v="0"/>
    <n v="0"/>
    <n v="0"/>
    <n v="10"/>
    <n v="0"/>
    <n v="0"/>
    <n v="0"/>
    <n v="0"/>
    <n v="0"/>
    <n v="0"/>
    <n v="0"/>
    <n v="10"/>
  </r>
  <r>
    <x v="1422"/>
    <n v="813168"/>
    <s v="VINOD DAS VAIRAGI"/>
    <n v="140848"/>
    <s v="PADAM CEMENT SUPPLIERS"/>
    <n v="40"/>
    <n v="60"/>
    <n v="65"/>
    <n v="39"/>
    <n v="33.5"/>
    <n v="2.5"/>
    <n v="50"/>
    <n v="20"/>
    <n v="40"/>
    <n v="70.5"/>
    <n v="63.5"/>
    <n v="20"/>
    <n v="504"/>
  </r>
  <r>
    <x v="1423"/>
    <n v="813170"/>
    <s v="RAMESH KALAL"/>
    <n v="140958"/>
    <s v="HEMRAJ SUTHAR CONTRACTOR"/>
    <n v="10"/>
    <n v="25"/>
    <n v="60"/>
    <n v="50"/>
    <n v="10"/>
    <n v="40"/>
    <n v="50"/>
    <n v="0"/>
    <n v="10"/>
    <n v="30"/>
    <n v="20"/>
    <n v="20"/>
    <n v="325"/>
  </r>
  <r>
    <x v="1424"/>
    <n v="813172"/>
    <s v="PRABHU DAYAL HARISH CHAND"/>
    <n v="178661"/>
    <s v="KHAJANCHI TRADING CO."/>
    <n v="56"/>
    <n v="25"/>
    <n v="64"/>
    <n v="69"/>
    <n v="35"/>
    <n v="104.5"/>
    <n v="82.5"/>
    <n v="58"/>
    <n v="115"/>
    <n v="81.5"/>
    <n v="29"/>
    <n v="25"/>
    <n v="744.5"/>
  </r>
  <r>
    <x v="1425"/>
    <n v="813173"/>
    <s v="RADHE SHYAM"/>
    <n v="177068"/>
    <s v="MAHALAXMI ENTERPRISES"/>
    <n v="0"/>
    <n v="0"/>
    <n v="10"/>
    <n v="0"/>
    <n v="0"/>
    <n v="0"/>
    <n v="0"/>
    <n v="0"/>
    <n v="0"/>
    <n v="0"/>
    <n v="0"/>
    <n v="0"/>
    <n v="10"/>
  </r>
  <r>
    <x v="1426"/>
    <n v="813173"/>
    <s v="RADHE SHYAM"/>
    <n v="208156"/>
    <s v="SHRI BAJRANG TRADERS"/>
    <n v="17.5"/>
    <n v="112"/>
    <n v="70"/>
    <n v="12"/>
    <n v="8"/>
    <n v="0"/>
    <n v="10"/>
    <n v="0"/>
    <n v="15"/>
    <n v="0"/>
    <n v="13"/>
    <n v="4"/>
    <n v="261.5"/>
  </r>
  <r>
    <x v="1427"/>
    <n v="813174"/>
    <s v="JODHA RAM"/>
    <n v="177301"/>
    <s v="BALAJI CEMENT SUPPLIERS"/>
    <n v="39.5"/>
    <n v="0"/>
    <n v="27.5"/>
    <n v="46"/>
    <n v="29"/>
    <n v="11.5"/>
    <n v="0"/>
    <n v="13"/>
    <n v="30"/>
    <n v="10"/>
    <n v="17.5"/>
    <n v="14"/>
    <n v="238"/>
  </r>
  <r>
    <x v="1428"/>
    <n v="813182"/>
    <s v="MANOJ GURJAR"/>
    <n v="175049"/>
    <s v="KASHISH ENTERPRISES"/>
    <n v="11"/>
    <n v="15"/>
    <n v="50"/>
    <n v="18"/>
    <n v="40"/>
    <n v="30"/>
    <n v="30"/>
    <n v="15"/>
    <n v="32"/>
    <n v="30"/>
    <n v="10"/>
    <n v="133"/>
    <n v="414"/>
  </r>
  <r>
    <x v="1429"/>
    <n v="813184"/>
    <s v="RAMSWROOP VYAS"/>
    <n v="175049"/>
    <s v="KASHISH ENTERPRISES"/>
    <n v="35"/>
    <n v="20"/>
    <n v="89.5"/>
    <n v="80.900000000000006"/>
    <n v="42.5"/>
    <n v="40"/>
    <n v="35"/>
    <n v="21"/>
    <n v="32"/>
    <n v="50"/>
    <n v="62"/>
    <n v="94"/>
    <n v="601.9"/>
  </r>
  <r>
    <x v="1430"/>
    <n v="813185"/>
    <s v="NAVIN CONSTRUCTION"/>
    <n v="140859"/>
    <s v="KESHRIYA JI HARDWARE &amp; METAL S"/>
    <n v="0"/>
    <n v="0"/>
    <n v="0"/>
    <n v="11"/>
    <n v="20"/>
    <n v="0"/>
    <n v="50"/>
    <n v="0"/>
    <n v="0"/>
    <n v="30"/>
    <n v="0"/>
    <n v="10"/>
    <n v="121"/>
  </r>
  <r>
    <x v="1431"/>
    <n v="813188"/>
    <s v="OM TRADING COMPANY"/>
    <n v="170248"/>
    <s v="MAHAVEER ENTERPRISES"/>
    <n v="0"/>
    <n v="0"/>
    <n v="3.5"/>
    <n v="0"/>
    <n v="0"/>
    <n v="0"/>
    <n v="0"/>
    <n v="0"/>
    <n v="0"/>
    <n v="10"/>
    <n v="5"/>
    <n v="60"/>
    <n v="78.5"/>
  </r>
  <r>
    <x v="1432"/>
    <n v="813190"/>
    <s v="RAJENDRA SINGH CHOUHAN"/>
    <n v="140958"/>
    <s v="HEMRAJ SUTHAR CONTRACTOR"/>
    <n v="11"/>
    <n v="0"/>
    <n v="95"/>
    <n v="60"/>
    <n v="0"/>
    <n v="30"/>
    <n v="0"/>
    <n v="0"/>
    <n v="10"/>
    <n v="20"/>
    <n v="19"/>
    <n v="29"/>
    <n v="274"/>
  </r>
  <r>
    <x v="1433"/>
    <n v="813192"/>
    <s v="THANA RAM PRAJAPATI"/>
    <n v="179928"/>
    <s v="BHAIRAV BUILDING MATERIAL SUPP"/>
    <n v="47"/>
    <n v="34"/>
    <n v="29"/>
    <n v="20.5"/>
    <n v="39.5"/>
    <n v="0"/>
    <n v="25"/>
    <n v="10"/>
    <n v="19"/>
    <n v="40.5"/>
    <n v="42"/>
    <n v="7.5"/>
    <n v="314"/>
  </r>
  <r>
    <x v="1434"/>
    <n v="813194"/>
    <s v="SHEETAL BUILDING MATERIAL AND"/>
    <n v="204034"/>
    <s v="PATEL CEMENT SUPPLIERS"/>
    <n v="45"/>
    <n v="20"/>
    <n v="140"/>
    <n v="47.5"/>
    <n v="87.5"/>
    <n v="90.5"/>
    <n v="120"/>
    <n v="46"/>
    <n v="65"/>
    <n v="52.5"/>
    <n v="50"/>
    <n v="135.6"/>
    <n v="899.6"/>
  </r>
  <r>
    <x v="1435"/>
    <n v="813195"/>
    <s v="YOGESH AGENCY"/>
    <n v="176303"/>
    <s v="ASHISH TRADERS"/>
    <n v="0"/>
    <n v="25"/>
    <n v="0"/>
    <n v="2.5"/>
    <n v="2.5"/>
    <n v="16"/>
    <n v="0"/>
    <n v="5"/>
    <n v="3.5"/>
    <n v="7.5"/>
    <n v="7.5"/>
    <n v="0"/>
    <n v="69.5"/>
  </r>
  <r>
    <x v="1436"/>
    <n v="813198"/>
    <s v="R K TRADERS"/>
    <n v="142269"/>
    <s v="CHAMUNDA BUILDING MATERIAL SUP"/>
    <n v="0"/>
    <n v="49"/>
    <n v="61"/>
    <n v="20"/>
    <n v="25"/>
    <n v="35"/>
    <n v="50"/>
    <n v="35"/>
    <n v="35"/>
    <n v="20"/>
    <n v="65"/>
    <n v="110"/>
    <n v="505"/>
  </r>
  <r>
    <x v="1437"/>
    <n v="813210"/>
    <s v="PRABHU LAL SALVI"/>
    <n v="170392"/>
    <s v="JYOTI SUPPLIERS"/>
    <n v="10"/>
    <n v="0"/>
    <n v="0"/>
    <n v="40"/>
    <n v="0"/>
    <n v="0"/>
    <n v="0"/>
    <n v="0"/>
    <n v="0"/>
    <n v="0"/>
    <n v="0"/>
    <n v="20"/>
    <n v="70"/>
  </r>
  <r>
    <x v="1438"/>
    <n v="813213"/>
    <s v="SONAM ENTERPRISES"/>
    <n v="170363"/>
    <s v="GOLDEN TRADERS"/>
    <n v="0"/>
    <n v="196.5"/>
    <n v="181"/>
    <n v="0"/>
    <n v="162"/>
    <n v="0"/>
    <n v="140"/>
    <n v="0"/>
    <n v="266"/>
    <n v="112"/>
    <n v="155.5"/>
    <n v="288"/>
    <n v="1501"/>
  </r>
  <r>
    <x v="1439"/>
    <n v="813215"/>
    <s v="SHREE SHYAM ENTERPRISES"/>
    <n v="171578"/>
    <s v="KOTA BUILDMAT"/>
    <n v="46"/>
    <n v="10"/>
    <n v="10"/>
    <n v="56"/>
    <n v="52.5"/>
    <n v="40"/>
    <n v="49.5"/>
    <n v="20.5"/>
    <n v="88.05"/>
    <n v="87.5"/>
    <n v="53"/>
    <n v="90"/>
    <n v="603.04999999999995"/>
  </r>
  <r>
    <x v="1440"/>
    <n v="813217"/>
    <s v="BAJRANG BALI BUILDING MATERIAL"/>
    <n v="171226"/>
    <s v="SATYA TRADERS"/>
    <n v="0"/>
    <n v="52"/>
    <n v="17.5"/>
    <n v="0"/>
    <n v="25"/>
    <n v="0"/>
    <n v="10"/>
    <n v="35"/>
    <n v="30"/>
    <n v="20"/>
    <n v="20"/>
    <n v="77"/>
    <n v="286.5"/>
  </r>
  <r>
    <x v="1441"/>
    <n v="813228"/>
    <s v="PARAS RAM DHAKAR"/>
    <n v="205370"/>
    <s v="KANTHALIYA ENTERPRISES"/>
    <n v="68.5"/>
    <n v="80"/>
    <n v="50"/>
    <n v="137"/>
    <n v="51"/>
    <n v="10"/>
    <n v="80"/>
    <n v="50"/>
    <n v="109.5"/>
    <n v="34"/>
    <n v="8.25"/>
    <n v="10"/>
    <n v="688.25"/>
  </r>
  <r>
    <x v="1442"/>
    <n v="813229"/>
    <s v="GANPATI BULDIMAT"/>
    <n v="179560"/>
    <s v="TIRUPATI TRADING COMPANY"/>
    <n v="50"/>
    <n v="20"/>
    <n v="50"/>
    <n v="62.5"/>
    <n v="42.5"/>
    <n v="73"/>
    <n v="88.5"/>
    <n v="35"/>
    <n v="67.5"/>
    <n v="30"/>
    <n v="25"/>
    <n v="305"/>
    <n v="849"/>
  </r>
  <r>
    <x v="1443"/>
    <n v="813231"/>
    <s v="LAXMAN LAL SUTHAR"/>
    <n v="140848"/>
    <s v="PADAM CEMENT SUPPLIERS"/>
    <n v="0"/>
    <n v="0"/>
    <n v="0"/>
    <n v="0"/>
    <n v="10"/>
    <n v="0"/>
    <n v="0"/>
    <n v="0"/>
    <n v="0"/>
    <n v="0"/>
    <n v="0"/>
    <n v="0"/>
    <n v="10"/>
  </r>
  <r>
    <x v="1444"/>
    <n v="813231"/>
    <s v="LAXMAN LAL SUTHAR"/>
    <n v="140851"/>
    <s v="PASHAWNATH CEMENT SUPPLIERS"/>
    <n v="20"/>
    <n v="15"/>
    <n v="50"/>
    <n v="58.5"/>
    <n v="20"/>
    <n v="17.5"/>
    <n v="47.5"/>
    <n v="0"/>
    <n v="25.5"/>
    <n v="35"/>
    <n v="35"/>
    <n v="75"/>
    <n v="399"/>
  </r>
  <r>
    <x v="1445"/>
    <n v="813245"/>
    <s v="SALEEM TRADING COMPANY"/>
    <n v="174271"/>
    <s v="S K TRADERS"/>
    <n v="50"/>
    <n v="90"/>
    <n v="130"/>
    <n v="81"/>
    <n v="0"/>
    <n v="0"/>
    <n v="0"/>
    <n v="0"/>
    <n v="0"/>
    <n v="40"/>
    <n v="0"/>
    <n v="55"/>
    <n v="446"/>
  </r>
  <r>
    <x v="1446"/>
    <n v="813254"/>
    <s v="MAA KHEMAJ CONSTRUCTION &amp; SUPP"/>
    <n v="122377"/>
    <s v="NILKANTH CONSTRUCTION"/>
    <n v="0"/>
    <n v="0"/>
    <n v="15"/>
    <n v="37"/>
    <n v="32.5"/>
    <n v="25"/>
    <n v="25"/>
    <n v="0"/>
    <n v="17.5"/>
    <n v="0"/>
    <n v="20"/>
    <n v="25"/>
    <n v="197"/>
  </r>
  <r>
    <x v="1447"/>
    <n v="813256"/>
    <s v="BHAWANI &amp; BROTHERS"/>
    <n v="119066"/>
    <s v="RAJENDRA KUMAR RATAN LAL JAIN"/>
    <n v="0"/>
    <n v="0"/>
    <n v="0"/>
    <n v="53"/>
    <n v="54"/>
    <n v="0"/>
    <n v="1"/>
    <n v="0"/>
    <n v="9.5"/>
    <n v="0"/>
    <n v="0"/>
    <n v="0"/>
    <n v="117.5"/>
  </r>
  <r>
    <x v="1448"/>
    <n v="813257"/>
    <s v="NIRMALA GARASIYA"/>
    <n v="201162"/>
    <s v="SANDEEP TRADERS"/>
    <n v="60"/>
    <n v="26"/>
    <n v="0"/>
    <n v="20"/>
    <n v="25"/>
    <n v="35"/>
    <n v="30"/>
    <n v="20"/>
    <n v="20"/>
    <n v="27.5"/>
    <n v="0"/>
    <n v="0"/>
    <n v="263.5"/>
  </r>
  <r>
    <x v="1449"/>
    <n v="813258"/>
    <s v="MUKHRAM TRADING COMPANY"/>
    <n v="174271"/>
    <s v="S K TRADERS"/>
    <n v="20"/>
    <n v="80"/>
    <n v="105"/>
    <n v="51"/>
    <n v="0"/>
    <n v="0"/>
    <n v="0"/>
    <n v="0"/>
    <n v="0"/>
    <n v="40"/>
    <n v="0"/>
    <n v="104"/>
    <n v="400"/>
  </r>
  <r>
    <x v="1450"/>
    <n v="813260"/>
    <s v="BHANWAR TRADING COMPANY"/>
    <n v="174271"/>
    <s v="S K TRADERS"/>
    <n v="50"/>
    <n v="100"/>
    <n v="90"/>
    <n v="56"/>
    <n v="0"/>
    <n v="0"/>
    <n v="0"/>
    <n v="0"/>
    <n v="0"/>
    <n v="0"/>
    <n v="0"/>
    <n v="104"/>
    <n v="400"/>
  </r>
  <r>
    <x v="1451"/>
    <n v="813266"/>
    <s v="BHAJAN TRADING COMPANY"/>
    <n v="174271"/>
    <s v="S K TRADERS"/>
    <n v="50"/>
    <n v="80"/>
    <n v="20"/>
    <n v="91"/>
    <n v="0"/>
    <n v="0"/>
    <n v="0"/>
    <n v="0"/>
    <n v="0"/>
    <n v="40"/>
    <n v="0"/>
    <n v="119"/>
    <n v="400"/>
  </r>
  <r>
    <x v="1452"/>
    <n v="813269"/>
    <s v="UMESH KIRANA STORE"/>
    <n v="119050"/>
    <s v="RAJASTHAN CEMENT CORPORATION"/>
    <n v="10"/>
    <n v="10"/>
    <n v="10"/>
    <n v="20"/>
    <n v="14"/>
    <n v="28"/>
    <n v="54"/>
    <n v="30"/>
    <n v="37.5"/>
    <n v="30"/>
    <n v="30"/>
    <n v="130"/>
    <n v="403.5"/>
  </r>
  <r>
    <x v="1453"/>
    <n v="813271"/>
    <s v="PRAJAPAT CEMENT AGENCY"/>
    <n v="176276"/>
    <s v="LAXMI BUILDING MATERIAL STORE"/>
    <n v="35"/>
    <n v="50"/>
    <n v="45"/>
    <n v="66.5"/>
    <n v="70"/>
    <n v="43"/>
    <n v="25"/>
    <n v="21.75"/>
    <n v="70"/>
    <n v="50"/>
    <n v="47"/>
    <n v="68.5"/>
    <n v="591.75"/>
  </r>
  <r>
    <x v="1454"/>
    <n v="813277"/>
    <s v="KAVITA TRADERS"/>
    <n v="146910"/>
    <s v="KOTHARI KANTILAL SHANKARLAL"/>
    <n v="5"/>
    <n v="20"/>
    <n v="20"/>
    <n v="41"/>
    <n v="7.5"/>
    <n v="25"/>
    <n v="5"/>
    <n v="10"/>
    <n v="20.5"/>
    <n v="10"/>
    <n v="20"/>
    <n v="35"/>
    <n v="219"/>
  </r>
  <r>
    <x v="1455"/>
    <n v="813279"/>
    <s v="ASHISH MANISH TRADERS"/>
    <n v="146910"/>
    <s v="KOTHARI KANTILAL SHANKARLAL"/>
    <n v="5"/>
    <n v="10"/>
    <n v="5"/>
    <n v="25"/>
    <n v="22.5"/>
    <n v="45"/>
    <n v="20"/>
    <n v="20"/>
    <n v="89.5"/>
    <n v="70"/>
    <n v="98.5"/>
    <n v="112"/>
    <n v="522.5"/>
  </r>
  <r>
    <x v="1456"/>
    <n v="813284"/>
    <s v="SURYA CONSTRUCTION AND TRADING"/>
    <n v="170617"/>
    <s v="MANGALAM TRADING COMPANY"/>
    <n v="10"/>
    <n v="0"/>
    <n v="53.5"/>
    <n v="67"/>
    <n v="27.5"/>
    <n v="21.25"/>
    <n v="42.5"/>
    <n v="59.5"/>
    <n v="38"/>
    <n v="40"/>
    <n v="43"/>
    <n v="83.55"/>
    <n v="485.8"/>
  </r>
  <r>
    <x v="1457"/>
    <n v="813288"/>
    <s v="KAMAL CEMENT"/>
    <n v="119212"/>
    <s v="SURENDRA KUMAR &amp; CO"/>
    <n v="102.5"/>
    <n v="142.5"/>
    <n v="41.65"/>
    <n v="35.450000000000003"/>
    <n v="60.45"/>
    <n v="87.5"/>
    <n v="35.5"/>
    <n v="20"/>
    <n v="135"/>
    <n v="44.5"/>
    <n v="37.5"/>
    <n v="20"/>
    <n v="762.55"/>
  </r>
  <r>
    <x v="1458"/>
    <n v="813290"/>
    <s v="MEHEBUB KHAN"/>
    <n v="202288"/>
    <s v="DEEPAK TRADING COMPANY"/>
    <n v="10"/>
    <n v="15"/>
    <n v="20"/>
    <n v="0"/>
    <n v="0"/>
    <n v="0"/>
    <n v="12"/>
    <n v="0"/>
    <n v="0"/>
    <n v="0"/>
    <n v="0"/>
    <n v="0"/>
    <n v="57"/>
  </r>
  <r>
    <x v="1459"/>
    <n v="813291"/>
    <s v="NAKSHTRAMAL MEGHWAL"/>
    <n v="205370"/>
    <s v="KANTHALIYA ENTERPRISES"/>
    <n v="34"/>
    <n v="36"/>
    <n v="40"/>
    <n v="10"/>
    <n v="21"/>
    <n v="10"/>
    <n v="0"/>
    <n v="20"/>
    <n v="3"/>
    <n v="20"/>
    <n v="17.5"/>
    <n v="20"/>
    <n v="231.5"/>
  </r>
  <r>
    <x v="1460"/>
    <n v="813293"/>
    <s v="NILESH &amp; BROTHERS"/>
    <n v="119066"/>
    <s v="RAJENDRA KUMAR RATAN LAL JAIN"/>
    <n v="0"/>
    <n v="0"/>
    <n v="0"/>
    <n v="53"/>
    <n v="0"/>
    <n v="0"/>
    <n v="1"/>
    <n v="0"/>
    <n v="15.5"/>
    <n v="101"/>
    <n v="0"/>
    <n v="0"/>
    <n v="170.5"/>
  </r>
  <r>
    <x v="1461"/>
    <n v="813299"/>
    <s v="KRISHNA ENTERPRISES"/>
    <n v="179894"/>
    <s v="SHARMA CEMENT AGENCY"/>
    <n v="0"/>
    <n v="0"/>
    <n v="0"/>
    <n v="0"/>
    <n v="0"/>
    <n v="0"/>
    <n v="0"/>
    <n v="0"/>
    <n v="44"/>
    <n v="6"/>
    <n v="60"/>
    <n v="55"/>
    <n v="165"/>
  </r>
  <r>
    <x v="1462"/>
    <n v="813299"/>
    <s v="KRISHNA ENTERPRISES"/>
    <n v="202947"/>
    <s v="SHRI LAXMI MOTORS"/>
    <n v="20"/>
    <n v="0"/>
    <n v="0"/>
    <n v="12.5"/>
    <n v="0"/>
    <n v="0"/>
    <n v="0"/>
    <n v="0"/>
    <n v="0"/>
    <n v="0"/>
    <n v="0"/>
    <n v="0"/>
    <n v="32.5"/>
  </r>
  <r>
    <x v="1463"/>
    <n v="813301"/>
    <s v="GUNWANT PRAJAPAT"/>
    <n v="178004"/>
    <s v="ANUSHIL ENTERPRISES"/>
    <n v="34"/>
    <n v="45"/>
    <n v="50"/>
    <n v="68"/>
    <n v="53"/>
    <n v="40"/>
    <n v="20"/>
    <n v="17"/>
    <n v="30"/>
    <n v="40"/>
    <n v="50"/>
    <n v="53.5"/>
    <n v="500.5"/>
  </r>
  <r>
    <x v="1464"/>
    <n v="813302"/>
    <s v="KHUSHI ENTERPRISE"/>
    <n v="177092"/>
    <s v="RAJARAM BUILDING AND ELECTRICA"/>
    <n v="10"/>
    <n v="0"/>
    <n v="0"/>
    <n v="0"/>
    <n v="0"/>
    <n v="0"/>
    <n v="0"/>
    <n v="0"/>
    <n v="0"/>
    <n v="0"/>
    <n v="0"/>
    <n v="0"/>
    <n v="10"/>
  </r>
  <r>
    <x v="1465"/>
    <n v="813303"/>
    <s v="MAHADEV ELECTRICALS"/>
    <n v="177092"/>
    <s v="RAJARAM BUILDING AND ELECTRICA"/>
    <n v="10"/>
    <n v="0"/>
    <n v="0"/>
    <n v="0"/>
    <n v="0"/>
    <n v="30"/>
    <n v="27.5"/>
    <n v="45"/>
    <n v="105"/>
    <n v="60"/>
    <n v="125"/>
    <n v="111.5"/>
    <n v="514"/>
  </r>
  <r>
    <x v="1466"/>
    <n v="813312"/>
    <s v="SHREE RAM KHAD BIJ BHANDAR"/>
    <n v="205370"/>
    <s v="KANTHALIYA ENTERPRISES"/>
    <n v="0"/>
    <n v="29.5"/>
    <n v="0"/>
    <n v="10"/>
    <n v="51"/>
    <n v="20"/>
    <n v="7"/>
    <n v="0"/>
    <n v="68"/>
    <n v="63.5"/>
    <n v="16"/>
    <n v="193"/>
    <n v="458"/>
  </r>
  <r>
    <x v="1467"/>
    <n v="813314"/>
    <s v="HAYAT KHAN"/>
    <n v="177982"/>
    <s v="RACHANA CEMENT AGENCY"/>
    <n v="30"/>
    <n v="0"/>
    <n v="0"/>
    <n v="0"/>
    <n v="0"/>
    <n v="0"/>
    <n v="35"/>
    <n v="0"/>
    <n v="10"/>
    <n v="35"/>
    <n v="92"/>
    <n v="20"/>
    <n v="222"/>
  </r>
  <r>
    <x v="1468"/>
    <n v="813324"/>
    <s v="SHREE SHIV STONE SUPPLIERS"/>
    <n v="174631"/>
    <s v="OM TRADERS"/>
    <n v="94.5"/>
    <n v="27.5"/>
    <n v="19.5"/>
    <n v="19.5"/>
    <n v="62.5"/>
    <n v="3"/>
    <n v="2"/>
    <n v="18"/>
    <n v="28.5"/>
    <n v="54"/>
    <n v="34"/>
    <n v="65"/>
    <n v="428"/>
  </r>
  <r>
    <x v="1469"/>
    <n v="813327"/>
    <s v="MAHA LAXMI SALES"/>
    <n v="204307"/>
    <s v="JAI BAJRANG STEELS"/>
    <n v="104.5"/>
    <n v="87.75"/>
    <n v="165"/>
    <n v="117"/>
    <n v="144.5"/>
    <n v="134.5"/>
    <n v="87.5"/>
    <n v="77"/>
    <n v="234.5"/>
    <n v="116.5"/>
    <n v="129.5"/>
    <n v="85"/>
    <n v="1483.25"/>
  </r>
  <r>
    <x v="1470"/>
    <n v="813347"/>
    <s v="MANJIT SINGH TUTEJA"/>
    <n v="171662"/>
    <s v="CHHABRA STONES"/>
    <n v="49.1"/>
    <n v="55"/>
    <n v="61"/>
    <n v="62"/>
    <n v="22.5"/>
    <n v="45"/>
    <n v="50"/>
    <n v="45"/>
    <n v="40"/>
    <n v="17.5"/>
    <n v="32"/>
    <n v="28"/>
    <n v="507.1"/>
  </r>
  <r>
    <x v="1471"/>
    <n v="813364"/>
    <s v="MUKESH"/>
    <n v="207643"/>
    <s v="SHREE SANWALIYA TRADERS"/>
    <n v="16.5"/>
    <n v="25"/>
    <n v="0"/>
    <n v="53.4"/>
    <n v="0"/>
    <n v="7"/>
    <n v="5"/>
    <n v="10"/>
    <n v="30"/>
    <n v="10"/>
    <n v="0"/>
    <n v="27.5"/>
    <n v="184.4"/>
  </r>
  <r>
    <x v="1472"/>
    <n v="813366"/>
    <s v="PAPU"/>
    <n v="205949"/>
    <s v="BHAWANI CEMENT AGENCY"/>
    <n v="25"/>
    <n v="10"/>
    <n v="274.5"/>
    <n v="3"/>
    <n v="3"/>
    <n v="0"/>
    <n v="110"/>
    <n v="0"/>
    <n v="45"/>
    <n v="0"/>
    <n v="0"/>
    <n v="0"/>
    <n v="470.5"/>
  </r>
  <r>
    <x v="1473"/>
    <n v="813368"/>
    <s v="SHREE SANWALIYA BUILDING MATER"/>
    <n v="178003"/>
    <s v="SHREE JI BUILDING MATERIAL SUP"/>
    <n v="61.5"/>
    <n v="35"/>
    <n v="0"/>
    <n v="20"/>
    <n v="50"/>
    <n v="39.5"/>
    <n v="41"/>
    <n v="51.5"/>
    <n v="51"/>
    <n v="70"/>
    <n v="94.5"/>
    <n v="108"/>
    <n v="622"/>
  </r>
  <r>
    <x v="1474"/>
    <n v="813374"/>
    <s v="BANWARI KHATIK"/>
    <n v="170248"/>
    <s v="MAHAVEER ENTERPRISES"/>
    <n v="31"/>
    <n v="50"/>
    <n v="45"/>
    <n v="90"/>
    <n v="30"/>
    <n v="44.25"/>
    <n v="60.5"/>
    <n v="25"/>
    <n v="27"/>
    <n v="40"/>
    <n v="10"/>
    <n v="20"/>
    <n v="472.75"/>
  </r>
  <r>
    <x v="1475"/>
    <n v="813375"/>
    <s v="RAM LAL GADARI"/>
    <n v="204030"/>
    <s v="DEVA LAL KUMAWAT"/>
    <n v="0"/>
    <n v="1"/>
    <n v="0"/>
    <n v="0"/>
    <n v="0"/>
    <n v="10"/>
    <n v="0"/>
    <n v="0"/>
    <n v="15"/>
    <n v="1"/>
    <n v="0"/>
    <n v="0"/>
    <n v="27"/>
  </r>
  <r>
    <x v="1476"/>
    <n v="813376"/>
    <s v="SANJAY JAIN"/>
    <n v="207977"/>
    <s v="YASH TRADERS"/>
    <n v="50"/>
    <n v="55"/>
    <n v="135"/>
    <n v="97"/>
    <n v="50"/>
    <n v="68.05"/>
    <n v="90"/>
    <n v="44.4"/>
    <n v="87.5"/>
    <n v="234"/>
    <n v="90"/>
    <n v="332"/>
    <n v="1332.9499999999998"/>
  </r>
  <r>
    <x v="1477"/>
    <n v="813377"/>
    <s v="BALAJI ELECTRICALS AND HARDWAR"/>
    <n v="204869"/>
    <s v="SISODIYA TRADERS"/>
    <n v="15"/>
    <n v="30"/>
    <n v="0"/>
    <n v="0"/>
    <n v="0"/>
    <n v="0"/>
    <n v="0"/>
    <n v="0"/>
    <n v="0"/>
    <n v="0"/>
    <n v="0"/>
    <n v="0"/>
    <n v="45"/>
  </r>
  <r>
    <x v="1478"/>
    <n v="813378"/>
    <s v="BRIJENDRA SINGH CHAUHAN"/>
    <n v="178234"/>
    <s v="SHREE GIRIRAJ TRADERS"/>
    <n v="0"/>
    <n v="0"/>
    <n v="0"/>
    <n v="0"/>
    <n v="0"/>
    <n v="0"/>
    <n v="0"/>
    <n v="10"/>
    <n v="17.5"/>
    <n v="10"/>
    <n v="17.5"/>
    <n v="38"/>
    <n v="93"/>
  </r>
  <r>
    <x v="1479"/>
    <n v="813378"/>
    <s v="BRIJENDRA SINGH CHAUHAN"/>
    <n v="178298"/>
    <s v="SAINI BUILDING MATERIAL"/>
    <n v="0"/>
    <n v="0"/>
    <n v="0"/>
    <n v="0"/>
    <n v="0"/>
    <n v="0"/>
    <n v="72"/>
    <n v="65"/>
    <n v="106.5"/>
    <n v="51.5"/>
    <n v="37.5"/>
    <n v="34"/>
    <n v="366.5"/>
  </r>
  <r>
    <x v="1480"/>
    <n v="813385"/>
    <s v="JINDAL KHAD BEEJ BHANDAR"/>
    <n v="175392"/>
    <s v="SANTOSH KUMAR SATISH CHAND"/>
    <n v="38.5"/>
    <n v="52.5"/>
    <n v="50"/>
    <n v="57"/>
    <n v="30"/>
    <n v="66.5"/>
    <n v="25"/>
    <n v="39"/>
    <n v="15"/>
    <n v="84"/>
    <n v="46"/>
    <n v="36"/>
    <n v="539.5"/>
  </r>
  <r>
    <x v="1481"/>
    <n v="813388"/>
    <s v="SUNIL KUMAR"/>
    <n v="204318"/>
    <s v="KISAN BUILDING MATERIAL"/>
    <n v="20"/>
    <n v="17"/>
    <n v="43"/>
    <n v="46"/>
    <n v="14"/>
    <n v="26.700000000000003"/>
    <n v="30"/>
    <n v="25"/>
    <n v="33.5"/>
    <n v="38.5"/>
    <n v="35"/>
    <n v="12.5"/>
    <n v="341.2"/>
  </r>
  <r>
    <x v="1482"/>
    <n v="813409"/>
    <s v="VIKAS TRADING COMPANY"/>
    <n v="170146"/>
    <s v="KASLIWAL KRISHI SEWA KENDRA"/>
    <n v="40"/>
    <n v="56"/>
    <n v="70"/>
    <n v="21"/>
    <n v="30"/>
    <n v="60"/>
    <n v="65"/>
    <n v="30"/>
    <n v="65"/>
    <n v="40.5"/>
    <n v="115"/>
    <n v="74.5"/>
    <n v="667"/>
  </r>
  <r>
    <x v="1483"/>
    <n v="813413"/>
    <s v="M B TRADERS"/>
    <n v="171578"/>
    <s v="KOTA BUILDMAT"/>
    <n v="5"/>
    <n v="15"/>
    <n v="15"/>
    <n v="20"/>
    <n v="25"/>
    <n v="17.5"/>
    <n v="0"/>
    <n v="20"/>
    <n v="55"/>
    <n v="32.5"/>
    <n v="5"/>
    <n v="5"/>
    <n v="215"/>
  </r>
  <r>
    <x v="1484"/>
    <n v="813433"/>
    <s v="SHUBHAM KUMAWAT"/>
    <n v="172640"/>
    <s v="KUSHAL TRADERS"/>
    <n v="0"/>
    <n v="18"/>
    <n v="81.25"/>
    <n v="90"/>
    <n v="90"/>
    <n v="25"/>
    <n v="0"/>
    <n v="106"/>
    <n v="123"/>
    <n v="56.5"/>
    <n v="82.5"/>
    <n v="230.5"/>
    <n v="902.75"/>
  </r>
  <r>
    <x v="1485"/>
    <n v="813434"/>
    <s v="CHAMUNDA BUILDING MATERIAL"/>
    <n v="140856"/>
    <s v="TIRUPATI BUILDING MATERIAL SUP"/>
    <n v="65"/>
    <n v="40"/>
    <n v="67"/>
    <n v="140"/>
    <n v="130"/>
    <n v="20"/>
    <n v="30"/>
    <n v="20"/>
    <n v="93"/>
    <n v="70"/>
    <n v="150"/>
    <n v="117"/>
    <n v="942"/>
  </r>
  <r>
    <x v="1486"/>
    <n v="813438"/>
    <s v="JAY JAGDAMBA KRISHI SEWA KENDR"/>
    <n v="207977"/>
    <s v="YASH TRADERS"/>
    <n v="13"/>
    <n v="30"/>
    <n v="20"/>
    <n v="27"/>
    <n v="0"/>
    <n v="6"/>
    <n v="5"/>
    <n v="30"/>
    <n v="54.9"/>
    <n v="0"/>
    <n v="30"/>
    <n v="60"/>
    <n v="275.89999999999998"/>
  </r>
  <r>
    <x v="1487"/>
    <n v="813450"/>
    <s v="SHANKAER LAL"/>
    <n v="202913"/>
    <s v="SACHIN CEMENT STORE"/>
    <n v="24.5"/>
    <n v="52"/>
    <n v="70"/>
    <n v="21"/>
    <n v="32.5"/>
    <n v="25"/>
    <n v="0"/>
    <n v="21"/>
    <n v="26"/>
    <n v="35"/>
    <n v="35"/>
    <n v="63"/>
    <n v="405"/>
  </r>
  <r>
    <x v="1488"/>
    <n v="813453"/>
    <s v="NAHAR CEMENT SUPPLIERS"/>
    <n v="175312"/>
    <s v="MOSAM TRADERS"/>
    <n v="36"/>
    <n v="0"/>
    <n v="0"/>
    <n v="0"/>
    <n v="0"/>
    <n v="0"/>
    <n v="0"/>
    <n v="0"/>
    <n v="0"/>
    <n v="0"/>
    <n v="0"/>
    <n v="0"/>
    <n v="36"/>
  </r>
  <r>
    <x v="1489"/>
    <n v="813489"/>
    <s v="RODAWAT BUILDMART"/>
    <n v="147364"/>
    <s v="RAJASTHAN ROYAL BUILDHOME SOLU"/>
    <n v="38"/>
    <n v="10"/>
    <n v="145.5"/>
    <n v="92.5"/>
    <n v="87.5"/>
    <n v="31"/>
    <n v="10"/>
    <n v="50"/>
    <n v="77.5"/>
    <n v="77.5"/>
    <n v="113.5"/>
    <n v="83"/>
    <n v="816"/>
  </r>
  <r>
    <x v="1490"/>
    <n v="813491"/>
    <s v="AKASH SOMANI"/>
    <n v="208032"/>
    <s v="AKASH MACHINERY MART"/>
    <n v="0"/>
    <n v="5"/>
    <n v="83.25"/>
    <n v="14.5"/>
    <n v="97.25"/>
    <n v="71.5"/>
    <n v="46.5"/>
    <n v="42"/>
    <n v="74.25"/>
    <n v="93.5"/>
    <n v="85.75"/>
    <n v="100.5"/>
    <n v="714"/>
  </r>
  <r>
    <x v="1491"/>
    <n v="813521"/>
    <s v="KHANDELWAL TRADERS"/>
    <n v="140927"/>
    <s v="SHIV CHARAN LAL RAKESH KUMAR"/>
    <n v="55"/>
    <n v="15"/>
    <n v="76"/>
    <n v="70"/>
    <n v="93.75"/>
    <n v="109.5"/>
    <n v="79"/>
    <n v="80.5"/>
    <n v="143.5"/>
    <n v="60"/>
    <n v="75"/>
    <n v="111.5"/>
    <n v="968.75"/>
  </r>
  <r>
    <x v="1492"/>
    <n v="813532"/>
    <s v="SHREE KRISHNA ENTERPRISES"/>
    <n v="170606"/>
    <s v="SHREE SANWARIYA CONSTRUCTION"/>
    <n v="67.75"/>
    <n v="48.25"/>
    <n v="35"/>
    <n v="36"/>
    <n v="24.5"/>
    <n v="31.25"/>
    <n v="15"/>
    <n v="10"/>
    <n v="46.1"/>
    <n v="45"/>
    <n v="40"/>
    <n v="54"/>
    <n v="452.85"/>
  </r>
  <r>
    <x v="1493"/>
    <n v="813539"/>
    <s v="NARAYAN TRADERS"/>
    <n v="170146"/>
    <s v="KASLIWAL KRISHI SEWA KENDRA"/>
    <n v="60"/>
    <n v="87"/>
    <n v="20"/>
    <n v="89"/>
    <n v="75"/>
    <n v="45"/>
    <n v="65"/>
    <n v="15"/>
    <n v="110"/>
    <n v="83"/>
    <n v="65"/>
    <n v="192"/>
    <n v="906"/>
  </r>
  <r>
    <x v="1494"/>
    <n v="813541"/>
    <s v="SHREE SHYAM TRADERS"/>
    <n v="170204"/>
    <s v="GOYAL BUILDING MATERIAL"/>
    <n v="56"/>
    <n v="0"/>
    <n v="0"/>
    <n v="0"/>
    <n v="0"/>
    <n v="0"/>
    <n v="0"/>
    <n v="0"/>
    <n v="35"/>
    <n v="0"/>
    <n v="0"/>
    <n v="0"/>
    <n v="91"/>
  </r>
  <r>
    <x v="1495"/>
    <n v="813541"/>
    <s v="SHREE SHYAM TRADERS"/>
    <n v="174008"/>
    <s v="SHARMA TRADERS"/>
    <n v="35"/>
    <n v="10"/>
    <n v="192.5"/>
    <n v="100"/>
    <n v="0"/>
    <n v="0"/>
    <n v="0"/>
    <n v="0"/>
    <n v="0"/>
    <n v="0"/>
    <n v="0"/>
    <n v="0"/>
    <n v="337.5"/>
  </r>
  <r>
    <x v="1496"/>
    <n v="813567"/>
    <s v="SANGAM BUILDERS"/>
    <n v="170392"/>
    <s v="JYOTI SUPPLIERS"/>
    <n v="113.5"/>
    <n v="51.75"/>
    <n v="79.5"/>
    <n v="120"/>
    <n v="51"/>
    <n v="40"/>
    <n v="10"/>
    <n v="2"/>
    <n v="81"/>
    <n v="27.5"/>
    <n v="87.5"/>
    <n v="8"/>
    <n v="671.75"/>
  </r>
  <r>
    <x v="1497"/>
    <n v="813568"/>
    <s v="HANSMUKH DOSI"/>
    <n v="173310"/>
    <s v="NAGORA  &amp; COMPANY"/>
    <n v="37"/>
    <n v="35"/>
    <n v="65"/>
    <n v="0"/>
    <n v="0"/>
    <n v="0"/>
    <n v="0"/>
    <n v="0"/>
    <n v="0"/>
    <n v="0"/>
    <n v="0"/>
    <n v="0"/>
    <n v="137"/>
  </r>
  <r>
    <x v="1498"/>
    <n v="813570"/>
    <s v="HARIRAM S/O BHIYAJI"/>
    <n v="202850"/>
    <s v="SAMRATHAL BUILDING MATERIAL"/>
    <n v="161"/>
    <n v="85"/>
    <n v="145"/>
    <n v="130"/>
    <n v="145"/>
    <n v="105"/>
    <n v="79"/>
    <n v="90"/>
    <n v="100"/>
    <n v="85"/>
    <n v="118"/>
    <n v="83"/>
    <n v="1326"/>
  </r>
  <r>
    <x v="1499"/>
    <n v="813572"/>
    <s v="SHIVSAGAR BUILDING MATERIAL"/>
    <n v="140967"/>
    <s v="B.L.JAIN &amp; SONS"/>
    <n v="20"/>
    <n v="50"/>
    <n v="45"/>
    <n v="35"/>
    <n v="35"/>
    <n v="0"/>
    <n v="0"/>
    <n v="0"/>
    <n v="47.5"/>
    <n v="0"/>
    <n v="100"/>
    <n v="120"/>
    <n v="452.5"/>
  </r>
  <r>
    <x v="1500"/>
    <n v="813602"/>
    <s v="YADAV CONSTRUCTION COMPANY"/>
    <n v="177603"/>
    <s v="SEEMA BUILDING MATERIAL SUPPLI"/>
    <n v="0"/>
    <n v="0"/>
    <n v="17"/>
    <n v="1"/>
    <n v="42.5"/>
    <n v="28"/>
    <n v="21"/>
    <n v="45"/>
    <n v="50"/>
    <n v="37"/>
    <n v="40"/>
    <n v="50"/>
    <n v="331.5"/>
  </r>
  <r>
    <x v="1501"/>
    <n v="813613"/>
    <s v="ABDUL SALAM"/>
    <n v="170555"/>
    <s v="KHATRI ENTERPRISES"/>
    <n v="10"/>
    <n v="10"/>
    <n v="10"/>
    <n v="10"/>
    <n v="10.25"/>
    <n v="10"/>
    <n v="10"/>
    <n v="20"/>
    <n v="30"/>
    <n v="15"/>
    <n v="10"/>
    <n v="10"/>
    <n v="155.25"/>
  </r>
  <r>
    <x v="1502"/>
    <n v="813619"/>
    <s v="AMAJAD KHAN"/>
    <n v="204318"/>
    <s v="KISAN BUILDING MATERIAL"/>
    <n v="43.5"/>
    <n v="80"/>
    <n v="74"/>
    <n v="51"/>
    <n v="55"/>
    <n v="40"/>
    <n v="90"/>
    <n v="70"/>
    <n v="100"/>
    <n v="87.5"/>
    <n v="92"/>
    <n v="117.5"/>
    <n v="900.5"/>
  </r>
  <r>
    <x v="1503"/>
    <n v="813621"/>
    <s v="DHANLAXMI CEMENT AGENCY"/>
    <n v="206441"/>
    <s v="SHREE AMBIKA CEMENT COMPANY"/>
    <n v="10"/>
    <n v="0"/>
    <n v="0"/>
    <n v="10"/>
    <n v="65"/>
    <n v="0"/>
    <n v="6.5"/>
    <n v="0"/>
    <n v="0"/>
    <n v="0"/>
    <n v="0"/>
    <n v="0"/>
    <n v="91.5"/>
  </r>
  <r>
    <x v="1504"/>
    <n v="813632"/>
    <s v="BALAJI ENTERPRISES"/>
    <n v="204869"/>
    <s v="SISODIYA TRADERS"/>
    <n v="9"/>
    <n v="38"/>
    <n v="103"/>
    <n v="155"/>
    <n v="0"/>
    <n v="126.5"/>
    <n v="150"/>
    <n v="100"/>
    <n v="205"/>
    <n v="149"/>
    <n v="0"/>
    <n v="165"/>
    <n v="1200.5"/>
  </r>
  <r>
    <x v="1505"/>
    <n v="813633"/>
    <s v="SISODIYA TRADING COMPANY"/>
    <n v="178150"/>
    <s v="FALODI KIRANA STORE"/>
    <n v="0"/>
    <n v="0"/>
    <n v="0"/>
    <n v="0"/>
    <n v="15"/>
    <n v="0"/>
    <n v="0"/>
    <n v="0"/>
    <n v="0"/>
    <n v="0"/>
    <n v="0"/>
    <n v="0"/>
    <n v="15"/>
  </r>
  <r>
    <x v="1506"/>
    <n v="813633"/>
    <s v="SISODIYA TRADING COMPANY"/>
    <n v="204869"/>
    <s v="SISODIYA TRADERS"/>
    <n v="351.5"/>
    <n v="194.5"/>
    <n v="137.5"/>
    <n v="221"/>
    <n v="152.75"/>
    <n v="67"/>
    <n v="152.5"/>
    <n v="42"/>
    <n v="186"/>
    <n v="65"/>
    <n v="0"/>
    <n v="70"/>
    <n v="1639.75"/>
  </r>
  <r>
    <x v="1507"/>
    <n v="813635"/>
    <s v="M R SHARMA BUILDING MATERIAL S"/>
    <n v="202225"/>
    <s v="ASTOLIA INDUSTRIES"/>
    <n v="124.5"/>
    <n v="69"/>
    <n v="50"/>
    <n v="56.5"/>
    <n v="30"/>
    <n v="42.5"/>
    <n v="35"/>
    <n v="15"/>
    <n v="60"/>
    <n v="50"/>
    <n v="35"/>
    <n v="62.5"/>
    <n v="630"/>
  </r>
  <r>
    <x v="1508"/>
    <n v="813636"/>
    <s v="SWASTIK CEMENT AGENCIES"/>
    <n v="178661"/>
    <s v="KHAJANCHI TRADING CO."/>
    <n v="62"/>
    <n v="20"/>
    <n v="10"/>
    <n v="60.5"/>
    <n v="45"/>
    <n v="31"/>
    <n v="10"/>
    <n v="0"/>
    <n v="32"/>
    <n v="30"/>
    <n v="10"/>
    <n v="32.5"/>
    <n v="343"/>
  </r>
  <r>
    <x v="1509"/>
    <n v="813638"/>
    <s v="SHREE ENTERPRISES"/>
    <n v="204869"/>
    <s v="SISODIYA TRADERS"/>
    <n v="34.5"/>
    <n v="12.5"/>
    <n v="12.5"/>
    <n v="42.5"/>
    <n v="0"/>
    <n v="0"/>
    <n v="44.5"/>
    <n v="15"/>
    <n v="205"/>
    <n v="256"/>
    <n v="60"/>
    <n v="218.5"/>
    <n v="901"/>
  </r>
  <r>
    <x v="1510"/>
    <n v="813642"/>
    <s v="CHOUDHARY BUILDING MATERIAL AN"/>
    <n v="173257"/>
    <s v="CHOUDHARY CEMENT &amp; BUILDING MA"/>
    <n v="19.5"/>
    <n v="36.5"/>
    <n v="37.5"/>
    <n v="28.5"/>
    <n v="36.5"/>
    <n v="11.5"/>
    <n v="40.75"/>
    <n v="15"/>
    <n v="24"/>
    <n v="44.45"/>
    <n v="41"/>
    <n v="30"/>
    <n v="365.2"/>
  </r>
  <r>
    <x v="1511"/>
    <n v="813647"/>
    <s v="POOJA CONSTRUCTION"/>
    <n v="144447"/>
    <s v="PARAS ENTERPRISES"/>
    <n v="5"/>
    <n v="2.5"/>
    <n v="10"/>
    <n v="13"/>
    <n v="0"/>
    <n v="0"/>
    <n v="0"/>
    <n v="7"/>
    <n v="0"/>
    <n v="0"/>
    <n v="20"/>
    <n v="50"/>
    <n v="107.5"/>
  </r>
  <r>
    <x v="1512"/>
    <n v="813651"/>
    <s v="JAI KALYAN PASHU AAHAR &amp; BUILD"/>
    <n v="178223"/>
    <s v="M V TRADERS"/>
    <n v="0"/>
    <n v="0"/>
    <n v="20"/>
    <n v="35"/>
    <n v="10"/>
    <n v="0"/>
    <n v="0"/>
    <n v="0"/>
    <n v="0"/>
    <n v="0"/>
    <n v="0"/>
    <n v="0"/>
    <n v="65"/>
  </r>
  <r>
    <x v="1513"/>
    <n v="813656"/>
    <s v="SHREE BALAJI BUILDING MATERIAL"/>
    <n v="179877"/>
    <s v="HANUMANGARH  INT SUPPLIERS"/>
    <n v="0"/>
    <n v="0"/>
    <n v="10"/>
    <n v="10"/>
    <n v="10"/>
    <n v="10"/>
    <n v="20"/>
    <n v="22.5"/>
    <n v="32.5"/>
    <n v="15"/>
    <n v="4.95"/>
    <n v="41"/>
    <n v="175.95"/>
  </r>
  <r>
    <x v="1514"/>
    <n v="813672"/>
    <s v="LATA CEMENT AGENCY"/>
    <n v="176641"/>
    <s v="UMA IRON &amp; CEMENT AGENCY"/>
    <n v="50"/>
    <n v="50"/>
    <n v="30"/>
    <n v="46"/>
    <n v="47.2"/>
    <n v="30"/>
    <n v="25"/>
    <n v="30"/>
    <n v="20"/>
    <n v="10"/>
    <n v="0"/>
    <n v="10"/>
    <n v="348.2"/>
  </r>
  <r>
    <x v="1515"/>
    <n v="813674"/>
    <s v="BHAVIKA TRADERS"/>
    <n v="179755"/>
    <s v="R &amp; K ENTERPRISES"/>
    <n v="12"/>
    <n v="25"/>
    <n v="50"/>
    <n v="55"/>
    <n v="20"/>
    <n v="0"/>
    <n v="20"/>
    <n v="0"/>
    <n v="15"/>
    <n v="0"/>
    <n v="0"/>
    <n v="18"/>
    <n v="215"/>
  </r>
  <r>
    <x v="1516"/>
    <n v="813676"/>
    <s v="SHUBHAM HARDWARES"/>
    <n v="119029"/>
    <s v="LALLAMAL KANHYALAL &amp; SONS"/>
    <n v="15"/>
    <n v="5"/>
    <n v="0"/>
    <n v="0"/>
    <n v="0"/>
    <n v="0"/>
    <n v="0"/>
    <n v="0"/>
    <n v="0"/>
    <n v="0"/>
    <n v="0"/>
    <n v="0"/>
    <n v="20"/>
  </r>
  <r>
    <x v="1517"/>
    <n v="813679"/>
    <s v="BASANTI TRADERS"/>
    <n v="173728"/>
    <s v="LAXMI CEMANT AND BUILDING MATE"/>
    <n v="41"/>
    <n v="42.5"/>
    <n v="10"/>
    <n v="60"/>
    <n v="30"/>
    <n v="53.5"/>
    <n v="30"/>
    <n v="40"/>
    <n v="25"/>
    <n v="20"/>
    <n v="0"/>
    <n v="0"/>
    <n v="352"/>
  </r>
  <r>
    <x v="1518"/>
    <n v="813681"/>
    <s v="NARENDRA KUMAR PARASHAR"/>
    <n v="175848"/>
    <s v="PURAWAT ENTERPRISERS"/>
    <n v="0"/>
    <n v="0"/>
    <n v="22.25"/>
    <n v="10"/>
    <n v="65"/>
    <n v="40"/>
    <n v="25"/>
    <n v="15"/>
    <n v="22"/>
    <n v="0"/>
    <n v="0"/>
    <n v="0"/>
    <n v="199.25"/>
  </r>
  <r>
    <x v="1519"/>
    <n v="813690"/>
    <s v="VISHAL BRICKS UDYOG &amp; BUILDING"/>
    <n v="149885"/>
    <s v="LUHANI CEMENT SUPPLIERS"/>
    <n v="17.5"/>
    <n v="17"/>
    <n v="0"/>
    <n v="3"/>
    <n v="0"/>
    <n v="7.5"/>
    <n v="30"/>
    <n v="7.5"/>
    <n v="0"/>
    <n v="0"/>
    <n v="0"/>
    <n v="0"/>
    <n v="82.5"/>
  </r>
  <r>
    <x v="1520"/>
    <n v="813692"/>
    <s v="TIWARI BUILDERS"/>
    <n v="142984"/>
    <s v="JAGDAMBEY BUILDING MATERIAL SU"/>
    <n v="15"/>
    <n v="0"/>
    <n v="46.5"/>
    <n v="46"/>
    <n v="18"/>
    <n v="0"/>
    <n v="12"/>
    <n v="11"/>
    <n v="83"/>
    <n v="15"/>
    <n v="10"/>
    <n v="10"/>
    <n v="266.5"/>
  </r>
  <r>
    <x v="1521"/>
    <n v="813724"/>
    <s v="JK TRADING COMPANY"/>
    <n v="202850"/>
    <s v="SAMRATHAL BUILDING MATERIAL"/>
    <n v="10"/>
    <n v="0"/>
    <n v="0"/>
    <n v="25"/>
    <n v="25"/>
    <n v="0"/>
    <n v="20"/>
    <n v="0"/>
    <n v="30"/>
    <n v="20"/>
    <n v="35"/>
    <n v="15"/>
    <n v="180"/>
  </r>
  <r>
    <x v="1522"/>
    <n v="813725"/>
    <s v="CHARBHUJA CEMENT SUPPLIERS"/>
    <n v="172640"/>
    <s v="KUSHAL TRADERS"/>
    <n v="130"/>
    <n v="109.75"/>
    <n v="60"/>
    <n v="0"/>
    <n v="65"/>
    <n v="35"/>
    <n v="142.5"/>
    <n v="81.5"/>
    <n v="47.5"/>
    <n v="100"/>
    <n v="34.75"/>
    <n v="101.5"/>
    <n v="907.5"/>
  </r>
  <r>
    <x v="1523"/>
    <n v="813728"/>
    <s v="SAHIL BUILDERS TRADING COMPANY"/>
    <n v="201065"/>
    <s v="SHRI RADHEY KRISHAN TRADERS"/>
    <n v="0"/>
    <n v="10"/>
    <n v="25"/>
    <n v="0"/>
    <n v="0"/>
    <n v="0"/>
    <n v="0"/>
    <n v="0"/>
    <n v="0"/>
    <n v="0"/>
    <n v="10"/>
    <n v="0"/>
    <n v="45"/>
  </r>
  <r>
    <x v="1524"/>
    <n v="813729"/>
    <s v="BABA MOHANRAM BUILDING MATERIA"/>
    <n v="140481"/>
    <s v="Goyal &amp; Co."/>
    <n v="35"/>
    <n v="35"/>
    <n v="50"/>
    <n v="75"/>
    <n v="35"/>
    <n v="162.5"/>
    <n v="157.4"/>
    <n v="80"/>
    <n v="192.5"/>
    <n v="107"/>
    <n v="148"/>
    <n v="196"/>
    <n v="1273.4000000000001"/>
  </r>
  <r>
    <x v="1525"/>
    <n v="813731"/>
    <s v="CHHAJED CEMENT SUPPLIERS"/>
    <n v="141115"/>
    <s v="KALPESH CEMENT AGENCY"/>
    <n v="43"/>
    <n v="20"/>
    <n v="41.7"/>
    <n v="59.5"/>
    <n v="30"/>
    <n v="0"/>
    <n v="59.75"/>
    <n v="10"/>
    <n v="40"/>
    <n v="0"/>
    <n v="6.5"/>
    <n v="0"/>
    <n v="310.45"/>
  </r>
  <r>
    <x v="1526"/>
    <n v="813734"/>
    <s v="KISHOR SINGH JHALA"/>
    <n v="205620"/>
    <s v="NISHANT JAISWAL"/>
    <n v="444.75"/>
    <n v="169.25"/>
    <n v="159"/>
    <n v="109.5"/>
    <n v="33.25"/>
    <n v="60"/>
    <n v="0"/>
    <n v="0"/>
    <n v="0"/>
    <n v="0"/>
    <n v="0"/>
    <n v="0"/>
    <n v="975.75"/>
  </r>
  <r>
    <x v="1527"/>
    <n v="813734"/>
    <s v="KISHOR SINGH JHALA"/>
    <n v="207895"/>
    <s v="NISHANT ASSOCIATES"/>
    <n v="41"/>
    <n v="0"/>
    <n v="0"/>
    <n v="0"/>
    <n v="0"/>
    <n v="0"/>
    <n v="0"/>
    <n v="0"/>
    <n v="0"/>
    <n v="0"/>
    <n v="0"/>
    <n v="0"/>
    <n v="41"/>
  </r>
  <r>
    <x v="1528"/>
    <n v="813746"/>
    <s v="KISHAN SINGH CEMENT AGENCY"/>
    <n v="204013"/>
    <s v="SHARDUL CEMENT AGENCY"/>
    <n v="40"/>
    <n v="67.5"/>
    <n v="83.5"/>
    <n v="75"/>
    <n v="0"/>
    <n v="0"/>
    <n v="0"/>
    <n v="0"/>
    <n v="0"/>
    <n v="0"/>
    <n v="0"/>
    <n v="0"/>
    <n v="266"/>
  </r>
  <r>
    <x v="1529"/>
    <n v="813763"/>
    <s v="GURU KRIPA MINESH TRADERS"/>
    <n v="170149"/>
    <s v="ASHOK TRADING  COMPANY"/>
    <n v="17.5"/>
    <n v="65.5"/>
    <n v="113.5"/>
    <n v="74"/>
    <n v="0"/>
    <n v="75"/>
    <n v="30"/>
    <n v="25"/>
    <n v="35"/>
    <n v="0"/>
    <n v="10"/>
    <n v="15"/>
    <n v="460.5"/>
  </r>
  <r>
    <x v="1530"/>
    <n v="813763"/>
    <s v="GURU KRIPA MINESH TRADERS"/>
    <n v="170204"/>
    <s v="GOYAL BUILDING MATERIAL"/>
    <n v="0"/>
    <n v="0"/>
    <n v="0"/>
    <n v="0"/>
    <n v="0"/>
    <n v="20"/>
    <n v="0"/>
    <n v="0"/>
    <n v="0"/>
    <n v="0"/>
    <n v="0"/>
    <n v="0"/>
    <n v="20"/>
  </r>
  <r>
    <x v="1531"/>
    <n v="813765"/>
    <s v="GANPATI BUILDING MATERIAL"/>
    <n v="170204"/>
    <s v="GOYAL BUILDING MATERIAL"/>
    <n v="126"/>
    <n v="268"/>
    <n v="171"/>
    <n v="130.5"/>
    <n v="0"/>
    <n v="107"/>
    <n v="140"/>
    <n v="233"/>
    <n v="209"/>
    <n v="196"/>
    <n v="98"/>
    <n v="159"/>
    <n v="1837.5"/>
  </r>
  <r>
    <x v="1532"/>
    <n v="813778"/>
    <s v="BHERUNATH CEMENT SUPPLIERS"/>
    <n v="141115"/>
    <s v="KALPESH CEMENT AGENCY"/>
    <n v="84.5"/>
    <n v="0"/>
    <n v="45"/>
    <n v="62.35"/>
    <n v="50.5"/>
    <n v="54"/>
    <n v="50"/>
    <n v="19.5"/>
    <n v="50"/>
    <n v="0"/>
    <n v="0"/>
    <n v="0"/>
    <n v="415.85"/>
  </r>
  <r>
    <x v="1533"/>
    <n v="813780"/>
    <s v="SHRIRAM WELDING AND FURNITURE"/>
    <n v="140859"/>
    <s v="KESHRIYA JI HARDWARE &amp; METAL S"/>
    <n v="20"/>
    <n v="20"/>
    <n v="20"/>
    <n v="31"/>
    <n v="0"/>
    <n v="0"/>
    <n v="0"/>
    <n v="10"/>
    <n v="0"/>
    <n v="0"/>
    <n v="5"/>
    <n v="0"/>
    <n v="106"/>
  </r>
  <r>
    <x v="1534"/>
    <n v="813782"/>
    <s v="SHREE ROOPAL MAA CEMENT AGENCY"/>
    <n v="175547"/>
    <s v="S.S.BHATI ENTERPRISES"/>
    <n v="111"/>
    <n v="35"/>
    <n v="125"/>
    <n v="110"/>
    <n v="36"/>
    <n v="65"/>
    <n v="80"/>
    <n v="40"/>
    <n v="137"/>
    <n v="130"/>
    <n v="140"/>
    <n v="210"/>
    <n v="1219"/>
  </r>
  <r>
    <x v="1535"/>
    <n v="813787"/>
    <s v="SHREE KARANI MARBLE"/>
    <n v="178230"/>
    <s v="SHREE RADHEY BUILDING MATERIAL"/>
    <n v="35"/>
    <n v="34.5"/>
    <n v="15"/>
    <n v="50"/>
    <n v="45"/>
    <n v="10"/>
    <n v="10"/>
    <n v="0"/>
    <n v="0"/>
    <n v="0"/>
    <n v="0"/>
    <n v="0"/>
    <n v="199.5"/>
  </r>
  <r>
    <x v="1536"/>
    <n v="813788"/>
    <s v="NEHA TRIPATHI"/>
    <n v="202713"/>
    <s v="DADHICH STONE SUPPLIERS"/>
    <n v="28"/>
    <n v="51"/>
    <n v="15"/>
    <n v="61.5"/>
    <n v="58.5"/>
    <n v="50"/>
    <n v="35.549999999999997"/>
    <n v="30"/>
    <n v="40"/>
    <n v="37"/>
    <n v="67.400000000000006"/>
    <n v="50"/>
    <n v="523.95000000000005"/>
  </r>
  <r>
    <x v="1537"/>
    <n v="813788"/>
    <s v="NEHA TRIPATHI"/>
    <n v="207773"/>
    <s v="DADHICH CEMENT SUPPLIERS"/>
    <n v="0"/>
    <n v="0"/>
    <n v="0"/>
    <n v="10"/>
    <n v="10"/>
    <n v="0"/>
    <n v="0"/>
    <n v="0"/>
    <n v="0"/>
    <n v="0"/>
    <n v="0"/>
    <n v="0"/>
    <n v="20"/>
  </r>
  <r>
    <x v="1538"/>
    <n v="813799"/>
    <s v="PARASMAL S/O HARDASMAL"/>
    <n v="178031"/>
    <s v="JAIN TRADERS"/>
    <n v="90"/>
    <n v="0"/>
    <n v="172"/>
    <n v="70"/>
    <n v="144"/>
    <n v="10"/>
    <n v="155"/>
    <n v="20"/>
    <n v="60"/>
    <n v="75"/>
    <n v="143"/>
    <n v="85"/>
    <n v="1024"/>
  </r>
  <r>
    <x v="1539"/>
    <n v="813800"/>
    <s v="SHAKUN ENTERPRISES"/>
    <n v="144868"/>
    <s v="ASHISH SALES CORPORATION"/>
    <n v="0"/>
    <n v="7.5"/>
    <n v="27"/>
    <n v="5"/>
    <n v="12.5"/>
    <n v="12.5"/>
    <n v="0"/>
    <n v="32.5"/>
    <n v="31.5"/>
    <n v="15"/>
    <n v="24.5"/>
    <n v="45"/>
    <n v="213"/>
  </r>
  <r>
    <x v="1540"/>
    <n v="813802"/>
    <s v="SHREE KRISHNA TRADERS"/>
    <n v="171578"/>
    <s v="KOTA BUILDMAT"/>
    <n v="0"/>
    <n v="10"/>
    <n v="0"/>
    <n v="0"/>
    <n v="10"/>
    <n v="25"/>
    <n v="20"/>
    <n v="10"/>
    <n v="30"/>
    <n v="27.5"/>
    <n v="0"/>
    <n v="5"/>
    <n v="137.5"/>
  </r>
  <r>
    <x v="1541"/>
    <n v="813806"/>
    <s v="SHREE BALAJI BUILDING MATERIAL"/>
    <n v="206980"/>
    <s v="SHREE KARNI ENTERPRISES"/>
    <n v="0"/>
    <n v="0"/>
    <n v="10"/>
    <n v="0"/>
    <n v="0"/>
    <n v="0"/>
    <n v="0"/>
    <n v="0"/>
    <n v="0"/>
    <n v="0"/>
    <n v="0"/>
    <n v="0"/>
    <n v="10"/>
  </r>
  <r>
    <x v="1542"/>
    <n v="813815"/>
    <s v="NITU CHOUDHARY"/>
    <n v="170614"/>
    <s v="HARIKARAN CHAUDHARY"/>
    <n v="120"/>
    <n v="130"/>
    <n v="105"/>
    <n v="75"/>
    <n v="75"/>
    <n v="95"/>
    <n v="57"/>
    <n v="77"/>
    <n v="75"/>
    <n v="100"/>
    <n v="100"/>
    <n v="210"/>
    <n v="1219"/>
  </r>
  <r>
    <x v="1543"/>
    <n v="813816"/>
    <s v="ANOP CHAND MAHIYA"/>
    <n v="173257"/>
    <s v="CHOUDHARY CEMENT &amp; BUILDING MA"/>
    <n v="15"/>
    <n v="24"/>
    <n v="0"/>
    <n v="26.5"/>
    <n v="21"/>
    <n v="9"/>
    <n v="30"/>
    <n v="0"/>
    <n v="37.5"/>
    <n v="12.5"/>
    <n v="25"/>
    <n v="70"/>
    <n v="270.5"/>
  </r>
  <r>
    <x v="1544"/>
    <n v="813820"/>
    <s v="M K STEEL &amp; DÉCOR"/>
    <n v="201172"/>
    <s v="MAA TRADERS"/>
    <n v="18.5"/>
    <n v="29"/>
    <n v="7.5"/>
    <n v="11.25"/>
    <n v="51"/>
    <n v="33.5"/>
    <n v="10"/>
    <n v="15.5"/>
    <n v="11"/>
    <n v="0"/>
    <n v="0"/>
    <n v="0"/>
    <n v="187.25"/>
  </r>
  <r>
    <x v="1545"/>
    <n v="813821"/>
    <s v="SHARMA BUILDING MATERIAL SUPPL"/>
    <n v="178237"/>
    <s v="BADAYA TRADERS"/>
    <n v="57.5"/>
    <n v="27"/>
    <n v="109"/>
    <n v="47.1"/>
    <n v="40"/>
    <n v="38"/>
    <n v="20"/>
    <n v="0"/>
    <n v="6"/>
    <n v="0"/>
    <n v="0"/>
    <n v="0"/>
    <n v="344.6"/>
  </r>
  <r>
    <x v="1546"/>
    <n v="813829"/>
    <s v="SANJAY KUMAR PURUSHOTAM SHAH"/>
    <n v="140984"/>
    <s v="SHIVANG SAINETORY &amp; HARDWARE"/>
    <n v="85"/>
    <n v="20"/>
    <n v="42"/>
    <n v="70"/>
    <n v="391"/>
    <n v="0"/>
    <n v="195"/>
    <n v="0"/>
    <n v="199"/>
    <n v="235"/>
    <n v="160.5"/>
    <n v="160"/>
    <n v="1557.5"/>
  </r>
  <r>
    <x v="1547"/>
    <n v="813830"/>
    <s v="HONEY TRADERS"/>
    <n v="140960"/>
    <s v="HARI OM CEMENT SUPPLIERS"/>
    <n v="0"/>
    <n v="0"/>
    <n v="0"/>
    <n v="0"/>
    <n v="0"/>
    <n v="15"/>
    <n v="20"/>
    <n v="0"/>
    <n v="0"/>
    <n v="0"/>
    <n v="0"/>
    <n v="0"/>
    <n v="35"/>
  </r>
  <r>
    <x v="1548"/>
    <n v="813832"/>
    <s v="VIJAY CEMENT AGENCY"/>
    <n v="172338"/>
    <s v="KHILJEE BUILDING MATERIAL"/>
    <n v="40"/>
    <n v="35"/>
    <n v="30"/>
    <n v="55"/>
    <n v="25"/>
    <n v="0"/>
    <n v="15"/>
    <n v="10"/>
    <n v="7.5"/>
    <n v="10"/>
    <n v="0"/>
    <n v="7.5"/>
    <n v="235"/>
  </r>
  <r>
    <x v="1549"/>
    <n v="813834"/>
    <s v="SIDDHI VINAYAK TIMBER AND KARS"/>
    <n v="146402"/>
    <s v="VIJAY KUMAR AJIT PRASAD"/>
    <n v="0"/>
    <n v="0"/>
    <n v="0"/>
    <n v="0"/>
    <n v="0"/>
    <n v="0"/>
    <n v="10"/>
    <n v="0"/>
    <n v="0"/>
    <n v="0"/>
    <n v="0"/>
    <n v="0"/>
    <n v="10"/>
  </r>
  <r>
    <x v="1550"/>
    <n v="813834"/>
    <s v="SIDDHI VINAYAK TIMBER AND KARS"/>
    <n v="179755"/>
    <s v="R &amp; K ENTERPRISES"/>
    <n v="0"/>
    <n v="43.5"/>
    <n v="85"/>
    <n v="30"/>
    <n v="27.5"/>
    <n v="16"/>
    <n v="50"/>
    <n v="80"/>
    <n v="40"/>
    <n v="35"/>
    <n v="56.25"/>
    <n v="55"/>
    <n v="518.25"/>
  </r>
  <r>
    <x v="1551"/>
    <n v="813842"/>
    <s v="VINOD KUMAR SAINI"/>
    <n v="202478"/>
    <s v="RAMSWAROOP PRAKASHCHAND"/>
    <n v="20"/>
    <n v="0"/>
    <n v="0"/>
    <n v="50"/>
    <n v="0"/>
    <n v="15"/>
    <n v="20"/>
    <n v="35"/>
    <n v="0"/>
    <n v="40"/>
    <n v="6"/>
    <n v="43.75"/>
    <n v="229.75"/>
  </r>
  <r>
    <x v="1552"/>
    <n v="813847"/>
    <s v="RAJ RAJESHWARI PAINT HOUSE"/>
    <n v="170204"/>
    <s v="GOYAL BUILDING MATERIAL"/>
    <n v="100.5"/>
    <n v="32.5"/>
    <n v="0"/>
    <n v="40"/>
    <n v="0"/>
    <n v="17.5"/>
    <n v="35"/>
    <n v="22"/>
    <n v="0"/>
    <n v="0"/>
    <n v="0"/>
    <n v="20"/>
    <n v="267.5"/>
  </r>
  <r>
    <x v="1553"/>
    <n v="813866"/>
    <s v="CHARBHUJA TRADERS CEMENT SUPPL"/>
    <n v="119028"/>
    <s v="KANHAYALAL &amp; SONS"/>
    <n v="0"/>
    <n v="0"/>
    <n v="0"/>
    <n v="51"/>
    <n v="10"/>
    <n v="16"/>
    <n v="15"/>
    <n v="0"/>
    <n v="16"/>
    <n v="16"/>
    <n v="0"/>
    <n v="93"/>
    <n v="217"/>
  </r>
  <r>
    <x v="1554"/>
    <n v="813867"/>
    <s v="SHIV SINGH RANAWAT"/>
    <n v="175848"/>
    <s v="PURAWAT ENTERPRISERS"/>
    <n v="8.5"/>
    <n v="15.5"/>
    <n v="50"/>
    <n v="10"/>
    <n v="40"/>
    <n v="59.25"/>
    <n v="19"/>
    <n v="45"/>
    <n v="58"/>
    <n v="46"/>
    <n v="51"/>
    <n v="31"/>
    <n v="433.25"/>
  </r>
  <r>
    <x v="1555"/>
    <n v="813876"/>
    <s v="SHREE SHYAM CEMENT AGENCY"/>
    <n v="204013"/>
    <s v="SHARDUL CEMENT AGENCY"/>
    <n v="28.5"/>
    <n v="38"/>
    <n v="57"/>
    <n v="37.5"/>
    <n v="0"/>
    <n v="10"/>
    <n v="10"/>
    <n v="17"/>
    <n v="25"/>
    <n v="20"/>
    <n v="10"/>
    <n v="10"/>
    <n v="263"/>
  </r>
  <r>
    <x v="1556"/>
    <n v="813877"/>
    <s v="SHIVANI BUILDING MATERIAL STOR"/>
    <n v="119023"/>
    <s v="AGARWAL MACHINERY STORES"/>
    <n v="0"/>
    <n v="0"/>
    <n v="20"/>
    <n v="0"/>
    <n v="0"/>
    <n v="0"/>
    <n v="0"/>
    <n v="0"/>
    <n v="5"/>
    <n v="0"/>
    <n v="0"/>
    <n v="0"/>
    <n v="25"/>
  </r>
  <r>
    <x v="1557"/>
    <n v="813894"/>
    <s v="SARDAR BUILDING MATERIAL STORE"/>
    <n v="202865"/>
    <s v="DEEPAK TRADERS"/>
    <n v="79"/>
    <n v="95.5"/>
    <n v="114"/>
    <n v="85.5"/>
    <n v="85"/>
    <n v="83.5"/>
    <n v="91.5"/>
    <n v="42"/>
    <n v="60"/>
    <n v="39.5"/>
    <n v="84"/>
    <n v="42"/>
    <n v="901.5"/>
  </r>
  <r>
    <x v="1558"/>
    <n v="813895"/>
    <s v="PUSHPENDRA SINGH J K CEMENT AG"/>
    <n v="204013"/>
    <s v="SHARDUL CEMENT AGENCY"/>
    <n v="72"/>
    <n v="65.5"/>
    <n v="58"/>
    <n v="69"/>
    <n v="30"/>
    <n v="48"/>
    <n v="51.5"/>
    <n v="18"/>
    <n v="57"/>
    <n v="59.7"/>
    <n v="20"/>
    <n v="47.5"/>
    <n v="596.20000000000005"/>
  </r>
  <r>
    <x v="1559"/>
    <n v="813896"/>
    <s v="GOYAL BUILDERS"/>
    <n v="149765"/>
    <s v="ARORA CEMENT AGENCY"/>
    <n v="12"/>
    <n v="10"/>
    <n v="10"/>
    <n v="0"/>
    <n v="20"/>
    <n v="10"/>
    <n v="5"/>
    <n v="10"/>
    <n v="10"/>
    <n v="0"/>
    <n v="10"/>
    <n v="20"/>
    <n v="117"/>
  </r>
  <r>
    <x v="1560"/>
    <n v="813897"/>
    <s v="SHREE BALAJI TRADERS"/>
    <n v="205225"/>
    <s v="MAHAVEER ASSOCIATES"/>
    <n v="37.5"/>
    <n v="80.650000000000006"/>
    <n v="51.35"/>
    <n v="92.25"/>
    <n v="123"/>
    <n v="120.5"/>
    <n v="24"/>
    <n v="35"/>
    <n v="0"/>
    <n v="0"/>
    <n v="5"/>
    <n v="0"/>
    <n v="569.25"/>
  </r>
  <r>
    <x v="1561"/>
    <n v="813909"/>
    <s v="CCC ASSOCIATES"/>
    <n v="148557"/>
    <s v="MITALI ALLOYS PVT LTD"/>
    <n v="20"/>
    <n v="30"/>
    <n v="42"/>
    <n v="40"/>
    <n v="20"/>
    <n v="20"/>
    <n v="40"/>
    <n v="49"/>
    <n v="40"/>
    <n v="40"/>
    <n v="40"/>
    <n v="40"/>
    <n v="421"/>
  </r>
  <r>
    <x v="1562"/>
    <n v="813926"/>
    <s v="LAKSHMAN PRASAD"/>
    <n v="205004"/>
    <s v="MORCHHARI TRADE LINK"/>
    <n v="50"/>
    <n v="20"/>
    <n v="10"/>
    <n v="16"/>
    <n v="39.5"/>
    <n v="46.5"/>
    <n v="0"/>
    <n v="40"/>
    <n v="45"/>
    <n v="6"/>
    <n v="7.5"/>
    <n v="19"/>
    <n v="299.5"/>
  </r>
  <r>
    <x v="1563"/>
    <n v="813928"/>
    <s v="SHRI BAGTESH CONSTRUCTION COMP"/>
    <n v="172338"/>
    <s v="KHILJEE BUILDING MATERIAL"/>
    <n v="10"/>
    <n v="25"/>
    <n v="30"/>
    <n v="40"/>
    <n v="0"/>
    <n v="15"/>
    <n v="15"/>
    <n v="0"/>
    <n v="32.5"/>
    <n v="20"/>
    <n v="0"/>
    <n v="30"/>
    <n v="217.5"/>
  </r>
  <r>
    <x v="1564"/>
    <n v="813932"/>
    <s v="RAMESHWAR LAL BALAI"/>
    <n v="175848"/>
    <s v="PURAWAT ENTERPRISERS"/>
    <n v="41"/>
    <n v="114"/>
    <n v="50"/>
    <n v="82"/>
    <n v="90"/>
    <n v="40"/>
    <n v="24"/>
    <n v="15"/>
    <n v="31"/>
    <n v="18"/>
    <n v="45"/>
    <n v="72"/>
    <n v="622"/>
  </r>
  <r>
    <x v="1565"/>
    <n v="813933"/>
    <s v="MOKSHI ENTERPRISES"/>
    <n v="172798"/>
    <s v="PANKAJ TRADERS"/>
    <n v="0"/>
    <n v="0"/>
    <n v="0"/>
    <n v="0"/>
    <n v="25"/>
    <n v="10"/>
    <n v="25"/>
    <n v="0"/>
    <n v="46"/>
    <n v="0"/>
    <n v="0"/>
    <n v="0"/>
    <n v="106"/>
  </r>
  <r>
    <x v="1566"/>
    <n v="813935"/>
    <s v="ABHAY SINGH RAJPUT"/>
    <n v="170248"/>
    <s v="MAHAVEER ENTERPRISES"/>
    <n v="80"/>
    <n v="60"/>
    <n v="40"/>
    <n v="30"/>
    <n v="20"/>
    <n v="20"/>
    <n v="20"/>
    <n v="15"/>
    <n v="22"/>
    <n v="20"/>
    <n v="20"/>
    <n v="50"/>
    <n v="397"/>
  </r>
  <r>
    <x v="1567"/>
    <n v="813936"/>
    <s v="MANISHA TRADING COMPANY"/>
    <n v="204034"/>
    <s v="PATEL CEMENT SUPPLIERS"/>
    <n v="75.5"/>
    <n v="71.5"/>
    <n v="175"/>
    <n v="127.5"/>
    <n v="147"/>
    <n v="297.5"/>
    <n v="163.5"/>
    <n v="135"/>
    <n v="166.5"/>
    <n v="161.25"/>
    <n v="180.8"/>
    <n v="201.5"/>
    <n v="1902.55"/>
  </r>
  <r>
    <x v="1568"/>
    <n v="813938"/>
    <s v="RAMESH NATH JOGI"/>
    <n v="140847"/>
    <s v="AMIT AGENCY"/>
    <n v="45"/>
    <n v="75"/>
    <n v="60"/>
    <n v="40"/>
    <n v="30.5"/>
    <n v="35"/>
    <n v="40"/>
    <n v="20"/>
    <n v="46"/>
    <n v="50"/>
    <n v="55"/>
    <n v="60"/>
    <n v="556.5"/>
  </r>
  <r>
    <x v="1569"/>
    <n v="813946"/>
    <s v="KUMAWAT CONSTRUTION AND SUPPLI"/>
    <n v="205270"/>
    <s v="KARTIK ENTERPRISES"/>
    <n v="17.5"/>
    <n v="22.5"/>
    <n v="19"/>
    <n v="30.5"/>
    <n v="63.05"/>
    <n v="91.5"/>
    <n v="93.1"/>
    <n v="78.75"/>
    <n v="95.1"/>
    <n v="105.75"/>
    <n v="98"/>
    <n v="187.25"/>
    <n v="902"/>
  </r>
  <r>
    <x v="1570"/>
    <n v="813962"/>
    <s v="ZAHID CEMENT SUPPLIERS"/>
    <n v="149971"/>
    <s v="PRADHAN CEMENT SUPPLIERS"/>
    <n v="35"/>
    <n v="0"/>
    <n v="20"/>
    <n v="13.5"/>
    <n v="36.5"/>
    <n v="17.5"/>
    <n v="25"/>
    <n v="25"/>
    <n v="20"/>
    <n v="0"/>
    <n v="0"/>
    <n v="28"/>
    <n v="220.5"/>
  </r>
  <r>
    <x v="1571"/>
    <n v="813971"/>
    <s v="SHIMBHU SINGH"/>
    <n v="176693"/>
    <s v="SUBHAM AGENCIES"/>
    <n v="40"/>
    <n v="127"/>
    <n v="105"/>
    <n v="26"/>
    <n v="29.5"/>
    <n v="10"/>
    <n v="60"/>
    <n v="46"/>
    <n v="45"/>
    <n v="60"/>
    <n v="45"/>
    <n v="45"/>
    <n v="638.5"/>
  </r>
  <r>
    <x v="1572"/>
    <n v="813974"/>
    <s v="KRISHNA TRADING COMPANY"/>
    <n v="170617"/>
    <s v="MANGALAM TRADING COMPANY"/>
    <n v="34"/>
    <n v="33"/>
    <n v="30"/>
    <n v="71.400000000000006"/>
    <n v="60"/>
    <n v="103"/>
    <n v="59.25"/>
    <n v="28.25"/>
    <n v="32.5"/>
    <n v="102.5"/>
    <n v="73.5"/>
    <n v="40"/>
    <n v="667.4"/>
  </r>
  <r>
    <x v="1573"/>
    <n v="813979"/>
    <s v="MAA ASHAPURA BUILDING MATERIAL"/>
    <n v="203968"/>
    <s v="J J INFRA BUILD"/>
    <n v="35"/>
    <n v="0"/>
    <n v="15"/>
    <n v="0"/>
    <n v="0"/>
    <n v="20"/>
    <n v="30"/>
    <n v="0"/>
    <n v="5"/>
    <n v="17.5"/>
    <n v="10"/>
    <n v="20"/>
    <n v="152.5"/>
  </r>
  <r>
    <x v="1574"/>
    <n v="813981"/>
    <s v="SHREE STHIT KARNI TRADERS"/>
    <n v="176773"/>
    <s v="MANIK CHAND LAKHMI CHAND"/>
    <n v="30.5"/>
    <n v="25"/>
    <n v="10"/>
    <n v="15"/>
    <n v="26"/>
    <n v="22.5"/>
    <n v="17"/>
    <n v="0"/>
    <n v="20.5"/>
    <n v="25"/>
    <n v="10"/>
    <n v="7.5"/>
    <n v="209"/>
  </r>
  <r>
    <x v="1575"/>
    <n v="813983"/>
    <s v="RAMESH KUMAR"/>
    <n v="170904"/>
    <s v="ASHAPURA CEMENT SALES"/>
    <n v="43"/>
    <n v="56"/>
    <n v="44"/>
    <n v="63"/>
    <n v="61"/>
    <n v="57.5"/>
    <n v="45"/>
    <n v="20"/>
    <n v="102"/>
    <n v="77"/>
    <n v="40"/>
    <n v="30"/>
    <n v="638.5"/>
  </r>
  <r>
    <x v="1576"/>
    <n v="813984"/>
    <s v="HRIDYESHPAL SINGH GURJAR"/>
    <n v="205306"/>
    <s v="M J TRADERS"/>
    <n v="0"/>
    <n v="30"/>
    <n v="12"/>
    <n v="20"/>
    <n v="40"/>
    <n v="12.5"/>
    <n v="12.5"/>
    <n v="20"/>
    <n v="20"/>
    <n v="13"/>
    <n v="20"/>
    <n v="34.5"/>
    <n v="234.5"/>
  </r>
  <r>
    <x v="1577"/>
    <n v="813997"/>
    <s v="IMRAN LILGHAR"/>
    <n v="176693"/>
    <s v="SUBHAM AGENCIES"/>
    <n v="53"/>
    <n v="220"/>
    <n v="70"/>
    <n v="11.05"/>
    <n v="118"/>
    <n v="50"/>
    <n v="30"/>
    <n v="10"/>
    <n v="75"/>
    <n v="40"/>
    <n v="81.5"/>
    <n v="120"/>
    <n v="878.55"/>
  </r>
  <r>
    <x v="1578"/>
    <n v="813998"/>
    <s v="SHIV BHAGWAN"/>
    <n v="177301"/>
    <s v="BALAJI CEMENT SUPPLIERS"/>
    <n v="45.5"/>
    <n v="70"/>
    <n v="40"/>
    <n v="39"/>
    <n v="20"/>
    <n v="35"/>
    <n v="0"/>
    <n v="0"/>
    <n v="69.5"/>
    <n v="32.5"/>
    <n v="25"/>
    <n v="65.5"/>
    <n v="442"/>
  </r>
  <r>
    <x v="1579"/>
    <n v="813998"/>
    <s v="SHIV BHAGWAN"/>
    <n v="201817"/>
    <s v="MAHESHWARI AGENCIES"/>
    <n v="0"/>
    <n v="0"/>
    <n v="0"/>
    <n v="0"/>
    <n v="0"/>
    <n v="0"/>
    <n v="0"/>
    <n v="0"/>
    <n v="0"/>
    <n v="0"/>
    <n v="0"/>
    <n v="5"/>
    <n v="5"/>
  </r>
  <r>
    <x v="1580"/>
    <n v="814000"/>
    <s v="BRIJ LAL BANWARI LAL"/>
    <n v="202956"/>
    <s v="SHRI SHYAM CEMENT BHANDAR"/>
    <n v="11.5"/>
    <n v="45"/>
    <n v="43"/>
    <n v="49"/>
    <n v="0"/>
    <n v="55"/>
    <n v="61"/>
    <n v="35"/>
    <n v="64"/>
    <n v="72"/>
    <n v="35"/>
    <n v="30"/>
    <n v="500.5"/>
  </r>
  <r>
    <x v="1581"/>
    <n v="814001"/>
    <s v="SUNIL SHARMA"/>
    <n v="170248"/>
    <s v="MAHAVEER ENTERPRISES"/>
    <n v="5"/>
    <n v="47.5"/>
    <n v="40"/>
    <n v="66.25"/>
    <n v="72.25"/>
    <n v="36"/>
    <n v="35"/>
    <n v="21.25"/>
    <n v="26"/>
    <n v="67"/>
    <n v="41.25"/>
    <n v="45"/>
    <n v="502.5"/>
  </r>
  <r>
    <x v="1582"/>
    <n v="814004"/>
    <s v="SHRI MAHADEV BUILDING MATERIAL"/>
    <n v="141115"/>
    <s v="KALPESH CEMENT AGENCY"/>
    <n v="10"/>
    <n v="0"/>
    <n v="0"/>
    <n v="20"/>
    <n v="30.25"/>
    <n v="0"/>
    <n v="0"/>
    <n v="40"/>
    <n v="52.5"/>
    <n v="50"/>
    <n v="36.5"/>
    <n v="139.25"/>
    <n v="378.5"/>
  </r>
  <r>
    <x v="1583"/>
    <n v="814011"/>
    <s v="BAJRANG BUILDING MATERIALS"/>
    <n v="144747"/>
    <s v="ROOP ENTERPRISES"/>
    <n v="15"/>
    <n v="7"/>
    <n v="80"/>
    <n v="75"/>
    <n v="20"/>
    <n v="0"/>
    <n v="0"/>
    <n v="0"/>
    <n v="0"/>
    <n v="0"/>
    <n v="0"/>
    <n v="0"/>
    <n v="197"/>
  </r>
  <r>
    <x v="1584"/>
    <n v="814013"/>
    <s v="MAYAL TRADERS"/>
    <n v="172084"/>
    <s v="PRAJAPATI BUILDING MATERIAL"/>
    <n v="0"/>
    <n v="0"/>
    <n v="0"/>
    <n v="10"/>
    <n v="0"/>
    <n v="15"/>
    <n v="25"/>
    <n v="0"/>
    <n v="30"/>
    <n v="0"/>
    <n v="35"/>
    <n v="30"/>
    <n v="145"/>
  </r>
  <r>
    <x v="1585"/>
    <n v="814013"/>
    <s v="MAYAL TRADERS"/>
    <n v="202709"/>
    <s v="GAYATRI TRADING COMPANY"/>
    <n v="32"/>
    <n v="15"/>
    <n v="0"/>
    <n v="0"/>
    <n v="0"/>
    <n v="20"/>
    <n v="0"/>
    <n v="0"/>
    <n v="0"/>
    <n v="0"/>
    <n v="0"/>
    <n v="0"/>
    <n v="67"/>
  </r>
  <r>
    <x v="1586"/>
    <n v="814013"/>
    <s v="MAYAL TRADERS"/>
    <n v="204933"/>
    <s v="KUTUBUDDIN FAKHRUDDIN EZZY"/>
    <n v="0"/>
    <n v="0"/>
    <n v="0"/>
    <n v="11"/>
    <n v="0"/>
    <n v="0"/>
    <n v="0"/>
    <n v="0"/>
    <n v="0"/>
    <n v="0"/>
    <n v="0"/>
    <n v="0"/>
    <n v="11"/>
  </r>
  <r>
    <x v="1587"/>
    <n v="814018"/>
    <s v="MAHESH TRADING COMPANY"/>
    <n v="141118"/>
    <s v="SHREE LAXMI NATH STONE COMPANY"/>
    <n v="85"/>
    <n v="83"/>
    <n v="105"/>
    <n v="66"/>
    <n v="99.5"/>
    <n v="68"/>
    <n v="0"/>
    <n v="105"/>
    <n v="109.5"/>
    <n v="42.5"/>
    <n v="52.5"/>
    <n v="129"/>
    <n v="945"/>
  </r>
  <r>
    <x v="1588"/>
    <n v="814031"/>
    <s v="SHREE GURUKRIPA CEMENT AGENCY"/>
    <n v="207977"/>
    <s v="YASH TRADERS"/>
    <n v="0"/>
    <n v="0"/>
    <n v="0"/>
    <n v="0"/>
    <n v="0"/>
    <n v="6"/>
    <n v="10"/>
    <n v="0"/>
    <n v="0"/>
    <n v="0"/>
    <n v="0"/>
    <n v="0"/>
    <n v="16"/>
  </r>
  <r>
    <x v="1589"/>
    <n v="814034"/>
    <s v="RANVEER SINGH RATHORE"/>
    <n v="170248"/>
    <s v="MAHAVEER ENTERPRISES"/>
    <n v="10"/>
    <n v="0"/>
    <n v="0"/>
    <n v="0"/>
    <n v="0"/>
    <n v="0"/>
    <n v="0"/>
    <n v="0"/>
    <n v="0"/>
    <n v="0"/>
    <n v="0"/>
    <n v="0"/>
    <n v="10"/>
  </r>
  <r>
    <x v="1590"/>
    <n v="814034"/>
    <s v="RANVEER SINGH RATHORE"/>
    <n v="175049"/>
    <s v="KASHISH ENTERPRISES"/>
    <n v="40"/>
    <n v="15"/>
    <n v="30"/>
    <n v="52.5"/>
    <n v="34"/>
    <n v="42.5"/>
    <n v="35"/>
    <n v="15"/>
    <n v="32"/>
    <n v="25"/>
    <n v="10"/>
    <n v="61"/>
    <n v="392"/>
  </r>
  <r>
    <x v="1591"/>
    <n v="814038"/>
    <s v="BADAMI LAL BHANWARA"/>
    <n v="140850"/>
    <s v="MAHAVEER SANITARY &amp; CEMENT AGE"/>
    <n v="45"/>
    <n v="30"/>
    <n v="60"/>
    <n v="40"/>
    <n v="58"/>
    <n v="57.5"/>
    <n v="45"/>
    <n v="50"/>
    <n v="70.5"/>
    <n v="51"/>
    <n v="52"/>
    <n v="30"/>
    <n v="589"/>
  </r>
  <r>
    <x v="1592"/>
    <n v="814040"/>
    <s v="KUMAWAT TRADERS"/>
    <n v="119208"/>
    <s v="SURAJMAL TANSUKH RAI"/>
    <n v="44"/>
    <n v="0"/>
    <n v="124"/>
    <n v="0"/>
    <n v="0"/>
    <n v="129.5"/>
    <n v="0"/>
    <n v="0"/>
    <n v="0"/>
    <n v="0"/>
    <n v="0"/>
    <n v="0"/>
    <n v="297.5"/>
  </r>
  <r>
    <x v="1593"/>
    <n v="814047"/>
    <s v="SHREE INATH TRADING COMPANY"/>
    <n v="178230"/>
    <s v="SHREE RADHEY BUILDING MATERIAL"/>
    <n v="30"/>
    <n v="20"/>
    <n v="30"/>
    <n v="15"/>
    <n v="0"/>
    <n v="10"/>
    <n v="10"/>
    <n v="26"/>
    <n v="11"/>
    <n v="40"/>
    <n v="13.5"/>
    <n v="25"/>
    <n v="230.5"/>
  </r>
  <r>
    <x v="1594"/>
    <n v="814048"/>
    <s v="JETHOLESHWAR ENTERPRISES"/>
    <n v="144747"/>
    <s v="ROOP ENTERPRISES"/>
    <n v="15"/>
    <n v="192.5"/>
    <n v="190"/>
    <n v="187"/>
    <n v="170.5"/>
    <n v="145.5"/>
    <n v="107.75"/>
    <n v="35"/>
    <n v="148"/>
    <n v="157.5"/>
    <n v="147.5"/>
    <n v="137.5"/>
    <n v="1633.75"/>
  </r>
  <r>
    <x v="1595"/>
    <n v="814050"/>
    <s v="VASUDA ASSOCIATES"/>
    <n v="206049"/>
    <s v="VAIBHAV ENTERPRISES"/>
    <n v="15"/>
    <n v="70.75"/>
    <n v="273.25"/>
    <n v="328"/>
    <n v="358.8"/>
    <n v="446.2"/>
    <n v="62.75"/>
    <n v="336.25"/>
    <n v="184"/>
    <n v="366.25"/>
    <n v="296"/>
    <n v="67.5"/>
    <n v="2804.75"/>
  </r>
  <r>
    <x v="1596"/>
    <n v="814055"/>
    <s v="DILIP KUMAR LALWANI"/>
    <n v="171662"/>
    <s v="CHHABRA STONES"/>
    <n v="8"/>
    <n v="10"/>
    <n v="10"/>
    <n v="0"/>
    <n v="0"/>
    <n v="0"/>
    <n v="0"/>
    <n v="0"/>
    <n v="0"/>
    <n v="0"/>
    <n v="0"/>
    <n v="0"/>
    <n v="28"/>
  </r>
  <r>
    <x v="1597"/>
    <n v="814058"/>
    <s v="SHREE VISHNU CEMENT TILES"/>
    <n v="173224"/>
    <s v="D.R.MARBLE &amp; SANITORY"/>
    <n v="28.5"/>
    <n v="40"/>
    <n v="28.5"/>
    <n v="40"/>
    <n v="55"/>
    <n v="32.5"/>
    <n v="30"/>
    <n v="18.5"/>
    <n v="67"/>
    <n v="57.5"/>
    <n v="62"/>
    <n v="15"/>
    <n v="474.5"/>
  </r>
  <r>
    <x v="1598"/>
    <n v="814067"/>
    <s v="BALAJI CEMENT SUPPLIERS"/>
    <n v="176870"/>
    <s v="KHANDELWAL CEMENT AGENCY"/>
    <n v="11"/>
    <n v="45"/>
    <n v="30"/>
    <n v="20"/>
    <n v="30"/>
    <n v="25"/>
    <n v="30"/>
    <n v="0"/>
    <n v="45"/>
    <n v="7.5"/>
    <n v="15"/>
    <n v="25"/>
    <n v="283.5"/>
  </r>
  <r>
    <x v="1599"/>
    <n v="814068"/>
    <s v="BASANT KUMAR SHARMA"/>
    <n v="170228"/>
    <s v="SHRI RAM TRADERS"/>
    <n v="60"/>
    <n v="30"/>
    <n v="96"/>
    <n v="117"/>
    <n v="30"/>
    <n v="90"/>
    <n v="0"/>
    <n v="25"/>
    <n v="0"/>
    <n v="61.5"/>
    <n v="0"/>
    <n v="0"/>
    <n v="509.5"/>
  </r>
  <r>
    <x v="1600"/>
    <n v="814068"/>
    <s v="BASANT KUMAR SHARMA"/>
    <n v="176870"/>
    <s v="KHANDELWAL CEMENT AGENCY"/>
    <n v="0"/>
    <n v="0"/>
    <n v="0"/>
    <n v="0"/>
    <n v="0"/>
    <n v="0"/>
    <n v="10"/>
    <n v="0"/>
    <n v="10"/>
    <n v="0"/>
    <n v="0"/>
    <n v="0"/>
    <n v="20"/>
  </r>
  <r>
    <x v="1601"/>
    <n v="814069"/>
    <s v="TEJA BUILDING MATERIAL"/>
    <n v="176870"/>
    <s v="KHANDELWAL CEMENT AGENCY"/>
    <n v="100"/>
    <n v="100"/>
    <n v="35"/>
    <n v="60"/>
    <n v="25"/>
    <n v="47.5"/>
    <n v="20"/>
    <n v="10"/>
    <n v="57.5"/>
    <n v="22"/>
    <n v="32.5"/>
    <n v="50"/>
    <n v="559.5"/>
  </r>
  <r>
    <x v="1602"/>
    <n v="814079"/>
    <s v="BHARAMAL RAM CHOUDHARY"/>
    <n v="202850"/>
    <s v="SAMRATHAL BUILDING MATERIAL"/>
    <n v="98"/>
    <n v="55"/>
    <n v="32"/>
    <n v="0"/>
    <n v="110"/>
    <n v="70"/>
    <n v="110"/>
    <n v="40"/>
    <n v="55"/>
    <n v="85"/>
    <n v="37"/>
    <n v="45"/>
    <n v="737"/>
  </r>
  <r>
    <x v="1603"/>
    <n v="814084"/>
    <s v="R B CONSTRUCTION"/>
    <n v="142269"/>
    <s v="CHAMUNDA BUILDING MATERIAL SUP"/>
    <n v="20"/>
    <n v="55"/>
    <n v="56"/>
    <n v="0"/>
    <n v="10"/>
    <n v="0"/>
    <n v="0"/>
    <n v="0"/>
    <n v="40"/>
    <n v="15"/>
    <n v="15"/>
    <n v="15"/>
    <n v="226"/>
  </r>
  <r>
    <x v="1604"/>
    <n v="814085"/>
    <s v="ASHOKA MEENA"/>
    <n v="140858"/>
    <s v="RAMESH CHANDRA JAI CHAND"/>
    <n v="55"/>
    <n v="22.5"/>
    <n v="65"/>
    <n v="87.5"/>
    <n v="75"/>
    <n v="20"/>
    <n v="35"/>
    <n v="20"/>
    <n v="65"/>
    <n v="95"/>
    <n v="120"/>
    <n v="20"/>
    <n v="680"/>
  </r>
  <r>
    <x v="1605"/>
    <n v="814086"/>
    <s v="HIND ENTERPRISES"/>
    <n v="141115"/>
    <s v="KALPESH CEMENT AGENCY"/>
    <n v="0"/>
    <n v="0"/>
    <n v="0"/>
    <n v="15"/>
    <n v="0"/>
    <n v="0"/>
    <n v="0"/>
    <n v="0"/>
    <n v="0"/>
    <n v="0"/>
    <n v="0"/>
    <n v="0"/>
    <n v="15"/>
  </r>
  <r>
    <x v="1606"/>
    <n v="814087"/>
    <s v="S R BUILDING MATERIAL SUPPLIER"/>
    <n v="205989"/>
    <s v="JAGDISH BUILDING MATERIAL SUPP"/>
    <n v="7.5"/>
    <n v="0"/>
    <n v="7.5"/>
    <n v="32.5"/>
    <n v="7.5"/>
    <n v="0"/>
    <n v="65"/>
    <n v="25"/>
    <n v="27.5"/>
    <n v="30"/>
    <n v="38"/>
    <n v="82.45"/>
    <n v="322.95"/>
  </r>
  <r>
    <x v="1607"/>
    <n v="814091"/>
    <s v="MAHESH KUMAR RAO"/>
    <n v="175049"/>
    <s v="KASHISH ENTERPRISES"/>
    <n v="15"/>
    <n v="0"/>
    <n v="20"/>
    <n v="10"/>
    <n v="0"/>
    <n v="0"/>
    <n v="0"/>
    <n v="10"/>
    <n v="26"/>
    <n v="30"/>
    <n v="25"/>
    <n v="11"/>
    <n v="147"/>
  </r>
  <r>
    <x v="1608"/>
    <n v="814093"/>
    <s v="OM PRAKASH AHIR"/>
    <n v="170392"/>
    <s v="JYOTI SUPPLIERS"/>
    <n v="208.6"/>
    <n v="118"/>
    <n v="41.5"/>
    <n v="70"/>
    <n v="115"/>
    <n v="141.75"/>
    <n v="265"/>
    <n v="18.5"/>
    <n v="215.5"/>
    <n v="180.25"/>
    <n v="10.5"/>
    <n v="8"/>
    <n v="1392.6"/>
  </r>
  <r>
    <x v="1609"/>
    <n v="814094"/>
    <s v="OM TRADERS"/>
    <n v="208033"/>
    <s v="ANIL ENTERPRISES"/>
    <n v="10"/>
    <n v="30"/>
    <n v="127"/>
    <n v="75"/>
    <n v="0"/>
    <n v="16"/>
    <n v="35"/>
    <n v="10"/>
    <n v="5"/>
    <n v="0"/>
    <n v="0"/>
    <n v="0"/>
    <n v="308"/>
  </r>
  <r>
    <x v="1610"/>
    <n v="814094"/>
    <s v="OM TRADERS"/>
    <n v="211138"/>
    <s v="LAXMIKANT BUILDING MATERIAL"/>
    <n v="0"/>
    <n v="0"/>
    <n v="0"/>
    <n v="0"/>
    <n v="0"/>
    <n v="0"/>
    <n v="0"/>
    <n v="0"/>
    <n v="0"/>
    <n v="15"/>
    <n v="160"/>
    <n v="35"/>
    <n v="210"/>
  </r>
  <r>
    <x v="1611"/>
    <n v="814095"/>
    <s v="JYOTI IRONS &amp; BUILDING MATERIA"/>
    <n v="172086"/>
    <s v="MAHESH TRADERS"/>
    <n v="0"/>
    <n v="0"/>
    <n v="0"/>
    <n v="15"/>
    <n v="0"/>
    <n v="0"/>
    <n v="0"/>
    <n v="0"/>
    <n v="0"/>
    <n v="0"/>
    <n v="0"/>
    <n v="0"/>
    <n v="15"/>
  </r>
  <r>
    <x v="1612"/>
    <n v="814095"/>
    <s v="JYOTI IRONS &amp; BUILDING MATERIA"/>
    <n v="172702"/>
    <s v="GOYAL ENTERPRISES"/>
    <n v="70"/>
    <n v="0"/>
    <n v="0"/>
    <n v="20"/>
    <n v="0"/>
    <n v="0"/>
    <n v="0"/>
    <n v="0"/>
    <n v="0"/>
    <n v="0"/>
    <n v="0"/>
    <n v="0"/>
    <n v="90"/>
  </r>
  <r>
    <x v="1613"/>
    <n v="814096"/>
    <s v="ROHIT TRADERS"/>
    <n v="179473"/>
    <s v="ANSHU CEMENT AGENCY"/>
    <n v="16.5"/>
    <n v="0"/>
    <n v="6.5"/>
    <n v="10"/>
    <n v="5"/>
    <n v="2.5"/>
    <n v="0"/>
    <n v="2.5"/>
    <n v="0"/>
    <n v="0"/>
    <n v="0"/>
    <n v="0"/>
    <n v="43"/>
  </r>
  <r>
    <x v="1614"/>
    <n v="814097"/>
    <s v="HARI OM TRADERS"/>
    <n v="141512"/>
    <s v="MISHRA TRADERS"/>
    <n v="34"/>
    <n v="40.5"/>
    <n v="75"/>
    <n v="51"/>
    <n v="47.5"/>
    <n v="24.75"/>
    <n v="50"/>
    <n v="50"/>
    <n v="100"/>
    <n v="32.5"/>
    <n v="37.5"/>
    <n v="64.5"/>
    <n v="607.25"/>
  </r>
  <r>
    <x v="1615"/>
    <n v="814106"/>
    <s v="SANWARIYA ENTERPRISE"/>
    <n v="119028"/>
    <s v="KANHAYALAL &amp; SONS"/>
    <n v="0"/>
    <n v="0"/>
    <n v="10"/>
    <n v="0"/>
    <n v="0"/>
    <n v="0"/>
    <n v="0"/>
    <n v="0"/>
    <n v="0"/>
    <n v="0"/>
    <n v="0"/>
    <n v="0"/>
    <n v="10"/>
  </r>
  <r>
    <x v="1616"/>
    <n v="814106"/>
    <s v="SANWARIYA ENTERPRISE"/>
    <n v="140859"/>
    <s v="KESHRIYA JI HARDWARE &amp; METAL S"/>
    <n v="10"/>
    <n v="35"/>
    <n v="10"/>
    <n v="15"/>
    <n v="10"/>
    <n v="10"/>
    <n v="0"/>
    <n v="0"/>
    <n v="0"/>
    <n v="10"/>
    <n v="30"/>
    <n v="15"/>
    <n v="145"/>
  </r>
  <r>
    <x v="1617"/>
    <n v="814107"/>
    <s v="ASHOK BRIJLAL JAIN"/>
    <n v="205992"/>
    <s v="SISPURIA BUILDING MATERIAL"/>
    <n v="39"/>
    <n v="51"/>
    <n v="145.5"/>
    <n v="128.5"/>
    <n v="106.65"/>
    <n v="57.45"/>
    <n v="93.5"/>
    <n v="25"/>
    <n v="98.75"/>
    <n v="70"/>
    <n v="0"/>
    <n v="0"/>
    <n v="815.35"/>
  </r>
  <r>
    <x v="1618"/>
    <n v="814108"/>
    <s v="SHREE DEV CEMENT &amp; BUILDING MA"/>
    <n v="119028"/>
    <s v="KANHAYALAL &amp; SONS"/>
    <n v="0"/>
    <n v="0"/>
    <n v="0"/>
    <n v="0"/>
    <n v="0"/>
    <n v="10"/>
    <n v="0"/>
    <n v="0"/>
    <n v="0"/>
    <n v="0"/>
    <n v="0"/>
    <n v="0"/>
    <n v="10"/>
  </r>
  <r>
    <x v="1619"/>
    <n v="814109"/>
    <s v="SHANKAR KHAD BHANDAR"/>
    <n v="119052"/>
    <s v="SURESH CHAND &amp; CO"/>
    <n v="84"/>
    <n v="53"/>
    <n v="96.5"/>
    <n v="104"/>
    <n v="60"/>
    <n v="93"/>
    <n v="66"/>
    <n v="42"/>
    <n v="131"/>
    <n v="98"/>
    <n v="94"/>
    <n v="209"/>
    <n v="1130.5"/>
  </r>
  <r>
    <x v="1620"/>
    <n v="814110"/>
    <s v="MARWAR CEMENT AGENCY"/>
    <n v="172338"/>
    <s v="KHILJEE BUILDING MATERIAL"/>
    <n v="51"/>
    <n v="35"/>
    <n v="46"/>
    <n v="15"/>
    <n v="82"/>
    <n v="35"/>
    <n v="66"/>
    <n v="25"/>
    <n v="25"/>
    <n v="36"/>
    <n v="20"/>
    <n v="30"/>
    <n v="466"/>
  </r>
  <r>
    <x v="1621"/>
    <n v="814111"/>
    <s v="VISHNU ENTERPRISES"/>
    <n v="140881"/>
    <s v="NAM DEV STONE SUPPLIERS"/>
    <n v="0"/>
    <n v="25"/>
    <n v="130"/>
    <n v="145"/>
    <n v="0"/>
    <n v="25"/>
    <n v="0"/>
    <n v="0"/>
    <n v="0"/>
    <n v="0"/>
    <n v="45"/>
    <n v="70"/>
    <n v="440"/>
  </r>
  <r>
    <x v="1622"/>
    <n v="814113"/>
    <s v="BHATI ELECTRICALS"/>
    <n v="170775"/>
    <s v="GANPAT LAL MAROTHIYA AND SONS"/>
    <n v="0"/>
    <n v="0"/>
    <n v="0"/>
    <n v="15"/>
    <n v="10"/>
    <n v="30"/>
    <n v="30"/>
    <n v="0"/>
    <n v="45"/>
    <n v="25"/>
    <n v="15"/>
    <n v="10"/>
    <n v="180"/>
  </r>
  <r>
    <x v="1623"/>
    <n v="814114"/>
    <s v="ASHOK CEMENT AGENCY"/>
    <n v="172338"/>
    <s v="KHILJEE BUILDING MATERIAL"/>
    <n v="0"/>
    <n v="0"/>
    <n v="0"/>
    <n v="0"/>
    <n v="0"/>
    <n v="0"/>
    <n v="0"/>
    <n v="20"/>
    <n v="15"/>
    <n v="15"/>
    <n v="12.5"/>
    <n v="16.5"/>
    <n v="79"/>
  </r>
  <r>
    <x v="1624"/>
    <n v="814115"/>
    <s v="KISHNA RAM"/>
    <n v="202850"/>
    <s v="SAMRATHAL BUILDING MATERIAL"/>
    <n v="100"/>
    <n v="15"/>
    <n v="70"/>
    <n v="25"/>
    <n v="110"/>
    <n v="45"/>
    <n v="0"/>
    <n v="35"/>
    <n v="35"/>
    <n v="15"/>
    <n v="20"/>
    <n v="0"/>
    <n v="470"/>
  </r>
  <r>
    <x v="1625"/>
    <n v="814116"/>
    <s v="SANJAY KUMAR SAINI"/>
    <n v="178298"/>
    <s v="SAINI BUILDING MATERIAL"/>
    <n v="68"/>
    <n v="96"/>
    <n v="93"/>
    <n v="124"/>
    <n v="87"/>
    <n v="75"/>
    <n v="84"/>
    <n v="54"/>
    <n v="73"/>
    <n v="68.5"/>
    <n v="67"/>
    <n v="64"/>
    <n v="953.5"/>
  </r>
  <r>
    <x v="1626"/>
    <n v="814116"/>
    <s v="SANJAY KUMAR SAINI"/>
    <n v="202478"/>
    <s v="RAMSWAROOP PRAKASHCHAND"/>
    <n v="0"/>
    <n v="0"/>
    <n v="0"/>
    <n v="0"/>
    <n v="0"/>
    <n v="0"/>
    <n v="20"/>
    <n v="0"/>
    <n v="6.5"/>
    <n v="0"/>
    <n v="0"/>
    <n v="20"/>
    <n v="46.5"/>
  </r>
  <r>
    <x v="1627"/>
    <n v="814117"/>
    <s v="JAI AMBEY STEEL"/>
    <n v="205840"/>
    <s v="KUCHHAL STEEL MARKETING"/>
    <n v="5"/>
    <n v="15"/>
    <n v="25"/>
    <n v="10"/>
    <n v="0"/>
    <n v="0"/>
    <n v="15"/>
    <n v="0"/>
    <n v="0"/>
    <n v="11"/>
    <n v="0"/>
    <n v="0"/>
    <n v="81"/>
  </r>
  <r>
    <x v="1628"/>
    <n v="814129"/>
    <s v="MAJISA CONTRACTORS"/>
    <n v="176773"/>
    <s v="MANIK CHAND LAKHMI CHAND"/>
    <n v="27.5"/>
    <n v="17.2"/>
    <n v="47.5"/>
    <n v="38"/>
    <n v="32.15"/>
    <n v="0"/>
    <n v="22.5"/>
    <n v="0"/>
    <n v="0"/>
    <n v="42"/>
    <n v="33.25"/>
    <n v="0"/>
    <n v="260.10000000000002"/>
  </r>
  <r>
    <x v="1629"/>
    <n v="814130"/>
    <s v="AMIR SOHIL"/>
    <n v="201280"/>
    <s v="SIDDHI VINAYAK CEMENT DISTRIBU"/>
    <n v="150.25"/>
    <n v="55"/>
    <n v="130"/>
    <n v="110.4"/>
    <n v="96"/>
    <n v="86"/>
    <n v="85"/>
    <n v="30"/>
    <n v="83"/>
    <n v="105.25"/>
    <n v="110"/>
    <n v="102"/>
    <n v="1142.9000000000001"/>
  </r>
  <r>
    <x v="1630"/>
    <n v="814139"/>
    <s v="SHUBHAM KHAD BEEJ BHANDAR"/>
    <n v="172097"/>
    <s v="BANSAL TRADING COMPANY"/>
    <n v="45"/>
    <n v="30"/>
    <n v="70"/>
    <n v="80"/>
    <n v="80"/>
    <n v="10"/>
    <n v="60"/>
    <n v="20"/>
    <n v="60"/>
    <n v="55"/>
    <n v="150"/>
    <n v="147"/>
    <n v="807"/>
  </r>
  <r>
    <x v="1631"/>
    <n v="814140"/>
    <s v="SAI RAM KRISHI FARM"/>
    <n v="119050"/>
    <s v="RAJASTHAN CEMENT CORPORATION"/>
    <n v="10"/>
    <n v="10"/>
    <n v="48.5"/>
    <n v="39.5"/>
    <n v="15"/>
    <n v="30.5"/>
    <n v="30"/>
    <n v="15"/>
    <n v="88.5"/>
    <n v="52"/>
    <n v="40"/>
    <n v="30"/>
    <n v="409"/>
  </r>
  <r>
    <x v="1632"/>
    <n v="814141"/>
    <s v="NEW SB HARDWARE AND BUILDING M"/>
    <n v="202881"/>
    <s v="MS SANITARY &amp; PAINTS"/>
    <n v="55"/>
    <n v="34"/>
    <n v="35"/>
    <n v="68.5"/>
    <n v="122"/>
    <n v="30"/>
    <n v="111"/>
    <n v="30"/>
    <n v="45"/>
    <n v="85"/>
    <n v="87"/>
    <n v="95"/>
    <n v="797.5"/>
  </r>
  <r>
    <x v="1633"/>
    <n v="814151"/>
    <s v="KUCHHAL TRADING CORPORATION"/>
    <n v="205840"/>
    <s v="KUCHHAL STEEL MARKETING"/>
    <n v="22"/>
    <n v="37.75"/>
    <n v="130"/>
    <n v="72.5"/>
    <n v="22.25"/>
    <n v="90.75"/>
    <n v="106.3"/>
    <n v="8.5"/>
    <n v="146"/>
    <n v="171"/>
    <n v="18.2"/>
    <n v="75.099999999999994"/>
    <n v="900.35"/>
  </r>
  <r>
    <x v="1634"/>
    <n v="814152"/>
    <s v="SHALU JAIN"/>
    <n v="205591"/>
    <s v="ROOP RAJAT TRADING CO"/>
    <n v="239"/>
    <n v="327.5"/>
    <n v="315.5"/>
    <n v="277.95"/>
    <n v="253.75"/>
    <n v="273.5"/>
    <n v="239"/>
    <n v="216.5"/>
    <n v="248.5"/>
    <n v="434.5"/>
    <n v="299.25"/>
    <n v="278"/>
    <n v="3402.95"/>
  </r>
  <r>
    <x v="1635"/>
    <n v="814168"/>
    <s v="RUCHIKA TRADING COMPANY"/>
    <n v="205826"/>
    <s v="SHEKHAWAT BUILDING MATERIAL"/>
    <n v="35"/>
    <n v="0"/>
    <n v="0"/>
    <n v="0"/>
    <n v="0"/>
    <n v="0"/>
    <n v="0"/>
    <n v="0"/>
    <n v="0"/>
    <n v="0"/>
    <n v="0"/>
    <n v="0"/>
    <n v="35"/>
  </r>
  <r>
    <x v="1636"/>
    <n v="814168"/>
    <s v="RUCHIKA TRADING COMPANY"/>
    <n v="208770"/>
    <s v="SHEKHAWAT BUILDING MATERIAL"/>
    <n v="0"/>
    <n v="0"/>
    <n v="0"/>
    <n v="92.5"/>
    <n v="25"/>
    <n v="30.5"/>
    <n v="20"/>
    <n v="50"/>
    <n v="50"/>
    <n v="51"/>
    <n v="78"/>
    <n v="72.5"/>
    <n v="469.5"/>
  </r>
  <r>
    <x v="1637"/>
    <n v="814176"/>
    <s v="SHRI JAGDAMBAY KALBHAIRAV CONS"/>
    <n v="144243"/>
    <s v="SHRI SHYAM TRADING COMPANY"/>
    <n v="0"/>
    <n v="0"/>
    <n v="0"/>
    <n v="0"/>
    <n v="0"/>
    <n v="0"/>
    <n v="0"/>
    <n v="0"/>
    <n v="0"/>
    <n v="7.5"/>
    <n v="38.75"/>
    <n v="30"/>
    <n v="76.25"/>
  </r>
  <r>
    <x v="1638"/>
    <n v="814183"/>
    <s v="BABA TRADING COMPANY"/>
    <n v="147891"/>
    <s v="NEW SAINI TRADING COMPANY"/>
    <n v="80"/>
    <n v="61.5"/>
    <n v="80"/>
    <n v="70"/>
    <n v="116"/>
    <n v="52.3"/>
    <n v="70"/>
    <n v="20"/>
    <n v="107"/>
    <n v="90"/>
    <n v="62"/>
    <n v="47.5"/>
    <n v="856.3"/>
  </r>
  <r>
    <x v="1639"/>
    <n v="814184"/>
    <s v="RAJORIYA TRADING COMPANY"/>
    <n v="201065"/>
    <s v="SHRI RADHEY KRISHAN TRADERS"/>
    <n v="10"/>
    <n v="40.5"/>
    <n v="0"/>
    <n v="0"/>
    <n v="0"/>
    <n v="0"/>
    <n v="0"/>
    <n v="0"/>
    <n v="0"/>
    <n v="0"/>
    <n v="0"/>
    <n v="0"/>
    <n v="50.5"/>
  </r>
  <r>
    <x v="1640"/>
    <n v="814186"/>
    <s v="VISHNU SHARMA"/>
    <n v="172640"/>
    <s v="KUSHAL TRADERS"/>
    <n v="70"/>
    <n v="60"/>
    <n v="20"/>
    <n v="62.5"/>
    <n v="80"/>
    <n v="35"/>
    <n v="60"/>
    <n v="16.5"/>
    <n v="146.25"/>
    <n v="144.5"/>
    <n v="115"/>
    <n v="103"/>
    <n v="912.75"/>
  </r>
  <r>
    <x v="1641"/>
    <n v="814187"/>
    <s v="JAYENDRA SINGH RANAWAT"/>
    <n v="178695"/>
    <s v="SEN CONSTRUCTION"/>
    <n v="50"/>
    <n v="30"/>
    <n v="75"/>
    <n v="30"/>
    <n v="10"/>
    <n v="10"/>
    <n v="10"/>
    <n v="10"/>
    <n v="25"/>
    <n v="30"/>
    <n v="30"/>
    <n v="15"/>
    <n v="325"/>
  </r>
  <r>
    <x v="1642"/>
    <n v="814188"/>
    <s v="AMARCHAND KUMAWAT"/>
    <n v="175287"/>
    <s v="SHREE DEVNARAYAN BUILDING MATE"/>
    <n v="0"/>
    <n v="0"/>
    <n v="0"/>
    <n v="0"/>
    <n v="0"/>
    <n v="0"/>
    <n v="0"/>
    <n v="0"/>
    <n v="0"/>
    <n v="0"/>
    <n v="0"/>
    <n v="28"/>
    <n v="28"/>
  </r>
  <r>
    <x v="1643"/>
    <n v="814214"/>
    <s v="SHRI SAI ENTERPRISES"/>
    <n v="170606"/>
    <s v="SHREE SANWARIYA CONSTRUCTION"/>
    <n v="0"/>
    <n v="0"/>
    <n v="0"/>
    <n v="0"/>
    <n v="0"/>
    <n v="0"/>
    <n v="0"/>
    <n v="0"/>
    <n v="0"/>
    <n v="0"/>
    <n v="5"/>
    <n v="0"/>
    <n v="5"/>
  </r>
  <r>
    <x v="1644"/>
    <n v="814214"/>
    <s v="SHRI SAI ENTERPRISES"/>
    <n v="207643"/>
    <s v="SHREE SANWALIYA TRADERS"/>
    <n v="20"/>
    <n v="35"/>
    <n v="72.55"/>
    <n v="88.2"/>
    <n v="10"/>
    <n v="24"/>
    <n v="18"/>
    <n v="24"/>
    <n v="35"/>
    <n v="6.45"/>
    <n v="24.6"/>
    <n v="40"/>
    <n v="397.8"/>
  </r>
  <r>
    <x v="1645"/>
    <n v="814218"/>
    <s v="S S BUILDING MATERIAL SUPPLIER"/>
    <n v="179490"/>
    <s v="KHATRI TRADING COMPANY"/>
    <n v="52.5"/>
    <n v="20"/>
    <n v="17.5"/>
    <n v="151"/>
    <n v="98.5"/>
    <n v="40"/>
    <n v="68.5"/>
    <n v="50.5"/>
    <n v="62.5"/>
    <n v="27"/>
    <n v="20"/>
    <n v="92.5"/>
    <n v="700.5"/>
  </r>
  <r>
    <x v="1646"/>
    <n v="814220"/>
    <s v="PRINCE CEMENT SUPPLIER"/>
    <n v="141311"/>
    <s v="SHANTI LAL BHANAWAT"/>
    <n v="57.75"/>
    <n v="60"/>
    <n v="73.5"/>
    <n v="126"/>
    <n v="75.5"/>
    <n v="36"/>
    <n v="75"/>
    <n v="32.5"/>
    <n v="40"/>
    <n v="20"/>
    <n v="89.5"/>
    <n v="80"/>
    <n v="765.75"/>
  </r>
  <r>
    <x v="1647"/>
    <n v="814221"/>
    <s v="BHAGWAN LAL DANGI"/>
    <n v="170501"/>
    <s v="GURU OM KRIPA CEMENT SUPPLIERS"/>
    <n v="27.5"/>
    <n v="0"/>
    <n v="0"/>
    <n v="18.5"/>
    <n v="26"/>
    <n v="17.5"/>
    <n v="47"/>
    <n v="53.5"/>
    <n v="17.5"/>
    <n v="66"/>
    <n v="4.5"/>
    <n v="20"/>
    <n v="298"/>
  </r>
  <r>
    <x v="1648"/>
    <n v="814222"/>
    <s v="PYAR CHANDRA LOHAR"/>
    <n v="205966"/>
    <s v="POKHARNA CEMENT SUPPLIERS"/>
    <n v="0"/>
    <n v="32.25"/>
    <n v="6"/>
    <n v="1"/>
    <n v="0"/>
    <n v="0"/>
    <n v="0"/>
    <n v="10"/>
    <n v="23.5"/>
    <n v="5"/>
    <n v="0"/>
    <n v="5"/>
    <n v="82.75"/>
  </r>
  <r>
    <x v="1649"/>
    <n v="814223"/>
    <s v="SHUBHAM SARIYA"/>
    <n v="141115"/>
    <s v="KALPESH CEMENT AGENCY"/>
    <n v="25"/>
    <n v="0"/>
    <n v="0"/>
    <n v="0"/>
    <n v="0"/>
    <n v="0"/>
    <n v="0"/>
    <n v="0"/>
    <n v="50"/>
    <n v="30"/>
    <n v="71"/>
    <n v="101"/>
    <n v="277"/>
  </r>
  <r>
    <x v="1650"/>
    <n v="814224"/>
    <s v="FATEH SINGH RAJPUT"/>
    <n v="206073"/>
    <s v="SHREE TIRUPATI BALAJI BUILDING"/>
    <n v="75"/>
    <n v="20"/>
    <n v="65"/>
    <n v="55"/>
    <n v="20"/>
    <n v="50"/>
    <n v="15"/>
    <n v="0"/>
    <n v="0"/>
    <n v="0"/>
    <n v="0"/>
    <n v="0"/>
    <n v="300"/>
  </r>
  <r>
    <x v="1651"/>
    <n v="814225"/>
    <s v="VISHAL TANKERS"/>
    <n v="205989"/>
    <s v="JAGDISH BUILDING MATERIAL SUPP"/>
    <n v="12.5"/>
    <n v="0"/>
    <n v="37.5"/>
    <n v="47.5"/>
    <n v="27.5"/>
    <n v="37.5"/>
    <n v="0"/>
    <n v="0"/>
    <n v="22.5"/>
    <n v="22.5"/>
    <n v="28"/>
    <n v="27.5"/>
    <n v="263"/>
  </r>
  <r>
    <x v="1652"/>
    <n v="814226"/>
    <s v="ARJUN SINGH"/>
    <n v="175848"/>
    <s v="PURAWAT ENTERPRISERS"/>
    <n v="51.25"/>
    <n v="106.5"/>
    <n v="45.5"/>
    <n v="149.5"/>
    <n v="58"/>
    <n v="62"/>
    <n v="30"/>
    <n v="51"/>
    <n v="107"/>
    <n v="56"/>
    <n v="60"/>
    <n v="130"/>
    <n v="906.75"/>
  </r>
  <r>
    <x v="1653"/>
    <n v="814227"/>
    <s v="SHREE KRISHNA CEMENT STORE"/>
    <n v="178661"/>
    <s v="KHAJANCHI TRADING CO."/>
    <n v="40"/>
    <n v="10"/>
    <n v="25"/>
    <n v="50"/>
    <n v="44"/>
    <n v="20"/>
    <n v="30"/>
    <n v="20"/>
    <n v="28"/>
    <n v="30"/>
    <n v="10"/>
    <n v="100.85"/>
    <n v="407.85"/>
  </r>
  <r>
    <x v="1654"/>
    <n v="814236"/>
    <s v="RANO BUILDING MATERIAL"/>
    <n v="174166"/>
    <s v="NAMOKAR STONE TRADERS"/>
    <n v="126"/>
    <n v="57.5"/>
    <n v="45"/>
    <n v="111"/>
    <n v="40.5"/>
    <n v="50"/>
    <n v="155"/>
    <n v="90"/>
    <n v="79.5"/>
    <n v="93.5"/>
    <n v="157.1"/>
    <n v="280"/>
    <n v="1285.0999999999999"/>
  </r>
  <r>
    <x v="1655"/>
    <n v="814248"/>
    <s v="SITARAM INFRA PROJECTS"/>
    <n v="174693"/>
    <s v="SHARMA SALES CORPORATION"/>
    <n v="39"/>
    <n v="0"/>
    <n v="0"/>
    <n v="0"/>
    <n v="0"/>
    <n v="0"/>
    <n v="0"/>
    <n v="0"/>
    <n v="0"/>
    <n v="0"/>
    <n v="0"/>
    <n v="0"/>
    <n v="39"/>
  </r>
  <r>
    <x v="1656"/>
    <n v="814250"/>
    <s v="LADU LAL TELI"/>
    <n v="178511"/>
    <s v="AMBIKA DISTRIBUTORS"/>
    <n v="5"/>
    <n v="5"/>
    <n v="0"/>
    <n v="0"/>
    <n v="0"/>
    <n v="0"/>
    <n v="0"/>
    <n v="0"/>
    <n v="1"/>
    <n v="1"/>
    <n v="0"/>
    <n v="1"/>
    <n v="13"/>
  </r>
  <r>
    <x v="1657"/>
    <n v="814253"/>
    <s v="KANHA BUILDERS"/>
    <n v="149765"/>
    <s v="ARORA CEMENT AGENCY"/>
    <n v="0"/>
    <n v="10"/>
    <n v="0"/>
    <n v="0"/>
    <n v="0"/>
    <n v="0"/>
    <n v="0"/>
    <n v="0"/>
    <n v="0"/>
    <n v="0"/>
    <n v="0"/>
    <n v="0"/>
    <n v="10"/>
  </r>
  <r>
    <x v="1658"/>
    <n v="814253"/>
    <s v="KANHA BUILDERS"/>
    <n v="175288"/>
    <s v="LAXMI TRADERS"/>
    <n v="0"/>
    <n v="0"/>
    <n v="0"/>
    <n v="0"/>
    <n v="0"/>
    <n v="0"/>
    <n v="0"/>
    <n v="0"/>
    <n v="0"/>
    <n v="0"/>
    <n v="20"/>
    <n v="0"/>
    <n v="20"/>
  </r>
  <r>
    <x v="1659"/>
    <n v="814255"/>
    <s v="MANGOLIYA CEMENT AGENCY"/>
    <n v="119044"/>
    <s v="PANWAR TRADING CORPORATION LTD"/>
    <n v="0"/>
    <n v="13"/>
    <n v="0"/>
    <n v="0"/>
    <n v="0"/>
    <n v="0"/>
    <n v="0"/>
    <n v="0"/>
    <n v="0"/>
    <n v="0"/>
    <n v="0"/>
    <n v="0"/>
    <n v="13"/>
  </r>
  <r>
    <x v="1660"/>
    <n v="814256"/>
    <s v="SHRAWAN KUMAR"/>
    <n v="179869"/>
    <s v="SHREE BALAJI CEMENT"/>
    <n v="0"/>
    <n v="10"/>
    <n v="0"/>
    <n v="0"/>
    <n v="0"/>
    <n v="0"/>
    <n v="0"/>
    <n v="0"/>
    <n v="0"/>
    <n v="12.5"/>
    <n v="0"/>
    <n v="24"/>
    <n v="46.5"/>
  </r>
  <r>
    <x v="1661"/>
    <n v="814257"/>
    <s v="SHESH KARAN BISHNOI"/>
    <n v="206219"/>
    <s v="SALASAR TRADERS"/>
    <n v="101.5"/>
    <n v="117.65"/>
    <n v="107.5"/>
    <n v="125.25"/>
    <n v="45"/>
    <n v="20"/>
    <n v="0"/>
    <n v="0"/>
    <n v="10"/>
    <n v="0"/>
    <n v="0"/>
    <n v="0"/>
    <n v="526.9"/>
  </r>
  <r>
    <x v="1662"/>
    <n v="814259"/>
    <s v="RAJENDRA GUSAIWAL"/>
    <n v="119208"/>
    <s v="SURAJMAL TANSUKH RAI"/>
    <n v="30"/>
    <n v="15"/>
    <n v="142"/>
    <n v="0"/>
    <n v="0"/>
    <n v="0"/>
    <n v="0"/>
    <n v="0"/>
    <n v="0"/>
    <n v="0"/>
    <n v="0"/>
    <n v="0"/>
    <n v="187"/>
  </r>
  <r>
    <x v="1663"/>
    <n v="814279"/>
    <s v="JAI AAYAL MAA CEMENT"/>
    <n v="177379"/>
    <s v="MANGILAL &amp; SONS"/>
    <n v="25"/>
    <n v="30"/>
    <n v="15"/>
    <n v="70"/>
    <n v="20"/>
    <n v="25"/>
    <n v="25"/>
    <n v="50"/>
    <n v="15"/>
    <n v="140"/>
    <n v="65"/>
    <n v="65"/>
    <n v="545"/>
  </r>
  <r>
    <x v="1664"/>
    <n v="814280"/>
    <s v="NEW SHREE KHETESHWAR BUILDING"/>
    <n v="173224"/>
    <s v="D.R.MARBLE &amp; SANITORY"/>
    <n v="20"/>
    <n v="30"/>
    <n v="46"/>
    <n v="36"/>
    <n v="36"/>
    <n v="47.5"/>
    <n v="40"/>
    <n v="30"/>
    <n v="55"/>
    <n v="35"/>
    <n v="36"/>
    <n v="27.5"/>
    <n v="439"/>
  </r>
  <r>
    <x v="1665"/>
    <n v="814281"/>
    <s v="DEVNARAYAN BUILDING MATERIAL S"/>
    <n v="170617"/>
    <s v="MANGALAM TRADING COMPANY"/>
    <n v="0"/>
    <n v="20"/>
    <n v="0"/>
    <n v="0"/>
    <n v="0"/>
    <n v="22.5"/>
    <n v="25"/>
    <n v="0"/>
    <n v="7.5"/>
    <n v="20"/>
    <n v="0"/>
    <n v="0"/>
    <n v="95"/>
  </r>
  <r>
    <x v="1666"/>
    <n v="814284"/>
    <s v="SHREE TRADING COMPANY"/>
    <n v="176303"/>
    <s v="ASHISH TRADERS"/>
    <n v="0"/>
    <n v="20"/>
    <n v="62.5"/>
    <n v="43"/>
    <n v="32.5"/>
    <n v="23.5"/>
    <n v="61.5"/>
    <n v="18.5"/>
    <n v="25"/>
    <n v="40"/>
    <n v="55"/>
    <n v="52.5"/>
    <n v="434"/>
  </r>
  <r>
    <x v="1667"/>
    <n v="814284"/>
    <s v="SHREE TRADING COMPANY"/>
    <n v="202452"/>
    <s v="MANGLA STEELS AGENCY"/>
    <n v="0"/>
    <n v="0"/>
    <n v="0"/>
    <n v="0"/>
    <n v="0"/>
    <n v="0"/>
    <n v="0"/>
    <n v="0"/>
    <n v="0"/>
    <n v="0"/>
    <n v="0"/>
    <n v="10"/>
    <n v="10"/>
  </r>
  <r>
    <x v="1668"/>
    <n v="814288"/>
    <s v="SHREE BALAJI CEMENT AGENCY"/>
    <n v="140881"/>
    <s v="NAM DEV STONE SUPPLIERS"/>
    <n v="0"/>
    <n v="0"/>
    <n v="25"/>
    <n v="70"/>
    <n v="45"/>
    <n v="20"/>
    <n v="0"/>
    <n v="15"/>
    <n v="35"/>
    <n v="10"/>
    <n v="70"/>
    <n v="30"/>
    <n v="320"/>
  </r>
  <r>
    <x v="1669"/>
    <n v="814290"/>
    <s v="SUIWAL BROTHERS"/>
    <n v="119261"/>
    <s v="DURGESH ENTERPRISES"/>
    <n v="100"/>
    <n v="105"/>
    <n v="50"/>
    <n v="137"/>
    <n v="121.5"/>
    <n v="113.5"/>
    <n v="100.75"/>
    <n v="51"/>
    <n v="81"/>
    <n v="75.25"/>
    <n v="0"/>
    <n v="50.5"/>
    <n v="985.5"/>
  </r>
  <r>
    <x v="1670"/>
    <n v="814297"/>
    <s v="PRASHANT KOTHARI"/>
    <n v="170248"/>
    <s v="MAHAVEER ENTERPRISES"/>
    <n v="10"/>
    <n v="0.75"/>
    <n v="0"/>
    <n v="0"/>
    <n v="27"/>
    <n v="20.5"/>
    <n v="52.5"/>
    <n v="30"/>
    <n v="19"/>
    <n v="0"/>
    <n v="0"/>
    <n v="0"/>
    <n v="159.75"/>
  </r>
  <r>
    <x v="1671"/>
    <n v="814298"/>
    <s v="LEKHRAJ JAIN"/>
    <n v="173749"/>
    <s v="NIDHI ENTERPRISES"/>
    <n v="8.5"/>
    <n v="73"/>
    <n v="135.5"/>
    <n v="87.5"/>
    <n v="85"/>
    <n v="2.5"/>
    <n v="75.55"/>
    <n v="10"/>
    <n v="58"/>
    <n v="50"/>
    <n v="65"/>
    <n v="78"/>
    <n v="728.55"/>
  </r>
  <r>
    <x v="1672"/>
    <n v="814308"/>
    <s v="LUCKY RET STACK"/>
    <n v="204243"/>
    <s v="SHRI SHIVAM TRADERS"/>
    <n v="10"/>
    <n v="35"/>
    <n v="0"/>
    <n v="0"/>
    <n v="10"/>
    <n v="0"/>
    <n v="0"/>
    <n v="0"/>
    <n v="10"/>
    <n v="0"/>
    <n v="0"/>
    <n v="0"/>
    <n v="65"/>
  </r>
  <r>
    <x v="1673"/>
    <n v="814310"/>
    <s v="MANGI LAL"/>
    <n v="205966"/>
    <s v="POKHARNA CEMENT SUPPLIERS"/>
    <n v="10"/>
    <n v="45"/>
    <n v="5"/>
    <n v="1"/>
    <n v="0"/>
    <n v="10"/>
    <n v="0"/>
    <n v="0"/>
    <n v="5.5"/>
    <n v="31.5"/>
    <n v="70"/>
    <n v="33"/>
    <n v="211"/>
  </r>
  <r>
    <x v="1674"/>
    <n v="814311"/>
    <s v="ABHINAV AUTOMOBILES"/>
    <n v="205591"/>
    <s v="ROOP RAJAT TRADING CO"/>
    <n v="0.5"/>
    <n v="10"/>
    <n v="0"/>
    <n v="0"/>
    <n v="21"/>
    <n v="4"/>
    <n v="10"/>
    <n v="10"/>
    <n v="0"/>
    <n v="0"/>
    <n v="0"/>
    <n v="0"/>
    <n v="55.5"/>
  </r>
  <r>
    <x v="1675"/>
    <n v="814330"/>
    <s v="JAY SHREE HARDWARE"/>
    <n v="203455"/>
    <s v="NARAYAN TRADERS"/>
    <n v="41"/>
    <n v="20"/>
    <n v="20"/>
    <n v="10"/>
    <n v="0"/>
    <n v="10"/>
    <n v="20"/>
    <n v="10"/>
    <n v="23"/>
    <n v="0"/>
    <n v="0"/>
    <n v="0"/>
    <n v="154"/>
  </r>
  <r>
    <x v="1676"/>
    <n v="814332"/>
    <s v="BHATI TRADERS &amp; HARDWARE"/>
    <n v="143530"/>
    <s v="BHATI CEMENT AGENCY"/>
    <n v="52"/>
    <n v="95"/>
    <n v="85"/>
    <n v="105"/>
    <n v="61"/>
    <n v="50"/>
    <n v="45"/>
    <n v="31"/>
    <n v="45"/>
    <n v="40"/>
    <n v="70"/>
    <n v="50"/>
    <n v="729"/>
  </r>
  <r>
    <x v="1677"/>
    <n v="814346"/>
    <s v="PATEL SUPPLIERS"/>
    <n v="201162"/>
    <s v="SANDEEP TRADERS"/>
    <n v="80"/>
    <n v="40"/>
    <n v="0"/>
    <n v="25"/>
    <n v="45"/>
    <n v="35"/>
    <n v="40"/>
    <n v="15"/>
    <n v="50"/>
    <n v="85"/>
    <n v="60"/>
    <n v="60"/>
    <n v="535"/>
  </r>
  <r>
    <x v="1678"/>
    <n v="814349"/>
    <s v="SIDDHARTH VYAS"/>
    <n v="172640"/>
    <s v="KUSHAL TRADERS"/>
    <n v="48"/>
    <n v="60"/>
    <n v="30"/>
    <n v="30"/>
    <n v="80"/>
    <n v="77.5"/>
    <n v="63"/>
    <n v="25"/>
    <n v="24.5"/>
    <n v="48"/>
    <n v="0"/>
    <n v="0"/>
    <n v="486"/>
  </r>
  <r>
    <x v="1679"/>
    <n v="814350"/>
    <s v="GAURAV MARBLE"/>
    <n v="175717"/>
    <s v="S S AGRAWAL AND COMPANY"/>
    <n v="10"/>
    <n v="77"/>
    <n v="69"/>
    <n v="121.5"/>
    <n v="32"/>
    <n v="42"/>
    <n v="62"/>
    <n v="35"/>
    <n v="91"/>
    <n v="43"/>
    <n v="70"/>
    <n v="130.5"/>
    <n v="783"/>
  </r>
  <r>
    <x v="1680"/>
    <n v="814376"/>
    <s v="MAHENDRA SINGH TANWAR"/>
    <n v="205004"/>
    <s v="MORCHHARI TRADE LINK"/>
    <n v="95"/>
    <n v="50.4"/>
    <n v="91"/>
    <n v="48"/>
    <n v="57.5"/>
    <n v="65"/>
    <n v="56"/>
    <n v="49.5"/>
    <n v="67"/>
    <n v="44.5"/>
    <n v="24"/>
    <n v="18"/>
    <n v="665.9"/>
  </r>
  <r>
    <x v="1681"/>
    <n v="814377"/>
    <s v="M K TRADERS"/>
    <n v="174357"/>
    <s v="M R TRADERS"/>
    <n v="220"/>
    <n v="91"/>
    <n v="39"/>
    <n v="103.5"/>
    <n v="40"/>
    <n v="0"/>
    <n v="0"/>
    <n v="105"/>
    <n v="15"/>
    <n v="140"/>
    <n v="649"/>
    <n v="584"/>
    <n v="1986.5"/>
  </r>
  <r>
    <x v="1682"/>
    <n v="814378"/>
    <s v="R R GODARA CONSTRUCTION COMPAN"/>
    <n v="119044"/>
    <s v="PANWAR TRADING CORPORATION LTD"/>
    <n v="0"/>
    <n v="35"/>
    <n v="111.5"/>
    <n v="155"/>
    <n v="160"/>
    <n v="45"/>
    <n v="0"/>
    <n v="115"/>
    <n v="30"/>
    <n v="50"/>
    <n v="47.5"/>
    <n v="0"/>
    <n v="749"/>
  </r>
  <r>
    <x v="1683"/>
    <n v="814380"/>
    <s v="BAJRANG CEMENT SUPPLIERS"/>
    <n v="205591"/>
    <s v="ROOP RAJAT TRADING CO"/>
    <n v="0.5"/>
    <n v="7.5"/>
    <n v="0"/>
    <n v="10"/>
    <n v="1"/>
    <n v="4"/>
    <n v="3"/>
    <n v="0"/>
    <n v="0"/>
    <n v="0"/>
    <n v="0"/>
    <n v="0"/>
    <n v="26"/>
  </r>
  <r>
    <x v="1684"/>
    <n v="814381"/>
    <s v="DHAKAD CONSTRUCTION"/>
    <n v="170958"/>
    <s v="JAI SHRI CONSTRUCTION"/>
    <n v="0"/>
    <n v="15"/>
    <n v="0"/>
    <n v="0"/>
    <n v="0"/>
    <n v="0"/>
    <n v="0"/>
    <n v="0"/>
    <n v="30"/>
    <n v="10"/>
    <n v="20"/>
    <n v="57"/>
    <n v="132"/>
  </r>
  <r>
    <x v="1685"/>
    <n v="814386"/>
    <s v="SINDHAL BUILDING MATERIAL"/>
    <n v="205372"/>
    <s v="CHOUHAN BUILDING MATERIAL"/>
    <n v="20"/>
    <n v="34"/>
    <n v="45"/>
    <n v="20"/>
    <n v="30"/>
    <n v="40"/>
    <n v="0"/>
    <n v="0"/>
    <n v="15"/>
    <n v="40"/>
    <n v="45"/>
    <n v="0"/>
    <n v="289"/>
  </r>
  <r>
    <x v="1686"/>
    <n v="814387"/>
    <s v="KHODIYAR CONSTRUCTION &amp; DEVELO"/>
    <n v="119066"/>
    <s v="RAJENDRA KUMAR RATAN LAL JAIN"/>
    <n v="28"/>
    <n v="0"/>
    <n v="0"/>
    <n v="0"/>
    <n v="52"/>
    <n v="53.45"/>
    <n v="1"/>
    <n v="0"/>
    <n v="0"/>
    <n v="45.5"/>
    <n v="0"/>
    <n v="50"/>
    <n v="229.95"/>
  </r>
  <r>
    <x v="1687"/>
    <n v="814388"/>
    <s v="ALFEJ TRADERS"/>
    <n v="170363"/>
    <s v="GOLDEN TRADERS"/>
    <n v="25"/>
    <n v="30"/>
    <n v="0"/>
    <n v="0"/>
    <n v="0"/>
    <n v="0"/>
    <n v="0"/>
    <n v="0"/>
    <n v="0"/>
    <n v="0"/>
    <n v="0"/>
    <n v="0"/>
    <n v="55"/>
  </r>
  <r>
    <x v="1688"/>
    <n v="814390"/>
    <s v="K D STONE"/>
    <n v="170132"/>
    <s v="JAI KOSHLESH TRADING COMPANY"/>
    <n v="107.5"/>
    <n v="83"/>
    <n v="95"/>
    <n v="52.5"/>
    <n v="35"/>
    <n v="0"/>
    <n v="10"/>
    <n v="0"/>
    <n v="95"/>
    <n v="0"/>
    <n v="20"/>
    <n v="0"/>
    <n v="498"/>
  </r>
  <r>
    <x v="1689"/>
    <n v="814397"/>
    <s v="SHANTI LAL SHANKAR JI PUROHIT"/>
    <n v="176773"/>
    <s v="MANIK CHAND LAKHMI CHAND"/>
    <n v="50"/>
    <n v="82.5"/>
    <n v="118"/>
    <n v="75"/>
    <n v="52.5"/>
    <n v="25"/>
    <n v="0"/>
    <n v="62.5"/>
    <n v="132.5"/>
    <n v="70.5"/>
    <n v="75"/>
    <n v="75"/>
    <n v="818.5"/>
  </r>
  <r>
    <x v="1690"/>
    <n v="814401"/>
    <s v="RAJ CEMENT SUPPLIERS"/>
    <n v="119044"/>
    <s v="PANWAR TRADING CORPORATION LTD"/>
    <n v="0"/>
    <n v="0"/>
    <n v="0"/>
    <n v="7.5"/>
    <n v="20"/>
    <n v="0"/>
    <n v="0"/>
    <n v="0"/>
    <n v="0"/>
    <n v="16"/>
    <n v="0"/>
    <n v="0"/>
    <n v="43.5"/>
  </r>
  <r>
    <x v="1691"/>
    <n v="814401"/>
    <s v="RAJ CEMENT SUPPLIERS"/>
    <n v="147640"/>
    <s v="GEDHAR STEEL SHUTTERING"/>
    <n v="0"/>
    <n v="0"/>
    <n v="0"/>
    <n v="0"/>
    <n v="0"/>
    <n v="0"/>
    <n v="0"/>
    <n v="0"/>
    <n v="0"/>
    <n v="70"/>
    <n v="95"/>
    <n v="55"/>
    <n v="220"/>
  </r>
  <r>
    <x v="1692"/>
    <n v="814401"/>
    <s v="RAJ CEMENT SUPPLIERS"/>
    <n v="209212"/>
    <s v="HARIOM SUPPLIERS"/>
    <n v="0"/>
    <n v="0"/>
    <n v="0"/>
    <n v="0"/>
    <n v="0"/>
    <n v="0"/>
    <n v="0"/>
    <n v="10"/>
    <n v="15"/>
    <n v="0"/>
    <n v="0"/>
    <n v="0"/>
    <n v="25"/>
  </r>
  <r>
    <x v="1693"/>
    <n v="814402"/>
    <s v="BHANWAR LAL MARU"/>
    <n v="119160"/>
    <s v="NIKHIL ASSOCIATE"/>
    <n v="22.5"/>
    <n v="62.5"/>
    <n v="50"/>
    <n v="42.5"/>
    <n v="47.5"/>
    <n v="25"/>
    <n v="47.5"/>
    <n v="47.5"/>
    <n v="92.5"/>
    <n v="17.5"/>
    <n v="45"/>
    <n v="0"/>
    <n v="500"/>
  </r>
  <r>
    <x v="1694"/>
    <n v="814414"/>
    <s v="K M STONE SUPPLIERS"/>
    <n v="205591"/>
    <s v="ROOP RAJAT TRADING CO"/>
    <n v="45"/>
    <n v="56"/>
    <n v="120"/>
    <n v="103"/>
    <n v="61"/>
    <n v="4"/>
    <n v="50"/>
    <n v="55"/>
    <n v="162"/>
    <n v="123.5"/>
    <n v="106"/>
    <n v="196"/>
    <n v="1081.5"/>
  </r>
  <r>
    <x v="1695"/>
    <n v="814415"/>
    <s v="DEV KISHAN BALAI"/>
    <n v="204030"/>
    <s v="DEVA LAL KUMAWAT"/>
    <n v="0"/>
    <n v="1"/>
    <n v="0"/>
    <n v="0"/>
    <n v="0"/>
    <n v="1"/>
    <n v="0"/>
    <n v="0"/>
    <n v="1"/>
    <n v="0"/>
    <n v="0"/>
    <n v="0"/>
    <n v="3"/>
  </r>
  <r>
    <x v="1696"/>
    <n v="814416"/>
    <s v="SHRI BALAJI BUILDING MATERIAL"/>
    <n v="177829"/>
    <s v="GARG TRADING COMPANY"/>
    <n v="0"/>
    <n v="0"/>
    <n v="22"/>
    <n v="25.5"/>
    <n v="20"/>
    <n v="0"/>
    <n v="0"/>
    <n v="0"/>
    <n v="0"/>
    <n v="0"/>
    <n v="0"/>
    <n v="0"/>
    <n v="67.5"/>
  </r>
  <r>
    <x v="1697"/>
    <n v="814425"/>
    <s v="ROHIT TRADERS"/>
    <n v="174166"/>
    <s v="NAMOKAR STONE TRADERS"/>
    <n v="121.9"/>
    <n v="42"/>
    <n v="182"/>
    <n v="60"/>
    <n v="40"/>
    <n v="65"/>
    <n v="55"/>
    <n v="20"/>
    <n v="115"/>
    <n v="150"/>
    <n v="113"/>
    <n v="254.8"/>
    <n v="1218.7"/>
  </r>
  <r>
    <x v="1698"/>
    <n v="814431"/>
    <s v="MONU KIRANA STORE"/>
    <n v="170132"/>
    <s v="JAI KOSHLESH TRADING COMPANY"/>
    <n v="147.5"/>
    <n v="45"/>
    <n v="100"/>
    <n v="0"/>
    <n v="30"/>
    <n v="14"/>
    <n v="0"/>
    <n v="10"/>
    <n v="35"/>
    <n v="10"/>
    <n v="35"/>
    <n v="0"/>
    <n v="426.5"/>
  </r>
  <r>
    <x v="1699"/>
    <n v="814433"/>
    <s v="SAI BUILDING MATERIAL AND SUPP"/>
    <n v="206302"/>
    <s v="BALAJI CEMENT AGENCY"/>
    <n v="65.5"/>
    <n v="58"/>
    <n v="73"/>
    <n v="0"/>
    <n v="0"/>
    <n v="0"/>
    <n v="0"/>
    <n v="0"/>
    <n v="0"/>
    <n v="0"/>
    <n v="0"/>
    <n v="0"/>
    <n v="196.5"/>
  </r>
  <r>
    <x v="1700"/>
    <n v="814434"/>
    <s v="BALWANT KUMAR"/>
    <n v="176097"/>
    <s v="GODARA BUILDING MATERIAL STORE"/>
    <n v="20"/>
    <n v="59"/>
    <n v="92.5"/>
    <n v="51.5"/>
    <n v="105"/>
    <n v="97"/>
    <n v="90"/>
    <n v="0"/>
    <n v="120"/>
    <n v="45"/>
    <n v="106.5"/>
    <n v="145"/>
    <n v="931.5"/>
  </r>
  <r>
    <x v="1701"/>
    <n v="814436"/>
    <s v="DEV CEMENT AGENCY"/>
    <n v="143113"/>
    <s v="SHREE RADHE GOPAL TRDERS"/>
    <n v="0"/>
    <n v="0"/>
    <n v="0"/>
    <n v="0"/>
    <n v="0"/>
    <n v="0"/>
    <n v="0"/>
    <n v="0"/>
    <n v="0"/>
    <n v="0"/>
    <n v="0"/>
    <n v="20"/>
    <n v="20"/>
  </r>
  <r>
    <x v="1702"/>
    <n v="814436"/>
    <s v="DEV CEMENT AGENCY"/>
    <n v="173749"/>
    <s v="NIDHI ENTERPRISES"/>
    <n v="17.5"/>
    <n v="16"/>
    <n v="0"/>
    <n v="10"/>
    <n v="9.75"/>
    <n v="2.5"/>
    <n v="10"/>
    <n v="0"/>
    <n v="15"/>
    <n v="30"/>
    <n v="69.5"/>
    <n v="25"/>
    <n v="205.25"/>
  </r>
  <r>
    <x v="1703"/>
    <n v="814441"/>
    <s v="SONAM KHAD BEEJ BHANDAR"/>
    <n v="170132"/>
    <s v="JAI KOSHLESH TRADING COMPANY"/>
    <n v="30"/>
    <n v="42"/>
    <n v="77"/>
    <n v="20"/>
    <n v="15"/>
    <n v="0"/>
    <n v="0"/>
    <n v="0"/>
    <n v="0"/>
    <n v="0"/>
    <n v="0"/>
    <n v="0"/>
    <n v="184"/>
  </r>
  <r>
    <x v="1704"/>
    <n v="814444"/>
    <s v="KISSAN CEMENT AGENCY"/>
    <n v="175939"/>
    <s v="SHRI GURUNANAK CEMENT AGENCIES"/>
    <n v="25"/>
    <n v="56.5"/>
    <n v="75"/>
    <n v="80.3"/>
    <n v="65"/>
    <n v="19.149999999999999"/>
    <n v="25"/>
    <n v="30"/>
    <n v="96"/>
    <n v="87.5"/>
    <n v="35"/>
    <n v="90"/>
    <n v="684.45"/>
  </r>
  <r>
    <x v="1705"/>
    <n v="814445"/>
    <s v="SHREE VISHWAKARMA BUILDING MAT"/>
    <n v="145353"/>
    <s v="SHREE SARAS CORPORATION"/>
    <n v="0"/>
    <n v="0"/>
    <n v="65"/>
    <n v="165"/>
    <n v="212"/>
    <n v="80"/>
    <n v="0"/>
    <n v="45"/>
    <n v="60"/>
    <n v="50"/>
    <n v="50"/>
    <n v="180"/>
    <n v="907"/>
  </r>
  <r>
    <x v="1706"/>
    <n v="814446"/>
    <s v="JAGDISH KUMAR KASOTA"/>
    <n v="205966"/>
    <s v="POKHARNA CEMENT SUPPLIERS"/>
    <n v="0"/>
    <n v="0"/>
    <n v="0"/>
    <n v="6"/>
    <n v="0"/>
    <n v="0"/>
    <n v="0"/>
    <n v="0"/>
    <n v="0"/>
    <n v="0"/>
    <n v="0"/>
    <n v="5"/>
    <n v="11"/>
  </r>
  <r>
    <x v="1707"/>
    <n v="814447"/>
    <s v="YADAV CEMENT AGENCY"/>
    <n v="140927"/>
    <s v="SHIV CHARAN LAL RAKESH KUMAR"/>
    <n v="10"/>
    <n v="13"/>
    <n v="0"/>
    <n v="57"/>
    <n v="20"/>
    <n v="20"/>
    <n v="20"/>
    <n v="30"/>
    <n v="18"/>
    <n v="10"/>
    <n v="30"/>
    <n v="42.5"/>
    <n v="270.5"/>
  </r>
  <r>
    <x v="1708"/>
    <n v="814456"/>
    <s v="NANA LAL JAIN"/>
    <n v="203600"/>
    <s v="MANISH CEMENT AGENCY"/>
    <n v="20"/>
    <n v="40"/>
    <n v="20"/>
    <n v="20"/>
    <n v="10"/>
    <n v="10"/>
    <n v="4"/>
    <n v="10"/>
    <n v="16"/>
    <n v="18"/>
    <n v="10"/>
    <n v="20"/>
    <n v="198"/>
  </r>
  <r>
    <x v="1709"/>
    <n v="814457"/>
    <s v="JITENDRA SUTHAR"/>
    <n v="203600"/>
    <s v="MANISH CEMENT AGENCY"/>
    <n v="21"/>
    <n v="10"/>
    <n v="10"/>
    <n v="20"/>
    <n v="30"/>
    <n v="10"/>
    <n v="30"/>
    <n v="35"/>
    <n v="50"/>
    <n v="50"/>
    <n v="35"/>
    <n v="58"/>
    <n v="359"/>
  </r>
  <r>
    <x v="1710"/>
    <n v="814458"/>
    <s v="KRISHNA BUILDERS"/>
    <n v="177093"/>
    <s v="CHOUDHARY TRADERS"/>
    <n v="0"/>
    <n v="18.75"/>
    <n v="20"/>
    <n v="7.5"/>
    <n v="0"/>
    <n v="0"/>
    <n v="0"/>
    <n v="5"/>
    <n v="20"/>
    <n v="0"/>
    <n v="0"/>
    <n v="0"/>
    <n v="71.25"/>
  </r>
  <r>
    <x v="1711"/>
    <n v="814459"/>
    <s v="S L IRON STORE"/>
    <n v="172942"/>
    <s v="LAXMI IRON STORE"/>
    <n v="108"/>
    <n v="70.5"/>
    <n v="138"/>
    <n v="112"/>
    <n v="119"/>
    <n v="157.5"/>
    <n v="110"/>
    <n v="88"/>
    <n v="158"/>
    <n v="86.5"/>
    <n v="45"/>
    <n v="65"/>
    <n v="1257.5"/>
  </r>
  <r>
    <x v="1712"/>
    <n v="814470"/>
    <s v="FALODI CONSTRUCTION"/>
    <n v="178150"/>
    <s v="FALODI KIRANA STORE"/>
    <n v="62"/>
    <n v="130"/>
    <n v="55"/>
    <n v="114.5"/>
    <n v="110"/>
    <n v="167.5"/>
    <n v="62.5"/>
    <n v="45"/>
    <n v="155"/>
    <n v="105"/>
    <n v="70"/>
    <n v="34.5"/>
    <n v="1111"/>
  </r>
  <r>
    <x v="1713"/>
    <n v="814481"/>
    <s v="DHAKAD KRISHI SEVA KENDRA"/>
    <n v="170958"/>
    <s v="JAI SHRI CONSTRUCTION"/>
    <n v="0"/>
    <n v="55"/>
    <n v="80"/>
    <n v="25"/>
    <n v="0"/>
    <n v="0"/>
    <n v="0"/>
    <n v="0"/>
    <n v="0"/>
    <n v="0"/>
    <n v="0"/>
    <n v="0"/>
    <n v="160"/>
  </r>
  <r>
    <x v="1714"/>
    <n v="814482"/>
    <s v="BISHANLAL KHAD BEEJ BHANDAR"/>
    <n v="170204"/>
    <s v="GOYAL BUILDING MATERIAL"/>
    <n v="0"/>
    <n v="55"/>
    <n v="36.5"/>
    <n v="57"/>
    <n v="50"/>
    <n v="55"/>
    <n v="0"/>
    <n v="22"/>
    <n v="0"/>
    <n v="0"/>
    <n v="57"/>
    <n v="121"/>
    <n v="453.5"/>
  </r>
  <r>
    <x v="1715"/>
    <n v="814483"/>
    <s v="NAGAR ENTERPRISES"/>
    <n v="207977"/>
    <s v="YASH TRADERS"/>
    <n v="0"/>
    <n v="10"/>
    <n v="0"/>
    <n v="0"/>
    <n v="0"/>
    <n v="6"/>
    <n v="5"/>
    <n v="0"/>
    <n v="0"/>
    <n v="0"/>
    <n v="0"/>
    <n v="0"/>
    <n v="21"/>
  </r>
  <r>
    <x v="1716"/>
    <n v="814484"/>
    <s v="GOLANIA TRADERS"/>
    <n v="202225"/>
    <s v="ASTOLIA INDUSTRIES"/>
    <n v="47.5"/>
    <n v="25"/>
    <n v="25"/>
    <n v="25"/>
    <n v="0"/>
    <n v="15"/>
    <n v="40.5"/>
    <n v="0"/>
    <n v="20"/>
    <n v="40"/>
    <n v="35"/>
    <n v="134"/>
    <n v="407"/>
  </r>
  <r>
    <x v="1717"/>
    <n v="814494"/>
    <s v="KASANA BUILDING MATERIAL"/>
    <n v="205192"/>
    <s v="KRISHNA TRADERS"/>
    <n v="35"/>
    <n v="25"/>
    <n v="105"/>
    <n v="60"/>
    <n v="0"/>
    <n v="0"/>
    <n v="0"/>
    <n v="0"/>
    <n v="0"/>
    <n v="0"/>
    <n v="0"/>
    <n v="0"/>
    <n v="225"/>
  </r>
  <r>
    <x v="1718"/>
    <n v="814496"/>
    <s v="MINAXI TRADERS"/>
    <n v="170146"/>
    <s v="KASLIWAL KRISHI SEWA KENDRA"/>
    <n v="105"/>
    <n v="25"/>
    <n v="144.5"/>
    <n v="0"/>
    <n v="0"/>
    <n v="14"/>
    <n v="27"/>
    <n v="0"/>
    <n v="122"/>
    <n v="14.5"/>
    <n v="45"/>
    <n v="10"/>
    <n v="507"/>
  </r>
  <r>
    <x v="1719"/>
    <n v="814497"/>
    <s v="SHRI GANESH BUILDING MATERIAL"/>
    <n v="170146"/>
    <s v="KASLIWAL KRISHI SEWA KENDRA"/>
    <n v="0"/>
    <n v="56"/>
    <n v="40"/>
    <n v="15"/>
    <n v="15"/>
    <n v="0"/>
    <n v="15"/>
    <n v="0"/>
    <n v="25"/>
    <n v="20"/>
    <n v="35"/>
    <n v="5"/>
    <n v="226"/>
  </r>
  <r>
    <x v="1720"/>
    <n v="814498"/>
    <s v="MODERN STEEL AND CEMENT AGENCY"/>
    <n v="174166"/>
    <s v="NAMOKAR STONE TRADERS"/>
    <n v="10"/>
    <n v="45"/>
    <n v="56.5"/>
    <n v="60"/>
    <n v="20"/>
    <n v="0"/>
    <n v="0"/>
    <n v="0"/>
    <n v="0"/>
    <n v="0"/>
    <n v="0"/>
    <n v="0"/>
    <n v="191.5"/>
  </r>
  <r>
    <x v="1721"/>
    <n v="814499"/>
    <s v="YADAV CEMENT AGENCY"/>
    <n v="171479"/>
    <s v="YADAV TRADING COMPANY"/>
    <n v="137.5"/>
    <n v="203"/>
    <n v="205.5"/>
    <n v="218"/>
    <n v="207.5"/>
    <n v="140"/>
    <n v="162.5"/>
    <n v="77"/>
    <n v="117.5"/>
    <n v="37.5"/>
    <n v="50"/>
    <n v="52.5"/>
    <n v="1608.5"/>
  </r>
  <r>
    <x v="1722"/>
    <n v="814503"/>
    <s v="CHHITAR MAL KUMAWAT"/>
    <n v="143416"/>
    <s v="ANKIT AGENCIES"/>
    <n v="0"/>
    <n v="0"/>
    <n v="0"/>
    <n v="10"/>
    <n v="0"/>
    <n v="0"/>
    <n v="0"/>
    <n v="0"/>
    <n v="0"/>
    <n v="0"/>
    <n v="0"/>
    <n v="0"/>
    <n v="10"/>
  </r>
  <r>
    <x v="1723"/>
    <n v="814503"/>
    <s v="CHHITAR MAL KUMAWAT"/>
    <n v="177957"/>
    <s v="MITTAL AGENCY"/>
    <n v="26.25"/>
    <n v="0"/>
    <n v="23.5"/>
    <n v="26.6"/>
    <n v="20"/>
    <n v="30.5"/>
    <n v="0"/>
    <n v="29.5"/>
    <n v="66.5"/>
    <n v="27.5"/>
    <n v="22.3"/>
    <n v="20"/>
    <n v="292.64999999999998"/>
  </r>
  <r>
    <x v="1724"/>
    <n v="814504"/>
    <s v="MAHAKAL ENTERPRISES"/>
    <n v="170958"/>
    <s v="JAI SHRI CONSTRUCTION"/>
    <n v="0"/>
    <n v="55"/>
    <n v="25"/>
    <n v="0"/>
    <n v="0"/>
    <n v="0"/>
    <n v="0"/>
    <n v="0"/>
    <n v="0"/>
    <n v="0"/>
    <n v="0"/>
    <n v="0"/>
    <n v="80"/>
  </r>
  <r>
    <x v="1725"/>
    <n v="814505"/>
    <s v="GANPATI BUILDING MATERIAL"/>
    <n v="147364"/>
    <s v="RAJASTHAN ROYAL BUILDHOME SOLU"/>
    <n v="35.5"/>
    <n v="10"/>
    <n v="10"/>
    <n v="0"/>
    <n v="0"/>
    <n v="0"/>
    <n v="0"/>
    <n v="0"/>
    <n v="0"/>
    <n v="0"/>
    <n v="0"/>
    <n v="0"/>
    <n v="55.5"/>
  </r>
  <r>
    <x v="1726"/>
    <n v="814505"/>
    <s v="GANPATI BUILDING MATERIAL"/>
    <n v="204034"/>
    <s v="PATEL CEMENT SUPPLIERS"/>
    <n v="0"/>
    <n v="0"/>
    <n v="0"/>
    <n v="0"/>
    <n v="0"/>
    <n v="0"/>
    <n v="0"/>
    <n v="0"/>
    <n v="0"/>
    <n v="0"/>
    <n v="0"/>
    <n v="10"/>
    <n v="10"/>
  </r>
  <r>
    <x v="1727"/>
    <n v="814506"/>
    <s v="CHAWANDA TRADERS"/>
    <n v="205591"/>
    <s v="ROOP RAJAT TRADING CO"/>
    <n v="97"/>
    <n v="127"/>
    <n v="137"/>
    <n v="70"/>
    <n v="51.75"/>
    <n v="66.5"/>
    <n v="40"/>
    <n v="25"/>
    <n v="71"/>
    <n v="90.5"/>
    <n v="60"/>
    <n v="75.75"/>
    <n v="911.5"/>
  </r>
  <r>
    <x v="1728"/>
    <n v="814507"/>
    <s v="RAJARAM KUMAWAT"/>
    <n v="173611"/>
    <s v="AMBIKA TRADERS"/>
    <n v="30"/>
    <n v="10"/>
    <n v="0"/>
    <n v="10"/>
    <n v="0"/>
    <n v="0"/>
    <n v="10"/>
    <n v="20"/>
    <n v="10"/>
    <n v="0"/>
    <n v="0"/>
    <n v="0"/>
    <n v="90"/>
  </r>
  <r>
    <x v="1729"/>
    <n v="814514"/>
    <s v="DALPAT SINGH"/>
    <n v="209702"/>
    <s v="ANNAPURNA DEVELOPERS"/>
    <n v="0"/>
    <n v="0"/>
    <n v="0"/>
    <n v="0"/>
    <n v="0"/>
    <n v="0"/>
    <n v="0"/>
    <n v="0"/>
    <n v="0"/>
    <n v="0"/>
    <n v="34"/>
    <n v="0"/>
    <n v="34"/>
  </r>
  <r>
    <x v="1730"/>
    <n v="814521"/>
    <s v="TEENA BUILDING MATERIAL SUPPLI"/>
    <n v="143416"/>
    <s v="ANKIT AGENCIES"/>
    <n v="93.35"/>
    <n v="62.75"/>
    <n v="71.75"/>
    <n v="109.5"/>
    <n v="128.5"/>
    <n v="116.5"/>
    <n v="64"/>
    <n v="64.75"/>
    <n v="88.25"/>
    <n v="84.5"/>
    <n v="98"/>
    <n v="117.75"/>
    <n v="1099.5999999999999"/>
  </r>
  <r>
    <x v="1731"/>
    <n v="814522"/>
    <s v="BALAJI CEMENT AGENCY"/>
    <n v="143416"/>
    <s v="ANKIT AGENCIES"/>
    <n v="0"/>
    <n v="0"/>
    <n v="0"/>
    <n v="0"/>
    <n v="0"/>
    <n v="0"/>
    <n v="0"/>
    <n v="0"/>
    <n v="0"/>
    <n v="0"/>
    <n v="0"/>
    <n v="10"/>
    <n v="10"/>
  </r>
  <r>
    <x v="1732"/>
    <n v="814522"/>
    <s v="BALAJI CEMENT AGENCY"/>
    <n v="207977"/>
    <s v="YASH TRADERS"/>
    <n v="0"/>
    <n v="0"/>
    <n v="0"/>
    <n v="9.5"/>
    <n v="0"/>
    <n v="6"/>
    <n v="5"/>
    <n v="10"/>
    <n v="40"/>
    <n v="0"/>
    <n v="10"/>
    <n v="0"/>
    <n v="80.5"/>
  </r>
  <r>
    <x v="1733"/>
    <n v="814524"/>
    <s v="NEW AMAN BUILDING MATERIAL"/>
    <n v="170204"/>
    <s v="GOYAL BUILDING MATERIAL"/>
    <n v="0"/>
    <n v="0"/>
    <n v="0"/>
    <n v="2"/>
    <n v="0"/>
    <n v="0"/>
    <n v="0"/>
    <n v="0"/>
    <n v="0"/>
    <n v="0"/>
    <n v="0"/>
    <n v="0"/>
    <n v="2"/>
  </r>
  <r>
    <x v="1734"/>
    <n v="814528"/>
    <s v="SHIVANSH TRADERS"/>
    <n v="141512"/>
    <s v="MISHRA TRADERS"/>
    <n v="186"/>
    <n v="156"/>
    <n v="180"/>
    <n v="162.44999999999999"/>
    <n v="90.5"/>
    <n v="32.35"/>
    <n v="159"/>
    <n v="116.1"/>
    <n v="183.25"/>
    <n v="88.75"/>
    <n v="96.5"/>
    <n v="412.59999999999997"/>
    <n v="1863.5"/>
  </r>
  <r>
    <x v="1735"/>
    <n v="814530"/>
    <s v="SAI TRADERS"/>
    <n v="172597"/>
    <s v="SONU TRADERS"/>
    <n v="62.5"/>
    <n v="0"/>
    <n v="10"/>
    <n v="0"/>
    <n v="12.5"/>
    <n v="12.5"/>
    <n v="0"/>
    <n v="0"/>
    <n v="0"/>
    <n v="0"/>
    <n v="0"/>
    <n v="0"/>
    <n v="97.5"/>
  </r>
  <r>
    <x v="1736"/>
    <n v="814539"/>
    <s v="ARIHANT TRADERS"/>
    <n v="201654"/>
    <s v="GARG TRADERS"/>
    <n v="10"/>
    <n v="70"/>
    <n v="20"/>
    <n v="0"/>
    <n v="0"/>
    <n v="0"/>
    <n v="0"/>
    <n v="0"/>
    <n v="0"/>
    <n v="0"/>
    <n v="0"/>
    <n v="0"/>
    <n v="100"/>
  </r>
  <r>
    <x v="1737"/>
    <n v="814540"/>
    <s v="VED (MP) CEMENT AGENCY"/>
    <n v="140927"/>
    <s v="SHIV CHARAN LAL RAKESH KUMAR"/>
    <n v="0"/>
    <n v="0"/>
    <n v="0"/>
    <n v="0"/>
    <n v="0"/>
    <n v="0"/>
    <n v="0"/>
    <n v="10"/>
    <n v="0"/>
    <n v="0"/>
    <n v="0"/>
    <n v="0"/>
    <n v="10"/>
  </r>
  <r>
    <x v="1738"/>
    <n v="814540"/>
    <s v="VED (MP) CEMENT AGENCY"/>
    <n v="202479"/>
    <s v="SHIKHA ENTERPRSIES"/>
    <n v="38"/>
    <n v="20"/>
    <n v="30"/>
    <n v="52.5"/>
    <n v="30"/>
    <n v="55"/>
    <n v="37"/>
    <n v="27"/>
    <n v="108"/>
    <n v="10"/>
    <n v="50"/>
    <n v="45.5"/>
    <n v="503"/>
  </r>
  <r>
    <x v="1739"/>
    <n v="814541"/>
    <s v="RUDRA TRADERS"/>
    <n v="141512"/>
    <s v="MISHRA TRADERS"/>
    <n v="30"/>
    <n v="4.75"/>
    <n v="20"/>
    <n v="0"/>
    <n v="13.8"/>
    <n v="5"/>
    <n v="43"/>
    <n v="30"/>
    <n v="30"/>
    <n v="0"/>
    <n v="0"/>
    <n v="51"/>
    <n v="227.55"/>
  </r>
  <r>
    <x v="1740"/>
    <n v="814545"/>
    <s v="SRIRAM CEMENT AGENCY"/>
    <n v="149765"/>
    <s v="ARORA CEMENT AGENCY"/>
    <n v="35"/>
    <n v="50"/>
    <n v="40"/>
    <n v="20"/>
    <n v="30"/>
    <n v="30"/>
    <n v="50"/>
    <n v="10"/>
    <n v="25"/>
    <n v="15"/>
    <n v="20"/>
    <n v="76"/>
    <n v="401"/>
  </r>
  <r>
    <x v="1741"/>
    <n v="814577"/>
    <s v="KRISHNA PLYWOOD &amp; HARDWARE"/>
    <n v="119066"/>
    <s v="RAJENDRA KUMAR RATAN LAL JAIN"/>
    <n v="0"/>
    <n v="0"/>
    <n v="0"/>
    <n v="0"/>
    <n v="0"/>
    <n v="0"/>
    <n v="1"/>
    <n v="0"/>
    <n v="75"/>
    <n v="0"/>
    <n v="0"/>
    <n v="50"/>
    <n v="126"/>
  </r>
  <r>
    <x v="1742"/>
    <n v="814593"/>
    <s v="BHOLU SINGH CEMENT SUPPLIERS"/>
    <n v="207907"/>
    <s v="NARSINGH KHAAD BEEJ BHANDAR"/>
    <n v="0"/>
    <n v="50"/>
    <n v="47.5"/>
    <n v="20"/>
    <n v="20"/>
    <n v="10"/>
    <n v="48"/>
    <n v="38.5"/>
    <n v="85"/>
    <n v="29"/>
    <n v="72.5"/>
    <n v="0"/>
    <n v="420.5"/>
  </r>
  <r>
    <x v="1743"/>
    <n v="814594"/>
    <s v="AAYUSH ENTERPRISES"/>
    <n v="174166"/>
    <s v="NAMOKAR STONE TRADERS"/>
    <n v="0"/>
    <n v="5"/>
    <n v="16.5"/>
    <n v="0"/>
    <n v="22.5"/>
    <n v="17.5"/>
    <n v="30"/>
    <n v="10"/>
    <n v="48"/>
    <n v="31"/>
    <n v="44.5"/>
    <n v="178.55"/>
    <n v="403.55"/>
  </r>
  <r>
    <x v="1744"/>
    <n v="814595"/>
    <s v="NAGAR KIRANA STORE"/>
    <n v="171887"/>
    <s v="CHOHAN CEMENT AGENCY"/>
    <n v="30"/>
    <n v="58"/>
    <n v="62"/>
    <n v="30"/>
    <n v="13"/>
    <n v="20"/>
    <n v="15"/>
    <n v="10"/>
    <n v="77.5"/>
    <n v="57"/>
    <n v="41.5"/>
    <n v="20"/>
    <n v="434"/>
  </r>
  <r>
    <x v="1745"/>
    <n v="814596"/>
    <s v="MADHAV LAL &amp; SONS"/>
    <n v="172084"/>
    <s v="PRAJAPATI BUILDING MATERIAL"/>
    <n v="50"/>
    <n v="70"/>
    <n v="95"/>
    <n v="89"/>
    <n v="55"/>
    <n v="95"/>
    <n v="85"/>
    <n v="25"/>
    <n v="125"/>
    <n v="60"/>
    <n v="91"/>
    <n v="70"/>
    <n v="910"/>
  </r>
  <r>
    <x v="1746"/>
    <n v="814602"/>
    <s v="ROSHAN SAINI"/>
    <n v="206933"/>
    <s v="RAHUL SALES"/>
    <n v="49"/>
    <n v="56"/>
    <n v="70"/>
    <n v="105"/>
    <n v="85"/>
    <n v="90.5"/>
    <n v="71"/>
    <n v="67.5"/>
    <n v="85.5"/>
    <n v="81.5"/>
    <n v="107.5"/>
    <n v="74.900000000000006"/>
    <n v="943.4"/>
  </r>
  <r>
    <x v="1747"/>
    <n v="814603"/>
    <s v="NILKANTH CONSTRUCTION"/>
    <n v="179755"/>
    <s v="R &amp; K ENTERPRISES"/>
    <n v="10"/>
    <n v="0"/>
    <n v="30"/>
    <n v="30"/>
    <n v="22.5"/>
    <n v="35"/>
    <n v="34"/>
    <n v="10"/>
    <n v="41.5"/>
    <n v="36"/>
    <n v="58.5"/>
    <n v="126"/>
    <n v="433.5"/>
  </r>
  <r>
    <x v="1748"/>
    <n v="814623"/>
    <s v="GANESH"/>
    <n v="173748"/>
    <s v="LAMPS SARADA"/>
    <n v="20"/>
    <n v="20"/>
    <n v="25"/>
    <n v="15"/>
    <n v="10"/>
    <n v="27.5"/>
    <n v="0"/>
    <n v="15"/>
    <n v="7.5"/>
    <n v="10"/>
    <n v="15"/>
    <n v="10"/>
    <n v="175"/>
  </r>
  <r>
    <x v="1749"/>
    <n v="814625"/>
    <s v="SHRI RAM FERTILIZER"/>
    <n v="207977"/>
    <s v="YASH TRADERS"/>
    <n v="10"/>
    <n v="0"/>
    <n v="20"/>
    <n v="45"/>
    <n v="30"/>
    <n v="20"/>
    <n v="25"/>
    <n v="10"/>
    <n v="5"/>
    <n v="0"/>
    <n v="10"/>
    <n v="41.5"/>
    <n v="216.5"/>
  </r>
  <r>
    <x v="1750"/>
    <n v="814631"/>
    <s v="SATYANARAYAN VAISHNAV"/>
    <n v="206529"/>
    <s v="GOPAL KRISHAN DHUPPAD"/>
    <n v="50"/>
    <n v="66.5"/>
    <n v="134"/>
    <n v="85.5"/>
    <n v="128.5"/>
    <n v="47"/>
    <n v="70"/>
    <n v="11"/>
    <n v="43"/>
    <n v="21"/>
    <n v="31"/>
    <n v="32"/>
    <n v="719.5"/>
  </r>
  <r>
    <x v="1751"/>
    <n v="814638"/>
    <s v="PANKAJ KUMAR BUILDING MATERIAL"/>
    <n v="119044"/>
    <s v="PANWAR TRADING CORPORATION LTD"/>
    <n v="7.5"/>
    <n v="0"/>
    <n v="2.5"/>
    <n v="0"/>
    <n v="0"/>
    <n v="0"/>
    <n v="0"/>
    <n v="0"/>
    <n v="0"/>
    <n v="0"/>
    <n v="0"/>
    <n v="0"/>
    <n v="10"/>
  </r>
  <r>
    <x v="1752"/>
    <n v="814639"/>
    <s v="VIKRAM ACHARYA"/>
    <n v="144750"/>
    <s v="ACHARYA TRADERS"/>
    <n v="34"/>
    <n v="10"/>
    <n v="5"/>
    <n v="28.95"/>
    <n v="20"/>
    <n v="22.5"/>
    <n v="17.5"/>
    <n v="10"/>
    <n v="22"/>
    <n v="18"/>
    <n v="20"/>
    <n v="30"/>
    <n v="237.95"/>
  </r>
  <r>
    <x v="1753"/>
    <n v="814641"/>
    <s v="DINESH KUMAR AND BROTHERS"/>
    <n v="205992"/>
    <s v="SISPURIA BUILDING MATERIAL"/>
    <n v="39.450000000000003"/>
    <n v="53"/>
    <n v="99.5"/>
    <n v="67.5"/>
    <n v="35"/>
    <n v="10"/>
    <n v="0"/>
    <n v="21.5"/>
    <n v="37.299999999999997"/>
    <n v="58.4"/>
    <n v="10"/>
    <n v="21"/>
    <n v="452.65"/>
  </r>
  <r>
    <x v="1754"/>
    <n v="814643"/>
    <s v="SHIV STONE AND BUILDING MATERI"/>
    <n v="140855"/>
    <s v="MAHALAXMI CEMENT SUPPLIERS"/>
    <n v="77"/>
    <n v="57"/>
    <n v="89.5"/>
    <n v="83.5"/>
    <n v="62"/>
    <n v="15"/>
    <n v="30"/>
    <n v="30"/>
    <n v="50.5"/>
    <n v="10"/>
    <n v="25"/>
    <n v="80"/>
    <n v="609.5"/>
  </r>
  <r>
    <x v="1755"/>
    <n v="814651"/>
    <s v="SHREE SHYAM BUILDING MATERIAL"/>
    <n v="141146"/>
    <s v="KEDIA TRADING COMPANY"/>
    <n v="77.25"/>
    <n v="78.5"/>
    <n v="101.25"/>
    <n v="58"/>
    <n v="73"/>
    <n v="55.25"/>
    <n v="47"/>
    <n v="25"/>
    <n v="40.75"/>
    <n v="16"/>
    <n v="48.25"/>
    <n v="53.4"/>
    <n v="673.65"/>
  </r>
  <r>
    <x v="1756"/>
    <n v="814655"/>
    <s v="JAI BHERUNATH BUILDING MATERIA"/>
    <n v="170228"/>
    <s v="SHRI RAM TRADERS"/>
    <n v="0"/>
    <n v="0"/>
    <n v="0"/>
    <n v="10"/>
    <n v="10"/>
    <n v="0"/>
    <n v="0"/>
    <n v="0"/>
    <n v="0"/>
    <n v="0"/>
    <n v="0"/>
    <n v="0"/>
    <n v="20"/>
  </r>
  <r>
    <x v="1757"/>
    <n v="814655"/>
    <s v="JAI BHERUNATH BUILDING MATERIA"/>
    <n v="206980"/>
    <s v="SHREE KARNI ENTERPRISES"/>
    <n v="20"/>
    <n v="0"/>
    <n v="10"/>
    <n v="0"/>
    <n v="0"/>
    <n v="0"/>
    <n v="0"/>
    <n v="0"/>
    <n v="0"/>
    <n v="0"/>
    <n v="0"/>
    <n v="0"/>
    <n v="30"/>
  </r>
  <r>
    <x v="1758"/>
    <n v="814661"/>
    <s v="JAI BHAWANI TENT HOUSE"/>
    <n v="173224"/>
    <s v="D.R.MARBLE &amp; SANITORY"/>
    <n v="20"/>
    <n v="40"/>
    <n v="35"/>
    <n v="41"/>
    <n v="30"/>
    <n v="15"/>
    <n v="15"/>
    <n v="15"/>
    <n v="40"/>
    <n v="0"/>
    <n v="22.5"/>
    <n v="20"/>
    <n v="293.5"/>
  </r>
  <r>
    <x v="1759"/>
    <n v="814665"/>
    <s v="BHURANI SMM TRADERS"/>
    <n v="178230"/>
    <s v="SHREE RADHEY BUILDING MATERIAL"/>
    <n v="10"/>
    <n v="0"/>
    <n v="0"/>
    <n v="0"/>
    <n v="0"/>
    <n v="0"/>
    <n v="0"/>
    <n v="0"/>
    <n v="0"/>
    <n v="0"/>
    <n v="0"/>
    <n v="0"/>
    <n v="10"/>
  </r>
  <r>
    <x v="1760"/>
    <n v="814667"/>
    <s v="SHARDA BUILDING MATERIAL"/>
    <n v="177379"/>
    <s v="MANGILAL &amp; SONS"/>
    <n v="0"/>
    <n v="0"/>
    <n v="0"/>
    <n v="25"/>
    <n v="15"/>
    <n v="0"/>
    <n v="0"/>
    <n v="0"/>
    <n v="0"/>
    <n v="20"/>
    <n v="25"/>
    <n v="0"/>
    <n v="85"/>
  </r>
  <r>
    <x v="1761"/>
    <n v="814668"/>
    <s v="PRAKASH BHAGTANI"/>
    <n v="171662"/>
    <s v="CHHABRA STONES"/>
    <n v="0"/>
    <n v="0"/>
    <n v="10"/>
    <n v="0"/>
    <n v="0"/>
    <n v="0"/>
    <n v="0"/>
    <n v="0"/>
    <n v="0"/>
    <n v="0"/>
    <n v="0"/>
    <n v="0"/>
    <n v="10"/>
  </r>
  <r>
    <x v="1762"/>
    <n v="814670"/>
    <s v="JAI SHRI RADHE RADHE TRADERS"/>
    <n v="170149"/>
    <s v="ASHOK TRADING  COMPANY"/>
    <n v="37.5"/>
    <n v="27.5"/>
    <n v="71"/>
    <n v="70"/>
    <n v="15"/>
    <n v="10"/>
    <n v="10"/>
    <n v="10"/>
    <n v="52.5"/>
    <n v="15"/>
    <n v="50"/>
    <n v="35"/>
    <n v="403.5"/>
  </r>
  <r>
    <x v="1763"/>
    <n v="814671"/>
    <s v="SHRI GOMTI BM &amp; SUPPLIERS"/>
    <n v="119023"/>
    <s v="AGARWAL MACHINERY STORES"/>
    <n v="100.5"/>
    <n v="116"/>
    <n v="211"/>
    <n v="130"/>
    <n v="139"/>
    <n v="167.5"/>
    <n v="149"/>
    <n v="139"/>
    <n v="218.5"/>
    <n v="160.5"/>
    <n v="113.5"/>
    <n v="172"/>
    <n v="1816.5"/>
  </r>
  <r>
    <x v="1764"/>
    <n v="814672"/>
    <s v="SIYAL BUILDING MATERIAL"/>
    <n v="142843"/>
    <s v="GURUNANAK IRON STORE"/>
    <n v="0"/>
    <n v="19.5"/>
    <n v="128"/>
    <n v="77.5"/>
    <n v="126.15"/>
    <n v="70.95"/>
    <n v="42"/>
    <n v="46.5"/>
    <n v="65.900000000000006"/>
    <n v="90"/>
    <n v="106"/>
    <n v="133"/>
    <n v="905.5"/>
  </r>
  <r>
    <x v="1765"/>
    <n v="814676"/>
    <s v="BEMATA ENTERPRISES"/>
    <n v="175049"/>
    <s v="KASHISH ENTERPRISES"/>
    <n v="25"/>
    <n v="16"/>
    <n v="50"/>
    <n v="32.5"/>
    <n v="32"/>
    <n v="25"/>
    <n v="0"/>
    <n v="16"/>
    <n v="26"/>
    <n v="36"/>
    <n v="43"/>
    <n v="20"/>
    <n v="321.5"/>
  </r>
  <r>
    <x v="1766"/>
    <n v="814679"/>
    <s v="RUPLAL JAT"/>
    <n v="178003"/>
    <s v="SHREE JI BUILDING MATERIAL SUP"/>
    <n v="93.5"/>
    <n v="166"/>
    <n v="127.75"/>
    <n v="107.75"/>
    <n v="156.5"/>
    <n v="21.75"/>
    <n v="85"/>
    <n v="41.5"/>
    <n v="147.5"/>
    <n v="98.25"/>
    <n v="91"/>
    <n v="99.5"/>
    <n v="1236"/>
  </r>
  <r>
    <x v="1767"/>
    <n v="814681"/>
    <s v="JAI BHAWANI BUILDING MATERIAL"/>
    <n v="144243"/>
    <s v="SHRI SHYAM TRADING COMPANY"/>
    <n v="22.5"/>
    <n v="5"/>
    <n v="30"/>
    <n v="38.5"/>
    <n v="13"/>
    <n v="3.5"/>
    <n v="10"/>
    <n v="6.75"/>
    <n v="0"/>
    <n v="0"/>
    <n v="2.5"/>
    <n v="0"/>
    <n v="131.75"/>
  </r>
  <r>
    <x v="1768"/>
    <n v="814683"/>
    <s v="JAGDISH SUTHAR"/>
    <n v="205591"/>
    <s v="ROOP RAJAT TRADING CO"/>
    <n v="71"/>
    <n v="24"/>
    <n v="132.75"/>
    <n v="50"/>
    <n v="72.5"/>
    <n v="54"/>
    <n v="10"/>
    <n v="51.5"/>
    <n v="72.5"/>
    <n v="72.5"/>
    <n v="75"/>
    <n v="70"/>
    <n v="755.75"/>
  </r>
  <r>
    <x v="1769"/>
    <n v="814689"/>
    <s v="SHRI JAY BHAWANI BUILDING MATE"/>
    <n v="204810"/>
    <s v="MAA SANTOSHI CONSTRUCTION COMP"/>
    <n v="35"/>
    <n v="0"/>
    <n v="15"/>
    <n v="9.75"/>
    <n v="35"/>
    <n v="7.5"/>
    <n v="35"/>
    <n v="0"/>
    <n v="0"/>
    <n v="0"/>
    <n v="0"/>
    <n v="0"/>
    <n v="137.25"/>
  </r>
  <r>
    <x v="1770"/>
    <n v="814690"/>
    <s v="DAYA RAM"/>
    <n v="146861"/>
    <s v="BALAJI CEMENT AGENCY"/>
    <n v="40"/>
    <n v="10"/>
    <n v="20"/>
    <n v="5"/>
    <n v="0"/>
    <n v="0"/>
    <n v="0"/>
    <n v="0"/>
    <n v="0"/>
    <n v="0"/>
    <n v="0"/>
    <n v="0"/>
    <n v="75"/>
  </r>
  <r>
    <x v="1771"/>
    <n v="814692"/>
    <s v="RAMDEV ELECTRIC ELECTRONIC &amp; H"/>
    <n v="177595"/>
    <s v="SHAH MITHA LAL SOHAN RAJ"/>
    <n v="0"/>
    <n v="25"/>
    <n v="0"/>
    <n v="0"/>
    <n v="40"/>
    <n v="0"/>
    <n v="20"/>
    <n v="0"/>
    <n v="20"/>
    <n v="0"/>
    <n v="0"/>
    <n v="5"/>
    <n v="110"/>
  </r>
  <r>
    <x v="1772"/>
    <n v="814693"/>
    <s v="DOLI NAGAR ENTERPRISES"/>
    <n v="173298"/>
    <s v="RAKHI AGRO SALES"/>
    <n v="50"/>
    <n v="0"/>
    <n v="40"/>
    <n v="95"/>
    <n v="40"/>
    <n v="10"/>
    <n v="20"/>
    <n v="10"/>
    <n v="50"/>
    <n v="15"/>
    <n v="40"/>
    <n v="43"/>
    <n v="413"/>
  </r>
  <r>
    <x v="1773"/>
    <n v="814693"/>
    <s v="DOLI NAGAR ENTERPRISES"/>
    <n v="204304"/>
    <s v="SHREE KRISHNA FERTILIZERS KRIS"/>
    <n v="0"/>
    <n v="0"/>
    <n v="0"/>
    <n v="0"/>
    <n v="0"/>
    <n v="34"/>
    <n v="0"/>
    <n v="0"/>
    <n v="0"/>
    <n v="0"/>
    <n v="0"/>
    <n v="0"/>
    <n v="34"/>
  </r>
  <r>
    <x v="1774"/>
    <n v="814701"/>
    <s v="HARSHIT BUILDING MATERIAL"/>
    <n v="178764"/>
    <s v="PERFECT TRADERS"/>
    <n v="38"/>
    <n v="40"/>
    <n v="74"/>
    <n v="45"/>
    <n v="60"/>
    <n v="62"/>
    <n v="55"/>
    <n v="35"/>
    <n v="59"/>
    <n v="48"/>
    <n v="88"/>
    <n v="62.5"/>
    <n v="666.5"/>
  </r>
  <r>
    <x v="1775"/>
    <n v="814702"/>
    <s v="NARAYAN LAL TELI"/>
    <n v="205989"/>
    <s v="JAGDISH BUILDING MATERIAL SUPP"/>
    <n v="10"/>
    <n v="0"/>
    <n v="22.5"/>
    <n v="30.5"/>
    <n v="45"/>
    <n v="42.5"/>
    <n v="45"/>
    <n v="20"/>
    <n v="22.5"/>
    <n v="17.5"/>
    <n v="29"/>
    <n v="17.5"/>
    <n v="302"/>
  </r>
  <r>
    <x v="1776"/>
    <n v="814705"/>
    <s v="RAGHUVEER CONSTRUCTION COMPANY"/>
    <n v="140829"/>
    <s v="SHREE YADEN BUILDING MATERIAL"/>
    <n v="10"/>
    <n v="0"/>
    <n v="15"/>
    <n v="0"/>
    <n v="0"/>
    <n v="0"/>
    <n v="0"/>
    <n v="0"/>
    <n v="0"/>
    <n v="0"/>
    <n v="0"/>
    <n v="0"/>
    <n v="25"/>
  </r>
  <r>
    <x v="1777"/>
    <n v="814705"/>
    <s v="RAGHUVEER CONSTRUCTION COMPANY"/>
    <n v="208074"/>
    <s v="SWASTIK STEEL TRADERS"/>
    <n v="0"/>
    <n v="0"/>
    <n v="0"/>
    <n v="0"/>
    <n v="0"/>
    <n v="0"/>
    <n v="0"/>
    <n v="50"/>
    <n v="32.5"/>
    <n v="15"/>
    <n v="7.5"/>
    <n v="20"/>
    <n v="125"/>
  </r>
  <r>
    <x v="1778"/>
    <n v="814708"/>
    <s v="SHIV SHAKTI TRADERS"/>
    <n v="174166"/>
    <s v="NAMOKAR STONE TRADERS"/>
    <n v="0"/>
    <n v="10"/>
    <n v="20"/>
    <n v="30"/>
    <n v="27.5"/>
    <n v="27.5"/>
    <n v="30"/>
    <n v="10"/>
    <n v="27.5"/>
    <n v="5"/>
    <n v="65.75"/>
    <n v="150"/>
    <n v="403.25"/>
  </r>
  <r>
    <x v="1779"/>
    <n v="814709"/>
    <s v="LAVISH BUILDING MATERIAL"/>
    <n v="146968"/>
    <s v="BHARAT BUILDCON"/>
    <n v="38.5"/>
    <n v="20"/>
    <n v="10"/>
    <n v="17.5"/>
    <n v="0"/>
    <n v="0"/>
    <n v="0"/>
    <n v="0"/>
    <n v="0"/>
    <n v="0"/>
    <n v="0"/>
    <n v="0"/>
    <n v="86"/>
  </r>
  <r>
    <x v="1780"/>
    <n v="814710"/>
    <s v="KAMLESH KUMAR TATED"/>
    <n v="205591"/>
    <s v="ROOP RAJAT TRADING CO"/>
    <n v="20.5"/>
    <n v="15"/>
    <n v="30"/>
    <n v="1"/>
    <n v="11"/>
    <n v="4"/>
    <n v="3"/>
    <n v="10"/>
    <n v="0"/>
    <n v="0"/>
    <n v="0"/>
    <n v="0"/>
    <n v="94.5"/>
  </r>
  <r>
    <x v="1781"/>
    <n v="814711"/>
    <s v="JAI  AMBE TRADERS"/>
    <n v="205266"/>
    <s v="TAK BROTHERS"/>
    <n v="10"/>
    <n v="19"/>
    <n v="10"/>
    <n v="3"/>
    <n v="0"/>
    <n v="9"/>
    <n v="0"/>
    <n v="0"/>
    <n v="0"/>
    <n v="20"/>
    <n v="16"/>
    <n v="13"/>
    <n v="100"/>
  </r>
  <r>
    <x v="1782"/>
    <n v="814723"/>
    <s v="VIKAS CONSTRUCTION"/>
    <n v="178386"/>
    <s v="SANTOSHI BUILDING MATERIAL SUP"/>
    <n v="65"/>
    <n v="110"/>
    <n v="100"/>
    <n v="105"/>
    <n v="35"/>
    <n v="67"/>
    <n v="60"/>
    <n v="35"/>
    <n v="35"/>
    <n v="140"/>
    <n v="140"/>
    <n v="35"/>
    <n v="927"/>
  </r>
  <r>
    <x v="1783"/>
    <n v="814733"/>
    <s v="NIRBHAY CEMENT AGENCY"/>
    <n v="119023"/>
    <s v="AGARWAL MACHINERY STORES"/>
    <n v="102"/>
    <n v="125"/>
    <n v="149"/>
    <n v="193.5"/>
    <n v="107"/>
    <n v="152"/>
    <n v="106"/>
    <n v="0"/>
    <n v="202.5"/>
    <n v="198"/>
    <n v="109.7"/>
    <n v="162.5"/>
    <n v="1607.2"/>
  </r>
  <r>
    <x v="1784"/>
    <n v="814749"/>
    <s v="H S TRADERS"/>
    <n v="171469"/>
    <s v="OM CEMENT HOUSE"/>
    <n v="43"/>
    <n v="172"/>
    <n v="127"/>
    <n v="126"/>
    <n v="126.5"/>
    <n v="129"/>
    <n v="132"/>
    <n v="126"/>
    <n v="168"/>
    <n v="127"/>
    <n v="127"/>
    <n v="146"/>
    <n v="1549.5"/>
  </r>
  <r>
    <x v="1785"/>
    <n v="814750"/>
    <s v="TEJAL BUILDING MATERIAL SUPPLI"/>
    <n v="170617"/>
    <s v="MANGALAM TRADING COMPANY"/>
    <n v="89"/>
    <n v="74.45"/>
    <n v="108.5"/>
    <n v="114"/>
    <n v="40"/>
    <n v="75"/>
    <n v="55.5"/>
    <n v="15"/>
    <n v="20.5"/>
    <n v="17.5"/>
    <n v="5"/>
    <n v="0"/>
    <n v="614.45000000000005"/>
  </r>
  <r>
    <x v="1786"/>
    <n v="814755"/>
    <s v="SHREE HARDA MAHARANI ENTERPRIS"/>
    <n v="170392"/>
    <s v="JYOTI SUPPLIERS"/>
    <n v="50"/>
    <n v="0"/>
    <n v="0"/>
    <n v="0"/>
    <n v="0"/>
    <n v="0"/>
    <n v="0"/>
    <n v="0"/>
    <n v="0"/>
    <n v="0"/>
    <n v="0"/>
    <n v="0"/>
    <n v="50"/>
  </r>
  <r>
    <x v="1787"/>
    <n v="814756"/>
    <s v="RAM LAL KUMHAR"/>
    <n v="205591"/>
    <s v="ROOP RAJAT TRADING CO"/>
    <n v="110.5"/>
    <n v="165"/>
    <n v="248"/>
    <n v="195"/>
    <n v="114.5"/>
    <n v="127"/>
    <n v="20"/>
    <n v="22"/>
    <n v="131"/>
    <n v="60"/>
    <n v="51"/>
    <n v="100.5"/>
    <n v="1344.5"/>
  </r>
  <r>
    <x v="1788"/>
    <n v="814757"/>
    <s v="KAILASH CHANDRA SHARMA"/>
    <n v="205591"/>
    <s v="ROOP RAJAT TRADING CO"/>
    <n v="75.5"/>
    <n v="5"/>
    <n v="47.25"/>
    <n v="109"/>
    <n v="68"/>
    <n v="4"/>
    <n v="24"/>
    <n v="43"/>
    <n v="135"/>
    <n v="45"/>
    <n v="50"/>
    <n v="90"/>
    <n v="695.75"/>
  </r>
  <r>
    <x v="1789"/>
    <n v="814758"/>
    <s v="MAN SINGH"/>
    <n v="122282"/>
    <s v="PIPARA SALES"/>
    <n v="20"/>
    <n v="20"/>
    <n v="41"/>
    <n v="30"/>
    <n v="27.5"/>
    <n v="16"/>
    <n v="11"/>
    <n v="5"/>
    <n v="17"/>
    <n v="18"/>
    <n v="21"/>
    <n v="26"/>
    <n v="252.5"/>
  </r>
  <r>
    <x v="1790"/>
    <n v="814766"/>
    <s v="VIJAY SEN"/>
    <n v="206073"/>
    <s v="SHREE TIRUPATI BALAJI BUILDING"/>
    <n v="70"/>
    <n v="30"/>
    <n v="85"/>
    <n v="90"/>
    <n v="137.5"/>
    <n v="116"/>
    <n v="68.599999999999994"/>
    <n v="30"/>
    <n v="142.5"/>
    <n v="145"/>
    <n v="147.5"/>
    <n v="175.5"/>
    <n v="1237.5999999999999"/>
  </r>
  <r>
    <x v="1791"/>
    <n v="814767"/>
    <s v="DHAKAD CONSTRUCTION AND MATERI"/>
    <n v="174166"/>
    <s v="NAMOKAR STONE TRADERS"/>
    <n v="5.65"/>
    <n v="85"/>
    <n v="76.5"/>
    <n v="124.5"/>
    <n v="66"/>
    <n v="57.5"/>
    <n v="165"/>
    <n v="50"/>
    <n v="60"/>
    <n v="61.15"/>
    <n v="157"/>
    <n v="30"/>
    <n v="938.3"/>
  </r>
  <r>
    <x v="1792"/>
    <n v="814768"/>
    <s v="HETAKSHI BUILDMAT BUILDING MAT"/>
    <n v="171578"/>
    <s v="KOTA BUILDMAT"/>
    <n v="25"/>
    <n v="72.150000000000006"/>
    <n v="92.5"/>
    <n v="85"/>
    <n v="61.5"/>
    <n v="52.5"/>
    <n v="28"/>
    <n v="47.5"/>
    <n v="43.5"/>
    <n v="15"/>
    <n v="10"/>
    <n v="70"/>
    <n v="602.65"/>
  </r>
  <r>
    <x v="1793"/>
    <n v="814773"/>
    <s v="HANUMAN BUILDING MATERIAL"/>
    <n v="178287"/>
    <s v="ADINATH BUILDCON"/>
    <n v="34"/>
    <n v="15"/>
    <n v="25"/>
    <n v="71.75"/>
    <n v="21"/>
    <n v="24.5"/>
    <n v="55"/>
    <n v="25"/>
    <n v="57.5"/>
    <n v="28"/>
    <n v="37.5"/>
    <n v="70"/>
    <n v="464.25"/>
  </r>
  <r>
    <x v="1794"/>
    <n v="814776"/>
    <s v="GOVIND BUILDING MATERIAL"/>
    <n v="202865"/>
    <s v="DEEPAK TRADERS"/>
    <n v="48.5"/>
    <n v="88.5"/>
    <n v="170.5"/>
    <n v="98"/>
    <n v="121"/>
    <n v="84"/>
    <n v="32"/>
    <n v="106"/>
    <n v="218"/>
    <n v="126"/>
    <n v="116"/>
    <n v="168"/>
    <n v="1376.5"/>
  </r>
  <r>
    <x v="1795"/>
    <n v="814777"/>
    <s v="MASTER CEMENT AGENCY"/>
    <n v="178661"/>
    <s v="KHAJANCHI TRADING CO."/>
    <n v="61.5"/>
    <n v="20"/>
    <n v="55"/>
    <n v="36"/>
    <n v="30"/>
    <n v="39.5"/>
    <n v="30"/>
    <n v="22"/>
    <n v="48"/>
    <n v="20"/>
    <n v="40"/>
    <n v="22.5"/>
    <n v="424.5"/>
  </r>
  <r>
    <x v="1796"/>
    <n v="814785"/>
    <s v="SHREE KARNI CEMENT STORE"/>
    <n v="119044"/>
    <s v="PANWAR TRADING CORPORATION LTD"/>
    <n v="0"/>
    <n v="45"/>
    <n v="40"/>
    <n v="45"/>
    <n v="2.5"/>
    <n v="0"/>
    <n v="70"/>
    <n v="0"/>
    <n v="0"/>
    <n v="0"/>
    <n v="30"/>
    <n v="0"/>
    <n v="232.5"/>
  </r>
  <r>
    <x v="1797"/>
    <n v="814786"/>
    <s v="MADAN LAL"/>
    <n v="178309"/>
    <s v="BALAJI BUILDING MATERIAL STORE"/>
    <n v="0"/>
    <n v="0"/>
    <n v="0"/>
    <n v="0"/>
    <n v="21.5"/>
    <n v="19"/>
    <n v="0"/>
    <n v="0"/>
    <n v="0"/>
    <n v="0"/>
    <n v="0"/>
    <n v="0"/>
    <n v="40.5"/>
  </r>
  <r>
    <x v="1798"/>
    <n v="814789"/>
    <s v="ROSHAN BUILDERS AND SUPPLIERS"/>
    <n v="119031"/>
    <s v="RAMESH CHANDRA RAJENDRA KUMAR"/>
    <n v="0"/>
    <n v="183"/>
    <n v="153.5"/>
    <n v="250"/>
    <n v="210.8"/>
    <n v="214"/>
    <n v="237.5"/>
    <n v="151.80000000000001"/>
    <n v="225"/>
    <n v="231.5"/>
    <n v="301"/>
    <n v="85"/>
    <n v="2243.1"/>
  </r>
  <r>
    <x v="1799"/>
    <n v="814790"/>
    <s v="NISHAN SINGH"/>
    <n v="119031"/>
    <s v="RAMESH CHANDRA RAJENDRA KUMAR"/>
    <n v="0"/>
    <n v="0"/>
    <n v="0"/>
    <n v="45"/>
    <n v="113"/>
    <n v="95.5"/>
    <n v="170"/>
    <n v="60"/>
    <n v="60"/>
    <n v="145"/>
    <n v="45"/>
    <n v="50"/>
    <n v="783.5"/>
  </r>
  <r>
    <x v="1800"/>
    <n v="814790"/>
    <s v="NISHAN SINGH"/>
    <n v="119177"/>
    <s v="G.S.SALES CORPORATION"/>
    <n v="82"/>
    <n v="35"/>
    <n v="0"/>
    <n v="0"/>
    <n v="0"/>
    <n v="0"/>
    <n v="0"/>
    <n v="0"/>
    <n v="0"/>
    <n v="0"/>
    <n v="0"/>
    <n v="0"/>
    <n v="117"/>
  </r>
  <r>
    <x v="1801"/>
    <n v="814791"/>
    <s v="SHRI BALAJI BUILDING MATERIAL"/>
    <n v="172942"/>
    <s v="LAXMI IRON STORE"/>
    <n v="15"/>
    <n v="41.5"/>
    <n v="32"/>
    <n v="62.5"/>
    <n v="51"/>
    <n v="30"/>
    <n v="35"/>
    <n v="0"/>
    <n v="0"/>
    <n v="0"/>
    <n v="0"/>
    <n v="0"/>
    <n v="267"/>
  </r>
  <r>
    <x v="1802"/>
    <n v="814793"/>
    <s v="MAIN PAL SINGH"/>
    <n v="205004"/>
    <s v="MORCHHARI TRADE LINK"/>
    <n v="33"/>
    <n v="0"/>
    <n v="0"/>
    <n v="0"/>
    <n v="0"/>
    <n v="0"/>
    <n v="0"/>
    <n v="0"/>
    <n v="0"/>
    <n v="0"/>
    <n v="0"/>
    <n v="0"/>
    <n v="33"/>
  </r>
  <r>
    <x v="1803"/>
    <n v="814794"/>
    <s v="VAHID ALI"/>
    <n v="202956"/>
    <s v="SHRI SHYAM CEMENT BHANDAR"/>
    <n v="42"/>
    <n v="0"/>
    <n v="20"/>
    <n v="25.5"/>
    <n v="0"/>
    <n v="23.5"/>
    <n v="20"/>
    <n v="26.95"/>
    <n v="44"/>
    <n v="10"/>
    <n v="26"/>
    <n v="34"/>
    <n v="271.95"/>
  </r>
  <r>
    <x v="1804"/>
    <n v="814805"/>
    <s v="SHOKAT KHAN"/>
    <n v="206956"/>
    <s v="KHETESHWAR DATA CONTRACTOR"/>
    <n v="50"/>
    <n v="44"/>
    <n v="116"/>
    <n v="109.5"/>
    <n v="92.75"/>
    <n v="65"/>
    <n v="15"/>
    <n v="0"/>
    <n v="3.5"/>
    <n v="55"/>
    <n v="5"/>
    <n v="40"/>
    <n v="595.75"/>
  </r>
  <r>
    <x v="1805"/>
    <n v="814806"/>
    <s v="MARUDHAR BUILDING MATERIAL"/>
    <n v="119044"/>
    <s v="PANWAR TRADING CORPORATION LTD"/>
    <n v="0"/>
    <n v="0"/>
    <n v="40"/>
    <n v="40"/>
    <n v="2"/>
    <n v="0"/>
    <n v="0"/>
    <n v="0"/>
    <n v="0"/>
    <n v="0"/>
    <n v="0"/>
    <n v="0"/>
    <n v="82"/>
  </r>
  <r>
    <x v="1806"/>
    <n v="814823"/>
    <s v="DEVENDRA KUMAR REGAR"/>
    <n v="175049"/>
    <s v="KASHISH ENTERPRISES"/>
    <n v="45"/>
    <n v="20"/>
    <n v="75"/>
    <n v="45"/>
    <n v="32"/>
    <n v="39.5"/>
    <n v="25"/>
    <n v="15"/>
    <n v="26"/>
    <n v="30"/>
    <n v="31"/>
    <n v="20"/>
    <n v="403.5"/>
  </r>
  <r>
    <x v="1807"/>
    <n v="814823"/>
    <s v="DEVENDRA KUMAR REGAR"/>
    <n v="178386"/>
    <s v="SANTOSHI BUILDING MATERIAL SUP"/>
    <n v="0"/>
    <n v="0"/>
    <n v="0"/>
    <n v="0"/>
    <n v="0"/>
    <n v="0"/>
    <n v="0"/>
    <n v="35"/>
    <n v="0"/>
    <n v="0"/>
    <n v="0"/>
    <n v="0"/>
    <n v="35"/>
  </r>
  <r>
    <x v="1808"/>
    <n v="814824"/>
    <s v="AKSHARA CEMENT SUPPLIERS"/>
    <n v="142269"/>
    <s v="CHAMUNDA BUILDING MATERIAL SUP"/>
    <n v="0"/>
    <n v="0"/>
    <n v="44"/>
    <n v="0"/>
    <n v="35"/>
    <n v="30"/>
    <n v="25"/>
    <n v="15"/>
    <n v="37.5"/>
    <n v="15"/>
    <n v="20"/>
    <n v="50"/>
    <n v="271.5"/>
  </r>
  <r>
    <x v="1809"/>
    <n v="814827"/>
    <s v="JAI CHAMUNDA MAA BUILDING MATE"/>
    <n v="205183"/>
    <s v="SANWARIA TRADING COMPANY"/>
    <n v="51.5"/>
    <n v="0"/>
    <n v="0"/>
    <n v="42"/>
    <n v="0"/>
    <n v="0"/>
    <n v="0"/>
    <n v="0"/>
    <n v="0"/>
    <n v="0"/>
    <n v="0"/>
    <n v="0"/>
    <n v="93.5"/>
  </r>
  <r>
    <x v="1810"/>
    <n v="814839"/>
    <s v="VIKRAM KUMAR PRAJAPAT"/>
    <n v="206441"/>
    <s v="SHREE AMBIKA CEMENT COMPANY"/>
    <n v="90"/>
    <n v="10"/>
    <n v="52"/>
    <n v="70"/>
    <n v="65"/>
    <n v="45"/>
    <n v="76.5"/>
    <n v="45"/>
    <n v="98"/>
    <n v="63.25"/>
    <n v="144.75"/>
    <n v="108"/>
    <n v="867.5"/>
  </r>
  <r>
    <x v="1811"/>
    <n v="814843"/>
    <s v="SHRI MAHALAXMI TRADERS"/>
    <n v="119038"/>
    <s v="NAVEEN DISTRIBUTORS"/>
    <n v="0"/>
    <n v="67.5"/>
    <n v="55"/>
    <n v="55"/>
    <n v="10"/>
    <n v="0"/>
    <n v="0"/>
    <n v="0"/>
    <n v="0"/>
    <n v="0"/>
    <n v="0"/>
    <n v="0"/>
    <n v="187.5"/>
  </r>
  <r>
    <x v="1812"/>
    <n v="814845"/>
    <s v="SHIV KRIPA ENTERPRISES"/>
    <n v="172640"/>
    <s v="KUSHAL TRADERS"/>
    <n v="15"/>
    <n v="151"/>
    <n v="59.5"/>
    <n v="29"/>
    <n v="0"/>
    <n v="10"/>
    <n v="20"/>
    <n v="0"/>
    <n v="17.5"/>
    <n v="0"/>
    <n v="0"/>
    <n v="0"/>
    <n v="302"/>
  </r>
  <r>
    <x v="1813"/>
    <n v="814846"/>
    <s v="AKSH TRADING COMPANY"/>
    <n v="144343"/>
    <s v="SHREE BALAJI CEMENT AGENCY"/>
    <n v="72.5"/>
    <n v="90"/>
    <n v="46"/>
    <n v="35"/>
    <n v="72.5"/>
    <n v="23"/>
    <n v="60"/>
    <n v="15"/>
    <n v="42.5"/>
    <n v="60.5"/>
    <n v="67"/>
    <n v="0"/>
    <n v="584"/>
  </r>
  <r>
    <x v="1814"/>
    <n v="814850"/>
    <s v="KRISHNA HARDWARE"/>
    <n v="119212"/>
    <s v="SURENDRA KUMAR &amp; CO"/>
    <n v="45"/>
    <n v="42.85"/>
    <n v="70"/>
    <n v="48"/>
    <n v="32"/>
    <n v="5"/>
    <n v="56"/>
    <n v="42.5"/>
    <n v="22.5"/>
    <n v="9"/>
    <n v="10"/>
    <n v="30"/>
    <n v="412.85"/>
  </r>
  <r>
    <x v="1815"/>
    <n v="814862"/>
    <s v="CHAUHAN TRADERS"/>
    <n v="177093"/>
    <s v="CHOUDHARY TRADERS"/>
    <n v="13"/>
    <n v="20.5"/>
    <n v="24.5"/>
    <n v="6"/>
    <n v="0"/>
    <n v="0"/>
    <n v="0"/>
    <n v="0"/>
    <n v="0"/>
    <n v="0"/>
    <n v="0"/>
    <n v="0"/>
    <n v="64"/>
  </r>
  <r>
    <x v="1816"/>
    <n v="814862"/>
    <s v="CHAUHAN TRADERS"/>
    <n v="208032"/>
    <s v="AKASH MACHINERY MART"/>
    <n v="0"/>
    <n v="0"/>
    <n v="0"/>
    <n v="0"/>
    <n v="0"/>
    <n v="0"/>
    <n v="30"/>
    <n v="45"/>
    <n v="58.5"/>
    <n v="29.25"/>
    <n v="10"/>
    <n v="7.5"/>
    <n v="180.25"/>
  </r>
  <r>
    <x v="1817"/>
    <n v="814866"/>
    <s v="MAHAVEER PRASAD"/>
    <n v="179925"/>
    <s v="SHRIRAM DHARM KANTA"/>
    <n v="0"/>
    <n v="0"/>
    <n v="0"/>
    <n v="10"/>
    <n v="20"/>
    <n v="0"/>
    <n v="0"/>
    <n v="10"/>
    <n v="0"/>
    <n v="0"/>
    <n v="0"/>
    <n v="0"/>
    <n v="40"/>
  </r>
  <r>
    <x v="1818"/>
    <n v="814867"/>
    <s v="RAJU KHAN"/>
    <n v="176693"/>
    <s v="SUBHAM AGENCIES"/>
    <n v="266.5"/>
    <n v="12"/>
    <n v="85"/>
    <n v="44"/>
    <n v="10"/>
    <n v="53"/>
    <n v="0"/>
    <n v="24"/>
    <n v="10"/>
    <n v="35"/>
    <n v="35"/>
    <n v="38"/>
    <n v="612.5"/>
  </r>
  <r>
    <x v="1819"/>
    <n v="814868"/>
    <s v="PREM BUILDING MATERIAL"/>
    <n v="171839"/>
    <s v="SARAWAGI CEMENT AGENCY"/>
    <n v="20"/>
    <n v="50"/>
    <n v="72"/>
    <n v="72.8"/>
    <n v="4.5"/>
    <n v="40"/>
    <n v="40"/>
    <n v="30"/>
    <n v="45"/>
    <n v="0"/>
    <n v="10"/>
    <n v="20"/>
    <n v="404.3"/>
  </r>
  <r>
    <x v="1820"/>
    <n v="814870"/>
    <s v="SHRI VISHWA KARMA BUILDING MAT"/>
    <n v="174034"/>
    <s v="RADHE BUILDING MATERIAL"/>
    <n v="0"/>
    <n v="0"/>
    <n v="85"/>
    <n v="0"/>
    <n v="72"/>
    <n v="12.5"/>
    <n v="0"/>
    <n v="0"/>
    <n v="40"/>
    <n v="45"/>
    <n v="22.5"/>
    <n v="123"/>
    <n v="400"/>
  </r>
  <r>
    <x v="1821"/>
    <n v="814871"/>
    <s v="TEJU RAM GURJAR"/>
    <n v="119208"/>
    <s v="SURAJMAL TANSUKH RAI"/>
    <n v="0"/>
    <n v="10"/>
    <n v="135"/>
    <n v="25"/>
    <n v="15"/>
    <n v="0"/>
    <n v="0"/>
    <n v="0"/>
    <n v="0"/>
    <n v="0"/>
    <n v="0"/>
    <n v="0"/>
    <n v="185"/>
  </r>
  <r>
    <x v="1822"/>
    <n v="814873"/>
    <s v="N K ENTERPRISES"/>
    <n v="119154"/>
    <s v="SHRI GANPATI ENTERPRISES"/>
    <n v="0"/>
    <n v="30"/>
    <n v="40"/>
    <n v="0"/>
    <n v="2.5"/>
    <n v="15"/>
    <n v="25"/>
    <n v="0"/>
    <n v="57.5"/>
    <n v="0"/>
    <n v="35"/>
    <n v="0"/>
    <n v="205"/>
  </r>
  <r>
    <x v="1823"/>
    <n v="814874"/>
    <s v="SHREE BAGTESH BUILDING MATERIA"/>
    <n v="173224"/>
    <s v="D.R.MARBLE &amp; SANITORY"/>
    <n v="100"/>
    <n v="105"/>
    <n v="110"/>
    <n v="55"/>
    <n v="30"/>
    <n v="0"/>
    <n v="28.5"/>
    <n v="0"/>
    <n v="12.5"/>
    <n v="0"/>
    <n v="0"/>
    <n v="10"/>
    <n v="451"/>
  </r>
  <r>
    <x v="1824"/>
    <n v="814875"/>
    <s v="SANWARIYA STONE AND CEMENT SUP"/>
    <n v="140860"/>
    <s v="VIPUL CEMENT SUPPLIERS"/>
    <n v="0"/>
    <n v="0"/>
    <n v="0"/>
    <n v="0"/>
    <n v="0"/>
    <n v="0"/>
    <n v="0"/>
    <n v="0"/>
    <n v="0"/>
    <n v="10"/>
    <n v="0"/>
    <n v="0"/>
    <n v="10"/>
  </r>
  <r>
    <x v="1825"/>
    <n v="814876"/>
    <s v="MADHU LAL MEENA"/>
    <n v="140967"/>
    <s v="B.L.JAIN &amp; SONS"/>
    <n v="0"/>
    <n v="0"/>
    <n v="0"/>
    <n v="65"/>
    <n v="35"/>
    <n v="0"/>
    <n v="0"/>
    <n v="0"/>
    <n v="10"/>
    <n v="0"/>
    <n v="42.5"/>
    <n v="135"/>
    <n v="287.5"/>
  </r>
  <r>
    <x v="1826"/>
    <n v="814876"/>
    <s v="MADHU LAL MEENA"/>
    <n v="146968"/>
    <s v="BHARAT BUILDCON"/>
    <n v="0"/>
    <n v="0"/>
    <n v="0"/>
    <n v="10"/>
    <n v="0"/>
    <n v="0"/>
    <n v="0"/>
    <n v="0"/>
    <n v="0"/>
    <n v="0"/>
    <n v="0"/>
    <n v="0"/>
    <n v="10"/>
  </r>
  <r>
    <x v="1827"/>
    <n v="814877"/>
    <s v="UDAI LAL JAT"/>
    <n v="204375"/>
    <s v="JAI MATESHWARI CONSTRUCTION"/>
    <n v="0"/>
    <n v="0"/>
    <n v="0"/>
    <n v="0"/>
    <n v="0"/>
    <n v="0"/>
    <n v="0"/>
    <n v="0"/>
    <n v="108.5"/>
    <n v="68.5"/>
    <n v="78"/>
    <n v="110"/>
    <n v="365"/>
  </r>
  <r>
    <x v="1828"/>
    <n v="814878"/>
    <s v="SHANKAR LAL KUMHAR"/>
    <n v="179561"/>
    <s v="GAJANAND TRADERS"/>
    <n v="0"/>
    <n v="0"/>
    <n v="0"/>
    <n v="0"/>
    <n v="0"/>
    <n v="0"/>
    <n v="0"/>
    <n v="0"/>
    <n v="0"/>
    <n v="31"/>
    <n v="76.5"/>
    <n v="18.5"/>
    <n v="126"/>
  </r>
  <r>
    <x v="1829"/>
    <n v="814883"/>
    <s v="SATGURU BRICKS"/>
    <n v="143608"/>
    <s v="OM IRON AND CEMENT AGENCY"/>
    <n v="59"/>
    <n v="15.5"/>
    <n v="51.5"/>
    <n v="54"/>
    <n v="75"/>
    <n v="57.6"/>
    <n v="62"/>
    <n v="51"/>
    <n v="87"/>
    <n v="63.55"/>
    <n v="60"/>
    <n v="15"/>
    <n v="651.15"/>
  </r>
  <r>
    <x v="1830"/>
    <n v="814886"/>
    <s v="SHREE PABUJI TRADERS"/>
    <n v="173098"/>
    <s v="PABUJI BUILDING MATERIAL"/>
    <n v="55"/>
    <n v="65"/>
    <n v="55"/>
    <n v="20"/>
    <n v="60"/>
    <n v="20"/>
    <n v="25"/>
    <n v="65"/>
    <n v="47"/>
    <n v="75"/>
    <n v="92"/>
    <n v="103"/>
    <n v="682"/>
  </r>
  <r>
    <x v="1831"/>
    <n v="814891"/>
    <s v="SHANTI  LAL JAIN"/>
    <n v="179928"/>
    <s v="BHAIRAV BUILDING MATERIAL SUPP"/>
    <n v="0"/>
    <n v="0"/>
    <n v="0"/>
    <n v="0"/>
    <n v="0"/>
    <n v="0"/>
    <n v="0"/>
    <n v="0"/>
    <n v="0"/>
    <n v="0"/>
    <n v="10"/>
    <n v="0"/>
    <n v="10"/>
  </r>
  <r>
    <x v="1832"/>
    <n v="814891"/>
    <s v="SHANTI  LAL JAIN"/>
    <n v="201280"/>
    <s v="SIDDHI VINAYAK CEMENT DISTRIBU"/>
    <n v="30"/>
    <n v="25"/>
    <n v="42"/>
    <n v="51.5"/>
    <n v="54"/>
    <n v="37"/>
    <n v="30"/>
    <n v="10"/>
    <n v="36"/>
    <n v="41"/>
    <n v="31"/>
    <n v="109"/>
    <n v="496.5"/>
  </r>
  <r>
    <x v="1833"/>
    <n v="814901"/>
    <s v="SURESH KUMAR HEMAJI PRAJAPAT"/>
    <n v="206441"/>
    <s v="SHREE AMBIKA CEMENT COMPANY"/>
    <n v="0"/>
    <n v="0"/>
    <n v="0"/>
    <n v="30"/>
    <n v="80"/>
    <n v="60"/>
    <n v="40"/>
    <n v="37.5"/>
    <n v="65"/>
    <n v="60.5"/>
    <n v="191.5"/>
    <n v="72"/>
    <n v="636.5"/>
  </r>
  <r>
    <x v="1834"/>
    <n v="814902"/>
    <s v="SHREE KARANI KRIPA ENTERPRISES"/>
    <n v="119038"/>
    <s v="NAVEEN DISTRIBUTORS"/>
    <n v="0"/>
    <n v="33.5"/>
    <n v="0"/>
    <n v="101"/>
    <n v="60"/>
    <n v="55"/>
    <n v="14.5"/>
    <n v="20"/>
    <n v="60"/>
    <n v="83"/>
    <n v="20"/>
    <n v="0"/>
    <n v="447"/>
  </r>
  <r>
    <x v="1835"/>
    <n v="814903"/>
    <s v="GOSAI J K SUPER CEMENT"/>
    <n v="119038"/>
    <s v="NAVEEN DISTRIBUTORS"/>
    <n v="54"/>
    <n v="105"/>
    <n v="30"/>
    <n v="24"/>
    <n v="0"/>
    <n v="25"/>
    <n v="35"/>
    <n v="0"/>
    <n v="34.5"/>
    <n v="20"/>
    <n v="0"/>
    <n v="10"/>
    <n v="337.5"/>
  </r>
  <r>
    <x v="1836"/>
    <n v="814905"/>
    <s v="PRAVEEN CHOUDHARY"/>
    <n v="170904"/>
    <s v="ASHAPURA CEMENT SALES"/>
    <n v="88"/>
    <n v="54"/>
    <n v="54"/>
    <n v="68"/>
    <n v="71"/>
    <n v="73"/>
    <n v="59"/>
    <n v="29"/>
    <n v="59"/>
    <n v="50"/>
    <n v="60"/>
    <n v="40"/>
    <n v="705"/>
  </r>
  <r>
    <x v="1837"/>
    <n v="814907"/>
    <s v="PRAJAPAT CEMENT AGENCY"/>
    <n v="179893"/>
    <s v="AGRAWAL TRADERS"/>
    <n v="10"/>
    <n v="39"/>
    <n v="77"/>
    <n v="30"/>
    <n v="20"/>
    <n v="10"/>
    <n v="10"/>
    <n v="35"/>
    <n v="35"/>
    <n v="29.5"/>
    <n v="51"/>
    <n v="0"/>
    <n v="346.5"/>
  </r>
  <r>
    <x v="1838"/>
    <n v="814909"/>
    <s v="JAI MATA DI BUILDING MATERIAL"/>
    <n v="141905"/>
    <s v="BS ENTERPRISES"/>
    <n v="0"/>
    <n v="0"/>
    <n v="0"/>
    <n v="0"/>
    <n v="0"/>
    <n v="0"/>
    <n v="0"/>
    <n v="0"/>
    <n v="32.5"/>
    <n v="17.5"/>
    <n v="8"/>
    <n v="21.5"/>
    <n v="79.5"/>
  </r>
  <r>
    <x v="1839"/>
    <n v="814909"/>
    <s v="JAI MATA DI BUILDING MATERIAL"/>
    <n v="170958"/>
    <s v="JAI SHRI CONSTRUCTION"/>
    <n v="0"/>
    <n v="0"/>
    <n v="0"/>
    <n v="0"/>
    <n v="0"/>
    <n v="0"/>
    <n v="0"/>
    <n v="0"/>
    <n v="0"/>
    <n v="10"/>
    <n v="0"/>
    <n v="0"/>
    <n v="10"/>
  </r>
  <r>
    <x v="1840"/>
    <n v="814909"/>
    <s v="JAI MATA DI BUILDING MATERIAL"/>
    <n v="171578"/>
    <s v="KOTA BUILDMAT"/>
    <n v="0"/>
    <n v="0"/>
    <n v="0"/>
    <n v="0"/>
    <n v="0"/>
    <n v="0"/>
    <n v="0"/>
    <n v="0"/>
    <n v="0"/>
    <n v="10"/>
    <n v="0"/>
    <n v="0"/>
    <n v="10"/>
  </r>
  <r>
    <x v="1841"/>
    <n v="814909"/>
    <s v="JAI MATA DI BUILDING MATERIAL"/>
    <n v="176363"/>
    <s v="SANWALIYA TRADERS"/>
    <n v="10"/>
    <n v="35"/>
    <n v="29"/>
    <n v="70"/>
    <n v="30"/>
    <n v="17.5"/>
    <n v="17.5"/>
    <n v="0"/>
    <n v="0"/>
    <n v="0"/>
    <n v="0"/>
    <n v="0"/>
    <n v="209"/>
  </r>
  <r>
    <x v="1842"/>
    <n v="814910"/>
    <s v="BHANWAR LAL"/>
    <n v="206066"/>
    <s v="GAJANAND CEMENT AGENCY"/>
    <n v="157"/>
    <n v="80"/>
    <n v="12"/>
    <n v="114"/>
    <n v="100"/>
    <n v="185"/>
    <n v="75"/>
    <n v="45"/>
    <n v="50"/>
    <n v="45"/>
    <n v="55"/>
    <n v="15"/>
    <n v="933"/>
  </r>
  <r>
    <x v="1843"/>
    <n v="814913"/>
    <s v="THE TIGER CONSTRUCTION"/>
    <n v="205966"/>
    <s v="POKHARNA CEMENT SUPPLIERS"/>
    <n v="5"/>
    <n v="0"/>
    <n v="0"/>
    <n v="13.5"/>
    <n v="0"/>
    <n v="15"/>
    <n v="38"/>
    <n v="25"/>
    <n v="37.5"/>
    <n v="20"/>
    <n v="25"/>
    <n v="36"/>
    <n v="215"/>
  </r>
  <r>
    <x v="1844"/>
    <n v="814914"/>
    <s v="PRAJAPATI BUILDING MATERIAL"/>
    <n v="204034"/>
    <s v="PATEL CEMENT SUPPLIERS"/>
    <n v="0"/>
    <n v="0"/>
    <n v="0"/>
    <n v="93"/>
    <n v="113"/>
    <n v="71.5"/>
    <n v="165.25"/>
    <n v="75"/>
    <n v="145"/>
    <n v="100"/>
    <n v="105"/>
    <n v="216.5"/>
    <n v="1084.25"/>
  </r>
  <r>
    <x v="1845"/>
    <n v="814916"/>
    <s v="AMBIKA KIRANA STORE AND BUILDI"/>
    <n v="205992"/>
    <s v="SISPURIA BUILDING MATERIAL"/>
    <n v="0"/>
    <n v="0"/>
    <n v="0"/>
    <n v="0"/>
    <n v="22.5"/>
    <n v="0"/>
    <n v="0"/>
    <n v="0"/>
    <n v="37"/>
    <n v="0"/>
    <n v="0"/>
    <n v="0"/>
    <n v="59.5"/>
  </r>
  <r>
    <x v="1846"/>
    <n v="814917"/>
    <s v="SAROJ"/>
    <n v="202913"/>
    <s v="SACHIN CEMENT STORE"/>
    <n v="27.5"/>
    <n v="75"/>
    <n v="85"/>
    <n v="21"/>
    <n v="0"/>
    <n v="0"/>
    <n v="0"/>
    <n v="0"/>
    <n v="0"/>
    <n v="0"/>
    <n v="0"/>
    <n v="0"/>
    <n v="208.5"/>
  </r>
  <r>
    <x v="1847"/>
    <n v="814934"/>
    <s v="MANISH CEMENT AGENCY"/>
    <n v="202479"/>
    <s v="SHIKHA ENTERPRSIES"/>
    <n v="15"/>
    <n v="65"/>
    <n v="55"/>
    <n v="92"/>
    <n v="79"/>
    <n v="45"/>
    <n v="38"/>
    <n v="20"/>
    <n v="60"/>
    <n v="10"/>
    <n v="30"/>
    <n v="25"/>
    <n v="534"/>
  </r>
  <r>
    <x v="1848"/>
    <n v="814935"/>
    <s v="SIDDHI ENTERPRISES"/>
    <n v="206807"/>
    <s v="DELIGHT MARKETING"/>
    <n v="0"/>
    <n v="0"/>
    <n v="0"/>
    <n v="0"/>
    <n v="0"/>
    <n v="2.5"/>
    <n v="0"/>
    <n v="5"/>
    <n v="0"/>
    <n v="0"/>
    <n v="0"/>
    <n v="0"/>
    <n v="7.5"/>
  </r>
  <r>
    <x v="1849"/>
    <n v="814936"/>
    <s v="GIRDHARI"/>
    <n v="177787"/>
    <s v="S M TILES UDYOG"/>
    <n v="21"/>
    <n v="80"/>
    <n v="0"/>
    <n v="0"/>
    <n v="0"/>
    <n v="0"/>
    <n v="0"/>
    <n v="0"/>
    <n v="0"/>
    <n v="0"/>
    <n v="0"/>
    <n v="10"/>
    <n v="111"/>
  </r>
  <r>
    <x v="1850"/>
    <n v="814939"/>
    <s v="HEMLATA CEMENT AGENCY"/>
    <n v="202479"/>
    <s v="SHIKHA ENTERPRSIES"/>
    <n v="115"/>
    <n v="51"/>
    <n v="105"/>
    <n v="95"/>
    <n v="168.75"/>
    <n v="83.5"/>
    <n v="45"/>
    <n v="63.5"/>
    <n v="72"/>
    <n v="40"/>
    <n v="10"/>
    <n v="65.400000000000006"/>
    <n v="914.15"/>
  </r>
  <r>
    <x v="1851"/>
    <n v="814942"/>
    <s v="RAJESH BUILDING MATERIAL AND S"/>
    <n v="172150"/>
    <s v="GHODELA BUILDING MATERIAL AND"/>
    <n v="17.75"/>
    <n v="30"/>
    <n v="35.75"/>
    <n v="65"/>
    <n v="57"/>
    <n v="40.5"/>
    <n v="32"/>
    <n v="68.5"/>
    <n v="72.5"/>
    <n v="22"/>
    <n v="43.05"/>
    <n v="38.75"/>
    <n v="522.79999999999995"/>
  </r>
  <r>
    <x v="1852"/>
    <n v="814955"/>
    <s v="BALAJI CEMENT SUPPLIERS"/>
    <n v="143301"/>
    <s v="LAXMI TRADERS"/>
    <n v="0"/>
    <n v="0"/>
    <n v="0"/>
    <n v="0"/>
    <n v="0"/>
    <n v="0"/>
    <n v="0"/>
    <n v="0"/>
    <n v="9"/>
    <n v="0"/>
    <n v="0"/>
    <n v="0"/>
    <n v="9"/>
  </r>
  <r>
    <x v="1853"/>
    <n v="814955"/>
    <s v="BALAJI CEMENT SUPPLIERS"/>
    <n v="171591"/>
    <s v="RULANIYA CEMENT AGENCY"/>
    <n v="39"/>
    <n v="90.5"/>
    <n v="57.5"/>
    <n v="97.5"/>
    <n v="90"/>
    <n v="70.25"/>
    <n v="60"/>
    <n v="60.5"/>
    <n v="116"/>
    <n v="50.5"/>
    <n v="0"/>
    <n v="0"/>
    <n v="731.75"/>
  </r>
  <r>
    <x v="1854"/>
    <n v="814962"/>
    <s v="JAGDAMBA BUILDING MATERIAL"/>
    <n v="119038"/>
    <s v="NAVEEN DISTRIBUTORS"/>
    <n v="0"/>
    <n v="0"/>
    <n v="30"/>
    <n v="31"/>
    <n v="0"/>
    <n v="0"/>
    <n v="0"/>
    <n v="0"/>
    <n v="0"/>
    <n v="24.5"/>
    <n v="0"/>
    <n v="19"/>
    <n v="104.5"/>
  </r>
  <r>
    <x v="1855"/>
    <n v="814972"/>
    <s v="VISHNU CEMENT AGENCY"/>
    <n v="205591"/>
    <s v="ROOP RAJAT TRADING CO"/>
    <n v="30"/>
    <n v="30"/>
    <n v="60.5"/>
    <n v="143"/>
    <n v="219"/>
    <n v="177"/>
    <n v="90"/>
    <n v="35"/>
    <n v="164.5"/>
    <n v="100"/>
    <n v="51"/>
    <n v="125"/>
    <n v="1225"/>
  </r>
  <r>
    <x v="1856"/>
    <n v="814977"/>
    <s v="DINESH JAT"/>
    <n v="170392"/>
    <s v="JYOTI SUPPLIERS"/>
    <n v="55"/>
    <n v="92.5"/>
    <n v="110"/>
    <n v="69"/>
    <n v="31"/>
    <n v="0"/>
    <n v="0"/>
    <n v="0"/>
    <n v="0"/>
    <n v="0"/>
    <n v="0"/>
    <n v="0"/>
    <n v="357.5"/>
  </r>
  <r>
    <x v="1857"/>
    <n v="814978"/>
    <s v="SHRI RAM KRISHI SEVA KENDRA"/>
    <n v="207895"/>
    <s v="NISHANT ASSOCIATES"/>
    <n v="45"/>
    <n v="80"/>
    <n v="0"/>
    <n v="0"/>
    <n v="0"/>
    <n v="0"/>
    <n v="0"/>
    <n v="0"/>
    <n v="0"/>
    <n v="0"/>
    <n v="0"/>
    <n v="0"/>
    <n v="125"/>
  </r>
  <r>
    <x v="1858"/>
    <n v="814979"/>
    <s v="SATYANARAYAN KUMAWAT"/>
    <n v="205591"/>
    <s v="ROOP RAJAT TRADING CO"/>
    <n v="0"/>
    <n v="0"/>
    <n v="14"/>
    <n v="0"/>
    <n v="0.5"/>
    <n v="4"/>
    <n v="0"/>
    <n v="2"/>
    <n v="0"/>
    <n v="10"/>
    <n v="0"/>
    <n v="0"/>
    <n v="30.5"/>
  </r>
  <r>
    <x v="1859"/>
    <n v="814980"/>
    <s v="RAMESHWAR LAL JAT"/>
    <n v="205591"/>
    <s v="ROOP RAJAT TRADING CO"/>
    <n v="10"/>
    <n v="15"/>
    <n v="8.25"/>
    <n v="1"/>
    <n v="1"/>
    <n v="4"/>
    <n v="0"/>
    <n v="2"/>
    <n v="1"/>
    <n v="0"/>
    <n v="0"/>
    <n v="0"/>
    <n v="42.25"/>
  </r>
  <r>
    <x v="1860"/>
    <n v="814992"/>
    <s v="KANHIYA LAL"/>
    <n v="205620"/>
    <s v="NISHANT JAISWAL"/>
    <n v="0"/>
    <n v="0"/>
    <n v="0"/>
    <n v="5.25"/>
    <n v="0"/>
    <n v="0"/>
    <n v="0"/>
    <n v="0"/>
    <n v="0"/>
    <n v="0"/>
    <n v="0"/>
    <n v="0"/>
    <n v="5.25"/>
  </r>
  <r>
    <x v="1861"/>
    <n v="814992"/>
    <s v="KANHIYA LAL"/>
    <n v="207895"/>
    <s v="NISHANT ASSOCIATES"/>
    <n v="331"/>
    <n v="434.5"/>
    <n v="284"/>
    <n v="158.75"/>
    <n v="30"/>
    <n v="223"/>
    <n v="93"/>
    <n v="35"/>
    <n v="146.25"/>
    <n v="164"/>
    <n v="294.5"/>
    <n v="322.25"/>
    <n v="2516.25"/>
  </r>
  <r>
    <x v="1862"/>
    <n v="814993"/>
    <s v="MAHAVEER BUILDING MATERIAL"/>
    <n v="173224"/>
    <s v="D.R.MARBLE &amp; SANITORY"/>
    <n v="100"/>
    <n v="146"/>
    <n v="154.5"/>
    <n v="109"/>
    <n v="132.5"/>
    <n v="93.5"/>
    <n v="120"/>
    <n v="55"/>
    <n v="150"/>
    <n v="111"/>
    <n v="123"/>
    <n v="126"/>
    <n v="1420.5"/>
  </r>
  <r>
    <x v="1863"/>
    <n v="815002"/>
    <s v="MANGI LAL"/>
    <n v="205591"/>
    <s v="ROOP RAJAT TRADING CO"/>
    <n v="20"/>
    <n v="10"/>
    <n v="40"/>
    <n v="1"/>
    <n v="1"/>
    <n v="0"/>
    <n v="0"/>
    <n v="0"/>
    <n v="0"/>
    <n v="0"/>
    <n v="0"/>
    <n v="0"/>
    <n v="72"/>
  </r>
  <r>
    <x v="1864"/>
    <n v="815016"/>
    <s v="MAA TRIPURA CEMENT SUPPLIERS"/>
    <n v="144447"/>
    <s v="PARAS ENTERPRISES"/>
    <n v="10"/>
    <n v="65"/>
    <n v="70"/>
    <n v="33"/>
    <n v="22"/>
    <n v="37.5"/>
    <n v="38"/>
    <n v="30"/>
    <n v="55"/>
    <n v="25"/>
    <n v="57.5"/>
    <n v="5"/>
    <n v="448"/>
  </r>
  <r>
    <x v="1865"/>
    <n v="815021"/>
    <s v="SHREE DEV CEMENT AGENCY"/>
    <n v="207643"/>
    <s v="SHREE SANWALIYA TRADERS"/>
    <n v="0"/>
    <n v="20"/>
    <n v="15"/>
    <n v="35"/>
    <n v="0"/>
    <n v="5.5"/>
    <n v="0"/>
    <n v="5"/>
    <n v="0"/>
    <n v="0"/>
    <n v="0"/>
    <n v="0"/>
    <n v="80.5"/>
  </r>
  <r>
    <x v="1866"/>
    <n v="815022"/>
    <s v="SHRI GIRIRAJ ENTERPRISES"/>
    <n v="119208"/>
    <s v="SURAJMAL TANSUKH RAI"/>
    <n v="0"/>
    <n v="150"/>
    <n v="10"/>
    <n v="67.5"/>
    <n v="10.5"/>
    <n v="10"/>
    <n v="40"/>
    <n v="10"/>
    <n v="22.5"/>
    <n v="0"/>
    <n v="0"/>
    <n v="0"/>
    <n v="320.5"/>
  </r>
  <r>
    <x v="1867"/>
    <n v="815027"/>
    <s v="JAGDISH PRASAD MEWARA"/>
    <n v="207895"/>
    <s v="NISHANT ASSOCIATES"/>
    <n v="0"/>
    <n v="215.5"/>
    <n v="374.5"/>
    <n v="342.25"/>
    <n v="370.5"/>
    <n v="171.25"/>
    <n v="60"/>
    <n v="95"/>
    <n v="108.5"/>
    <n v="164.35"/>
    <n v="173.25"/>
    <n v="325.25"/>
    <n v="2400.35"/>
  </r>
  <r>
    <x v="1868"/>
    <n v="815030"/>
    <s v="SAVAND CEMENT AGENCY"/>
    <n v="202850"/>
    <s v="SAMRATHAL BUILDING MATERIAL"/>
    <n v="0"/>
    <n v="60"/>
    <n v="0"/>
    <n v="0"/>
    <n v="0"/>
    <n v="0"/>
    <n v="0"/>
    <n v="20"/>
    <n v="10"/>
    <n v="0"/>
    <n v="0"/>
    <n v="10"/>
    <n v="100"/>
  </r>
  <r>
    <x v="1869"/>
    <n v="815031"/>
    <s v="SHRI BHADARIYA RAI ENTERPRISES"/>
    <n v="119038"/>
    <s v="NAVEEN DISTRIBUTORS"/>
    <n v="0"/>
    <n v="0"/>
    <n v="10"/>
    <n v="20"/>
    <n v="25"/>
    <n v="0"/>
    <n v="0"/>
    <n v="0"/>
    <n v="14.5"/>
    <n v="34.5"/>
    <n v="0"/>
    <n v="0"/>
    <n v="104"/>
  </r>
  <r>
    <x v="1870"/>
    <n v="815046"/>
    <s v="ALTAF HUSSAIN"/>
    <n v="175049"/>
    <s v="KASHISH ENTERPRISES"/>
    <n v="0"/>
    <n v="13"/>
    <n v="32"/>
    <n v="8.5"/>
    <n v="4"/>
    <n v="0"/>
    <n v="0"/>
    <n v="0"/>
    <n v="0"/>
    <n v="0"/>
    <n v="0"/>
    <n v="0"/>
    <n v="57.5"/>
  </r>
  <r>
    <x v="1871"/>
    <n v="815047"/>
    <s v="NAVDURGA ENTERPRISES"/>
    <n v="175049"/>
    <s v="KASHISH ENTERPRISES"/>
    <n v="0"/>
    <n v="20"/>
    <n v="25"/>
    <n v="12.5"/>
    <n v="4"/>
    <n v="0"/>
    <n v="0"/>
    <n v="0"/>
    <n v="0"/>
    <n v="0"/>
    <n v="0"/>
    <n v="0"/>
    <n v="61.5"/>
  </r>
  <r>
    <x v="1872"/>
    <n v="815051"/>
    <s v="ANIL KUMAR TAK"/>
    <n v="208074"/>
    <s v="SWASTIK STEEL TRADERS"/>
    <n v="0"/>
    <n v="0"/>
    <n v="208"/>
    <n v="262"/>
    <n v="154.5"/>
    <n v="110"/>
    <n v="90.9"/>
    <n v="111.5"/>
    <n v="160"/>
    <n v="165.5"/>
    <n v="206.25"/>
    <n v="277.35000000000002"/>
    <n v="1746"/>
  </r>
  <r>
    <x v="1873"/>
    <n v="815052"/>
    <s v="KARANVEER"/>
    <n v="208074"/>
    <s v="SWASTIK STEEL TRADERS"/>
    <n v="0"/>
    <n v="0"/>
    <n v="23"/>
    <n v="10"/>
    <n v="20"/>
    <n v="20"/>
    <n v="60"/>
    <n v="20"/>
    <n v="37.5"/>
    <n v="15"/>
    <n v="18.600000000000001"/>
    <n v="33"/>
    <n v="257.10000000000002"/>
  </r>
  <r>
    <x v="1874"/>
    <n v="815057"/>
    <s v="ANKUR CEMENT AGENCY"/>
    <n v="207857"/>
    <s v="YADAV BUILDING MATERIAL"/>
    <n v="0"/>
    <n v="80"/>
    <n v="215"/>
    <n v="125.5"/>
    <n v="82.4"/>
    <n v="224"/>
    <n v="140"/>
    <n v="157.5"/>
    <n v="153.14999999999998"/>
    <n v="148.5"/>
    <n v="85"/>
    <n v="692.5"/>
    <n v="2103.5500000000002"/>
  </r>
  <r>
    <x v="1875"/>
    <n v="815064"/>
    <s v="U K TRADERS"/>
    <n v="208074"/>
    <s v="SWASTIK STEEL TRADERS"/>
    <n v="0"/>
    <n v="0"/>
    <n v="75"/>
    <n v="52.5"/>
    <n v="35"/>
    <n v="65"/>
    <n v="65"/>
    <n v="63"/>
    <n v="32.5"/>
    <n v="62.5"/>
    <n v="37.5"/>
    <n v="50"/>
    <n v="538"/>
  </r>
  <r>
    <x v="1876"/>
    <n v="815066"/>
    <s v="GURUJI CEMENT SUPPLIERS"/>
    <n v="208074"/>
    <s v="SWASTIK STEEL TRADERS"/>
    <n v="0"/>
    <n v="0"/>
    <n v="0"/>
    <n v="0"/>
    <n v="10"/>
    <n v="10"/>
    <n v="0"/>
    <n v="20"/>
    <n v="27.5"/>
    <n v="5"/>
    <n v="12.5"/>
    <n v="0"/>
    <n v="85"/>
  </r>
  <r>
    <x v="1877"/>
    <n v="815067"/>
    <s v="NEW HIND TRADERS"/>
    <n v="208074"/>
    <s v="SWASTIK STEEL TRADERS"/>
    <n v="0"/>
    <n v="0"/>
    <n v="10"/>
    <n v="35"/>
    <n v="20"/>
    <n v="20"/>
    <n v="0"/>
    <n v="10"/>
    <n v="25"/>
    <n v="36.950000000000003"/>
    <n v="12.5"/>
    <n v="12.5"/>
    <n v="181.95"/>
  </r>
  <r>
    <x v="1878"/>
    <n v="815068"/>
    <s v="MOHMMAD ALI GOURI"/>
    <n v="208074"/>
    <s v="SWASTIK STEEL TRADERS"/>
    <n v="0"/>
    <n v="0"/>
    <n v="20"/>
    <n v="47.5"/>
    <n v="26"/>
    <n v="20"/>
    <n v="30"/>
    <n v="10"/>
    <n v="37.5"/>
    <n v="10"/>
    <n v="24.5"/>
    <n v="22.5"/>
    <n v="248"/>
  </r>
  <r>
    <x v="1879"/>
    <n v="815084"/>
    <s v="SHRI SAANWALIYA JI CERAMICS"/>
    <n v="171578"/>
    <s v="KOTA BUILDMAT"/>
    <n v="0"/>
    <n v="30"/>
    <n v="150"/>
    <n v="78.150000000000006"/>
    <n v="70"/>
    <n v="67"/>
    <n v="99"/>
    <n v="41"/>
    <n v="97.15"/>
    <n v="88"/>
    <n v="213.7"/>
    <n v="40"/>
    <n v="974"/>
  </r>
  <r>
    <x v="1880"/>
    <n v="815088"/>
    <s v="RANJEET SINGH JAKHAD"/>
    <n v="119208"/>
    <s v="SURAJMAL TANSUKH RAI"/>
    <n v="0"/>
    <n v="0"/>
    <n v="15"/>
    <n v="2.5"/>
    <n v="15"/>
    <n v="0"/>
    <n v="105"/>
    <n v="0"/>
    <n v="2"/>
    <n v="0"/>
    <n v="0"/>
    <n v="0"/>
    <n v="139.5"/>
  </r>
  <r>
    <x v="1881"/>
    <n v="815091"/>
    <s v="SHRI KRISHNA ENTERPRISES"/>
    <n v="149885"/>
    <s v="LUHANI CEMENT SUPPLIERS"/>
    <n v="0"/>
    <n v="10"/>
    <n v="15"/>
    <n v="7.5"/>
    <n v="23.25"/>
    <n v="20.5"/>
    <n v="15"/>
    <n v="7.5"/>
    <n v="71.5"/>
    <n v="25.5"/>
    <n v="27.5"/>
    <n v="50"/>
    <n v="273.25"/>
  </r>
  <r>
    <x v="1882"/>
    <n v="815092"/>
    <s v="RITIKA ELECTRICAL"/>
    <n v="119212"/>
    <s v="SURENDRA KUMAR &amp; CO"/>
    <n v="0"/>
    <n v="20"/>
    <n v="32"/>
    <n v="30"/>
    <n v="68.5"/>
    <n v="0"/>
    <n v="23"/>
    <n v="5"/>
    <n v="85"/>
    <n v="1.75"/>
    <n v="32.5"/>
    <n v="103"/>
    <n v="400.75"/>
  </r>
  <r>
    <x v="1883"/>
    <n v="815093"/>
    <s v="MAHAKAL CONSTRUCTION COMPANY"/>
    <n v="170146"/>
    <s v="KASLIWAL KRISHI SEWA KENDRA"/>
    <n v="0"/>
    <n v="70"/>
    <n v="25"/>
    <n v="10"/>
    <n v="30"/>
    <n v="0"/>
    <n v="35"/>
    <n v="0"/>
    <n v="57"/>
    <n v="5"/>
    <n v="10"/>
    <n v="10"/>
    <n v="252"/>
  </r>
  <r>
    <x v="1884"/>
    <n v="815096"/>
    <s v="KHANDELWAL CEMENT AGENCY"/>
    <n v="119212"/>
    <s v="SURENDRA KUMAR &amp; CO"/>
    <n v="0"/>
    <n v="25"/>
    <n v="101.5"/>
    <n v="89.25"/>
    <n v="34.5"/>
    <n v="25"/>
    <n v="18"/>
    <n v="35"/>
    <n v="82.5"/>
    <n v="23"/>
    <n v="15"/>
    <n v="55"/>
    <n v="503.75"/>
  </r>
  <r>
    <x v="1885"/>
    <n v="815097"/>
    <s v="MAA KAILASH KRIPA COATINGS"/>
    <n v="143301"/>
    <s v="LAXMI TRADERS"/>
    <n v="0"/>
    <n v="0"/>
    <n v="65.25"/>
    <n v="67"/>
    <n v="0"/>
    <n v="76.5"/>
    <n v="25"/>
    <n v="0"/>
    <n v="36"/>
    <n v="0"/>
    <n v="35"/>
    <n v="135.5"/>
    <n v="440.25"/>
  </r>
  <r>
    <x v="1886"/>
    <n v="815101"/>
    <s v="DEV CEMENT AGENCY"/>
    <n v="119074"/>
    <s v="LAVANIA CEMENT SALES CORPORATI"/>
    <n v="0"/>
    <n v="0"/>
    <n v="0"/>
    <n v="0"/>
    <n v="10"/>
    <n v="0"/>
    <n v="0"/>
    <n v="0"/>
    <n v="0"/>
    <n v="0"/>
    <n v="0"/>
    <n v="0"/>
    <n v="10"/>
  </r>
  <r>
    <x v="1887"/>
    <n v="815101"/>
    <s v="DEV CEMENT AGENCY"/>
    <n v="208026"/>
    <s v="PRIYA ENTERPRISES"/>
    <n v="0"/>
    <n v="0"/>
    <n v="79.5"/>
    <n v="44.5"/>
    <n v="91.5"/>
    <n v="107.5"/>
    <n v="42.25"/>
    <n v="30"/>
    <n v="75"/>
    <n v="20"/>
    <n v="78.5"/>
    <n v="92"/>
    <n v="660.75"/>
  </r>
  <r>
    <x v="1888"/>
    <n v="815102"/>
    <s v="MAHADEV STONE SUPPLIER"/>
    <n v="176870"/>
    <s v="KHANDELWAL CEMENT AGENCY"/>
    <n v="0"/>
    <n v="0"/>
    <n v="30"/>
    <n v="55"/>
    <n v="0"/>
    <n v="38"/>
    <n v="20"/>
    <n v="0"/>
    <n v="47.5"/>
    <n v="10"/>
    <n v="7"/>
    <n v="33"/>
    <n v="240.5"/>
  </r>
  <r>
    <x v="1889"/>
    <n v="815104"/>
    <s v="ISRAIL CEMENT AGENCY"/>
    <n v="149765"/>
    <s v="ARORA CEMENT AGENCY"/>
    <n v="0"/>
    <n v="0"/>
    <n v="120"/>
    <n v="20"/>
    <n v="17"/>
    <n v="30"/>
    <n v="10"/>
    <n v="30"/>
    <n v="25"/>
    <n v="30"/>
    <n v="45"/>
    <n v="76.7"/>
    <n v="403.7"/>
  </r>
  <r>
    <x v="1890"/>
    <n v="815105"/>
    <s v="A1 CEMENT AGENCY"/>
    <n v="205650"/>
    <s v="SAINI TRADING COMPANY"/>
    <n v="0"/>
    <n v="0"/>
    <n v="0"/>
    <n v="63.5"/>
    <n v="15"/>
    <n v="20"/>
    <n v="0"/>
    <n v="0"/>
    <n v="0"/>
    <n v="0"/>
    <n v="11"/>
    <n v="0"/>
    <n v="109.5"/>
  </r>
  <r>
    <x v="1891"/>
    <n v="815111"/>
    <s v="BALAJI BUILDING MATERIAL SUPPL"/>
    <n v="171578"/>
    <s v="KOTA BUILDMAT"/>
    <n v="0"/>
    <n v="0"/>
    <n v="110"/>
    <n v="107.5"/>
    <n v="50"/>
    <n v="67.5"/>
    <n v="56"/>
    <n v="50"/>
    <n v="76.650000000000006"/>
    <n v="82.6"/>
    <n v="95.1"/>
    <n v="220"/>
    <n v="915.35"/>
  </r>
  <r>
    <x v="1892"/>
    <n v="815123"/>
    <s v="SHRI GANESH TRADERS"/>
    <n v="202142"/>
    <s v="PRAHALAD KUMAR LABOUR SUPPLIER"/>
    <n v="0"/>
    <n v="0"/>
    <n v="72.5"/>
    <n v="70"/>
    <n v="15"/>
    <n v="30"/>
    <n v="30"/>
    <n v="17.5"/>
    <n v="70"/>
    <n v="30"/>
    <n v="59"/>
    <n v="34.5"/>
    <n v="428.5"/>
  </r>
  <r>
    <x v="1893"/>
    <n v="815127"/>
    <s v="SURESH CHANDRA SHARMA"/>
    <n v="205591"/>
    <s v="ROOP RAJAT TRADING CO"/>
    <n v="0"/>
    <n v="0"/>
    <n v="30"/>
    <n v="26.5"/>
    <n v="8"/>
    <n v="0"/>
    <n v="20"/>
    <n v="12"/>
    <n v="24"/>
    <n v="10"/>
    <n v="0"/>
    <n v="13"/>
    <n v="143.5"/>
  </r>
  <r>
    <x v="1894"/>
    <n v="815133"/>
    <s v="HANUVANT INDUSTRIES"/>
    <n v="203455"/>
    <s v="NARAYAN TRADERS"/>
    <n v="0"/>
    <n v="0"/>
    <n v="60.5"/>
    <n v="113"/>
    <n v="50"/>
    <n v="60"/>
    <n v="79"/>
    <n v="32.5"/>
    <n v="86"/>
    <n v="60"/>
    <n v="70"/>
    <n v="315"/>
    <n v="926"/>
  </r>
  <r>
    <x v="1895"/>
    <n v="815134"/>
    <s v="BHAJN LAL"/>
    <n v="204318"/>
    <s v="KISAN BUILDING MATERIAL"/>
    <n v="0"/>
    <n v="0"/>
    <n v="25"/>
    <n v="36"/>
    <n v="28"/>
    <n v="23"/>
    <n v="15"/>
    <n v="30"/>
    <n v="55"/>
    <n v="42.5"/>
    <n v="27"/>
    <n v="20"/>
    <n v="301.5"/>
  </r>
  <r>
    <x v="1896"/>
    <n v="815135"/>
    <s v="HAPA DADA CEMENT AGENCY"/>
    <n v="172338"/>
    <s v="KHILJEE BUILDING MATERIAL"/>
    <n v="0"/>
    <n v="0"/>
    <n v="51"/>
    <n v="30"/>
    <n v="25.1"/>
    <n v="15"/>
    <n v="35"/>
    <n v="0"/>
    <n v="26"/>
    <n v="31"/>
    <n v="32"/>
    <n v="20"/>
    <n v="265.10000000000002"/>
  </r>
  <r>
    <x v="1897"/>
    <n v="815136"/>
    <s v="VISHWAKARMA MARBLE"/>
    <n v="149885"/>
    <s v="LUHANI CEMENT SUPPLIERS"/>
    <n v="0"/>
    <n v="0"/>
    <n v="133"/>
    <n v="126.1"/>
    <n v="51"/>
    <n v="47.5"/>
    <n v="99.5"/>
    <n v="43"/>
    <n v="70.5"/>
    <n v="37.5"/>
    <n v="0"/>
    <n v="21"/>
    <n v="629.1"/>
  </r>
  <r>
    <x v="1898"/>
    <n v="815151"/>
    <s v="PRADEEP CHOUDHARY"/>
    <n v="119208"/>
    <s v="SURAJMAL TANSUKH RAI"/>
    <n v="0"/>
    <n v="0"/>
    <n v="15"/>
    <n v="171"/>
    <n v="22.5"/>
    <n v="0"/>
    <n v="7.5"/>
    <n v="10"/>
    <n v="62.5"/>
    <n v="0"/>
    <n v="0"/>
    <n v="11.5"/>
    <n v="300"/>
  </r>
  <r>
    <x v="1899"/>
    <n v="815152"/>
    <s v="GAURI CEMENT SUPPLIERS"/>
    <n v="170775"/>
    <s v="GANPAT LAL MAROTHIYA AND SONS"/>
    <n v="0"/>
    <n v="0"/>
    <n v="40"/>
    <n v="30"/>
    <n v="15"/>
    <n v="0"/>
    <n v="0"/>
    <n v="0"/>
    <n v="70"/>
    <n v="0"/>
    <n v="25"/>
    <n v="10"/>
    <n v="190"/>
  </r>
  <r>
    <x v="1900"/>
    <n v="815155"/>
    <s v="ARIHANT JAIN"/>
    <n v="176833"/>
    <s v="NAKORA CEMENT SUPPLIERS"/>
    <n v="0"/>
    <n v="0"/>
    <n v="110"/>
    <n v="20"/>
    <n v="35"/>
    <n v="7"/>
    <n v="35"/>
    <n v="10"/>
    <n v="35"/>
    <n v="64"/>
    <n v="15"/>
    <n v="75"/>
    <n v="406"/>
  </r>
  <r>
    <x v="1901"/>
    <n v="815167"/>
    <s v="SANDHU SANITARY &amp;CEMENT STORE"/>
    <n v="206219"/>
    <s v="SALASAR TRADERS"/>
    <n v="0"/>
    <n v="0"/>
    <n v="121"/>
    <n v="128"/>
    <n v="115"/>
    <n v="127.45"/>
    <n v="52"/>
    <n v="54.7"/>
    <n v="136"/>
    <n v="86"/>
    <n v="102"/>
    <n v="76"/>
    <n v="998.15000000000009"/>
  </r>
  <r>
    <x v="1902"/>
    <n v="815168"/>
    <s v="ISMAIL KHAN"/>
    <n v="177104"/>
    <s v="GARG SUPPLIERS"/>
    <n v="0"/>
    <n v="0"/>
    <n v="0"/>
    <n v="0"/>
    <n v="0"/>
    <n v="79.5"/>
    <n v="34"/>
    <n v="15"/>
    <n v="67.5"/>
    <n v="0"/>
    <n v="77"/>
    <n v="50"/>
    <n v="323"/>
  </r>
  <r>
    <x v="1903"/>
    <n v="815168"/>
    <s v="ISMAIL KHAN"/>
    <n v="179944"/>
    <s v="GOYAL TRADERS"/>
    <n v="0"/>
    <n v="0"/>
    <n v="35"/>
    <n v="26.5"/>
    <n v="35.5"/>
    <n v="0"/>
    <n v="0"/>
    <n v="0"/>
    <n v="0"/>
    <n v="0"/>
    <n v="0"/>
    <n v="0"/>
    <n v="97"/>
  </r>
  <r>
    <x v="1904"/>
    <n v="815175"/>
    <s v="SAINI BUILDERS"/>
    <n v="149765"/>
    <s v="ARORA CEMENT AGENCY"/>
    <n v="0"/>
    <n v="0"/>
    <n v="56.5"/>
    <n v="0"/>
    <n v="35"/>
    <n v="30"/>
    <n v="30"/>
    <n v="20"/>
    <n v="40"/>
    <n v="20"/>
    <n v="40"/>
    <n v="129.5"/>
    <n v="401"/>
  </r>
  <r>
    <x v="1905"/>
    <n v="815176"/>
    <s v="BHARADWAJ BUILDERS"/>
    <n v="175288"/>
    <s v="LAXMI TRADERS"/>
    <n v="0"/>
    <n v="0"/>
    <n v="0"/>
    <n v="110"/>
    <n v="70"/>
    <n v="90"/>
    <n v="155"/>
    <n v="70"/>
    <n v="72"/>
    <n v="95"/>
    <n v="70"/>
    <n v="125"/>
    <n v="857"/>
  </r>
  <r>
    <x v="1906"/>
    <n v="815182"/>
    <s v="ROJH CONSTRUCTION COMPANY"/>
    <n v="174271"/>
    <s v="S K TRADERS"/>
    <n v="0"/>
    <n v="0"/>
    <n v="65"/>
    <n v="82.5"/>
    <n v="0"/>
    <n v="30"/>
    <n v="0"/>
    <n v="44.5"/>
    <n v="0"/>
    <n v="0"/>
    <n v="0"/>
    <n v="0"/>
    <n v="222"/>
  </r>
  <r>
    <x v="1907"/>
    <n v="815183"/>
    <s v="SHIFA TILES AND BUILDING MATER"/>
    <n v="149971"/>
    <s v="PRADHAN CEMENT SUPPLIERS"/>
    <n v="0"/>
    <n v="0"/>
    <n v="0"/>
    <n v="54.15"/>
    <n v="27"/>
    <n v="17.5"/>
    <n v="0"/>
    <n v="2.5"/>
    <n v="47.5"/>
    <n v="73.349999999999994"/>
    <n v="51"/>
    <n v="20"/>
    <n v="293"/>
  </r>
  <r>
    <x v="1908"/>
    <n v="815184"/>
    <s v="RAJESH DHAKAD"/>
    <n v="174631"/>
    <s v="OM TRADERS"/>
    <n v="0"/>
    <n v="0"/>
    <n v="46.5"/>
    <n v="66.75"/>
    <n v="30"/>
    <n v="10"/>
    <n v="10"/>
    <n v="0"/>
    <n v="0"/>
    <n v="5"/>
    <n v="10"/>
    <n v="115"/>
    <n v="293.25"/>
  </r>
  <r>
    <x v="1909"/>
    <n v="815199"/>
    <s v="JAI MAA BHAWANI CEMENT SUPPLIE"/>
    <n v="119154"/>
    <s v="SHRI GANPATI ENTERPRISES"/>
    <n v="0"/>
    <n v="0"/>
    <n v="30"/>
    <n v="60"/>
    <n v="2.5"/>
    <n v="35"/>
    <n v="65"/>
    <n v="0"/>
    <n v="22.5"/>
    <n v="30"/>
    <n v="30"/>
    <n v="20"/>
    <n v="295"/>
  </r>
  <r>
    <x v="1910"/>
    <n v="815200"/>
    <s v="PARWAT SINGH"/>
    <n v="119154"/>
    <s v="SHRI GANPATI ENTERPRISES"/>
    <n v="0"/>
    <n v="0"/>
    <n v="35"/>
    <n v="55"/>
    <n v="25"/>
    <n v="35"/>
    <n v="15"/>
    <n v="0"/>
    <n v="27.5"/>
    <n v="60"/>
    <n v="60"/>
    <n v="90"/>
    <n v="402.5"/>
  </r>
  <r>
    <x v="1911"/>
    <n v="815202"/>
    <s v="MAA JAGDAMBA BUILDING MATERIAL"/>
    <n v="179877"/>
    <s v="HANUMANGARH  INT SUPPLIERS"/>
    <n v="0"/>
    <n v="0"/>
    <n v="0"/>
    <n v="0"/>
    <n v="0"/>
    <n v="0"/>
    <n v="10"/>
    <n v="0"/>
    <n v="0"/>
    <n v="0"/>
    <n v="15"/>
    <n v="0"/>
    <n v="25"/>
  </r>
  <r>
    <x v="1912"/>
    <n v="815202"/>
    <s v="MAA JAGDAMBA BUILDING MATERIAL"/>
    <n v="207405"/>
    <s v="SHERANI BUILDING MATERIAL SUPP"/>
    <n v="0"/>
    <n v="0"/>
    <n v="0"/>
    <n v="0"/>
    <n v="0"/>
    <n v="0"/>
    <n v="0"/>
    <n v="0"/>
    <n v="0"/>
    <n v="0"/>
    <n v="0"/>
    <n v="52.5"/>
    <n v="52.5"/>
  </r>
  <r>
    <x v="1913"/>
    <n v="815210"/>
    <s v="AFSAR BUILDING MATERIAL"/>
    <n v="170363"/>
    <s v="GOLDEN TRADERS"/>
    <n v="0"/>
    <n v="0"/>
    <n v="35"/>
    <n v="0"/>
    <n v="27"/>
    <n v="0"/>
    <n v="10"/>
    <n v="0"/>
    <n v="37.5"/>
    <n v="0"/>
    <n v="17.5"/>
    <n v="16.5"/>
    <n v="143.5"/>
  </r>
  <r>
    <x v="1914"/>
    <n v="815211"/>
    <s v="NAKSHATRA TRADERS"/>
    <n v="170132"/>
    <s v="JAI KOSHLESH TRADING COMPANY"/>
    <n v="0"/>
    <n v="0"/>
    <n v="0"/>
    <n v="51.5"/>
    <n v="40"/>
    <n v="42.9"/>
    <n v="194"/>
    <n v="35"/>
    <n v="52.5"/>
    <n v="177"/>
    <n v="347"/>
    <n v="239"/>
    <n v="1178.9000000000001"/>
  </r>
  <r>
    <x v="1915"/>
    <n v="815218"/>
    <s v="HALDHAR KISHAN SEVA KENDRA"/>
    <n v="170204"/>
    <s v="GOYAL BUILDING MATERIAL"/>
    <n v="0"/>
    <n v="0"/>
    <n v="0"/>
    <n v="0"/>
    <n v="0"/>
    <n v="0"/>
    <n v="20"/>
    <n v="0"/>
    <n v="0"/>
    <n v="0"/>
    <n v="0"/>
    <n v="0"/>
    <n v="20"/>
  </r>
  <r>
    <x v="1916"/>
    <n v="815218"/>
    <s v="HALDHAR KISHAN SEVA KENDRA"/>
    <n v="171226"/>
    <s v="SATYA TRADERS"/>
    <n v="0"/>
    <n v="0"/>
    <n v="59.5"/>
    <n v="45"/>
    <n v="20"/>
    <n v="0"/>
    <n v="20"/>
    <n v="15"/>
    <n v="48"/>
    <n v="27"/>
    <n v="22"/>
    <n v="42"/>
    <n v="298.5"/>
  </r>
  <r>
    <x v="1917"/>
    <n v="815231"/>
    <s v="JAI BALAJI CEMENT AGENCY"/>
    <n v="206681"/>
    <s v="CHOUDHARY TRADERS"/>
    <n v="0"/>
    <n v="0"/>
    <n v="42"/>
    <n v="44.5"/>
    <n v="29.5"/>
    <n v="36"/>
    <n v="18"/>
    <n v="21"/>
    <n v="51.5"/>
    <n v="30"/>
    <n v="10"/>
    <n v="27.5"/>
    <n v="310"/>
  </r>
  <r>
    <x v="1918"/>
    <n v="815232"/>
    <s v="FAKHRI ENTERPRISES"/>
    <n v="144747"/>
    <s v="ROOP ENTERPRISES"/>
    <n v="0"/>
    <n v="0"/>
    <n v="35"/>
    <n v="74"/>
    <n v="52"/>
    <n v="69.5"/>
    <n v="53"/>
    <n v="11"/>
    <n v="102.5"/>
    <n v="100"/>
    <n v="47.5"/>
    <n v="57"/>
    <n v="601.5"/>
  </r>
  <r>
    <x v="1919"/>
    <n v="815236"/>
    <s v="KHOTHARI SAPLYRAYS AND CON"/>
    <n v="119066"/>
    <s v="RAJENDRA KUMAR RATAN LAL JAIN"/>
    <n v="0"/>
    <n v="0"/>
    <n v="101.1"/>
    <n v="53"/>
    <n v="51"/>
    <n v="37"/>
    <n v="1"/>
    <n v="0"/>
    <n v="0"/>
    <n v="0"/>
    <n v="0"/>
    <n v="0"/>
    <n v="243.1"/>
  </r>
  <r>
    <x v="1920"/>
    <n v="815237"/>
    <s v="SONU BUILDING MATERIAL &amp; SUPPL"/>
    <n v="174176"/>
    <s v="PRADEEP CHOUDHARY J K SUPER CE"/>
    <n v="0"/>
    <n v="0"/>
    <n v="10"/>
    <n v="35.35"/>
    <n v="20"/>
    <n v="20"/>
    <n v="33"/>
    <n v="10"/>
    <n v="23"/>
    <n v="30.5"/>
    <n v="10"/>
    <n v="30"/>
    <n v="221.85"/>
  </r>
  <r>
    <x v="1921"/>
    <n v="815253"/>
    <s v="RINKU VYAS"/>
    <n v="205591"/>
    <s v="ROOP RAJAT TRADING CO"/>
    <n v="0"/>
    <n v="0"/>
    <n v="30"/>
    <n v="112.75"/>
    <n v="103.5"/>
    <n v="59"/>
    <n v="122.5"/>
    <n v="112"/>
    <n v="151"/>
    <n v="150"/>
    <n v="106"/>
    <n v="116.5"/>
    <n v="1063.25"/>
  </r>
  <r>
    <x v="1922"/>
    <n v="815254"/>
    <s v="SANTOSH KUMAR"/>
    <n v="176693"/>
    <s v="SUBHAM AGENCIES"/>
    <n v="0"/>
    <n v="0"/>
    <n v="35"/>
    <n v="144.94999999999999"/>
    <n v="50"/>
    <n v="20"/>
    <n v="15"/>
    <n v="0"/>
    <n v="50"/>
    <n v="65"/>
    <n v="35"/>
    <n v="60.75"/>
    <n v="475.7"/>
  </r>
  <r>
    <x v="1923"/>
    <n v="815256"/>
    <s v="KUMHER BUILDING MATERIAL"/>
    <n v="170204"/>
    <s v="GOYAL BUILDING MATERIAL"/>
    <n v="0"/>
    <n v="0"/>
    <n v="42"/>
    <n v="260"/>
    <n v="50"/>
    <n v="102.5"/>
    <n v="119"/>
    <n v="42"/>
    <n v="181.85"/>
    <n v="120"/>
    <n v="161"/>
    <n v="229"/>
    <n v="1307.3499999999999"/>
  </r>
  <r>
    <x v="1924"/>
    <n v="815271"/>
    <s v="VAGTA RAM SIRVI"/>
    <n v="170904"/>
    <s v="ASHAPURA CEMENT SALES"/>
    <n v="0"/>
    <n v="0"/>
    <n v="47"/>
    <n v="66"/>
    <n v="81.75"/>
    <n v="65"/>
    <n v="71.650000000000006"/>
    <n v="20"/>
    <n v="62"/>
    <n v="85"/>
    <n v="40"/>
    <n v="71"/>
    <n v="609.4"/>
  </r>
  <r>
    <x v="1925"/>
    <n v="815273"/>
    <s v="SIDDHY VINAYAK IRRIGATION SHOP"/>
    <n v="207809"/>
    <s v="SHIV MAHIMA TRADERS"/>
    <n v="0"/>
    <n v="0"/>
    <n v="0"/>
    <n v="22.5"/>
    <n v="0"/>
    <n v="7.5"/>
    <n v="22"/>
    <n v="25"/>
    <n v="30"/>
    <n v="30"/>
    <n v="0"/>
    <n v="0"/>
    <n v="137"/>
  </r>
  <r>
    <x v="1926"/>
    <n v="815274"/>
    <s v="NEHA TRADERS"/>
    <n v="207977"/>
    <s v="YASH TRADERS"/>
    <n v="0"/>
    <n v="0"/>
    <n v="0"/>
    <n v="9.5"/>
    <n v="5"/>
    <n v="6"/>
    <n v="5"/>
    <n v="10"/>
    <n v="30"/>
    <n v="35"/>
    <n v="70"/>
    <n v="0"/>
    <n v="170.5"/>
  </r>
  <r>
    <x v="1927"/>
    <n v="815275"/>
    <s v="MEHTA TRADERS"/>
    <n v="143114"/>
    <s v="RAJESH TRADING COMPANY"/>
    <n v="0"/>
    <n v="0"/>
    <n v="0"/>
    <n v="4.5"/>
    <n v="0"/>
    <n v="2"/>
    <n v="0"/>
    <n v="0"/>
    <n v="0"/>
    <n v="10"/>
    <n v="10"/>
    <n v="0"/>
    <n v="26.5"/>
  </r>
  <r>
    <x v="1928"/>
    <n v="815277"/>
    <s v="GOPAL CEMENT SUPPLIERS"/>
    <n v="170775"/>
    <s v="GANPAT LAL MAROTHIYA AND SONS"/>
    <n v="0"/>
    <n v="0"/>
    <n v="0"/>
    <n v="30"/>
    <n v="20"/>
    <n v="0"/>
    <n v="10"/>
    <n v="25"/>
    <n v="35"/>
    <n v="40"/>
    <n v="30"/>
    <n v="20"/>
    <n v="210"/>
  </r>
  <r>
    <x v="1929"/>
    <n v="815278"/>
    <s v="SHYAM STONE AND CEMENT SUPPLIE"/>
    <n v="206073"/>
    <s v="SHREE TIRUPATI BALAJI BUILDING"/>
    <n v="0"/>
    <n v="0"/>
    <n v="0"/>
    <n v="0"/>
    <n v="50"/>
    <n v="20"/>
    <n v="10"/>
    <n v="5"/>
    <n v="32.5"/>
    <n v="27"/>
    <n v="7.5"/>
    <n v="15"/>
    <n v="167"/>
  </r>
  <r>
    <x v="1930"/>
    <n v="815306"/>
    <s v="ARIF HUSSAIN"/>
    <n v="179891"/>
    <s v="DOSTI CONSTRUCTION"/>
    <n v="0"/>
    <n v="0"/>
    <n v="45"/>
    <n v="157"/>
    <n v="55"/>
    <n v="65"/>
    <n v="85.35"/>
    <n v="70"/>
    <n v="189"/>
    <n v="65"/>
    <n v="214"/>
    <n v="308"/>
    <n v="1253.3499999999999"/>
  </r>
  <r>
    <x v="1931"/>
    <n v="815307"/>
    <s v="KASHYAP ENTERPRISES"/>
    <n v="208638"/>
    <s v="SHRI GANESH CEMENT &amp; STEELS"/>
    <n v="0"/>
    <n v="0"/>
    <n v="5"/>
    <n v="0"/>
    <n v="10"/>
    <n v="12.05"/>
    <n v="8"/>
    <n v="5"/>
    <n v="5"/>
    <n v="0"/>
    <n v="0"/>
    <n v="2"/>
    <n v="47.05"/>
  </r>
  <r>
    <x v="1932"/>
    <n v="815314"/>
    <s v="GIRIRAJ PRASAD NAGAR"/>
    <n v="173298"/>
    <s v="RAKHI AGRO SALES"/>
    <n v="0"/>
    <n v="0"/>
    <n v="0"/>
    <n v="0"/>
    <n v="30"/>
    <n v="20"/>
    <n v="30"/>
    <n v="40"/>
    <n v="0"/>
    <n v="0"/>
    <n v="25"/>
    <n v="0"/>
    <n v="145"/>
  </r>
  <r>
    <x v="1933"/>
    <n v="815342"/>
    <s v="LUCKY CEMENT AND STEELS"/>
    <n v="205620"/>
    <s v="NISHANT JAISWAL"/>
    <n v="0"/>
    <n v="0"/>
    <n v="0"/>
    <n v="10.5"/>
    <n v="0"/>
    <n v="0"/>
    <n v="0"/>
    <n v="0"/>
    <n v="0"/>
    <n v="0"/>
    <n v="0"/>
    <n v="0"/>
    <n v="10.5"/>
  </r>
  <r>
    <x v="1934"/>
    <n v="815342"/>
    <s v="LUCKY CEMENT AND STEELS"/>
    <n v="208638"/>
    <s v="SHRI GANESH CEMENT &amp; STEELS"/>
    <n v="0"/>
    <n v="0"/>
    <n v="10"/>
    <n v="76"/>
    <n v="59.5"/>
    <n v="115"/>
    <n v="169.65"/>
    <n v="33"/>
    <n v="54.25"/>
    <n v="140.5"/>
    <n v="216.5"/>
    <n v="310.5"/>
    <n v="1184.9000000000001"/>
  </r>
  <r>
    <x v="1935"/>
    <n v="815354"/>
    <s v="SHRI JASNATH BUILDING MATERIAL"/>
    <n v="172497"/>
    <s v="VINAYAK INDUSTRIES"/>
    <n v="0"/>
    <n v="0"/>
    <n v="0"/>
    <n v="5"/>
    <n v="0"/>
    <n v="10"/>
    <n v="10"/>
    <n v="20"/>
    <n v="2.5"/>
    <n v="0"/>
    <n v="0"/>
    <n v="0"/>
    <n v="47.5"/>
  </r>
  <r>
    <x v="1936"/>
    <n v="815355"/>
    <s v="VEER TEJA TRADING COMPANY"/>
    <n v="174271"/>
    <s v="S K TRADERS"/>
    <n v="0"/>
    <n v="0"/>
    <n v="0"/>
    <n v="0"/>
    <n v="0"/>
    <n v="0"/>
    <n v="0"/>
    <n v="0"/>
    <n v="0"/>
    <n v="20"/>
    <n v="157"/>
    <n v="65"/>
    <n v="242"/>
  </r>
  <r>
    <x v="1937"/>
    <n v="815356"/>
    <s v="SUFI BUILDING MATERIAL"/>
    <n v="207945"/>
    <s v="SUFI ENTERPRISES"/>
    <n v="0"/>
    <n v="0"/>
    <n v="0"/>
    <n v="101.75"/>
    <n v="15"/>
    <n v="63.5"/>
    <n v="10"/>
    <n v="17.5"/>
    <n v="10"/>
    <n v="0"/>
    <n v="0"/>
    <n v="0"/>
    <n v="217.75"/>
  </r>
  <r>
    <x v="1938"/>
    <n v="815393"/>
    <s v="SWASTIK ENTERPRISES"/>
    <n v="205225"/>
    <s v="MAHAVEER ASSOCIATES"/>
    <n v="0"/>
    <n v="0"/>
    <n v="0"/>
    <n v="5"/>
    <n v="23.5"/>
    <n v="54.5"/>
    <n v="5"/>
    <n v="92.5"/>
    <n v="122.25"/>
    <n v="84"/>
    <n v="168.75"/>
    <n v="194.1"/>
    <n v="749.6"/>
  </r>
  <r>
    <x v="1939"/>
    <n v="815394"/>
    <s v="TRIPURA CEMENT SUPPLIERS"/>
    <n v="172798"/>
    <s v="PANKAJ TRADERS"/>
    <n v="0"/>
    <n v="0"/>
    <n v="0"/>
    <n v="35"/>
    <n v="80"/>
    <n v="15"/>
    <n v="55"/>
    <n v="0"/>
    <n v="24"/>
    <n v="60"/>
    <n v="80"/>
    <n v="93"/>
    <n v="442"/>
  </r>
  <r>
    <x v="1940"/>
    <n v="815395"/>
    <s v="PANKAJ KUMAR DIXIT"/>
    <n v="142269"/>
    <s v="CHAMUNDA BUILDING MATERIAL SUP"/>
    <n v="0"/>
    <n v="0"/>
    <n v="0"/>
    <n v="0"/>
    <n v="25"/>
    <n v="0"/>
    <n v="35"/>
    <n v="0"/>
    <n v="22.5"/>
    <n v="0"/>
    <n v="10"/>
    <n v="0"/>
    <n v="92.5"/>
  </r>
  <r>
    <x v="1941"/>
    <n v="815400"/>
    <s v="NITESH TAILI"/>
    <n v="202387"/>
    <s v="PATIDAR BUILDING MATARIYAL"/>
    <n v="0"/>
    <n v="0"/>
    <n v="0"/>
    <n v="21.5"/>
    <n v="38"/>
    <n v="10"/>
    <n v="6"/>
    <n v="10"/>
    <n v="29.5"/>
    <n v="5"/>
    <n v="21"/>
    <n v="36"/>
    <n v="177"/>
  </r>
  <r>
    <x v="1942"/>
    <n v="815401"/>
    <s v="PRAJAPATI TRADING COMPANY"/>
    <n v="204307"/>
    <s v="JAI BAJRANG STEELS"/>
    <n v="0"/>
    <n v="0"/>
    <n v="0"/>
    <n v="80"/>
    <n v="113.75"/>
    <n v="67.5"/>
    <n v="33"/>
    <n v="63.5"/>
    <n v="89.5"/>
    <n v="56"/>
    <n v="114.5"/>
    <n v="52.25"/>
    <n v="670"/>
  </r>
  <r>
    <x v="1943"/>
    <n v="815402"/>
    <s v="V K TRADERS"/>
    <n v="173729"/>
    <s v="V. KAMLESH &amp; COMPANY"/>
    <n v="0"/>
    <n v="0"/>
    <n v="0"/>
    <n v="70"/>
    <n v="35"/>
    <n v="39.5"/>
    <n v="100"/>
    <n v="0"/>
    <n v="147.5"/>
    <n v="112.5"/>
    <n v="75"/>
    <n v="257.5"/>
    <n v="837"/>
  </r>
  <r>
    <x v="1944"/>
    <n v="815408"/>
    <s v="SAINI SINGODIYA STONE SUPPLIER"/>
    <n v="201172"/>
    <s v="MAA TRADERS"/>
    <n v="0"/>
    <n v="0"/>
    <n v="0"/>
    <n v="47.5"/>
    <n v="46"/>
    <n v="17.5"/>
    <n v="27.5"/>
    <n v="0"/>
    <n v="11"/>
    <n v="10"/>
    <n v="22.5"/>
    <n v="30"/>
    <n v="212"/>
  </r>
  <r>
    <x v="1945"/>
    <n v="815416"/>
    <s v="JAI ZAWAR MATA BUILDING MATERI"/>
    <n v="140855"/>
    <s v="MAHALAXMI CEMENT SUPPLIERS"/>
    <n v="0"/>
    <n v="0"/>
    <n v="0"/>
    <n v="39"/>
    <n v="16.5"/>
    <n v="0"/>
    <n v="0"/>
    <n v="0"/>
    <n v="30"/>
    <n v="10"/>
    <n v="15"/>
    <n v="0"/>
    <n v="110.5"/>
  </r>
  <r>
    <x v="1946"/>
    <n v="815417"/>
    <s v="LAXMI BUILDING MATERIAL"/>
    <n v="207787"/>
    <s v="BALAJI CEMENT MATERIALS SUPPLI"/>
    <n v="0"/>
    <n v="0"/>
    <n v="0"/>
    <n v="3"/>
    <n v="17"/>
    <n v="18"/>
    <n v="20.5"/>
    <n v="28"/>
    <n v="7.5"/>
    <n v="0"/>
    <n v="0"/>
    <n v="0"/>
    <n v="94"/>
  </r>
  <r>
    <x v="1947"/>
    <n v="815418"/>
    <s v="SHRI SAI BUILDING MATERIAL"/>
    <n v="140958"/>
    <s v="HEMRAJ SUTHAR CONTRACTOR"/>
    <n v="0"/>
    <n v="0"/>
    <n v="0"/>
    <n v="0"/>
    <n v="0"/>
    <n v="0"/>
    <n v="0"/>
    <n v="0"/>
    <n v="70"/>
    <n v="30"/>
    <n v="41"/>
    <n v="35"/>
    <n v="176"/>
  </r>
  <r>
    <x v="1948"/>
    <n v="815420"/>
    <s v="GAYATRI BUILDING MATERIAL"/>
    <n v="170204"/>
    <s v="GOYAL BUILDING MATERIAL"/>
    <n v="0"/>
    <n v="0"/>
    <n v="0"/>
    <n v="70"/>
    <n v="20"/>
    <n v="99"/>
    <n v="130"/>
    <n v="15"/>
    <n v="142"/>
    <n v="45"/>
    <n v="84"/>
    <n v="62"/>
    <n v="667"/>
  </r>
  <r>
    <x v="1949"/>
    <n v="815421"/>
    <s v="MODI BUILDERS"/>
    <n v="149765"/>
    <s v="ARORA CEMENT AGENCY"/>
    <n v="0"/>
    <n v="0"/>
    <n v="0"/>
    <n v="50"/>
    <n v="40"/>
    <n v="50"/>
    <n v="37"/>
    <n v="60"/>
    <n v="50"/>
    <n v="40"/>
    <n v="50"/>
    <n v="30"/>
    <n v="407"/>
  </r>
  <r>
    <x v="1950"/>
    <n v="815422"/>
    <s v="MARUTI CEMENT AGENCY"/>
    <n v="149885"/>
    <s v="LUHANI CEMENT SUPPLIERS"/>
    <n v="0"/>
    <n v="0"/>
    <n v="0"/>
    <n v="122.5"/>
    <n v="123.25"/>
    <n v="82"/>
    <n v="91.5"/>
    <n v="79"/>
    <n v="67.5"/>
    <n v="67"/>
    <n v="55.45"/>
    <n v="79.5"/>
    <n v="767.7"/>
  </r>
  <r>
    <x v="1951"/>
    <n v="815422"/>
    <s v="MARUTI CEMENT AGENCY"/>
    <n v="202855"/>
    <s v="SHREE BALAJI CONSTRUCTION SUPP"/>
    <n v="0"/>
    <n v="0"/>
    <n v="0"/>
    <n v="5"/>
    <n v="0"/>
    <n v="0"/>
    <n v="0"/>
    <n v="0"/>
    <n v="0"/>
    <n v="0"/>
    <n v="0"/>
    <n v="0"/>
    <n v="5"/>
  </r>
  <r>
    <x v="1952"/>
    <n v="815423"/>
    <s v="DEV NARAYAN TRADING COMPANY"/>
    <n v="149885"/>
    <s v="LUHANI CEMENT SUPPLIERS"/>
    <n v="0"/>
    <n v="0"/>
    <n v="0"/>
    <n v="60"/>
    <n v="61"/>
    <n v="7.5"/>
    <n v="53.65"/>
    <n v="7.5"/>
    <n v="60"/>
    <n v="60"/>
    <n v="62.5"/>
    <n v="59.05"/>
    <n v="431.2"/>
  </r>
  <r>
    <x v="1953"/>
    <n v="815424"/>
    <s v="GURUJI ENTERPRISE"/>
    <n v="170204"/>
    <s v="GOYAL BUILDING MATERIAL"/>
    <n v="0"/>
    <n v="0"/>
    <n v="0"/>
    <n v="97"/>
    <n v="20"/>
    <n v="44"/>
    <n v="0"/>
    <n v="62"/>
    <n v="95"/>
    <n v="45"/>
    <n v="35"/>
    <n v="241"/>
    <n v="639"/>
  </r>
  <r>
    <x v="1954"/>
    <n v="815425"/>
    <s v="CHOUDHARY AGENCY"/>
    <n v="178236"/>
    <s v="BHORIWAL CEMENT UDYOG"/>
    <n v="0"/>
    <n v="0"/>
    <n v="0"/>
    <n v="155"/>
    <n v="162.25"/>
    <n v="124.75"/>
    <n v="30"/>
    <n v="58"/>
    <n v="89"/>
    <n v="198"/>
    <n v="97"/>
    <n v="295"/>
    <n v="1209"/>
  </r>
  <r>
    <x v="1955"/>
    <n v="815426"/>
    <s v="JAI AMBE TRADERS"/>
    <n v="202994"/>
    <s v="ARVIND CEMENT &amp; KALI UDYOG"/>
    <n v="0"/>
    <n v="0"/>
    <n v="0"/>
    <n v="16.5"/>
    <n v="24.85"/>
    <n v="28"/>
    <n v="28.5"/>
    <n v="11.5"/>
    <n v="19"/>
    <n v="25"/>
    <n v="12.5"/>
    <n v="37.5"/>
    <n v="203.35"/>
  </r>
  <r>
    <x v="1956"/>
    <n v="815427"/>
    <s v="GOPAL DHARM KANTA"/>
    <n v="149885"/>
    <s v="LUHANI CEMENT SUPPLIERS"/>
    <n v="0"/>
    <n v="0"/>
    <n v="0"/>
    <n v="52.5"/>
    <n v="107.5"/>
    <n v="59.5"/>
    <n v="83.5"/>
    <n v="42.5"/>
    <n v="107.5"/>
    <n v="59.5"/>
    <n v="15"/>
    <n v="133.5"/>
    <n v="661"/>
  </r>
  <r>
    <x v="1957"/>
    <n v="815427"/>
    <s v="GOPAL DHARM KANTA"/>
    <n v="202855"/>
    <s v="SHREE BALAJI CONSTRUCTION SUPP"/>
    <n v="0"/>
    <n v="0"/>
    <n v="0"/>
    <n v="5"/>
    <n v="0"/>
    <n v="0"/>
    <n v="0"/>
    <n v="0"/>
    <n v="0"/>
    <n v="0"/>
    <n v="0"/>
    <n v="0"/>
    <n v="5"/>
  </r>
  <r>
    <x v="1958"/>
    <n v="815428"/>
    <s v="RAJA BUILDING MATERIAL"/>
    <n v="170204"/>
    <s v="GOYAL BUILDING MATERIAL"/>
    <n v="0"/>
    <n v="0"/>
    <n v="0"/>
    <n v="129"/>
    <n v="40"/>
    <n v="27.5"/>
    <n v="77"/>
    <n v="0"/>
    <n v="10"/>
    <n v="35"/>
    <n v="42"/>
    <n v="50"/>
    <n v="410.5"/>
  </r>
  <r>
    <x v="1959"/>
    <n v="815429"/>
    <s v="AZAD BUILDING MATERIAL"/>
    <n v="170204"/>
    <s v="GOYAL BUILDING MATERIAL"/>
    <n v="0"/>
    <n v="0"/>
    <n v="0"/>
    <n v="110"/>
    <n v="20"/>
    <n v="90"/>
    <n v="42"/>
    <n v="0"/>
    <n v="0"/>
    <n v="0"/>
    <n v="0"/>
    <n v="10"/>
    <n v="272"/>
  </r>
  <r>
    <x v="1960"/>
    <n v="815430"/>
    <s v="AAKASH TRADING COMPANY"/>
    <n v="170204"/>
    <s v="GOYAL BUILDING MATERIAL"/>
    <n v="0"/>
    <n v="0"/>
    <n v="0"/>
    <n v="158"/>
    <n v="41"/>
    <n v="188"/>
    <n v="246"/>
    <n v="161"/>
    <n v="105"/>
    <n v="209"/>
    <n v="188.5"/>
    <n v="387.5"/>
    <n v="1684"/>
  </r>
  <r>
    <x v="1961"/>
    <n v="815431"/>
    <s v="RASHIDA BAI QAYUM ALI"/>
    <n v="205969"/>
    <s v="AKBAR ALI KHAKHADWALA AND SONS"/>
    <n v="0"/>
    <n v="0"/>
    <n v="0"/>
    <n v="54.5"/>
    <n v="41.5"/>
    <n v="40"/>
    <n v="35"/>
    <n v="27.6"/>
    <n v="70"/>
    <n v="63.5"/>
    <n v="42.5"/>
    <n v="32.5"/>
    <n v="407.1"/>
  </r>
  <r>
    <x v="1962"/>
    <n v="815438"/>
    <s v="RAMDEV GOCHAR"/>
    <n v="208284"/>
    <s v="SHREE AMAN TRADERS"/>
    <n v="0"/>
    <n v="0"/>
    <n v="0"/>
    <n v="21.5"/>
    <n v="10"/>
    <n v="10"/>
    <n v="0"/>
    <n v="0"/>
    <n v="0"/>
    <n v="5.2"/>
    <n v="0"/>
    <n v="8.5"/>
    <n v="55.2"/>
  </r>
  <r>
    <x v="1963"/>
    <n v="815439"/>
    <s v="BHAVYA SALES"/>
    <n v="170392"/>
    <s v="JYOTI SUPPLIERS"/>
    <n v="0"/>
    <n v="0"/>
    <n v="0"/>
    <n v="324.5"/>
    <n v="303.5"/>
    <n v="322"/>
    <n v="232.5"/>
    <n v="180.5"/>
    <n v="502.6"/>
    <n v="332"/>
    <n v="377.75"/>
    <n v="337.25"/>
    <n v="2912.6"/>
  </r>
  <r>
    <x v="1964"/>
    <n v="815440"/>
    <s v="KHAN BUILDING MATERIAL SUPPLIE"/>
    <n v="144996"/>
    <s v="SHASTRI BUILDING MATERIAL STOR"/>
    <n v="0"/>
    <n v="0"/>
    <n v="0"/>
    <n v="32.5"/>
    <n v="22"/>
    <n v="54"/>
    <n v="21"/>
    <n v="65.5"/>
    <n v="27"/>
    <n v="63"/>
    <n v="73.5"/>
    <n v="66"/>
    <n v="424.5"/>
  </r>
  <r>
    <x v="1965"/>
    <n v="815441"/>
    <s v="RONAK PAGARIYA"/>
    <n v="172640"/>
    <s v="KUSHAL TRADERS"/>
    <n v="0"/>
    <n v="0"/>
    <n v="0"/>
    <n v="250"/>
    <n v="135.75"/>
    <n v="173"/>
    <n v="75"/>
    <n v="15"/>
    <n v="51"/>
    <n v="10"/>
    <n v="55"/>
    <n v="160"/>
    <n v="924.75"/>
  </r>
  <r>
    <x v="1966"/>
    <n v="815451"/>
    <s v="HIMANSHI ENTERPRISES"/>
    <n v="207643"/>
    <s v="SHREE SANWALIYA TRADERS"/>
    <n v="0"/>
    <n v="0"/>
    <n v="0"/>
    <n v="80.95"/>
    <n v="35"/>
    <n v="30"/>
    <n v="2"/>
    <n v="23"/>
    <n v="47.5"/>
    <n v="43.5"/>
    <n v="20"/>
    <n v="0"/>
    <n v="281.95"/>
  </r>
  <r>
    <x v="1967"/>
    <n v="815466"/>
    <s v="DEV NARAYAN KRISHI SEWA KENDRA"/>
    <n v="202428"/>
    <s v="JAIN HARDWARE AND BUILDING MAT"/>
    <n v="0"/>
    <n v="0"/>
    <n v="0"/>
    <n v="60.5"/>
    <n v="47.9"/>
    <n v="31.5"/>
    <n v="17.5"/>
    <n v="0"/>
    <n v="34"/>
    <n v="0"/>
    <n v="0"/>
    <n v="0"/>
    <n v="191.4"/>
  </r>
  <r>
    <x v="1968"/>
    <n v="815467"/>
    <s v="SAINI TENT HOUSE"/>
    <n v="203236"/>
    <s v="SAINI STONE SUPPLIERS"/>
    <n v="0"/>
    <n v="0"/>
    <n v="0"/>
    <n v="44"/>
    <n v="65"/>
    <n v="30"/>
    <n v="65"/>
    <n v="81"/>
    <n v="138"/>
    <n v="33.25"/>
    <n v="85"/>
    <n v="138.25"/>
    <n v="679.5"/>
  </r>
  <r>
    <x v="1969"/>
    <n v="815468"/>
    <s v="SAINI FLOUR MEELS AND GENERAL"/>
    <n v="178234"/>
    <s v="SHREE GIRIRAJ TRADERS"/>
    <n v="0"/>
    <n v="0"/>
    <n v="0"/>
    <n v="0"/>
    <n v="15"/>
    <n v="20"/>
    <n v="0"/>
    <n v="0"/>
    <n v="38"/>
    <n v="0"/>
    <n v="14.5"/>
    <n v="38.5"/>
    <n v="126"/>
  </r>
  <r>
    <x v="1970"/>
    <n v="815468"/>
    <s v="SAINI FLOUR MEELS AND GENERAL"/>
    <n v="203236"/>
    <s v="SAINI STONE SUPPLIERS"/>
    <n v="0"/>
    <n v="0"/>
    <n v="0"/>
    <n v="10"/>
    <n v="0"/>
    <n v="0"/>
    <n v="0"/>
    <n v="0"/>
    <n v="0"/>
    <n v="0"/>
    <n v="0"/>
    <n v="0"/>
    <n v="10"/>
  </r>
  <r>
    <x v="1971"/>
    <n v="815469"/>
    <s v="MAHIMA CONSTRUCTION"/>
    <n v="208776"/>
    <s v="ABHIS BUILDTECH"/>
    <n v="0"/>
    <n v="0"/>
    <n v="0"/>
    <n v="20"/>
    <n v="0"/>
    <n v="0"/>
    <n v="0"/>
    <n v="0"/>
    <n v="0"/>
    <n v="0"/>
    <n v="0"/>
    <n v="0"/>
    <n v="20"/>
  </r>
  <r>
    <x v="1972"/>
    <n v="815470"/>
    <s v="KULDEVI TRADERS"/>
    <n v="206073"/>
    <s v="SHREE TIRUPATI BALAJI BUILDING"/>
    <n v="0"/>
    <n v="0"/>
    <n v="0"/>
    <n v="35"/>
    <n v="10"/>
    <n v="27.5"/>
    <n v="50"/>
    <n v="10"/>
    <n v="82.5"/>
    <n v="10"/>
    <n v="0"/>
    <n v="0"/>
    <n v="225"/>
  </r>
  <r>
    <x v="1973"/>
    <n v="815471"/>
    <s v="LAXMI CONSTRUCTION"/>
    <n v="205992"/>
    <s v="SISPURIA BUILDING MATERIAL"/>
    <n v="0"/>
    <n v="0"/>
    <n v="0"/>
    <n v="57.5"/>
    <n v="70"/>
    <n v="30"/>
    <n v="20"/>
    <n v="17.5"/>
    <n v="72"/>
    <n v="32.5"/>
    <n v="20"/>
    <n v="15"/>
    <n v="334.5"/>
  </r>
  <r>
    <x v="1974"/>
    <n v="815472"/>
    <s v="SURAJMAL"/>
    <n v="179784"/>
    <s v="NEW KRISHNA STONE AND BUILDING"/>
    <n v="0"/>
    <n v="0"/>
    <n v="0"/>
    <n v="20"/>
    <n v="24.5"/>
    <n v="15"/>
    <n v="20"/>
    <n v="9"/>
    <n v="15"/>
    <n v="10"/>
    <n v="20"/>
    <n v="0"/>
    <n v="133.5"/>
  </r>
  <r>
    <x v="1975"/>
    <n v="815473"/>
    <s v="SOHAN LAL TELI"/>
    <n v="205591"/>
    <s v="ROOP RAJAT TRADING CO"/>
    <n v="0"/>
    <n v="0"/>
    <n v="0"/>
    <n v="0"/>
    <n v="0"/>
    <n v="4"/>
    <n v="5"/>
    <n v="10"/>
    <n v="2"/>
    <n v="10"/>
    <n v="0"/>
    <n v="0"/>
    <n v="31"/>
  </r>
  <r>
    <x v="1976"/>
    <n v="815474"/>
    <s v="GGC BUILDING MATERIAL"/>
    <n v="170204"/>
    <s v="GOYAL BUILDING MATERIAL"/>
    <n v="0"/>
    <n v="0"/>
    <n v="0"/>
    <n v="57"/>
    <n v="15"/>
    <n v="109"/>
    <n v="35"/>
    <n v="0"/>
    <n v="135"/>
    <n v="62"/>
    <n v="105"/>
    <n v="115"/>
    <n v="633"/>
  </r>
  <r>
    <x v="1977"/>
    <n v="815479"/>
    <s v="GURUKRIPA CONSTRUCTION COMPANY"/>
    <n v="203236"/>
    <s v="SAINI STONE SUPPLIERS"/>
    <n v="0"/>
    <n v="0"/>
    <n v="0"/>
    <n v="10"/>
    <n v="0"/>
    <n v="0"/>
    <n v="0"/>
    <n v="0"/>
    <n v="0"/>
    <n v="0"/>
    <n v="0"/>
    <n v="0"/>
    <n v="10"/>
  </r>
  <r>
    <x v="1978"/>
    <n v="815480"/>
    <s v="MAA KALIKA CONSTRUCTION"/>
    <n v="207643"/>
    <s v="SHREE SANWALIYA TRADERS"/>
    <n v="0"/>
    <n v="0"/>
    <n v="0"/>
    <n v="86.5"/>
    <n v="52"/>
    <n v="30"/>
    <n v="53"/>
    <n v="57.2"/>
    <n v="58.25"/>
    <n v="67.5"/>
    <n v="45"/>
    <n v="15"/>
    <n v="464.45"/>
  </r>
  <r>
    <x v="1979"/>
    <n v="815481"/>
    <s v="BALAJI CEMENT AGENCY"/>
    <n v="205650"/>
    <s v="SAINI TRADING COMPANY"/>
    <n v="0"/>
    <n v="0"/>
    <n v="0"/>
    <n v="20"/>
    <n v="10"/>
    <n v="10"/>
    <n v="10"/>
    <n v="0"/>
    <n v="0"/>
    <n v="0"/>
    <n v="0"/>
    <n v="0"/>
    <n v="50"/>
  </r>
  <r>
    <x v="1980"/>
    <n v="815482"/>
    <s v="PRAKASH CHANDRA DHAKER"/>
    <n v="174631"/>
    <s v="OM TRADERS"/>
    <n v="0"/>
    <n v="0"/>
    <n v="0"/>
    <n v="91"/>
    <n v="134.5"/>
    <n v="59.5"/>
    <n v="70.5"/>
    <n v="68"/>
    <n v="50"/>
    <n v="122.5"/>
    <n v="110.05"/>
    <n v="255"/>
    <n v="961.05"/>
  </r>
  <r>
    <x v="1981"/>
    <n v="815483"/>
    <s v="DEVI KRIPA BUILDING MATERIAL"/>
    <n v="178230"/>
    <s v="SHREE RADHEY BUILDING MATERIAL"/>
    <n v="0"/>
    <n v="0"/>
    <n v="0"/>
    <n v="27.5"/>
    <n v="69"/>
    <n v="45"/>
    <n v="30"/>
    <n v="30"/>
    <n v="40"/>
    <n v="30"/>
    <n v="30"/>
    <n v="45"/>
    <n v="346.5"/>
  </r>
  <r>
    <x v="1982"/>
    <n v="815484"/>
    <s v="JAMBHESHWAR BUILDING MATERIAL"/>
    <n v="173224"/>
    <s v="D.R.MARBLE &amp; SANITORY"/>
    <n v="0"/>
    <n v="0"/>
    <n v="0"/>
    <n v="100.5"/>
    <n v="46"/>
    <n v="0"/>
    <n v="15"/>
    <n v="40"/>
    <n v="50"/>
    <n v="35"/>
    <n v="30"/>
    <n v="20"/>
    <n v="336.5"/>
  </r>
  <r>
    <x v="1983"/>
    <n v="815485"/>
    <s v="SHREE BALAJI CEMENT AGENCY"/>
    <n v="173224"/>
    <s v="D.R.MARBLE &amp; SANITORY"/>
    <n v="0"/>
    <n v="0"/>
    <n v="0"/>
    <n v="100"/>
    <n v="70"/>
    <n v="27.5"/>
    <n v="30"/>
    <n v="10"/>
    <n v="0"/>
    <n v="32.5"/>
    <n v="18.5"/>
    <n v="20"/>
    <n v="308.5"/>
  </r>
  <r>
    <x v="1984"/>
    <n v="815486"/>
    <s v="MAHADEV CEMENT SUPPLIERS"/>
    <n v="170775"/>
    <s v="GANPAT LAL MAROTHIYA AND SONS"/>
    <n v="0"/>
    <n v="0"/>
    <n v="0"/>
    <n v="0"/>
    <n v="15"/>
    <n v="0"/>
    <n v="0"/>
    <n v="0"/>
    <n v="10"/>
    <n v="20"/>
    <n v="25"/>
    <n v="20"/>
    <n v="90"/>
  </r>
  <r>
    <x v="1985"/>
    <n v="815490"/>
    <s v="ISHIKA BUILDING MATERIAL SUPPL"/>
    <n v="174384"/>
    <s v="PANCHWATI GRANITES &amp; TILES"/>
    <n v="0"/>
    <n v="0"/>
    <n v="0"/>
    <n v="7"/>
    <n v="10"/>
    <n v="7.5"/>
    <n v="7.5"/>
    <n v="10"/>
    <n v="0"/>
    <n v="0"/>
    <n v="0"/>
    <n v="0"/>
    <n v="42"/>
  </r>
  <r>
    <x v="1986"/>
    <n v="815501"/>
    <s v="BALAJI BUILDING MATERIAL"/>
    <n v="170147"/>
    <s v="DINESH TRADERS"/>
    <n v="0"/>
    <n v="0"/>
    <n v="0"/>
    <n v="25"/>
    <n v="20"/>
    <n v="14"/>
    <n v="0"/>
    <n v="20"/>
    <n v="0"/>
    <n v="80"/>
    <n v="90"/>
    <n v="70"/>
    <n v="319"/>
  </r>
  <r>
    <x v="1987"/>
    <n v="815502"/>
    <s v="KOMAL TRADERS"/>
    <n v="208268"/>
    <s v="BADIWAL TRADERS"/>
    <n v="0"/>
    <n v="0"/>
    <n v="0"/>
    <n v="80.5"/>
    <n v="227"/>
    <n v="195.45"/>
    <n v="153.55000000000001"/>
    <n v="99.5"/>
    <n v="107"/>
    <n v="116.5"/>
    <n v="76.5"/>
    <n v="157.25"/>
    <n v="1213.25"/>
  </r>
  <r>
    <x v="1988"/>
    <n v="815503"/>
    <s v="JAY NARAYAN NAGAR"/>
    <n v="202980"/>
    <s v="KAPIL TRADERS"/>
    <n v="0"/>
    <n v="0"/>
    <n v="0"/>
    <n v="35"/>
    <n v="0"/>
    <n v="20"/>
    <n v="15"/>
    <n v="0"/>
    <n v="0"/>
    <n v="0"/>
    <n v="0"/>
    <n v="0"/>
    <n v="70"/>
  </r>
  <r>
    <x v="1989"/>
    <n v="815507"/>
    <s v="GURUKRIPA ENTERPRISES"/>
    <n v="176693"/>
    <s v="SUBHAM AGENCIES"/>
    <n v="0"/>
    <n v="0"/>
    <n v="0"/>
    <n v="90"/>
    <n v="20"/>
    <n v="58"/>
    <n v="52"/>
    <n v="10"/>
    <n v="101.5"/>
    <n v="35"/>
    <n v="69"/>
    <n v="50"/>
    <n v="485.5"/>
  </r>
  <r>
    <x v="1990"/>
    <n v="815508"/>
    <s v="ASHAPURA CEMENT AGENCY"/>
    <n v="178460"/>
    <s v="BHARAT KUMAR PREMJI MALI"/>
    <n v="0"/>
    <n v="0"/>
    <n v="0"/>
    <n v="23.5"/>
    <n v="0"/>
    <n v="0"/>
    <n v="0"/>
    <n v="0"/>
    <n v="0"/>
    <n v="0"/>
    <n v="0"/>
    <n v="0"/>
    <n v="23.5"/>
  </r>
  <r>
    <x v="1991"/>
    <n v="815508"/>
    <s v="ASHAPURA CEMENT AGENCY"/>
    <n v="203651"/>
    <s v="VINAYAK STEEL TRADERS"/>
    <n v="0"/>
    <n v="0"/>
    <n v="0"/>
    <n v="0"/>
    <n v="0"/>
    <n v="0"/>
    <n v="0"/>
    <n v="0"/>
    <n v="0"/>
    <n v="10"/>
    <n v="0"/>
    <n v="0"/>
    <n v="10"/>
  </r>
  <r>
    <x v="1992"/>
    <n v="815508"/>
    <s v="ASHAPURA CEMENT AGENCY"/>
    <n v="206066"/>
    <s v="GAJANAND CEMENT AGENCY"/>
    <n v="0"/>
    <n v="0"/>
    <n v="0"/>
    <n v="0"/>
    <n v="0"/>
    <n v="0"/>
    <n v="0"/>
    <n v="0"/>
    <n v="189"/>
    <n v="221"/>
    <n v="145"/>
    <n v="144"/>
    <n v="699"/>
  </r>
  <r>
    <x v="1993"/>
    <n v="815509"/>
    <s v="GALABA RAM S/O MEGHA RAM CHOUD"/>
    <n v="203651"/>
    <s v="VINAYAK STEEL TRADERS"/>
    <n v="0"/>
    <n v="0"/>
    <n v="0"/>
    <n v="105"/>
    <n v="138"/>
    <n v="110"/>
    <n v="70"/>
    <n v="64.5"/>
    <n v="75"/>
    <n v="94"/>
    <n v="145"/>
    <n v="79"/>
    <n v="880.5"/>
  </r>
  <r>
    <x v="1994"/>
    <n v="815510"/>
    <s v="SHANTI LAL"/>
    <n v="206066"/>
    <s v="GAJANAND CEMENT AGENCY"/>
    <n v="0"/>
    <n v="0"/>
    <n v="0"/>
    <n v="80"/>
    <n v="70"/>
    <n v="73"/>
    <n v="60"/>
    <n v="25"/>
    <n v="55"/>
    <n v="0"/>
    <n v="30"/>
    <n v="25"/>
    <n v="418"/>
  </r>
  <r>
    <x v="1995"/>
    <n v="815511"/>
    <s v="HINDUSTAN BUILDING MATERIAL"/>
    <n v="170775"/>
    <s v="GANPAT LAL MAROTHIYA AND SONS"/>
    <n v="0"/>
    <n v="0"/>
    <n v="0"/>
    <n v="0"/>
    <n v="45"/>
    <n v="30"/>
    <n v="0"/>
    <n v="0"/>
    <n v="10"/>
    <n v="0"/>
    <n v="0"/>
    <n v="0"/>
    <n v="85"/>
  </r>
  <r>
    <x v="1996"/>
    <n v="815512"/>
    <s v="ROSHAN LAL"/>
    <n v="206219"/>
    <s v="SALASAR TRADERS"/>
    <n v="0"/>
    <n v="0"/>
    <n v="0"/>
    <n v="48"/>
    <n v="44.5"/>
    <n v="65.650000000000006"/>
    <n v="10"/>
    <n v="10"/>
    <n v="20"/>
    <n v="15"/>
    <n v="53"/>
    <n v="135.5"/>
    <n v="401.65"/>
  </r>
  <r>
    <x v="1997"/>
    <n v="815514"/>
    <s v="KRISHNA ENTERPRISES"/>
    <n v="207857"/>
    <s v="YADAV BUILDING MATERIAL"/>
    <n v="0"/>
    <n v="0"/>
    <n v="0"/>
    <n v="30.95"/>
    <n v="35"/>
    <n v="42.5"/>
    <n v="40"/>
    <n v="10"/>
    <n v="44"/>
    <n v="12.45"/>
    <n v="10"/>
    <n v="10"/>
    <n v="234.89999999999998"/>
  </r>
  <r>
    <x v="1998"/>
    <n v="815547"/>
    <s v="RADHESHYAM KUMAWAT"/>
    <n v="178062"/>
    <s v="SHRI SATYAM BUILDERS"/>
    <n v="0"/>
    <n v="0"/>
    <n v="0"/>
    <n v="0"/>
    <n v="77"/>
    <n v="26"/>
    <n v="7"/>
    <n v="5"/>
    <n v="71"/>
    <n v="94.5"/>
    <n v="110"/>
    <n v="40.5"/>
    <n v="431"/>
  </r>
  <r>
    <x v="1999"/>
    <n v="815557"/>
    <s v="NAGANARAY CEMENT AGENCY"/>
    <n v="178230"/>
    <s v="SHREE RADHEY BUILDING MATERIAL"/>
    <n v="0"/>
    <n v="0"/>
    <n v="0"/>
    <n v="55"/>
    <n v="66"/>
    <n v="40"/>
    <n v="15"/>
    <n v="0"/>
    <n v="15"/>
    <n v="25"/>
    <n v="10"/>
    <n v="25"/>
    <n v="251"/>
  </r>
  <r>
    <x v="2000"/>
    <n v="815558"/>
    <s v="SHREE RAMDEV BUILDING MATERIAL"/>
    <n v="173224"/>
    <s v="D.R.MARBLE &amp; SANITORY"/>
    <n v="0"/>
    <n v="0"/>
    <n v="0"/>
    <n v="0"/>
    <n v="75"/>
    <n v="47.5"/>
    <n v="30"/>
    <n v="3.5"/>
    <n v="37"/>
    <n v="135"/>
    <n v="105"/>
    <n v="35"/>
    <n v="468"/>
  </r>
  <r>
    <x v="2001"/>
    <n v="815567"/>
    <s v="RIDHI SIDDHI BUILDING MATERIAL"/>
    <n v="170617"/>
    <s v="MANGALAM TRADING COMPANY"/>
    <n v="0"/>
    <n v="0"/>
    <n v="0"/>
    <n v="7.5"/>
    <n v="5"/>
    <n v="13"/>
    <n v="22.5"/>
    <n v="0"/>
    <n v="49"/>
    <n v="40"/>
    <n v="9"/>
    <n v="23.9"/>
    <n v="169.9"/>
  </r>
  <r>
    <x v="2002"/>
    <n v="815572"/>
    <s v="DALIP KUMAR JOSHI"/>
    <n v="208156"/>
    <s v="SHRI BAJRANG TRADERS"/>
    <n v="0"/>
    <n v="0"/>
    <n v="0"/>
    <n v="0"/>
    <n v="0"/>
    <n v="23"/>
    <n v="10"/>
    <n v="0"/>
    <n v="0"/>
    <n v="0"/>
    <n v="0"/>
    <n v="7.5"/>
    <n v="40.5"/>
  </r>
  <r>
    <x v="2003"/>
    <n v="815573"/>
    <s v="PREM CHAND"/>
    <n v="208156"/>
    <s v="SHRI BAJRANG TRADERS"/>
    <n v="0"/>
    <n v="0"/>
    <n v="0"/>
    <n v="0"/>
    <n v="43"/>
    <n v="9"/>
    <n v="0"/>
    <n v="0"/>
    <n v="0"/>
    <n v="15"/>
    <n v="19.5"/>
    <n v="15"/>
    <n v="101.5"/>
  </r>
  <r>
    <x v="2004"/>
    <n v="815575"/>
    <s v="SAT KABIR BUILDING MATERIAL AN"/>
    <n v="171887"/>
    <s v="CHOHAN CEMENT AGENCY"/>
    <n v="0"/>
    <n v="0"/>
    <n v="0"/>
    <n v="20"/>
    <n v="15"/>
    <n v="20"/>
    <n v="30"/>
    <n v="0"/>
    <n v="12.5"/>
    <n v="27.5"/>
    <n v="15"/>
    <n v="50"/>
    <n v="190"/>
  </r>
  <r>
    <x v="2005"/>
    <n v="815576"/>
    <s v="SHISHRAM BUILDING MATERIAL"/>
    <n v="119047"/>
    <s v="BANSAL TRADING COMPANY"/>
    <n v="0"/>
    <n v="0"/>
    <n v="0"/>
    <n v="59.5"/>
    <n v="93"/>
    <n v="90"/>
    <n v="132"/>
    <n v="63"/>
    <n v="40"/>
    <n v="40"/>
    <n v="57"/>
    <n v="99"/>
    <n v="673.5"/>
  </r>
  <r>
    <x v="2006"/>
    <n v="815577"/>
    <s v="BHANDORIYA CERAMICS"/>
    <n v="207291"/>
    <s v="BALAJI TRADERS"/>
    <n v="0"/>
    <n v="0"/>
    <n v="0"/>
    <n v="12.5"/>
    <n v="5"/>
    <n v="7.5"/>
    <n v="10"/>
    <n v="10"/>
    <n v="7.5"/>
    <n v="5"/>
    <n v="22.5"/>
    <n v="5"/>
    <n v="85"/>
  </r>
  <r>
    <x v="2007"/>
    <n v="815593"/>
    <s v="SAINI BUILDING MATERIAL SUPPLI"/>
    <n v="203154"/>
    <s v="OM SHIV CEMENT SUPPLIERS"/>
    <n v="0"/>
    <n v="0"/>
    <n v="0"/>
    <n v="15"/>
    <n v="0"/>
    <n v="23"/>
    <n v="0"/>
    <n v="0"/>
    <n v="0"/>
    <n v="0"/>
    <n v="0"/>
    <n v="0"/>
    <n v="38"/>
  </r>
  <r>
    <x v="2008"/>
    <n v="815594"/>
    <s v="BENIWAL TRADERS"/>
    <n v="145639"/>
    <s v="GOVIND TRADERS"/>
    <n v="0"/>
    <n v="0"/>
    <n v="0"/>
    <n v="0"/>
    <n v="0"/>
    <n v="0"/>
    <n v="0"/>
    <n v="0"/>
    <n v="0"/>
    <n v="0"/>
    <n v="0"/>
    <n v="20"/>
    <n v="20"/>
  </r>
  <r>
    <x v="2009"/>
    <n v="815594"/>
    <s v="BENIWAL TRADERS"/>
    <n v="206049"/>
    <s v="VAIBHAV ENTERPRISES"/>
    <n v="0"/>
    <n v="0"/>
    <n v="0"/>
    <n v="27.5"/>
    <n v="28.5"/>
    <n v="64"/>
    <n v="14"/>
    <n v="10.5"/>
    <n v="79"/>
    <n v="10"/>
    <n v="0"/>
    <n v="229"/>
    <n v="462.5"/>
  </r>
  <r>
    <x v="2010"/>
    <n v="815595"/>
    <s v="GOPAL CEMENT SUPPLIERS"/>
    <n v="208184"/>
    <s v="KUMAWAT SUPPLIERS"/>
    <n v="0"/>
    <n v="0"/>
    <n v="0"/>
    <n v="32"/>
    <n v="71.25"/>
    <n v="52.5"/>
    <n v="40"/>
    <n v="21"/>
    <n v="16"/>
    <n v="26"/>
    <n v="0"/>
    <n v="145"/>
    <n v="403.75"/>
  </r>
  <r>
    <x v="2011"/>
    <n v="815597"/>
    <s v="SHIV ENTERPRISES"/>
    <n v="170550"/>
    <s v="SHIV TRADERS"/>
    <n v="0"/>
    <n v="0"/>
    <n v="0"/>
    <n v="36"/>
    <n v="78"/>
    <n v="70"/>
    <n v="47.5"/>
    <n v="42.5"/>
    <n v="116"/>
    <n v="109.5"/>
    <n v="95"/>
    <n v="163"/>
    <n v="757.5"/>
  </r>
  <r>
    <x v="2012"/>
    <n v="815600"/>
    <s v="SRI BALAJI STONE COMPANY"/>
    <n v="202913"/>
    <s v="SACHIN CEMENT STORE"/>
    <n v="0"/>
    <n v="0"/>
    <n v="0"/>
    <n v="0"/>
    <n v="25"/>
    <n v="15"/>
    <n v="0"/>
    <n v="22.5"/>
    <n v="40"/>
    <n v="76.5"/>
    <n v="0"/>
    <n v="17"/>
    <n v="196"/>
  </r>
  <r>
    <x v="2013"/>
    <n v="815600"/>
    <s v="SRI BALAJI STONE COMPANY"/>
    <n v="209130"/>
    <s v="CHOUDHARY BUILDING MATERIAL"/>
    <n v="0"/>
    <n v="0"/>
    <n v="0"/>
    <n v="0"/>
    <n v="0"/>
    <n v="0"/>
    <n v="0"/>
    <n v="0"/>
    <n v="0"/>
    <n v="0"/>
    <n v="0"/>
    <n v="15"/>
    <n v="15"/>
  </r>
  <r>
    <x v="2014"/>
    <n v="815601"/>
    <s v="MADHURAM"/>
    <n v="171662"/>
    <s v="CHHABRA STONES"/>
    <n v="0"/>
    <n v="0"/>
    <n v="0"/>
    <n v="37"/>
    <n v="17.5"/>
    <n v="50"/>
    <n v="10"/>
    <n v="25"/>
    <n v="20"/>
    <n v="0"/>
    <n v="45"/>
    <n v="207"/>
    <n v="411.5"/>
  </r>
  <r>
    <x v="2015"/>
    <n v="815602"/>
    <s v="JHAJHRIYA CEMENT STORE"/>
    <n v="202913"/>
    <s v="SACHIN CEMENT STORE"/>
    <n v="0"/>
    <n v="0"/>
    <n v="0"/>
    <n v="0"/>
    <n v="7.5"/>
    <n v="20"/>
    <n v="0"/>
    <n v="13"/>
    <n v="12"/>
    <n v="33"/>
    <n v="37"/>
    <n v="20"/>
    <n v="142.5"/>
  </r>
  <r>
    <x v="2016"/>
    <n v="815609"/>
    <s v="PARMESWAR KUMAR BAHEDIYA"/>
    <n v="207977"/>
    <s v="YASH TRADERS"/>
    <n v="0"/>
    <n v="0"/>
    <n v="0"/>
    <n v="0"/>
    <n v="15"/>
    <n v="21"/>
    <n v="0"/>
    <n v="0"/>
    <n v="15"/>
    <n v="0"/>
    <n v="50"/>
    <n v="20"/>
    <n v="121"/>
  </r>
  <r>
    <x v="2017"/>
    <n v="815621"/>
    <s v="PRATEEK KAKANI"/>
    <n v="144848"/>
    <s v="JAI SHRI TRADING"/>
    <n v="0"/>
    <n v="0"/>
    <n v="0"/>
    <n v="10"/>
    <n v="10"/>
    <n v="12.5"/>
    <n v="2"/>
    <n v="10"/>
    <n v="28"/>
    <n v="20"/>
    <n v="20"/>
    <n v="10"/>
    <n v="122.5"/>
  </r>
  <r>
    <x v="2018"/>
    <n v="815630"/>
    <s v="SHIV TRADERS"/>
    <n v="174166"/>
    <s v="NAMOKAR STONE TRADERS"/>
    <n v="0"/>
    <n v="0"/>
    <n v="0"/>
    <n v="0"/>
    <n v="40"/>
    <n v="17.5"/>
    <n v="20"/>
    <n v="5"/>
    <n v="25"/>
    <n v="6.25"/>
    <n v="0"/>
    <n v="39.25"/>
    <n v="153"/>
  </r>
  <r>
    <x v="2019"/>
    <n v="815633"/>
    <s v="HARISH BAHRANI"/>
    <n v="208508"/>
    <s v="HIND ENTERPRISES"/>
    <n v="0"/>
    <n v="0"/>
    <n v="0"/>
    <n v="0"/>
    <n v="115.75"/>
    <n v="183.25"/>
    <n v="132"/>
    <n v="47.5"/>
    <n v="124.75"/>
    <n v="355.5"/>
    <n v="273.25"/>
    <n v="396"/>
    <n v="1628"/>
  </r>
  <r>
    <x v="2020"/>
    <n v="815634"/>
    <s v="SHRI BALAJI KRISHI YANTRALYA"/>
    <n v="177426"/>
    <s v="THALOR ENTERPRISES"/>
    <n v="0"/>
    <n v="0"/>
    <n v="0"/>
    <n v="15"/>
    <n v="80"/>
    <n v="139"/>
    <n v="87.25"/>
    <n v="70"/>
    <n v="85"/>
    <n v="57.5"/>
    <n v="43"/>
    <n v="24"/>
    <n v="600.75"/>
  </r>
  <r>
    <x v="2021"/>
    <n v="815635"/>
    <s v="MAHENDRA KUMAR"/>
    <n v="173865"/>
    <s v="BHARDWAJ TRADERS"/>
    <n v="0"/>
    <n v="0"/>
    <n v="0"/>
    <n v="42"/>
    <n v="40"/>
    <n v="0"/>
    <n v="35"/>
    <n v="20"/>
    <n v="45"/>
    <n v="100"/>
    <n v="97.5"/>
    <n v="45"/>
    <n v="424.5"/>
  </r>
  <r>
    <x v="2022"/>
    <n v="815636"/>
    <s v="RAJLAXMI TRADERS"/>
    <n v="202225"/>
    <s v="ASTOLIA INDUSTRIES"/>
    <n v="0"/>
    <n v="0"/>
    <n v="0"/>
    <n v="10"/>
    <n v="0"/>
    <n v="25"/>
    <n v="20"/>
    <n v="0"/>
    <n v="15"/>
    <n v="25"/>
    <n v="35"/>
    <n v="0"/>
    <n v="130"/>
  </r>
  <r>
    <x v="2023"/>
    <n v="815643"/>
    <s v="NARESH TRADERS"/>
    <n v="119046"/>
    <s v="GARG AGRO AGENCIES"/>
    <n v="0"/>
    <n v="0"/>
    <n v="0"/>
    <n v="10"/>
    <n v="60"/>
    <n v="30"/>
    <n v="22"/>
    <n v="20"/>
    <n v="50"/>
    <n v="6"/>
    <n v="10"/>
    <n v="57"/>
    <n v="265"/>
  </r>
  <r>
    <x v="2024"/>
    <n v="815644"/>
    <s v="MORDHWAJ CEMENT AGENCY"/>
    <n v="119046"/>
    <s v="GARG AGRO AGENCIES"/>
    <n v="0"/>
    <n v="0"/>
    <n v="0"/>
    <n v="10"/>
    <n v="55"/>
    <n v="60"/>
    <n v="20"/>
    <n v="30"/>
    <n v="26.5"/>
    <n v="20"/>
    <n v="57"/>
    <n v="86.5"/>
    <n v="365"/>
  </r>
  <r>
    <x v="2025"/>
    <n v="815645"/>
    <s v="HARSHA CEMENT AGENCY"/>
    <n v="208736"/>
    <s v="RAJORIYA TRADING COMPANY"/>
    <n v="0"/>
    <n v="0"/>
    <n v="0"/>
    <n v="14"/>
    <n v="24.6"/>
    <n v="20"/>
    <n v="20"/>
    <n v="0"/>
    <n v="0"/>
    <n v="0"/>
    <n v="10"/>
    <n v="20"/>
    <n v="108.6"/>
  </r>
  <r>
    <x v="2026"/>
    <n v="815646"/>
    <s v="KHANDELWAL TRADERS"/>
    <n v="119261"/>
    <s v="DURGESH ENTERPRISES"/>
    <n v="0"/>
    <n v="0"/>
    <n v="0"/>
    <n v="0"/>
    <n v="51"/>
    <n v="0"/>
    <n v="51"/>
    <n v="0"/>
    <n v="0"/>
    <n v="20"/>
    <n v="0"/>
    <n v="0"/>
    <n v="122"/>
  </r>
  <r>
    <x v="2027"/>
    <n v="815647"/>
    <s v="KHANDELWAL AGENCY"/>
    <n v="119261"/>
    <s v="DURGESH ENTERPRISES"/>
    <n v="0"/>
    <n v="0"/>
    <n v="0"/>
    <n v="0"/>
    <n v="22.75"/>
    <n v="0"/>
    <n v="10"/>
    <n v="0"/>
    <n v="15.5"/>
    <n v="0"/>
    <n v="0"/>
    <n v="0"/>
    <n v="48.25"/>
  </r>
  <r>
    <x v="2028"/>
    <n v="815654"/>
    <s v="SHRI JASNATH BUILDING MATERIAL"/>
    <n v="174271"/>
    <s v="S K TRADERS"/>
    <n v="0"/>
    <n v="0"/>
    <n v="0"/>
    <n v="0"/>
    <n v="0"/>
    <n v="0"/>
    <n v="0"/>
    <n v="0"/>
    <n v="0"/>
    <n v="40"/>
    <n v="120"/>
    <n v="65"/>
    <n v="225"/>
  </r>
  <r>
    <x v="2029"/>
    <n v="815655"/>
    <s v="DEVNARAYAN CONSTRUCTION"/>
    <n v="172597"/>
    <s v="SONU TRADERS"/>
    <n v="0"/>
    <n v="0"/>
    <n v="0"/>
    <n v="5"/>
    <n v="5"/>
    <n v="25"/>
    <n v="5"/>
    <n v="10"/>
    <n v="10"/>
    <n v="0"/>
    <n v="0"/>
    <n v="0"/>
    <n v="60"/>
  </r>
  <r>
    <x v="2030"/>
    <n v="815657"/>
    <s v="LILA RAM GURJAR"/>
    <n v="207857"/>
    <s v="YADAV BUILDING MATERIAL"/>
    <n v="0"/>
    <n v="0"/>
    <n v="0"/>
    <n v="20"/>
    <n v="79"/>
    <n v="47.5"/>
    <n v="39.5"/>
    <n v="45"/>
    <n v="76.5"/>
    <n v="40"/>
    <n v="22.5"/>
    <n v="57.5"/>
    <n v="427.5"/>
  </r>
  <r>
    <x v="2031"/>
    <n v="815658"/>
    <s v="SHASHI ENTERPRISES"/>
    <n v="119261"/>
    <s v="DURGESH ENTERPRISES"/>
    <n v="0"/>
    <n v="0"/>
    <n v="0"/>
    <n v="0"/>
    <n v="57.75"/>
    <n v="75"/>
    <n v="51"/>
    <n v="51.25"/>
    <n v="50.5"/>
    <n v="51"/>
    <n v="55"/>
    <n v="20"/>
    <n v="411.5"/>
  </r>
  <r>
    <x v="2032"/>
    <n v="815663"/>
    <s v="SHRI SHYAM CEMENT AGENCY"/>
    <n v="207857"/>
    <s v="YADAV BUILDING MATERIAL"/>
    <n v="0"/>
    <n v="0"/>
    <n v="0"/>
    <n v="20"/>
    <n v="20"/>
    <n v="20"/>
    <n v="10"/>
    <n v="20"/>
    <n v="53.5"/>
    <n v="11.4"/>
    <n v="17.5"/>
    <n v="0"/>
    <n v="172.4"/>
  </r>
  <r>
    <x v="2033"/>
    <n v="815664"/>
    <s v="HATHWALA CEMENT AGENCY"/>
    <n v="207857"/>
    <s v="YADAV BUILDING MATERIAL"/>
    <n v="0"/>
    <n v="0"/>
    <n v="0"/>
    <n v="10"/>
    <n v="20"/>
    <n v="25.5"/>
    <n v="45"/>
    <n v="20"/>
    <n v="63.5"/>
    <n v="10"/>
    <n v="30"/>
    <n v="177.15"/>
    <n v="401.15"/>
  </r>
  <r>
    <x v="2034"/>
    <n v="815665"/>
    <s v="MATESHWARI CEMENT SUPPLIERS"/>
    <n v="140967"/>
    <s v="B.L.JAIN &amp; SONS"/>
    <n v="0"/>
    <n v="0"/>
    <n v="0"/>
    <n v="0"/>
    <n v="0"/>
    <n v="0"/>
    <n v="0"/>
    <n v="0"/>
    <n v="7.5"/>
    <n v="100"/>
    <n v="0"/>
    <n v="30"/>
    <n v="137.5"/>
  </r>
  <r>
    <x v="2035"/>
    <n v="815666"/>
    <s v="NEMINATH TRADING &amp; CEMENT SUPP"/>
    <n v="140858"/>
    <s v="RAMESH CHANDRA JAI CHAND"/>
    <n v="0"/>
    <n v="0"/>
    <n v="0"/>
    <n v="0"/>
    <n v="0"/>
    <n v="40"/>
    <n v="60"/>
    <n v="60"/>
    <n v="42.5"/>
    <n v="95"/>
    <n v="50"/>
    <n v="52"/>
    <n v="399.5"/>
  </r>
  <r>
    <x v="2036"/>
    <n v="815668"/>
    <s v="NARESH KUMAR KALWAR"/>
    <n v="170325"/>
    <s v="MANOJ TRADERS"/>
    <n v="0"/>
    <n v="0"/>
    <n v="0"/>
    <n v="30"/>
    <n v="15"/>
    <n v="15"/>
    <n v="10"/>
    <n v="10"/>
    <n v="40"/>
    <n v="20"/>
    <n v="41.2"/>
    <n v="75"/>
    <n v="256.2"/>
  </r>
  <r>
    <x v="2037"/>
    <n v="815671"/>
    <s v="BHAWANA TRADERS"/>
    <n v="171063"/>
    <s v="NEHA ENTERPRISES"/>
    <n v="0"/>
    <n v="0"/>
    <n v="0"/>
    <n v="2"/>
    <n v="10"/>
    <n v="30"/>
    <n v="17.5"/>
    <n v="0"/>
    <n v="0"/>
    <n v="10"/>
    <n v="0"/>
    <n v="20"/>
    <n v="89.5"/>
  </r>
  <r>
    <x v="2038"/>
    <n v="815672"/>
    <s v="J KUMAR &amp; COMPANY"/>
    <n v="119261"/>
    <s v="DURGESH ENTERPRISES"/>
    <n v="0"/>
    <n v="0"/>
    <n v="0"/>
    <n v="0"/>
    <n v="51"/>
    <n v="0"/>
    <n v="51"/>
    <n v="50"/>
    <n v="31"/>
    <n v="0"/>
    <n v="0"/>
    <n v="0"/>
    <n v="183"/>
  </r>
  <r>
    <x v="2039"/>
    <n v="815713"/>
    <s v="SHREE SIDDH BABA SAIPURI CEMEN"/>
    <n v="119023"/>
    <s v="AGARWAL MACHINERY STORES"/>
    <n v="0"/>
    <n v="0"/>
    <n v="0"/>
    <n v="0"/>
    <n v="0"/>
    <n v="0"/>
    <n v="0"/>
    <n v="0"/>
    <n v="0"/>
    <n v="30.5"/>
    <n v="0"/>
    <n v="128"/>
    <n v="158.5"/>
  </r>
  <r>
    <x v="2040"/>
    <n v="815715"/>
    <s v="UVESH ENTERPRISES"/>
    <n v="207945"/>
    <s v="SUFI ENTERPRISES"/>
    <n v="0"/>
    <n v="0"/>
    <n v="0"/>
    <n v="20"/>
    <n v="28"/>
    <n v="21"/>
    <n v="5.9"/>
    <n v="0"/>
    <n v="0"/>
    <n v="0"/>
    <n v="0"/>
    <n v="0"/>
    <n v="74.900000000000006"/>
  </r>
  <r>
    <x v="2041"/>
    <n v="815719"/>
    <s v="JAI AMBEY TRADERS"/>
    <n v="207857"/>
    <s v="YADAV BUILDING MATERIAL"/>
    <n v="0"/>
    <n v="0"/>
    <n v="0"/>
    <n v="10"/>
    <n v="16"/>
    <n v="38.5"/>
    <n v="42.5"/>
    <n v="40"/>
    <n v="44"/>
    <n v="20"/>
    <n v="10"/>
    <n v="5"/>
    <n v="226"/>
  </r>
  <r>
    <x v="2042"/>
    <n v="815720"/>
    <s v="SHRI GOGA TRADING COMPANY"/>
    <n v="207857"/>
    <s v="YADAV BUILDING MATERIAL"/>
    <n v="0"/>
    <n v="0"/>
    <n v="0"/>
    <n v="7"/>
    <n v="27.5"/>
    <n v="45"/>
    <n v="63"/>
    <n v="60"/>
    <n v="89.5"/>
    <n v="30"/>
    <n v="30"/>
    <n v="74"/>
    <n v="426"/>
  </r>
  <r>
    <x v="2043"/>
    <n v="815755"/>
    <s v="JAY MAA BHAWANI CEMENT"/>
    <n v="205778"/>
    <s v="VIKAS CEMENT AGENCY"/>
    <n v="0"/>
    <n v="0"/>
    <n v="0"/>
    <n v="5"/>
    <n v="15"/>
    <n v="15"/>
    <n v="0"/>
    <n v="0"/>
    <n v="10"/>
    <n v="0"/>
    <n v="0"/>
    <n v="0"/>
    <n v="45"/>
  </r>
  <r>
    <x v="2044"/>
    <n v="815756"/>
    <s v="BHERUNATH CEMENT SUPPLIERS"/>
    <n v="119028"/>
    <s v="KANHAYALAL &amp; SONS"/>
    <n v="0"/>
    <n v="0"/>
    <n v="0"/>
    <n v="2.5"/>
    <n v="47"/>
    <n v="16.5"/>
    <n v="17.5"/>
    <n v="10"/>
    <n v="21"/>
    <n v="0"/>
    <n v="0"/>
    <n v="0"/>
    <n v="114.5"/>
  </r>
  <r>
    <x v="2045"/>
    <n v="815757"/>
    <s v="MATESHWARI TRADING COMPANY"/>
    <n v="119028"/>
    <s v="KANHAYALAL &amp; SONS"/>
    <n v="0"/>
    <n v="0"/>
    <n v="0"/>
    <n v="2.5"/>
    <n v="31"/>
    <n v="10"/>
    <n v="15"/>
    <n v="0"/>
    <n v="0"/>
    <n v="0"/>
    <n v="0"/>
    <n v="0"/>
    <n v="58.5"/>
  </r>
  <r>
    <x v="2046"/>
    <n v="815773"/>
    <s v="AJAY TRADERS"/>
    <n v="171578"/>
    <s v="KOTA BUILDMAT"/>
    <n v="0"/>
    <n v="0"/>
    <n v="0"/>
    <n v="0"/>
    <n v="10"/>
    <n v="15"/>
    <n v="5"/>
    <n v="10"/>
    <n v="12.5"/>
    <n v="0"/>
    <n v="5"/>
    <n v="20"/>
    <n v="77.5"/>
  </r>
  <r>
    <x v="2047"/>
    <n v="815774"/>
    <s v="DHAWAN BUILDERS"/>
    <n v="149765"/>
    <s v="ARORA CEMENT AGENCY"/>
    <n v="0"/>
    <n v="0"/>
    <n v="0"/>
    <n v="0"/>
    <n v="20"/>
    <n v="30"/>
    <n v="22.5"/>
    <n v="20"/>
    <n v="25"/>
    <n v="0"/>
    <n v="20"/>
    <n v="0"/>
    <n v="137.5"/>
  </r>
  <r>
    <x v="2048"/>
    <n v="815777"/>
    <s v="GURUKRIPA UDYOG"/>
    <n v="171578"/>
    <s v="KOTA BUILDMAT"/>
    <n v="0"/>
    <n v="0"/>
    <n v="0"/>
    <n v="0"/>
    <n v="30"/>
    <n v="14"/>
    <n v="51"/>
    <n v="30"/>
    <n v="15"/>
    <n v="20"/>
    <n v="20"/>
    <n v="8"/>
    <n v="188"/>
  </r>
  <r>
    <x v="2049"/>
    <n v="815797"/>
    <s v="DURGA CEMENT AGENCY"/>
    <n v="205742"/>
    <s v="KISTURI TRADERS"/>
    <n v="0"/>
    <n v="0"/>
    <n v="0"/>
    <n v="0"/>
    <n v="0"/>
    <n v="0"/>
    <n v="0"/>
    <n v="0"/>
    <n v="10"/>
    <n v="15"/>
    <n v="15"/>
    <n v="20"/>
    <n v="60"/>
  </r>
  <r>
    <x v="2050"/>
    <n v="815798"/>
    <s v="SHREE SAMARATHAL CEMENT AGENCY"/>
    <n v="173224"/>
    <s v="D.R.MARBLE &amp; SANITORY"/>
    <n v="0"/>
    <n v="0"/>
    <n v="0"/>
    <n v="0"/>
    <n v="92.5"/>
    <n v="57.5"/>
    <n v="105"/>
    <n v="45"/>
    <n v="110"/>
    <n v="50"/>
    <n v="62.5"/>
    <n v="95"/>
    <n v="617.5"/>
  </r>
  <r>
    <x v="2051"/>
    <n v="815799"/>
    <s v="SHREE LAL BANNA CEMENT AGENCY"/>
    <n v="175547"/>
    <s v="S.S.BHATI ENTERPRISES"/>
    <n v="0"/>
    <n v="0"/>
    <n v="0"/>
    <n v="0"/>
    <n v="122"/>
    <n v="120"/>
    <n v="115"/>
    <n v="35"/>
    <n v="93"/>
    <n v="120"/>
    <n v="45"/>
    <n v="155"/>
    <n v="805"/>
  </r>
  <r>
    <x v="2052"/>
    <n v="815815"/>
    <s v="KUNAN MAL"/>
    <n v="204318"/>
    <s v="KISAN BUILDING MATERIAL"/>
    <n v="0"/>
    <n v="0"/>
    <n v="0"/>
    <n v="0"/>
    <n v="24.5"/>
    <n v="25"/>
    <n v="8"/>
    <n v="6"/>
    <n v="15"/>
    <n v="15"/>
    <n v="7.5"/>
    <n v="0"/>
    <n v="101"/>
  </r>
  <r>
    <x v="2053"/>
    <n v="815816"/>
    <s v="RAJENDRA SINGH"/>
    <n v="175939"/>
    <s v="SHRI GURUNANAK CEMENT AGENCIES"/>
    <n v="0"/>
    <n v="0"/>
    <n v="0"/>
    <n v="0"/>
    <n v="1"/>
    <n v="36.5"/>
    <n v="25"/>
    <n v="25"/>
    <n v="42.25"/>
    <n v="30"/>
    <n v="23.75"/>
    <n v="35"/>
    <n v="218.5"/>
  </r>
  <r>
    <x v="2054"/>
    <n v="815817"/>
    <s v="BAYA CEMENT SUPPLIERS"/>
    <n v="208776"/>
    <s v="ABHIS BUILDTECH"/>
    <n v="0"/>
    <n v="0"/>
    <n v="0"/>
    <n v="0"/>
    <n v="52.5"/>
    <n v="40"/>
    <n v="5"/>
    <n v="10"/>
    <n v="45"/>
    <n v="50"/>
    <n v="50"/>
    <n v="168.2"/>
    <n v="420.7"/>
  </r>
  <r>
    <x v="2055"/>
    <n v="815818"/>
    <s v="DRISHTI ENTERPRISES"/>
    <n v="208776"/>
    <s v="ABHIS BUILDTECH"/>
    <n v="0"/>
    <n v="0"/>
    <n v="0"/>
    <n v="0"/>
    <n v="122.5"/>
    <n v="87.5"/>
    <n v="31"/>
    <n v="30"/>
    <n v="67.5"/>
    <n v="80"/>
    <n v="55"/>
    <n v="66"/>
    <n v="539.5"/>
  </r>
  <r>
    <x v="2056"/>
    <n v="815819"/>
    <s v="HEMANT"/>
    <n v="173298"/>
    <s v="RAKHI AGRO SALES"/>
    <n v="0"/>
    <n v="0"/>
    <n v="0"/>
    <n v="0"/>
    <n v="30"/>
    <n v="70"/>
    <n v="130"/>
    <n v="20"/>
    <n v="55.2"/>
    <n v="10"/>
    <n v="10"/>
    <n v="0"/>
    <n v="325.2"/>
  </r>
  <r>
    <x v="2057"/>
    <n v="815819"/>
    <s v="HEMANT"/>
    <n v="173865"/>
    <s v="BHARDWAJ TRADERS"/>
    <n v="0"/>
    <n v="0"/>
    <n v="0"/>
    <n v="0"/>
    <n v="0"/>
    <n v="0"/>
    <n v="0"/>
    <n v="0"/>
    <n v="0"/>
    <n v="10"/>
    <n v="0"/>
    <n v="0"/>
    <n v="10"/>
  </r>
  <r>
    <x v="2058"/>
    <n v="815820"/>
    <s v="SHREE BHERUNATH CEMENT SUPPLIE"/>
    <n v="203484"/>
    <s v="SHREE AMBESH BUILDING MATERIAL"/>
    <n v="0"/>
    <n v="0"/>
    <n v="0"/>
    <n v="0"/>
    <n v="50.5"/>
    <n v="30"/>
    <n v="22.5"/>
    <n v="12.5"/>
    <n v="0"/>
    <n v="0"/>
    <n v="0"/>
    <n v="0"/>
    <n v="115.5"/>
  </r>
  <r>
    <x v="2059"/>
    <n v="815820"/>
    <s v="SHREE BHERUNATH CEMENT SUPPLIE"/>
    <n v="210132"/>
    <s v="SHRI MATESHWARI AGENCY"/>
    <n v="0"/>
    <n v="0"/>
    <n v="0"/>
    <n v="0"/>
    <n v="0"/>
    <n v="0"/>
    <n v="0"/>
    <n v="0"/>
    <n v="10"/>
    <n v="10"/>
    <n v="0"/>
    <n v="12"/>
    <n v="32"/>
  </r>
  <r>
    <x v="2060"/>
    <n v="815821"/>
    <s v="SHYAM LAL LODHA"/>
    <n v="170606"/>
    <s v="SHREE SANWARIYA CONSTRUCTION"/>
    <n v="0"/>
    <n v="0"/>
    <n v="0"/>
    <n v="0"/>
    <n v="0"/>
    <n v="0"/>
    <n v="0"/>
    <n v="0"/>
    <n v="0"/>
    <n v="0"/>
    <n v="10"/>
    <n v="0"/>
    <n v="10"/>
  </r>
  <r>
    <x v="2061"/>
    <n v="815821"/>
    <s v="SHYAM LAL LODHA"/>
    <n v="207643"/>
    <s v="SHREE SANWALIYA TRADERS"/>
    <n v="0"/>
    <n v="0"/>
    <n v="0"/>
    <n v="0"/>
    <n v="0"/>
    <n v="18"/>
    <n v="15"/>
    <n v="5"/>
    <n v="15"/>
    <n v="5"/>
    <n v="6"/>
    <n v="0"/>
    <n v="64"/>
  </r>
  <r>
    <x v="2062"/>
    <n v="815822"/>
    <s v="BAJRANG TILES &amp; SANITARY"/>
    <n v="202980"/>
    <s v="KAPIL TRADERS"/>
    <n v="0"/>
    <n v="0"/>
    <n v="0"/>
    <n v="0"/>
    <n v="0"/>
    <n v="41.95"/>
    <n v="64"/>
    <n v="20"/>
    <n v="67"/>
    <n v="50"/>
    <n v="75"/>
    <n v="91.5"/>
    <n v="409.45"/>
  </r>
  <r>
    <x v="2063"/>
    <n v="815823"/>
    <s v="SHANTI LAL TIWARI"/>
    <n v="205591"/>
    <s v="ROOP RAJAT TRADING CO"/>
    <n v="0"/>
    <n v="0"/>
    <n v="0"/>
    <n v="0"/>
    <n v="2"/>
    <n v="15"/>
    <n v="60"/>
    <n v="12"/>
    <n v="13"/>
    <n v="30"/>
    <n v="30"/>
    <n v="20"/>
    <n v="182"/>
  </r>
  <r>
    <x v="2064"/>
    <n v="815824"/>
    <s v="KALU RAM GURJAR"/>
    <n v="175049"/>
    <s v="KASHISH ENTERPRISES"/>
    <n v="0"/>
    <n v="0"/>
    <n v="0"/>
    <n v="0"/>
    <n v="58.5"/>
    <n v="42.5"/>
    <n v="81"/>
    <n v="37.5"/>
    <n v="99.5"/>
    <n v="104.05"/>
    <n v="101"/>
    <n v="86"/>
    <n v="610.04999999999995"/>
  </r>
  <r>
    <x v="2065"/>
    <n v="815826"/>
    <s v="CHANDRA CEMENT AND SANITARY"/>
    <n v="204034"/>
    <s v="PATEL CEMENT SUPPLIERS"/>
    <n v="0"/>
    <n v="0"/>
    <n v="0"/>
    <n v="0"/>
    <n v="71.5"/>
    <n v="27.5"/>
    <n v="20"/>
    <n v="0"/>
    <n v="5"/>
    <n v="0"/>
    <n v="0"/>
    <n v="0"/>
    <n v="124"/>
  </r>
  <r>
    <x v="2066"/>
    <n v="815830"/>
    <s v="JAI MATA DI MATERIAL SUPPLIERS"/>
    <n v="170958"/>
    <s v="JAI SHRI CONSTRUCTION"/>
    <n v="0"/>
    <n v="0"/>
    <n v="0"/>
    <n v="0"/>
    <n v="7.5"/>
    <n v="50"/>
    <n v="25"/>
    <n v="40"/>
    <n v="75"/>
    <n v="97.5"/>
    <n v="45"/>
    <n v="201"/>
    <n v="541"/>
  </r>
  <r>
    <x v="2067"/>
    <n v="815831"/>
    <s v="DASAYA KRISHI SEVA KENDRA"/>
    <n v="207290"/>
    <s v="RAGESHWARI SUPPLIERS AND CONST"/>
    <n v="0"/>
    <n v="0"/>
    <n v="0"/>
    <n v="0"/>
    <n v="0"/>
    <n v="15"/>
    <n v="0"/>
    <n v="0"/>
    <n v="10"/>
    <n v="0"/>
    <n v="30"/>
    <n v="20"/>
    <n v="75"/>
  </r>
  <r>
    <x v="2068"/>
    <n v="815832"/>
    <s v="HIND STONE SUPPLIERS"/>
    <n v="178266"/>
    <s v="VARDHMAN IRON AND BUILDMART"/>
    <n v="0"/>
    <n v="0"/>
    <n v="0"/>
    <n v="0"/>
    <n v="60"/>
    <n v="60"/>
    <n v="20"/>
    <n v="20"/>
    <n v="76"/>
    <n v="80"/>
    <n v="61"/>
    <n v="77"/>
    <n v="454"/>
  </r>
  <r>
    <x v="2069"/>
    <n v="815834"/>
    <s v="JAI AMBAY SAINI"/>
    <n v="143148"/>
    <s v="R.N. YADAV ARA MACHINE"/>
    <n v="0"/>
    <n v="0"/>
    <n v="0"/>
    <n v="0"/>
    <n v="0"/>
    <n v="20"/>
    <n v="50"/>
    <n v="0"/>
    <n v="7.5"/>
    <n v="10"/>
    <n v="35"/>
    <n v="37.5"/>
    <n v="160"/>
  </r>
  <r>
    <x v="2070"/>
    <n v="815835"/>
    <s v="MAHAKAL TRADERS"/>
    <n v="201838"/>
    <s v="SUKHWAL KRISHI KENDER"/>
    <n v="0"/>
    <n v="0"/>
    <n v="0"/>
    <n v="0"/>
    <n v="20"/>
    <n v="33.75"/>
    <n v="10"/>
    <n v="0"/>
    <n v="40"/>
    <n v="21"/>
    <n v="0"/>
    <n v="10"/>
    <n v="134.75"/>
  </r>
  <r>
    <x v="2071"/>
    <n v="815835"/>
    <s v="MAHAKAL TRADERS"/>
    <n v="210135"/>
    <s v="SHREE MAMADEV TRADERS"/>
    <n v="0"/>
    <n v="0"/>
    <n v="0"/>
    <n v="0"/>
    <n v="0"/>
    <n v="0"/>
    <n v="0"/>
    <n v="0"/>
    <n v="5"/>
    <n v="0"/>
    <n v="0"/>
    <n v="0"/>
    <n v="5"/>
  </r>
  <r>
    <x v="2072"/>
    <n v="815836"/>
    <s v="RUDRAKSH AUTO PARTS"/>
    <n v="142332"/>
    <s v="SANTOSH KIRANA AND CEMENT"/>
    <n v="0"/>
    <n v="0"/>
    <n v="0"/>
    <n v="0"/>
    <n v="40"/>
    <n v="22.5"/>
    <n v="0"/>
    <n v="0"/>
    <n v="0"/>
    <n v="0"/>
    <n v="0"/>
    <n v="8"/>
    <n v="70.5"/>
  </r>
  <r>
    <x v="2073"/>
    <n v="815837"/>
    <s v="AANJANA MATERIAL SUPPLIERS"/>
    <n v="174756"/>
    <s v="SHAH TRADERS"/>
    <n v="0"/>
    <n v="0"/>
    <n v="0"/>
    <n v="0"/>
    <n v="5"/>
    <n v="3"/>
    <n v="0"/>
    <n v="6"/>
    <n v="17.5"/>
    <n v="0"/>
    <n v="20"/>
    <n v="10"/>
    <n v="61.5"/>
  </r>
  <r>
    <x v="2074"/>
    <n v="815838"/>
    <s v="BHOMIYA JI CEMENT SUPPLIER"/>
    <n v="143530"/>
    <s v="BHATI CEMENT AGENCY"/>
    <n v="0"/>
    <n v="0"/>
    <n v="0"/>
    <n v="0"/>
    <n v="35"/>
    <n v="0"/>
    <n v="15"/>
    <n v="0"/>
    <n v="12.5"/>
    <n v="25"/>
    <n v="0"/>
    <n v="25"/>
    <n v="112.5"/>
  </r>
  <r>
    <x v="2075"/>
    <n v="815839"/>
    <s v="JAGDAMBA BUILDING MATERIALS"/>
    <n v="206102"/>
    <s v="BABA RAMDEV CEMENT SUPPLIER"/>
    <n v="0"/>
    <n v="0"/>
    <n v="0"/>
    <n v="0"/>
    <n v="0"/>
    <n v="0"/>
    <n v="0"/>
    <n v="0"/>
    <n v="5.8"/>
    <n v="0"/>
    <n v="0"/>
    <n v="0"/>
    <n v="5.8"/>
  </r>
  <r>
    <x v="2076"/>
    <n v="815839"/>
    <s v="JAGDAMBA BUILDING MATERIALS"/>
    <n v="207379"/>
    <s v="BABA RAMDEV BUILDING MATERIAL"/>
    <n v="0"/>
    <n v="0"/>
    <n v="0"/>
    <n v="0"/>
    <n v="40"/>
    <n v="25"/>
    <n v="30"/>
    <n v="30"/>
    <n v="85"/>
    <n v="55"/>
    <n v="0"/>
    <n v="0"/>
    <n v="265"/>
  </r>
  <r>
    <x v="2077"/>
    <n v="815840"/>
    <s v="GUJARAT IRON STORE"/>
    <n v="208776"/>
    <s v="ABHIS BUILDTECH"/>
    <n v="0"/>
    <n v="0"/>
    <n v="0"/>
    <n v="0"/>
    <n v="142.5"/>
    <n v="187.5"/>
    <n v="206.5"/>
    <n v="92.5"/>
    <n v="285"/>
    <n v="271.5"/>
    <n v="189"/>
    <n v="327.5"/>
    <n v="1702"/>
  </r>
  <r>
    <x v="2078"/>
    <n v="815841"/>
    <s v="SHANTI STONE AND STEEL"/>
    <n v="147364"/>
    <s v="RAJASTHAN ROYAL BUILDHOME SOLU"/>
    <n v="0"/>
    <n v="0"/>
    <n v="0"/>
    <n v="0"/>
    <n v="37.5"/>
    <n v="50"/>
    <n v="32.5"/>
    <n v="25"/>
    <n v="52.5"/>
    <n v="50"/>
    <n v="34"/>
    <n v="65"/>
    <n v="346.5"/>
  </r>
  <r>
    <x v="2079"/>
    <n v="815844"/>
    <s v="ANIL KUMAR"/>
    <n v="179486"/>
    <s v="MOROLIA TRADERS"/>
    <n v="0"/>
    <n v="0"/>
    <n v="0"/>
    <n v="0"/>
    <n v="40"/>
    <n v="40"/>
    <n v="0"/>
    <n v="10"/>
    <n v="55"/>
    <n v="36"/>
    <n v="55"/>
    <n v="64.5"/>
    <n v="300.5"/>
  </r>
  <r>
    <x v="2080"/>
    <n v="815845"/>
    <s v="SHREE BALAJI ASSOCIATES"/>
    <n v="119038"/>
    <s v="NAVEEN DISTRIBUTORS"/>
    <n v="0"/>
    <n v="0"/>
    <n v="0"/>
    <n v="0"/>
    <n v="50"/>
    <n v="25"/>
    <n v="40"/>
    <n v="30"/>
    <n v="110"/>
    <n v="25.5"/>
    <n v="80"/>
    <n v="45.5"/>
    <n v="406"/>
  </r>
  <r>
    <x v="2081"/>
    <n v="815849"/>
    <s v="ROHIT PAREEK"/>
    <n v="205591"/>
    <s v="ROOP RAJAT TRADING CO"/>
    <n v="0"/>
    <n v="0"/>
    <n v="0"/>
    <n v="0"/>
    <n v="25.5"/>
    <n v="4"/>
    <n v="16.2"/>
    <n v="10"/>
    <n v="0"/>
    <n v="10"/>
    <n v="13"/>
    <n v="0"/>
    <n v="78.7"/>
  </r>
  <r>
    <x v="2082"/>
    <n v="815850"/>
    <s v="BALAJI ASSOCIATES"/>
    <n v="174166"/>
    <s v="NAMOKAR STONE TRADERS"/>
    <n v="0"/>
    <n v="0"/>
    <n v="0"/>
    <n v="0"/>
    <n v="0"/>
    <n v="17.5"/>
    <n v="30"/>
    <n v="55"/>
    <n v="54"/>
    <n v="55"/>
    <n v="85"/>
    <n v="168"/>
    <n v="464.5"/>
  </r>
  <r>
    <x v="2083"/>
    <n v="815863"/>
    <s v="RAJMAL MEENA"/>
    <n v="140850"/>
    <s v="MAHAVEER SANITARY &amp; CEMENT AGE"/>
    <n v="0"/>
    <n v="0"/>
    <n v="0"/>
    <n v="0"/>
    <n v="65"/>
    <n v="35"/>
    <n v="10"/>
    <n v="15"/>
    <n v="54.5"/>
    <n v="20"/>
    <n v="57"/>
    <n v="39"/>
    <n v="295.5"/>
  </r>
  <r>
    <x v="2084"/>
    <n v="815864"/>
    <s v="SAINI CEMENT SUPPLIER"/>
    <n v="205650"/>
    <s v="SAINI TRADING COMPANY"/>
    <n v="0"/>
    <n v="0"/>
    <n v="0"/>
    <n v="0"/>
    <n v="15"/>
    <n v="37.5"/>
    <n v="38.25"/>
    <n v="10.5"/>
    <n v="0"/>
    <n v="0"/>
    <n v="43"/>
    <n v="100"/>
    <n v="244.25"/>
  </r>
  <r>
    <x v="2085"/>
    <n v="815865"/>
    <s v="SHARAD CEMENT &amp; ADDEN SUPPLIER"/>
    <n v="205343"/>
    <s v="ARIHANT TRADERS"/>
    <n v="0"/>
    <n v="0"/>
    <n v="0"/>
    <n v="0"/>
    <n v="104"/>
    <n v="113"/>
    <n v="68.5"/>
    <n v="25"/>
    <n v="35"/>
    <n v="80"/>
    <n v="51"/>
    <n v="219"/>
    <n v="695.5"/>
  </r>
  <r>
    <x v="2086"/>
    <n v="815866"/>
    <s v="CHHOTU LAL"/>
    <n v="202941"/>
    <s v="SHRI BALAJI BUILDING MATERIAL"/>
    <n v="0"/>
    <n v="0"/>
    <n v="0"/>
    <n v="0"/>
    <n v="40"/>
    <n v="10"/>
    <n v="0"/>
    <n v="15"/>
    <n v="30"/>
    <n v="25"/>
    <n v="20"/>
    <n v="46.25"/>
    <n v="186.25"/>
  </r>
  <r>
    <x v="2087"/>
    <n v="815867"/>
    <s v="KARANI SINGH"/>
    <n v="202941"/>
    <s v="SHRI BALAJI BUILDING MATERIAL"/>
    <n v="0"/>
    <n v="0"/>
    <n v="0"/>
    <n v="0"/>
    <n v="10"/>
    <n v="10"/>
    <n v="35"/>
    <n v="15"/>
    <n v="45"/>
    <n v="41.5"/>
    <n v="37"/>
    <n v="39.25"/>
    <n v="232.75"/>
  </r>
  <r>
    <x v="2088"/>
    <n v="815868"/>
    <s v="KANWAR PAL"/>
    <n v="171839"/>
    <s v="SARAWAGI CEMENT AGENCY"/>
    <n v="0"/>
    <n v="0"/>
    <n v="0"/>
    <n v="0"/>
    <n v="74.5"/>
    <n v="110"/>
    <n v="70"/>
    <n v="45"/>
    <n v="75"/>
    <n v="65"/>
    <n v="41.5"/>
    <n v="15"/>
    <n v="496"/>
  </r>
  <r>
    <x v="2089"/>
    <n v="815869"/>
    <s v="SHARIF KHAN"/>
    <n v="179928"/>
    <s v="BHAIRAV BUILDING MATERIAL SUPP"/>
    <n v="0"/>
    <n v="0"/>
    <n v="0"/>
    <n v="0"/>
    <n v="0"/>
    <n v="42.75"/>
    <n v="57"/>
    <n v="40"/>
    <n v="15"/>
    <n v="47.65"/>
    <n v="51.5"/>
    <n v="12.5"/>
    <n v="266.39999999999998"/>
  </r>
  <r>
    <x v="2090"/>
    <n v="815870"/>
    <s v="HIRA LAL"/>
    <n v="209130"/>
    <s v="CHOUDHARY BUILDING MATERIAL"/>
    <n v="0"/>
    <n v="0"/>
    <n v="0"/>
    <n v="0"/>
    <n v="70"/>
    <n v="112.5"/>
    <n v="100"/>
    <n v="40"/>
    <n v="111.5"/>
    <n v="71.5"/>
    <n v="85"/>
    <n v="120"/>
    <n v="710.5"/>
  </r>
  <r>
    <x v="2091"/>
    <n v="815871"/>
    <s v="TARUN BANSAL"/>
    <n v="149764"/>
    <s v="JMD CEMENT &amp; IRON STORE"/>
    <n v="0"/>
    <n v="0"/>
    <n v="0"/>
    <n v="0"/>
    <n v="127"/>
    <n v="145.5"/>
    <n v="188"/>
    <n v="115"/>
    <n v="55.5"/>
    <n v="80"/>
    <n v="150.5"/>
    <n v="95"/>
    <n v="956.5"/>
  </r>
  <r>
    <x v="2092"/>
    <n v="815882"/>
    <s v="PUGALIYA  BUILDING MATERIALS"/>
    <n v="174271"/>
    <s v="S K TRADERS"/>
    <n v="0"/>
    <n v="0"/>
    <n v="0"/>
    <n v="0"/>
    <n v="0"/>
    <n v="0"/>
    <n v="0"/>
    <n v="0"/>
    <n v="0"/>
    <n v="20"/>
    <n v="30"/>
    <n v="0"/>
    <n v="50"/>
  </r>
  <r>
    <x v="2093"/>
    <n v="815887"/>
    <s v="MAYANK TRADERS"/>
    <n v="142512"/>
    <s v="GURU KRIPA TRADING CO"/>
    <n v="0"/>
    <n v="0"/>
    <n v="0"/>
    <n v="0"/>
    <n v="38.5"/>
    <n v="0"/>
    <n v="31"/>
    <n v="17.5"/>
    <n v="10"/>
    <n v="31"/>
    <n v="17.5"/>
    <n v="80"/>
    <n v="225.5"/>
  </r>
  <r>
    <x v="2094"/>
    <n v="815899"/>
    <s v="GANPATI BUILDING MATERIAL"/>
    <n v="175340"/>
    <s v="VISHNU CEMENT &amp; IRON STORE"/>
    <n v="0"/>
    <n v="0"/>
    <n v="0"/>
    <n v="0"/>
    <n v="50"/>
    <n v="60.05"/>
    <n v="38.5"/>
    <n v="0"/>
    <n v="68.3"/>
    <n v="20"/>
    <n v="0"/>
    <n v="0"/>
    <n v="236.85000000000002"/>
  </r>
  <r>
    <x v="2095"/>
    <n v="815900"/>
    <s v="RINKU STONE"/>
    <n v="171662"/>
    <s v="CHHABRA STONES"/>
    <n v="0"/>
    <n v="0"/>
    <n v="0"/>
    <n v="0"/>
    <n v="15"/>
    <n v="20"/>
    <n v="28"/>
    <n v="10"/>
    <n v="0"/>
    <n v="0"/>
    <n v="0"/>
    <n v="0"/>
    <n v="73"/>
  </r>
  <r>
    <x v="2096"/>
    <n v="815901"/>
    <s v="SANDEEP TANK"/>
    <n v="171662"/>
    <s v="CHHABRA STONES"/>
    <n v="0"/>
    <n v="0"/>
    <n v="0"/>
    <n v="0"/>
    <n v="15"/>
    <n v="22.5"/>
    <n v="29.45"/>
    <n v="10"/>
    <n v="25"/>
    <n v="20"/>
    <n v="0"/>
    <n v="25"/>
    <n v="146.94999999999999"/>
  </r>
  <r>
    <x v="2097"/>
    <n v="815904"/>
    <s v="SATVEER SINGH"/>
    <n v="175340"/>
    <s v="VISHNU CEMENT &amp; IRON STORE"/>
    <n v="0"/>
    <n v="0"/>
    <n v="0"/>
    <n v="0"/>
    <n v="52"/>
    <n v="60"/>
    <n v="91.5"/>
    <n v="0"/>
    <n v="77.5"/>
    <n v="98"/>
    <n v="31"/>
    <n v="50"/>
    <n v="460"/>
  </r>
  <r>
    <x v="2098"/>
    <n v="815905"/>
    <s v="RAM SHWROOP GOSWAMI"/>
    <n v="201654"/>
    <s v="GARG TRADERS"/>
    <n v="0"/>
    <n v="0"/>
    <n v="0"/>
    <n v="0"/>
    <n v="0"/>
    <n v="0"/>
    <n v="87.5"/>
    <n v="0"/>
    <n v="0"/>
    <n v="0"/>
    <n v="0"/>
    <n v="0"/>
    <n v="87.5"/>
  </r>
  <r>
    <x v="2099"/>
    <n v="815906"/>
    <s v="SHREEJI CONSTRUCTION"/>
    <n v="174377"/>
    <s v="PATIDAR CEMENT CORPORATION"/>
    <n v="0"/>
    <n v="0"/>
    <n v="0"/>
    <n v="0"/>
    <n v="0"/>
    <n v="42.5"/>
    <n v="18.5"/>
    <n v="0"/>
    <n v="0"/>
    <n v="0"/>
    <n v="15"/>
    <n v="0"/>
    <n v="76"/>
  </r>
  <r>
    <x v="2100"/>
    <n v="815907"/>
    <s v="SAINATH TRADERS"/>
    <n v="147364"/>
    <s v="RAJASTHAN ROYAL BUILDHOME SOLU"/>
    <n v="0"/>
    <n v="0"/>
    <n v="0"/>
    <n v="0"/>
    <n v="0"/>
    <n v="0"/>
    <n v="0"/>
    <n v="0"/>
    <n v="7.5"/>
    <n v="0"/>
    <n v="0"/>
    <n v="0"/>
    <n v="7.5"/>
  </r>
  <r>
    <x v="2101"/>
    <n v="815907"/>
    <s v="SAINATH TRADERS"/>
    <n v="208776"/>
    <s v="ABHIS BUILDTECH"/>
    <n v="0"/>
    <n v="0"/>
    <n v="0"/>
    <n v="0"/>
    <n v="32.5"/>
    <n v="52.5"/>
    <n v="27.5"/>
    <n v="51.5"/>
    <n v="57.5"/>
    <n v="70"/>
    <n v="50"/>
    <n v="70"/>
    <n v="411.5"/>
  </r>
  <r>
    <x v="2102"/>
    <n v="815909"/>
    <s v="SAINI CEMENT AGENCY"/>
    <n v="209146"/>
    <s v="KUMAWAT TRADING CO."/>
    <n v="0"/>
    <n v="0"/>
    <n v="0"/>
    <n v="0"/>
    <n v="79.25"/>
    <n v="82"/>
    <n v="0"/>
    <n v="0"/>
    <n v="0"/>
    <n v="0"/>
    <n v="0"/>
    <n v="0"/>
    <n v="161.25"/>
  </r>
  <r>
    <x v="2103"/>
    <n v="815924"/>
    <s v="CHHIRANJILAL OM PRAKASH"/>
    <n v="178237"/>
    <s v="BADAYA TRADERS"/>
    <n v="0"/>
    <n v="0"/>
    <n v="0"/>
    <n v="0"/>
    <n v="0"/>
    <n v="0"/>
    <n v="20"/>
    <n v="30"/>
    <n v="46.75"/>
    <n v="37"/>
    <n v="30.5"/>
    <n v="52.5"/>
    <n v="216.75"/>
  </r>
  <r>
    <x v="2104"/>
    <n v="815929"/>
    <s v="KIRAN TRADERS"/>
    <n v="202870"/>
    <s v="ASHUTOSH CONSTRUCTION CO"/>
    <n v="0"/>
    <n v="0"/>
    <n v="0"/>
    <n v="0"/>
    <n v="20"/>
    <n v="91"/>
    <n v="83"/>
    <n v="50"/>
    <n v="20"/>
    <n v="49"/>
    <n v="0"/>
    <n v="15"/>
    <n v="328"/>
  </r>
  <r>
    <x v="2105"/>
    <n v="815930"/>
    <s v="KISAN SEWA KENDRA"/>
    <n v="172702"/>
    <s v="GOYAL ENTERPRISES"/>
    <n v="0"/>
    <n v="0"/>
    <n v="0"/>
    <n v="0"/>
    <n v="42"/>
    <n v="15"/>
    <n v="15"/>
    <n v="0"/>
    <n v="105"/>
    <n v="50"/>
    <n v="15"/>
    <n v="40"/>
    <n v="282"/>
  </r>
  <r>
    <x v="2106"/>
    <n v="815934"/>
    <s v="MANGI LAL"/>
    <n v="206302"/>
    <s v="BALAJI CEMENT AGENCY"/>
    <n v="0"/>
    <n v="0"/>
    <n v="0"/>
    <n v="0"/>
    <n v="98"/>
    <n v="97.5"/>
    <n v="70"/>
    <n v="93"/>
    <n v="118.9"/>
    <n v="151"/>
    <n v="84"/>
    <n v="204"/>
    <n v="916.4"/>
  </r>
  <r>
    <x v="2107"/>
    <n v="815935"/>
    <s v="JASNATH BUILDING MATERIALS"/>
    <n v="208809"/>
    <s v="MAHADEV SALES"/>
    <n v="0"/>
    <n v="0"/>
    <n v="0"/>
    <n v="0"/>
    <n v="135"/>
    <n v="130.5"/>
    <n v="40"/>
    <n v="50"/>
    <n v="28"/>
    <n v="10"/>
    <n v="80"/>
    <n v="167.5"/>
    <n v="641"/>
  </r>
  <r>
    <x v="2108"/>
    <n v="815936"/>
    <s v="DINESH SINGH CHOUHAN"/>
    <n v="208074"/>
    <s v="SWASTIK STEEL TRADERS"/>
    <n v="0"/>
    <n v="0"/>
    <n v="0"/>
    <n v="0"/>
    <n v="50"/>
    <n v="55"/>
    <n v="10"/>
    <n v="7.5"/>
    <n v="44"/>
    <n v="5"/>
    <n v="12.5"/>
    <n v="7.5"/>
    <n v="191.5"/>
  </r>
  <r>
    <x v="2109"/>
    <n v="815938"/>
    <s v="S R AND SONS"/>
    <n v="143530"/>
    <s v="BHATI CEMENT AGENCY"/>
    <n v="0"/>
    <n v="0"/>
    <n v="0"/>
    <n v="0"/>
    <n v="0"/>
    <n v="0"/>
    <n v="0"/>
    <n v="0"/>
    <n v="0"/>
    <n v="0"/>
    <n v="15"/>
    <n v="0"/>
    <n v="15"/>
  </r>
  <r>
    <x v="2110"/>
    <n v="815938"/>
    <s v="S R AND SONS"/>
    <n v="209017"/>
    <s v="SARSWAT HARDWARE"/>
    <n v="0"/>
    <n v="0"/>
    <n v="0"/>
    <n v="0"/>
    <n v="62"/>
    <n v="107.5"/>
    <n v="135"/>
    <n v="80"/>
    <n v="125"/>
    <n v="116.4"/>
    <n v="172"/>
    <n v="253"/>
    <n v="1050.9000000000001"/>
  </r>
  <r>
    <x v="2111"/>
    <n v="815946"/>
    <s v="PARKA RAM PATEL"/>
    <n v="179928"/>
    <s v="BHAIRAV BUILDING MATERIAL SUPP"/>
    <n v="0"/>
    <n v="0"/>
    <n v="0"/>
    <n v="0"/>
    <n v="0"/>
    <n v="31"/>
    <n v="58"/>
    <n v="6"/>
    <n v="0"/>
    <n v="0"/>
    <n v="0"/>
    <n v="15.5"/>
    <n v="110.5"/>
  </r>
  <r>
    <x v="2112"/>
    <n v="815947"/>
    <s v="REWARI BUILDING MATERIAL STORE"/>
    <n v="172942"/>
    <s v="LAXMI IRON STORE"/>
    <n v="0"/>
    <n v="0"/>
    <n v="0"/>
    <n v="0"/>
    <n v="85"/>
    <n v="65"/>
    <n v="35"/>
    <n v="30"/>
    <n v="55"/>
    <n v="26.5"/>
    <n v="10"/>
    <n v="10"/>
    <n v="316.5"/>
  </r>
  <r>
    <x v="2113"/>
    <n v="815958"/>
    <s v="PARAS BUILDING MATERIAL"/>
    <n v="204034"/>
    <s v="PATEL CEMENT SUPPLIERS"/>
    <n v="0"/>
    <n v="0"/>
    <n v="0"/>
    <n v="0"/>
    <n v="0"/>
    <n v="39.5"/>
    <n v="58.25"/>
    <n v="25"/>
    <n v="15"/>
    <n v="15"/>
    <n v="20"/>
    <n v="37.5"/>
    <n v="210.25"/>
  </r>
  <r>
    <x v="2114"/>
    <n v="815961"/>
    <s v="JAIN TRADERS"/>
    <n v="177069"/>
    <s v="LOVEVANSHI ENTERPRISES"/>
    <n v="0"/>
    <n v="0"/>
    <n v="0"/>
    <n v="0"/>
    <n v="25"/>
    <n v="35"/>
    <n v="25"/>
    <n v="0"/>
    <n v="45"/>
    <n v="65"/>
    <n v="60"/>
    <n v="52"/>
    <n v="307"/>
  </r>
  <r>
    <x v="2115"/>
    <n v="815962"/>
    <s v="ASHOKA BUILDING MATERIAL"/>
    <n v="149971"/>
    <s v="PRADHAN CEMENT SUPPLIERS"/>
    <n v="0"/>
    <n v="0"/>
    <n v="0"/>
    <n v="0"/>
    <n v="0"/>
    <n v="0"/>
    <n v="20"/>
    <n v="0"/>
    <n v="20.5"/>
    <n v="25"/>
    <n v="0"/>
    <n v="10"/>
    <n v="75.5"/>
  </r>
  <r>
    <x v="2116"/>
    <n v="815963"/>
    <s v="MOHAMMED SAMEER TAGALA"/>
    <n v="207713"/>
    <s v="TAGALA BROTHERS"/>
    <n v="0"/>
    <n v="0"/>
    <n v="0"/>
    <n v="0"/>
    <n v="148.5"/>
    <n v="193.75"/>
    <n v="180.75"/>
    <n v="122.5"/>
    <n v="111.35"/>
    <n v="113"/>
    <n v="125"/>
    <n v="133.5"/>
    <n v="1128.3499999999999"/>
  </r>
  <r>
    <x v="2117"/>
    <n v="815982"/>
    <s v="KRISHNA CEMENT AGENCY"/>
    <n v="178109"/>
    <s v="KRISHI SEWA KENDRA"/>
    <n v="0"/>
    <n v="0"/>
    <n v="0"/>
    <n v="0"/>
    <n v="50"/>
    <n v="35"/>
    <n v="23.5"/>
    <n v="10"/>
    <n v="20"/>
    <n v="76"/>
    <n v="38.5"/>
    <n v="36.5"/>
    <n v="289.5"/>
  </r>
  <r>
    <x v="2118"/>
    <n v="815983"/>
    <s v="HARIOM TRADERS"/>
    <n v="140960"/>
    <s v="HARI OM CEMENT SUPPLIERS"/>
    <n v="0"/>
    <n v="0"/>
    <n v="0"/>
    <n v="0"/>
    <n v="50"/>
    <n v="60"/>
    <n v="0"/>
    <n v="15"/>
    <n v="17.5"/>
    <n v="0"/>
    <n v="0"/>
    <n v="35"/>
    <n v="177.5"/>
  </r>
  <r>
    <x v="2119"/>
    <n v="815984"/>
    <s v="DHULCHAND S/O HIMALA"/>
    <n v="140960"/>
    <s v="HARI OM CEMENT SUPPLIERS"/>
    <n v="0"/>
    <n v="0"/>
    <n v="0"/>
    <n v="0"/>
    <n v="55"/>
    <n v="40"/>
    <n v="0"/>
    <n v="50"/>
    <n v="50"/>
    <n v="20"/>
    <n v="65"/>
    <n v="85"/>
    <n v="365"/>
  </r>
  <r>
    <x v="2120"/>
    <n v="815985"/>
    <s v="GARG BUILDING MATERIAL"/>
    <n v="170204"/>
    <s v="GOYAL BUILDING MATERIAL"/>
    <n v="0"/>
    <n v="0"/>
    <n v="0"/>
    <n v="0"/>
    <n v="0"/>
    <n v="23"/>
    <n v="34"/>
    <n v="0"/>
    <n v="0"/>
    <n v="0"/>
    <n v="0"/>
    <n v="10"/>
    <n v="67"/>
  </r>
  <r>
    <x v="2121"/>
    <n v="815986"/>
    <s v="VIKRAM TRADING COMPANY"/>
    <n v="170204"/>
    <s v="GOYAL BUILDING MATERIAL"/>
    <n v="0"/>
    <n v="0"/>
    <n v="0"/>
    <n v="0"/>
    <n v="0"/>
    <n v="50"/>
    <n v="35"/>
    <n v="0"/>
    <n v="10"/>
    <n v="0"/>
    <n v="63"/>
    <n v="57"/>
    <n v="215"/>
  </r>
  <r>
    <x v="2122"/>
    <n v="815987"/>
    <s v="SOHAN LAL TELI"/>
    <n v="178003"/>
    <s v="SHREE JI BUILDING MATERIAL SUP"/>
    <n v="0"/>
    <n v="0"/>
    <n v="0"/>
    <n v="0"/>
    <n v="10"/>
    <n v="37"/>
    <n v="25.5"/>
    <n v="26.5"/>
    <n v="22.5"/>
    <n v="43.75"/>
    <n v="41"/>
    <n v="14.5"/>
    <n v="220.75"/>
  </r>
  <r>
    <x v="2123"/>
    <n v="815988"/>
    <s v="PRAKASH CHAND"/>
    <n v="179486"/>
    <s v="MOROLIA TRADERS"/>
    <n v="0"/>
    <n v="0"/>
    <n v="0"/>
    <n v="0"/>
    <n v="20"/>
    <n v="15"/>
    <n v="0"/>
    <n v="0"/>
    <n v="0"/>
    <n v="10"/>
    <n v="0"/>
    <n v="30"/>
    <n v="75"/>
  </r>
  <r>
    <x v="2124"/>
    <n v="815993"/>
    <s v="TOLJI CEMENT AGENCY HARDWARE &amp;"/>
    <n v="176773"/>
    <s v="MANIK CHAND LAKHMI CHAND"/>
    <n v="0"/>
    <n v="0"/>
    <n v="0"/>
    <n v="0"/>
    <n v="70"/>
    <n v="60"/>
    <n v="86.65"/>
    <n v="74"/>
    <n v="113.14999999999999"/>
    <n v="86.5"/>
    <n v="96.5"/>
    <n v="62.5"/>
    <n v="649.29999999999995"/>
  </r>
  <r>
    <x v="2125"/>
    <n v="815993"/>
    <s v="TOLJI CEMENT AGENCY HARDWARE &amp;"/>
    <n v="208123"/>
    <s v="BORANA CEMENT DISTRIBUTOR"/>
    <n v="0"/>
    <n v="0"/>
    <n v="0"/>
    <n v="0"/>
    <n v="0"/>
    <n v="0"/>
    <n v="0"/>
    <n v="0"/>
    <n v="0"/>
    <n v="20"/>
    <n v="0"/>
    <n v="0"/>
    <n v="20"/>
  </r>
  <r>
    <x v="2126"/>
    <n v="816013"/>
    <s v="KHUSHBU TRADERS"/>
    <n v="202225"/>
    <s v="ASTOLIA INDUSTRIES"/>
    <n v="0"/>
    <n v="0"/>
    <n v="0"/>
    <n v="0"/>
    <n v="0"/>
    <n v="7.5"/>
    <n v="0"/>
    <n v="0"/>
    <n v="10"/>
    <n v="20"/>
    <n v="10"/>
    <n v="0"/>
    <n v="47.5"/>
  </r>
  <r>
    <x v="2127"/>
    <n v="816014"/>
    <s v="RAMESHVAR LAL SHARMA"/>
    <n v="205591"/>
    <s v="ROOP RAJAT TRADING CO"/>
    <n v="0"/>
    <n v="0"/>
    <n v="0"/>
    <n v="0"/>
    <n v="0"/>
    <n v="14"/>
    <n v="20"/>
    <n v="2"/>
    <n v="8"/>
    <n v="0"/>
    <n v="0"/>
    <n v="10"/>
    <n v="54"/>
  </r>
  <r>
    <x v="2128"/>
    <n v="816015"/>
    <s v="MADAN LAL RAJMAL SUTHAR"/>
    <n v="205591"/>
    <s v="ROOP RAJAT TRADING CO"/>
    <n v="0"/>
    <n v="0"/>
    <n v="0"/>
    <n v="0"/>
    <n v="0"/>
    <n v="4"/>
    <n v="40"/>
    <n v="2"/>
    <n v="25"/>
    <n v="30"/>
    <n v="23"/>
    <n v="53"/>
    <n v="177"/>
  </r>
  <r>
    <x v="2129"/>
    <n v="816021"/>
    <s v="YARANA CEMENT SUPPLIER"/>
    <n v="208074"/>
    <s v="SWASTIK STEEL TRADERS"/>
    <n v="0"/>
    <n v="0"/>
    <n v="0"/>
    <n v="0"/>
    <n v="25"/>
    <n v="35"/>
    <n v="25"/>
    <n v="10"/>
    <n v="34"/>
    <n v="10"/>
    <n v="0"/>
    <n v="17.5"/>
    <n v="156.5"/>
  </r>
  <r>
    <x v="2130"/>
    <n v="816022"/>
    <s v="LAXMI NARAYANA"/>
    <n v="208074"/>
    <s v="SWASTIK STEEL TRADERS"/>
    <n v="0"/>
    <n v="0"/>
    <n v="0"/>
    <n v="0"/>
    <n v="10"/>
    <n v="15"/>
    <n v="10"/>
    <n v="0"/>
    <n v="12.5"/>
    <n v="0"/>
    <n v="0"/>
    <n v="0"/>
    <n v="47.5"/>
  </r>
  <r>
    <x v="2131"/>
    <n v="816037"/>
    <s v="BHUPENDRA CEMENT AGENCY"/>
    <n v="179894"/>
    <s v="SHARMA CEMENT AGENCY"/>
    <n v="0"/>
    <n v="0"/>
    <n v="0"/>
    <n v="0"/>
    <n v="119"/>
    <n v="164.5"/>
    <n v="92"/>
    <n v="57.5"/>
    <n v="93.5"/>
    <n v="57.5"/>
    <n v="85"/>
    <n v="100"/>
    <n v="769"/>
  </r>
  <r>
    <x v="2132"/>
    <n v="816038"/>
    <s v="MADHAV TRADERS"/>
    <n v="170204"/>
    <s v="GOYAL BUILDING MATERIAL"/>
    <n v="0"/>
    <n v="0"/>
    <n v="0"/>
    <n v="0"/>
    <n v="0"/>
    <n v="97.5"/>
    <n v="35"/>
    <n v="42"/>
    <n v="102"/>
    <n v="70"/>
    <n v="140"/>
    <n v="142"/>
    <n v="628.5"/>
  </r>
  <r>
    <x v="2133"/>
    <n v="816047"/>
    <s v="GUDDU IRON ENTERPRISES"/>
    <n v="205840"/>
    <s v="KUCHHAL STEEL MARKETING"/>
    <n v="0"/>
    <n v="0"/>
    <n v="0"/>
    <n v="0"/>
    <n v="0"/>
    <n v="0"/>
    <n v="0"/>
    <n v="0"/>
    <n v="0"/>
    <n v="70"/>
    <n v="44"/>
    <n v="43"/>
    <n v="157"/>
  </r>
  <r>
    <x v="2134"/>
    <n v="816047"/>
    <s v="GUDDU IRON ENTERPRISES"/>
    <n v="207945"/>
    <s v="SUFI ENTERPRISES"/>
    <n v="0"/>
    <n v="0"/>
    <n v="0"/>
    <n v="0"/>
    <n v="0"/>
    <n v="0"/>
    <n v="30"/>
    <n v="37.5"/>
    <n v="54"/>
    <n v="10"/>
    <n v="0"/>
    <n v="0"/>
    <n v="131.5"/>
  </r>
  <r>
    <x v="2135"/>
    <n v="816055"/>
    <s v="CHANDMAL ASHOK KUMAR"/>
    <n v="119044"/>
    <s v="PANWAR TRADING CORPORATION LTD"/>
    <n v="0"/>
    <n v="0"/>
    <n v="0"/>
    <n v="0"/>
    <n v="0"/>
    <n v="0"/>
    <n v="10"/>
    <n v="0"/>
    <n v="80"/>
    <n v="61"/>
    <n v="60"/>
    <n v="0"/>
    <n v="211"/>
  </r>
  <r>
    <x v="2136"/>
    <n v="816056"/>
    <s v="FAUJI CEMENT AGENCY"/>
    <n v="170775"/>
    <s v="GANPAT LAL MAROTHIYA AND SONS"/>
    <n v="0"/>
    <n v="0"/>
    <n v="0"/>
    <n v="0"/>
    <n v="30"/>
    <n v="45"/>
    <n v="55"/>
    <n v="0"/>
    <n v="15"/>
    <n v="35"/>
    <n v="98"/>
    <n v="125"/>
    <n v="403"/>
  </r>
  <r>
    <x v="2137"/>
    <n v="816088"/>
    <s v="SHREE BALAJI ENTERPRISES"/>
    <n v="203968"/>
    <s v="J J INFRA BUILD"/>
    <n v="0"/>
    <n v="0"/>
    <n v="0"/>
    <n v="0"/>
    <n v="0"/>
    <n v="10"/>
    <n v="40"/>
    <n v="30"/>
    <n v="35"/>
    <n v="0"/>
    <n v="0"/>
    <n v="15"/>
    <n v="130"/>
  </r>
  <r>
    <x v="2138"/>
    <n v="816093"/>
    <s v="VEER TEJA MOBILE AND SANITARY"/>
    <n v="172338"/>
    <s v="KHILJEE BUILDING MATERIAL"/>
    <n v="0"/>
    <n v="0"/>
    <n v="0"/>
    <n v="0"/>
    <n v="25"/>
    <n v="71"/>
    <n v="25"/>
    <n v="0"/>
    <n v="35"/>
    <n v="115"/>
    <n v="55"/>
    <n v="74"/>
    <n v="400"/>
  </r>
  <r>
    <x v="2139"/>
    <n v="816094"/>
    <s v="SHIVA BUILDING MATERIAL"/>
    <n v="141556"/>
    <s v="GYANI BUILDING MATERIALS"/>
    <n v="0"/>
    <n v="0"/>
    <n v="0"/>
    <n v="0"/>
    <n v="49"/>
    <n v="51.5"/>
    <n v="30"/>
    <n v="10"/>
    <n v="53"/>
    <n v="53"/>
    <n v="10"/>
    <n v="102.5"/>
    <n v="359"/>
  </r>
  <r>
    <x v="2140"/>
    <n v="816095"/>
    <s v="BALAJI PAD STORE"/>
    <n v="141556"/>
    <s v="GYANI BUILDING MATERIALS"/>
    <n v="0"/>
    <n v="0"/>
    <n v="0"/>
    <n v="0"/>
    <n v="15"/>
    <n v="0"/>
    <n v="30"/>
    <n v="10"/>
    <n v="35"/>
    <n v="25"/>
    <n v="85"/>
    <n v="30"/>
    <n v="230"/>
  </r>
  <r>
    <x v="2141"/>
    <n v="816096"/>
    <s v="PRAKASH STEEL"/>
    <n v="119208"/>
    <s v="SURAJMAL TANSUKH RAI"/>
    <n v="0"/>
    <n v="0"/>
    <n v="0"/>
    <n v="0"/>
    <n v="0"/>
    <n v="144"/>
    <n v="0"/>
    <n v="0"/>
    <n v="0"/>
    <n v="0"/>
    <n v="0"/>
    <n v="0"/>
    <n v="144"/>
  </r>
  <r>
    <x v="2142"/>
    <n v="816097"/>
    <s v="VIVEK AGRAWAL"/>
    <n v="171662"/>
    <s v="CHHABRA STONES"/>
    <n v="0"/>
    <n v="0"/>
    <n v="0"/>
    <n v="0"/>
    <n v="20"/>
    <n v="37.5"/>
    <n v="0"/>
    <n v="0"/>
    <n v="20"/>
    <n v="7.5"/>
    <n v="20"/>
    <n v="35"/>
    <n v="140"/>
  </r>
  <r>
    <x v="2143"/>
    <n v="816098"/>
    <s v="SUNITA"/>
    <n v="119208"/>
    <s v="SURAJMAL TANSUKH RAI"/>
    <n v="0"/>
    <n v="0"/>
    <n v="0"/>
    <n v="0"/>
    <n v="0"/>
    <n v="124"/>
    <n v="74.5"/>
    <n v="0"/>
    <n v="0"/>
    <n v="0"/>
    <n v="0"/>
    <n v="0"/>
    <n v="198.5"/>
  </r>
  <r>
    <x v="2144"/>
    <n v="816109"/>
    <s v="BALAJI CONSTRUCTION COMPANY"/>
    <n v="206302"/>
    <s v="BALAJI CEMENT AGENCY"/>
    <n v="0"/>
    <n v="0"/>
    <n v="0"/>
    <n v="0"/>
    <n v="20"/>
    <n v="131.5"/>
    <n v="85"/>
    <n v="47"/>
    <n v="93"/>
    <n v="60"/>
    <n v="60"/>
    <n v="62.5"/>
    <n v="559"/>
  </r>
  <r>
    <x v="2145"/>
    <n v="816111"/>
    <s v="SHARMA CONSTRUCTION COMPANY"/>
    <n v="208156"/>
    <s v="SHRI BAJRANG TRADERS"/>
    <n v="0"/>
    <n v="0"/>
    <n v="0"/>
    <n v="0"/>
    <n v="0"/>
    <n v="0"/>
    <n v="0"/>
    <n v="30"/>
    <n v="0"/>
    <n v="15"/>
    <n v="9"/>
    <n v="7.5"/>
    <n v="61.5"/>
  </r>
  <r>
    <x v="2146"/>
    <n v="816114"/>
    <s v="MAHADEV KISHAN SEVA KENDRA"/>
    <n v="204243"/>
    <s v="SHRI SHIVAM TRADERS"/>
    <n v="0"/>
    <n v="0"/>
    <n v="0"/>
    <n v="0"/>
    <n v="0"/>
    <n v="20"/>
    <n v="0"/>
    <n v="10"/>
    <n v="20"/>
    <n v="0"/>
    <n v="0"/>
    <n v="0"/>
    <n v="50"/>
  </r>
  <r>
    <x v="2147"/>
    <n v="816116"/>
    <s v="CHOUHAN TRADERS"/>
    <n v="206049"/>
    <s v="VAIBHAV ENTERPRISES"/>
    <n v="0"/>
    <n v="0"/>
    <n v="0"/>
    <n v="0"/>
    <n v="5"/>
    <n v="33"/>
    <n v="0"/>
    <n v="5"/>
    <n v="72.5"/>
    <n v="50"/>
    <n v="0"/>
    <n v="0"/>
    <n v="165.5"/>
  </r>
  <r>
    <x v="2148"/>
    <n v="816128"/>
    <s v="JATIN CEMENT AGENCY"/>
    <n v="174176"/>
    <s v="PRADEEP CHOUDHARY J K SUPER CE"/>
    <n v="0"/>
    <n v="0"/>
    <n v="0"/>
    <n v="0"/>
    <n v="10"/>
    <n v="20"/>
    <n v="49"/>
    <n v="24"/>
    <n v="48.25"/>
    <n v="36"/>
    <n v="16.25"/>
    <n v="32.5"/>
    <n v="236"/>
  </r>
  <r>
    <x v="2149"/>
    <n v="816129"/>
    <s v="BHUVAN KISHOR"/>
    <n v="177068"/>
    <s v="MAHALAXMI ENTERPRISES"/>
    <n v="0"/>
    <n v="0"/>
    <n v="0"/>
    <n v="0"/>
    <n v="0"/>
    <n v="65"/>
    <n v="30"/>
    <n v="15"/>
    <n v="73.5"/>
    <n v="15"/>
    <n v="16"/>
    <n v="10"/>
    <n v="224.5"/>
  </r>
  <r>
    <x v="2150"/>
    <n v="816129"/>
    <s v="BHUVAN KISHOR"/>
    <n v="177662"/>
    <s v="MANOJ KUMAR S/0 BHERA RAM"/>
    <n v="0"/>
    <n v="0"/>
    <n v="0"/>
    <n v="0"/>
    <n v="0"/>
    <n v="0"/>
    <n v="0"/>
    <n v="0"/>
    <n v="0"/>
    <n v="0"/>
    <n v="0"/>
    <n v="30"/>
    <n v="30"/>
  </r>
  <r>
    <x v="2151"/>
    <n v="816139"/>
    <s v="NANU RAM RAWAT"/>
    <n v="140860"/>
    <s v="VIPUL CEMENT SUPPLIERS"/>
    <n v="0"/>
    <n v="0"/>
    <n v="0"/>
    <n v="0"/>
    <n v="0"/>
    <n v="0"/>
    <n v="0"/>
    <n v="0"/>
    <n v="30"/>
    <n v="10"/>
    <n v="10"/>
    <n v="10"/>
    <n v="60"/>
  </r>
  <r>
    <x v="2152"/>
    <n v="816140"/>
    <s v="SHREE KALYAN BUILDING MATERIAL"/>
    <n v="140856"/>
    <s v="TIRUPATI BUILDING MATERIAL SUP"/>
    <n v="0"/>
    <n v="0"/>
    <n v="0"/>
    <n v="0"/>
    <n v="0"/>
    <n v="0"/>
    <n v="10"/>
    <n v="0"/>
    <n v="92"/>
    <n v="68"/>
    <n v="91"/>
    <n v="141.5"/>
    <n v="402.5"/>
  </r>
  <r>
    <x v="2153"/>
    <n v="816142"/>
    <s v="SANJAY KUMAR"/>
    <n v="172946"/>
    <s v="RIDHI SIDHI TRADERS"/>
    <n v="0"/>
    <n v="0"/>
    <n v="0"/>
    <n v="0"/>
    <n v="30"/>
    <n v="45"/>
    <n v="20"/>
    <n v="12"/>
    <n v="47"/>
    <n v="25"/>
    <n v="0"/>
    <n v="0"/>
    <n v="179"/>
  </r>
  <r>
    <x v="2154"/>
    <n v="816144"/>
    <s v="SHRI BALAJI TRADERS"/>
    <n v="119031"/>
    <s v="RAMESH CHANDRA RAJENDRA KUMAR"/>
    <n v="0"/>
    <n v="0"/>
    <n v="0"/>
    <n v="0"/>
    <n v="32.700000000000003"/>
    <n v="85"/>
    <n v="95"/>
    <n v="0"/>
    <n v="0"/>
    <n v="20"/>
    <n v="57"/>
    <n v="55"/>
    <n v="344.7"/>
  </r>
  <r>
    <x v="2155"/>
    <n v="816154"/>
    <s v="SHREE KANHA BUILDING MATERIAL"/>
    <n v="171578"/>
    <s v="KOTA BUILDMAT"/>
    <n v="0"/>
    <n v="0"/>
    <n v="0"/>
    <n v="0"/>
    <n v="10"/>
    <n v="20"/>
    <n v="35"/>
    <n v="35"/>
    <n v="59"/>
    <n v="13.75"/>
    <n v="29.65"/>
    <n v="15"/>
    <n v="217.4"/>
  </r>
  <r>
    <x v="2156"/>
    <n v="816156"/>
    <s v="YUHAN KRISHI SEWA KENDRA"/>
    <n v="174316"/>
    <s v="DHAKAD BUILDING MATERIALS SUPP"/>
    <n v="0"/>
    <n v="0"/>
    <n v="0"/>
    <n v="0"/>
    <n v="0"/>
    <n v="0"/>
    <n v="25"/>
    <n v="10"/>
    <n v="20"/>
    <n v="10"/>
    <n v="10"/>
    <n v="0"/>
    <n v="75"/>
  </r>
  <r>
    <x v="2157"/>
    <n v="816157"/>
    <s v="NEW MARYAM CONSTRUCTION"/>
    <n v="174166"/>
    <s v="NAMOKAR STONE TRADERS"/>
    <n v="0"/>
    <n v="0"/>
    <n v="0"/>
    <n v="0"/>
    <n v="0"/>
    <n v="60"/>
    <n v="63"/>
    <n v="30"/>
    <n v="76"/>
    <n v="45.5"/>
    <n v="36"/>
    <n v="90"/>
    <n v="400.5"/>
  </r>
  <r>
    <x v="2158"/>
    <n v="816167"/>
    <s v="SHIV SHAKTI COMPUTERIES DHARAM"/>
    <n v="174271"/>
    <s v="S K TRADERS"/>
    <n v="0"/>
    <n v="0"/>
    <n v="0"/>
    <n v="0"/>
    <n v="0"/>
    <n v="0"/>
    <n v="0"/>
    <n v="0"/>
    <n v="0"/>
    <n v="20"/>
    <n v="75"/>
    <n v="25"/>
    <n v="120"/>
  </r>
  <r>
    <x v="2159"/>
    <n v="816189"/>
    <s v="SHANTILAL RAKHABCHAND JAIN"/>
    <n v="144279"/>
    <s v="SHREE PADAMAVATI TRADERS"/>
    <n v="0"/>
    <n v="0"/>
    <n v="0"/>
    <n v="0"/>
    <n v="0"/>
    <n v="50"/>
    <n v="30"/>
    <n v="30"/>
    <n v="70"/>
    <n v="50"/>
    <n v="70"/>
    <n v="75"/>
    <n v="375"/>
  </r>
  <r>
    <x v="2160"/>
    <n v="816210"/>
    <s v="SHREE BALAJI BUILDING MATERIAL"/>
    <n v="171578"/>
    <s v="KOTA BUILDMAT"/>
    <n v="0"/>
    <n v="0"/>
    <n v="0"/>
    <n v="0"/>
    <n v="0"/>
    <n v="7.5"/>
    <n v="15"/>
    <n v="15"/>
    <n v="12.5"/>
    <n v="10"/>
    <n v="10"/>
    <n v="5"/>
    <n v="75"/>
  </r>
  <r>
    <x v="2161"/>
    <n v="816239"/>
    <s v="HARSHITA ENTERPRISES"/>
    <n v="207977"/>
    <s v="YASH TRADERS"/>
    <n v="0"/>
    <n v="0"/>
    <n v="0"/>
    <n v="0"/>
    <n v="0"/>
    <n v="18"/>
    <n v="53"/>
    <n v="40"/>
    <n v="10"/>
    <n v="0"/>
    <n v="40"/>
    <n v="50"/>
    <n v="211"/>
  </r>
  <r>
    <x v="2162"/>
    <n v="816240"/>
    <s v="PAWAN BUILDING MATERIAL"/>
    <n v="208874"/>
    <s v="SINGHAL SAINATARY &amp; HARDWARE"/>
    <n v="0"/>
    <n v="0"/>
    <n v="0"/>
    <n v="0"/>
    <n v="0"/>
    <n v="33"/>
    <n v="25"/>
    <n v="0"/>
    <n v="51.5"/>
    <n v="17.25"/>
    <n v="45"/>
    <n v="52"/>
    <n v="223.75"/>
  </r>
  <r>
    <x v="2163"/>
    <n v="816241"/>
    <s v="AASTHA KRASHI KENDRA"/>
    <n v="208183"/>
    <s v="AAGRAWAL TRADING COMPANY"/>
    <n v="0"/>
    <n v="0"/>
    <n v="0"/>
    <n v="0"/>
    <n v="0"/>
    <n v="214.5"/>
    <n v="39"/>
    <n v="0"/>
    <n v="6.75"/>
    <n v="10"/>
    <n v="30"/>
    <n v="10"/>
    <n v="310.25"/>
  </r>
  <r>
    <x v="2164"/>
    <n v="816247"/>
    <s v="SHIV SHANKAR BUILDING MATERIAL"/>
    <n v="141115"/>
    <s v="KALPESH CEMENT AGENCY"/>
    <n v="0"/>
    <n v="0"/>
    <n v="0"/>
    <n v="0"/>
    <n v="0"/>
    <n v="50"/>
    <n v="90"/>
    <n v="80"/>
    <n v="45"/>
    <n v="38"/>
    <n v="60"/>
    <n v="38.5"/>
    <n v="401.5"/>
  </r>
  <r>
    <x v="2165"/>
    <n v="816248"/>
    <s v="ADINDA PARSHWANATH TRADERS"/>
    <n v="179560"/>
    <s v="TIRUPATI TRADING COMPANY"/>
    <n v="0"/>
    <n v="0"/>
    <n v="0"/>
    <n v="0"/>
    <n v="0"/>
    <n v="42.5"/>
    <n v="65"/>
    <n v="55"/>
    <n v="85"/>
    <n v="75.25"/>
    <n v="76.25"/>
    <n v="115"/>
    <n v="514"/>
  </r>
  <r>
    <x v="2166"/>
    <n v="816249"/>
    <s v="MUSKAN TRADING COMPANY"/>
    <n v="178661"/>
    <s v="KHAJANCHI TRADING CO."/>
    <n v="0"/>
    <n v="0"/>
    <n v="0"/>
    <n v="0"/>
    <n v="0"/>
    <n v="40"/>
    <n v="84.5"/>
    <n v="35"/>
    <n v="58"/>
    <n v="60"/>
    <n v="20"/>
    <n v="112"/>
    <n v="409.5"/>
  </r>
  <r>
    <x v="2167"/>
    <n v="816250"/>
    <s v="JAYANTI LAL JAVERCHAND JAIN"/>
    <n v="140967"/>
    <s v="B.L.JAIN &amp; SONS"/>
    <n v="0"/>
    <n v="0"/>
    <n v="0"/>
    <n v="0"/>
    <n v="0"/>
    <n v="0"/>
    <n v="0"/>
    <n v="0"/>
    <n v="47.5"/>
    <n v="25"/>
    <n v="50"/>
    <n v="88"/>
    <n v="210.5"/>
  </r>
  <r>
    <x v="2168"/>
    <n v="816251"/>
    <s v="GOTAM LAL"/>
    <n v="140858"/>
    <s v="RAMESH CHANDRA JAI CHAND"/>
    <n v="0"/>
    <n v="0"/>
    <n v="0"/>
    <n v="0"/>
    <n v="0"/>
    <n v="0"/>
    <n v="0"/>
    <n v="0"/>
    <n v="0"/>
    <n v="0"/>
    <n v="20"/>
    <n v="40"/>
    <n v="60"/>
  </r>
  <r>
    <x v="2169"/>
    <n v="816251"/>
    <s v="GOTAM LAL"/>
    <n v="140859"/>
    <s v="KESHRIYA JI HARDWARE &amp; METAL S"/>
    <n v="0"/>
    <n v="0"/>
    <n v="0"/>
    <n v="0"/>
    <n v="0"/>
    <n v="5"/>
    <n v="0"/>
    <n v="0"/>
    <n v="0"/>
    <n v="135"/>
    <n v="60"/>
    <n v="60"/>
    <n v="260"/>
  </r>
  <r>
    <x v="2170"/>
    <n v="816252"/>
    <s v="ASHAPURA HARDWARE"/>
    <n v="176773"/>
    <s v="MANIK CHAND LAKHMI CHAND"/>
    <n v="0"/>
    <n v="0"/>
    <n v="0"/>
    <n v="0"/>
    <n v="0"/>
    <n v="40"/>
    <n v="30"/>
    <n v="15"/>
    <n v="35.5"/>
    <n v="38"/>
    <n v="25.7"/>
    <n v="32.5"/>
    <n v="216.7"/>
  </r>
  <r>
    <x v="2171"/>
    <n v="816253"/>
    <s v="ANAND SALES (ARM AGRI TRADE LL"/>
    <n v="201172"/>
    <s v="MAA TRADERS"/>
    <n v="0"/>
    <n v="0"/>
    <n v="0"/>
    <n v="0"/>
    <n v="0"/>
    <n v="7.5"/>
    <n v="0"/>
    <n v="0"/>
    <n v="1"/>
    <n v="2.5"/>
    <n v="31.25"/>
    <n v="0"/>
    <n v="42.25"/>
  </r>
  <r>
    <x v="2172"/>
    <n v="816255"/>
    <s v="SUMIT KUMAR NAI"/>
    <n v="179869"/>
    <s v="SHREE BALAJI CEMENT"/>
    <n v="0"/>
    <n v="0"/>
    <n v="0"/>
    <n v="0"/>
    <n v="0"/>
    <n v="0"/>
    <n v="0"/>
    <n v="0"/>
    <n v="19.5"/>
    <n v="17.5"/>
    <n v="27"/>
    <n v="30.5"/>
    <n v="94.5"/>
  </r>
  <r>
    <x v="2173"/>
    <n v="816256"/>
    <s v="KARNI CEMENT SUPPLIERS"/>
    <n v="140881"/>
    <s v="NAM DEV STONE SUPPLIERS"/>
    <n v="0"/>
    <n v="0"/>
    <n v="0"/>
    <n v="0"/>
    <n v="0"/>
    <n v="0"/>
    <n v="0"/>
    <n v="27.5"/>
    <n v="0"/>
    <n v="45"/>
    <n v="0"/>
    <n v="50"/>
    <n v="122.5"/>
  </r>
  <r>
    <x v="2174"/>
    <n v="816261"/>
    <s v="ANIL TRADING COMPANY"/>
    <n v="149825"/>
    <s v="MISHRA CEMENT AGENCIES"/>
    <n v="0"/>
    <n v="0"/>
    <n v="0"/>
    <n v="0"/>
    <n v="0"/>
    <n v="20"/>
    <n v="25"/>
    <n v="59"/>
    <n v="85.5"/>
    <n v="25"/>
    <n v="25"/>
    <n v="101"/>
    <n v="340.5"/>
  </r>
  <r>
    <x v="2175"/>
    <n v="816262"/>
    <s v="BALAJI STONE &amp; BUILDING MATERI"/>
    <n v="176276"/>
    <s v="LAXMI BUILDING MATERIAL STORE"/>
    <n v="0"/>
    <n v="0"/>
    <n v="0"/>
    <n v="0"/>
    <n v="0"/>
    <n v="10"/>
    <n v="20"/>
    <n v="0"/>
    <n v="32.5"/>
    <n v="27.5"/>
    <n v="39"/>
    <n v="34"/>
    <n v="163"/>
  </r>
  <r>
    <x v="2176"/>
    <n v="816263"/>
    <s v="MATESHWARI CEMENT SUPPLIERS"/>
    <n v="176015"/>
    <s v="DEVNARAYAN TRADERS"/>
    <n v="0"/>
    <n v="0"/>
    <n v="0"/>
    <n v="0"/>
    <n v="0"/>
    <n v="20"/>
    <n v="5"/>
    <n v="15"/>
    <n v="13"/>
    <n v="37.5"/>
    <n v="49"/>
    <n v="96.5"/>
    <n v="236"/>
  </r>
  <r>
    <x v="2177"/>
    <n v="816270"/>
    <s v="CHOUDHARY CEMENT AGENCY"/>
    <n v="178661"/>
    <s v="KHAJANCHI TRADING CO."/>
    <n v="0"/>
    <n v="0"/>
    <n v="0"/>
    <n v="0"/>
    <n v="0"/>
    <n v="52"/>
    <n v="62"/>
    <n v="50"/>
    <n v="83"/>
    <n v="40"/>
    <n v="50"/>
    <n v="84.5"/>
    <n v="421.5"/>
  </r>
  <r>
    <x v="2178"/>
    <n v="816272"/>
    <s v="BALAJI TRADERS"/>
    <n v="119071"/>
    <s v="GANESH AGENCIES"/>
    <n v="0"/>
    <n v="0"/>
    <n v="0"/>
    <n v="0"/>
    <n v="0"/>
    <n v="40"/>
    <n v="20"/>
    <n v="5"/>
    <n v="10"/>
    <n v="0"/>
    <n v="0"/>
    <n v="0"/>
    <n v="75"/>
  </r>
  <r>
    <x v="2179"/>
    <n v="816275"/>
    <s v="RISHABH DEV TRADING CO"/>
    <n v="178226"/>
    <s v="PANKAJ TRADING COMPANY"/>
    <n v="0"/>
    <n v="0"/>
    <n v="0"/>
    <n v="0"/>
    <n v="0"/>
    <n v="20"/>
    <n v="20.5"/>
    <n v="40"/>
    <n v="55.75"/>
    <n v="62.5"/>
    <n v="60"/>
    <n v="50"/>
    <n v="308.75"/>
  </r>
  <r>
    <x v="2180"/>
    <n v="816276"/>
    <s v="SHANTI LAL JAIN"/>
    <n v="209166"/>
    <s v="SHIV SHAKTI STONE SUPPLIERS"/>
    <n v="0"/>
    <n v="0"/>
    <n v="0"/>
    <n v="0"/>
    <n v="0"/>
    <n v="0"/>
    <n v="0"/>
    <n v="0"/>
    <n v="0"/>
    <n v="10"/>
    <n v="10"/>
    <n v="40"/>
    <n v="60"/>
  </r>
  <r>
    <x v="2181"/>
    <n v="816289"/>
    <s v="TIRUPATI CONSTRUCTION"/>
    <n v="202387"/>
    <s v="PATIDAR BUILDING MATARIYAL"/>
    <n v="0"/>
    <n v="0"/>
    <n v="0"/>
    <n v="0"/>
    <n v="0"/>
    <n v="7"/>
    <n v="14"/>
    <n v="10"/>
    <n v="33"/>
    <n v="60"/>
    <n v="33"/>
    <n v="30"/>
    <n v="187"/>
  </r>
  <r>
    <x v="2182"/>
    <n v="816290"/>
    <s v="KEVLEEN BUILDING MATERIAL"/>
    <n v="209497"/>
    <s v="GURSAANJ IRON STORE"/>
    <n v="0"/>
    <n v="0"/>
    <n v="0"/>
    <n v="0"/>
    <n v="0"/>
    <n v="70"/>
    <n v="37"/>
    <n v="0"/>
    <n v="140"/>
    <n v="165"/>
    <n v="58"/>
    <n v="135.5"/>
    <n v="605.5"/>
  </r>
  <r>
    <x v="2183"/>
    <n v="816298"/>
    <s v="JAI BHERUNATH ENTERPRISES"/>
    <n v="119028"/>
    <s v="KANHAYALAL &amp; SONS"/>
    <n v="0"/>
    <n v="0"/>
    <n v="0"/>
    <n v="0"/>
    <n v="0"/>
    <n v="10"/>
    <n v="0"/>
    <n v="0"/>
    <n v="0"/>
    <n v="0"/>
    <n v="0"/>
    <n v="0"/>
    <n v="10"/>
  </r>
  <r>
    <x v="2184"/>
    <n v="816299"/>
    <s v="OM SINGH"/>
    <n v="175049"/>
    <s v="KASHISH ENTERPRISES"/>
    <n v="0"/>
    <n v="0"/>
    <n v="0"/>
    <n v="0"/>
    <n v="0"/>
    <n v="42.5"/>
    <n v="35"/>
    <n v="10"/>
    <n v="24"/>
    <n v="26"/>
    <n v="23"/>
    <n v="23"/>
    <n v="183.5"/>
  </r>
  <r>
    <x v="2185"/>
    <n v="816301"/>
    <s v="KARTIK MOJAIC TILES"/>
    <n v="205686"/>
    <s v="OM PRAKASH RAWAT"/>
    <n v="0"/>
    <n v="0"/>
    <n v="0"/>
    <n v="0"/>
    <n v="0"/>
    <n v="12.5"/>
    <n v="53"/>
    <n v="50.5"/>
    <n v="15"/>
    <n v="49.5"/>
    <n v="0"/>
    <n v="0"/>
    <n v="180.5"/>
  </r>
  <r>
    <x v="2186"/>
    <n v="816309"/>
    <s v="SADHI CEMENT SUPPLIERS"/>
    <n v="176773"/>
    <s v="MANIK CHAND LAKHMI CHAND"/>
    <n v="0"/>
    <n v="0"/>
    <n v="0"/>
    <n v="0"/>
    <n v="0"/>
    <n v="42"/>
    <n v="69.25"/>
    <n v="25"/>
    <n v="27.5"/>
    <n v="40"/>
    <n v="10"/>
    <n v="40"/>
    <n v="253.75"/>
  </r>
  <r>
    <x v="2187"/>
    <n v="816314"/>
    <s v="SHREE NEELKHANT STEEL &amp; CEMENT"/>
    <n v="179911"/>
    <s v="DIPESH STEEL AND BUILDING MATE"/>
    <n v="0"/>
    <n v="0"/>
    <n v="0"/>
    <n v="0"/>
    <n v="0"/>
    <n v="24.75"/>
    <n v="6.25"/>
    <n v="26.5"/>
    <n v="27"/>
    <n v="30.1"/>
    <n v="0"/>
    <n v="0"/>
    <n v="114.6"/>
  </r>
  <r>
    <x v="2188"/>
    <n v="816315"/>
    <s v="ADARSH BUILDING MATERIAL"/>
    <n v="208183"/>
    <s v="AAGRAWAL TRADING COMPANY"/>
    <n v="0"/>
    <n v="0"/>
    <n v="0"/>
    <n v="0"/>
    <n v="0"/>
    <n v="82"/>
    <n v="0"/>
    <n v="63.75"/>
    <n v="0"/>
    <n v="25"/>
    <n v="25"/>
    <n v="22"/>
    <n v="217.75"/>
  </r>
  <r>
    <x v="2189"/>
    <n v="816324"/>
    <s v="MRP CONSTRUCTION AND SUPPLIERS"/>
    <n v="146910"/>
    <s v="KOTHARI KANTILAL SHANKARLAL"/>
    <n v="0"/>
    <n v="0"/>
    <n v="0"/>
    <n v="0"/>
    <n v="0"/>
    <n v="0"/>
    <n v="5"/>
    <n v="20"/>
    <n v="15"/>
    <n v="10"/>
    <n v="0"/>
    <n v="0"/>
    <n v="50"/>
  </r>
  <r>
    <x v="2190"/>
    <n v="816328"/>
    <s v="ABHISHEK TRADERS"/>
    <n v="171457"/>
    <s v="PARAS TRADING COMPANY"/>
    <n v="0"/>
    <n v="0"/>
    <n v="0"/>
    <n v="0"/>
    <n v="0"/>
    <n v="20"/>
    <n v="0"/>
    <n v="0"/>
    <n v="0"/>
    <n v="10"/>
    <n v="35"/>
    <n v="8"/>
    <n v="73"/>
  </r>
  <r>
    <x v="2191"/>
    <n v="816329"/>
    <s v="ISHITA TRADERS"/>
    <n v="119066"/>
    <s v="RAJENDRA KUMAR RATAN LAL JAIN"/>
    <n v="0"/>
    <n v="0"/>
    <n v="0"/>
    <n v="0"/>
    <n v="0"/>
    <n v="157"/>
    <n v="202"/>
    <n v="101"/>
    <n v="204"/>
    <n v="135"/>
    <n v="85"/>
    <n v="137.5"/>
    <n v="1021.5"/>
  </r>
  <r>
    <x v="2192"/>
    <n v="816330"/>
    <s v="RAJASTHAN TRADERS"/>
    <n v="119066"/>
    <s v="RAJENDRA KUMAR RATAN LAL JAIN"/>
    <n v="0"/>
    <n v="0"/>
    <n v="0"/>
    <n v="0"/>
    <n v="0"/>
    <n v="0"/>
    <n v="1"/>
    <n v="0"/>
    <n v="75"/>
    <n v="0"/>
    <n v="0"/>
    <n v="0"/>
    <n v="76"/>
  </r>
  <r>
    <x v="2193"/>
    <n v="816348"/>
    <s v="SWAMI CONSTRUCTION AND CEMENT"/>
    <n v="207857"/>
    <s v="YADAV BUILDING MATERIAL"/>
    <n v="0"/>
    <n v="0"/>
    <n v="0"/>
    <n v="0"/>
    <n v="0"/>
    <n v="40"/>
    <n v="62"/>
    <n v="60"/>
    <n v="52"/>
    <n v="30"/>
    <n v="65"/>
    <n v="113"/>
    <n v="422"/>
  </r>
  <r>
    <x v="2194"/>
    <n v="816351"/>
    <s v="PRIYANKA ENTERPRISES"/>
    <n v="145135"/>
    <s v="AHUJA CEMENT &amp; SANITARYWARE"/>
    <n v="0"/>
    <n v="0"/>
    <n v="0"/>
    <n v="0"/>
    <n v="0"/>
    <n v="41"/>
    <n v="70.400000000000006"/>
    <n v="148.1"/>
    <n v="259.55"/>
    <n v="287.8"/>
    <n v="323.64999999999998"/>
    <n v="274.10000000000002"/>
    <n v="1404.6"/>
  </r>
  <r>
    <x v="2195"/>
    <n v="816352"/>
    <s v="FAUJDAR BUILDING MATERIAL"/>
    <n v="119047"/>
    <s v="BANSAL TRADING COMPANY"/>
    <n v="0"/>
    <n v="0"/>
    <n v="0"/>
    <n v="0"/>
    <n v="0"/>
    <n v="0"/>
    <n v="22"/>
    <n v="30"/>
    <n v="22"/>
    <n v="44"/>
    <n v="41.5"/>
    <n v="35"/>
    <n v="194.5"/>
  </r>
  <r>
    <x v="2196"/>
    <n v="816353"/>
    <s v="SHREE DEV BUILDING MATERIAL SU"/>
    <n v="174166"/>
    <s v="NAMOKAR STONE TRADERS"/>
    <n v="0"/>
    <n v="0"/>
    <n v="0"/>
    <n v="0"/>
    <n v="0"/>
    <n v="0"/>
    <n v="0"/>
    <n v="20.5"/>
    <n v="118.4"/>
    <n v="87"/>
    <n v="120"/>
    <n v="74"/>
    <n v="419.9"/>
  </r>
  <r>
    <x v="2197"/>
    <n v="816356"/>
    <s v="INDORIYA STONE"/>
    <n v="176870"/>
    <s v="KHANDELWAL CEMENT AGENCY"/>
    <n v="0"/>
    <n v="0"/>
    <n v="0"/>
    <n v="0"/>
    <n v="0"/>
    <n v="0"/>
    <n v="10"/>
    <n v="0"/>
    <n v="0"/>
    <n v="7.5"/>
    <n v="12.5"/>
    <n v="10"/>
    <n v="40"/>
  </r>
  <r>
    <x v="2198"/>
    <n v="816363"/>
    <s v="BALAJI CEMENT AGENCY"/>
    <n v="173374"/>
    <s v="SHREE BALAJI HARDWARE AND BART"/>
    <n v="0"/>
    <n v="0"/>
    <n v="0"/>
    <n v="0"/>
    <n v="0"/>
    <n v="0"/>
    <n v="80"/>
    <n v="76"/>
    <n v="0"/>
    <n v="20"/>
    <n v="40"/>
    <n v="100"/>
    <n v="316"/>
  </r>
  <r>
    <x v="2199"/>
    <n v="816366"/>
    <s v="LAXMAN RAM"/>
    <n v="176693"/>
    <s v="SUBHAM AGENCIES"/>
    <n v="0"/>
    <n v="0"/>
    <n v="0"/>
    <n v="0"/>
    <n v="0"/>
    <n v="53"/>
    <n v="35"/>
    <n v="10"/>
    <n v="35"/>
    <n v="40"/>
    <n v="0"/>
    <n v="55"/>
    <n v="228"/>
  </r>
  <r>
    <x v="2200"/>
    <n v="816367"/>
    <s v="LAXMI PAINT"/>
    <n v="143301"/>
    <s v="LAXMI TRADERS"/>
    <n v="0"/>
    <n v="0"/>
    <n v="0"/>
    <n v="0"/>
    <n v="0"/>
    <n v="20"/>
    <n v="30"/>
    <n v="0"/>
    <n v="77.5"/>
    <n v="20"/>
    <n v="66"/>
    <n v="10"/>
    <n v="223.5"/>
  </r>
  <r>
    <x v="2201"/>
    <n v="816368"/>
    <s v="SHREE KASHT BHANJAN CONSTRUCTI"/>
    <n v="122377"/>
    <s v="NILKANTH CONSTRUCTION"/>
    <n v="0"/>
    <n v="0"/>
    <n v="0"/>
    <n v="0"/>
    <n v="0"/>
    <n v="20"/>
    <n v="95"/>
    <n v="65"/>
    <n v="77.5"/>
    <n v="77.5"/>
    <n v="25"/>
    <n v="55"/>
    <n v="415"/>
  </r>
  <r>
    <x v="2202"/>
    <n v="816388"/>
    <s v="VINAYAK ENTERPRISES"/>
    <n v="208028"/>
    <s v="LAXKAR ENTERPRISES"/>
    <n v="0"/>
    <n v="0"/>
    <n v="0"/>
    <n v="0"/>
    <n v="0"/>
    <n v="37"/>
    <n v="33"/>
    <n v="38"/>
    <n v="36.5"/>
    <n v="84"/>
    <n v="61"/>
    <n v="116.5"/>
    <n v="406"/>
  </r>
  <r>
    <x v="2203"/>
    <n v="816389"/>
    <s v="CHARBHUJA MATERIAL SUPPLIERS"/>
    <n v="172747"/>
    <s v="GOURI MATERIAL SUPPLIERS"/>
    <n v="0"/>
    <n v="0"/>
    <n v="0"/>
    <n v="0"/>
    <n v="0"/>
    <n v="0"/>
    <n v="0"/>
    <n v="30"/>
    <n v="25"/>
    <n v="0"/>
    <n v="0"/>
    <n v="10"/>
    <n v="65"/>
  </r>
  <r>
    <x v="2204"/>
    <n v="816390"/>
    <s v="SHREE GATOD SANITARY AND HARDW"/>
    <n v="140858"/>
    <s v="RAMESH CHANDRA JAI CHAND"/>
    <n v="0"/>
    <n v="0"/>
    <n v="0"/>
    <n v="0"/>
    <n v="0"/>
    <n v="0"/>
    <n v="0"/>
    <n v="0"/>
    <n v="0"/>
    <n v="35"/>
    <n v="30"/>
    <n v="0"/>
    <n v="65"/>
  </r>
  <r>
    <x v="2205"/>
    <n v="816405"/>
    <s v="RANI DEVI REGAR"/>
    <n v="205591"/>
    <s v="ROOP RAJAT TRADING CO"/>
    <n v="0"/>
    <n v="0"/>
    <n v="0"/>
    <n v="0"/>
    <n v="0"/>
    <n v="0"/>
    <n v="10"/>
    <n v="22"/>
    <n v="15"/>
    <n v="20"/>
    <n v="0"/>
    <n v="0"/>
    <n v="67"/>
  </r>
  <r>
    <x v="2206"/>
    <n v="816407"/>
    <s v="MAHIR CONSTRUCTION"/>
    <n v="140859"/>
    <s v="KESHRIYA JI HARDWARE &amp; METAL S"/>
    <n v="0"/>
    <n v="0"/>
    <n v="0"/>
    <n v="0"/>
    <n v="0"/>
    <n v="20"/>
    <n v="0"/>
    <n v="10"/>
    <n v="25"/>
    <n v="10"/>
    <n v="0"/>
    <n v="0"/>
    <n v="65"/>
  </r>
  <r>
    <x v="2207"/>
    <n v="816408"/>
    <s v="SHREE JAGANNATH TRADERS"/>
    <n v="206073"/>
    <s v="SHREE TIRUPATI BALAJI BUILDING"/>
    <n v="0"/>
    <n v="0"/>
    <n v="0"/>
    <n v="0"/>
    <n v="0"/>
    <n v="0"/>
    <n v="0"/>
    <n v="0"/>
    <n v="0"/>
    <n v="25"/>
    <n v="10"/>
    <n v="30"/>
    <n v="65"/>
  </r>
  <r>
    <x v="2208"/>
    <n v="816409"/>
    <s v="KRISHNA KUMAR RAGHUVEER SINGH"/>
    <n v="140481"/>
    <s v="Goyal &amp; Co."/>
    <n v="0"/>
    <n v="0"/>
    <n v="0"/>
    <n v="0"/>
    <n v="0"/>
    <n v="31"/>
    <n v="22.85"/>
    <n v="51"/>
    <n v="62.5"/>
    <n v="55"/>
    <n v="88.6"/>
    <n v="110"/>
    <n v="420.95"/>
  </r>
  <r>
    <x v="2209"/>
    <n v="816424"/>
    <s v="ROHIT CEMENT AGENCY"/>
    <n v="178109"/>
    <s v="KRISHI SEWA KENDRA"/>
    <n v="0"/>
    <n v="0"/>
    <n v="0"/>
    <n v="0"/>
    <n v="0"/>
    <n v="0"/>
    <n v="35"/>
    <n v="0"/>
    <n v="0"/>
    <n v="0"/>
    <n v="0"/>
    <n v="0"/>
    <n v="35"/>
  </r>
  <r>
    <x v="2210"/>
    <n v="816425"/>
    <s v="SAGAR BUILDING MATERIAL"/>
    <n v="208183"/>
    <s v="AAGRAWAL TRADING COMPANY"/>
    <n v="0"/>
    <n v="0"/>
    <n v="0"/>
    <n v="0"/>
    <n v="0"/>
    <n v="91.5"/>
    <n v="8"/>
    <n v="66.55"/>
    <n v="15"/>
    <n v="40"/>
    <n v="45"/>
    <n v="37"/>
    <n v="303.05"/>
  </r>
  <r>
    <x v="2211"/>
    <n v="816426"/>
    <s v="DETWAL CEMENT SUPPLIERS"/>
    <n v="149885"/>
    <s v="LUHANI CEMENT SUPPLIERS"/>
    <n v="0"/>
    <n v="0"/>
    <n v="0"/>
    <n v="0"/>
    <n v="0"/>
    <n v="0"/>
    <n v="79.5"/>
    <n v="0"/>
    <n v="55.5"/>
    <n v="17.5"/>
    <n v="0"/>
    <n v="27"/>
    <n v="179.5"/>
  </r>
  <r>
    <x v="2212"/>
    <n v="816426"/>
    <s v="DETWAL CEMENT SUPPLIERS"/>
    <n v="208183"/>
    <s v="AAGRAWAL TRADING COMPANY"/>
    <n v="0"/>
    <n v="0"/>
    <n v="0"/>
    <n v="0"/>
    <n v="0"/>
    <n v="0"/>
    <n v="0"/>
    <n v="0"/>
    <n v="0"/>
    <n v="0"/>
    <n v="0"/>
    <n v="20"/>
    <n v="20"/>
  </r>
  <r>
    <x v="2213"/>
    <n v="816427"/>
    <s v="KHEEM SINGH"/>
    <n v="173849"/>
    <s v="MAHADEV HARDWARE"/>
    <n v="0"/>
    <n v="0"/>
    <n v="0"/>
    <n v="0"/>
    <n v="0"/>
    <n v="0"/>
    <n v="28"/>
    <n v="37.5"/>
    <n v="55"/>
    <n v="58.25"/>
    <n v="105"/>
    <n v="52.25"/>
    <n v="336"/>
  </r>
  <r>
    <x v="2214"/>
    <n v="816430"/>
    <s v="SHRI SHYAM SALES"/>
    <n v="209146"/>
    <s v="KUMAWAT TRADING CO."/>
    <n v="0"/>
    <n v="0"/>
    <n v="0"/>
    <n v="0"/>
    <n v="0"/>
    <n v="28"/>
    <n v="37.5"/>
    <n v="5"/>
    <n v="0"/>
    <n v="5"/>
    <n v="0"/>
    <n v="0"/>
    <n v="75.5"/>
  </r>
  <r>
    <x v="2215"/>
    <n v="816435"/>
    <s v="HARI OM ELECTRICAL SANITARY &amp;"/>
    <n v="143301"/>
    <s v="LAXMI TRADERS"/>
    <n v="0"/>
    <n v="0"/>
    <n v="0"/>
    <n v="0"/>
    <n v="0"/>
    <n v="0"/>
    <n v="30"/>
    <n v="0"/>
    <n v="60.5"/>
    <n v="0"/>
    <n v="54.5"/>
    <n v="25"/>
    <n v="170"/>
  </r>
  <r>
    <x v="2216"/>
    <n v="816436"/>
    <s v="ARVIND TRADERS"/>
    <n v="171578"/>
    <s v="KOTA BUILDMAT"/>
    <n v="0"/>
    <n v="0"/>
    <n v="0"/>
    <n v="0"/>
    <n v="0"/>
    <n v="0"/>
    <n v="10"/>
    <n v="15"/>
    <n v="37.549999999999997"/>
    <n v="11"/>
    <n v="10"/>
    <n v="12"/>
    <n v="95.55"/>
  </r>
  <r>
    <x v="2217"/>
    <n v="816437"/>
    <s v="MITTAL FERTILIZERS"/>
    <n v="177245"/>
    <s v="SAINI CEMENT AGENCY"/>
    <n v="0"/>
    <n v="0"/>
    <n v="0"/>
    <n v="0"/>
    <n v="0"/>
    <n v="0"/>
    <n v="32"/>
    <n v="10"/>
    <n v="0"/>
    <n v="0"/>
    <n v="0"/>
    <n v="0"/>
    <n v="42"/>
  </r>
  <r>
    <x v="2218"/>
    <n v="816442"/>
    <s v="HARI OM ENTERPRISES"/>
    <n v="172872"/>
    <s v="HARSAD KUMAR KHEM CHAND"/>
    <n v="0"/>
    <n v="0"/>
    <n v="0"/>
    <n v="0"/>
    <n v="0"/>
    <n v="0"/>
    <n v="20"/>
    <n v="20"/>
    <n v="32.5"/>
    <n v="35"/>
    <n v="55"/>
    <n v="40"/>
    <n v="202.5"/>
  </r>
  <r>
    <x v="2219"/>
    <n v="816469"/>
    <s v="NAKODA HARDWARE AND SANITARY"/>
    <n v="208074"/>
    <s v="SWASTIK STEEL TRADERS"/>
    <n v="0"/>
    <n v="0"/>
    <n v="0"/>
    <n v="0"/>
    <n v="0"/>
    <n v="12.5"/>
    <n v="10"/>
    <n v="21.5"/>
    <n v="30"/>
    <n v="20"/>
    <n v="15"/>
    <n v="15"/>
    <n v="124"/>
  </r>
  <r>
    <x v="2220"/>
    <n v="816471"/>
    <s v="RAVINDRA SINGH RAWAT"/>
    <n v="208074"/>
    <s v="SWASTIK STEEL TRADERS"/>
    <n v="0"/>
    <n v="0"/>
    <n v="0"/>
    <n v="0"/>
    <n v="0"/>
    <n v="17.5"/>
    <n v="60"/>
    <n v="60"/>
    <n v="42.5"/>
    <n v="97"/>
    <n v="85"/>
    <n v="106.15"/>
    <n v="468.15"/>
  </r>
  <r>
    <x v="2221"/>
    <n v="816477"/>
    <s v="ASHUKA SHUTTERING AND BUILDING"/>
    <n v="119031"/>
    <s v="RAMESH CHANDRA RAJENDRA KUMAR"/>
    <n v="0"/>
    <n v="0"/>
    <n v="0"/>
    <n v="0"/>
    <n v="0"/>
    <n v="83.35"/>
    <n v="80"/>
    <n v="15"/>
    <n v="125"/>
    <n v="105"/>
    <n v="98"/>
    <n v="97.5"/>
    <n v="603.85"/>
  </r>
  <r>
    <x v="2222"/>
    <n v="816483"/>
    <s v="RAHUL CONSTRUCTION"/>
    <n v="170115"/>
    <s v="YADAV BUILDING MATERIAL"/>
    <n v="0"/>
    <n v="0"/>
    <n v="0"/>
    <n v="0"/>
    <n v="0"/>
    <n v="35"/>
    <n v="0"/>
    <n v="9"/>
    <n v="13"/>
    <n v="35"/>
    <n v="100"/>
    <n v="120"/>
    <n v="312"/>
  </r>
  <r>
    <x v="2223"/>
    <n v="816494"/>
    <s v="SHREE KSHETRAPAL CEMENT SUPPLI"/>
    <n v="119028"/>
    <s v="KANHAYALAL &amp; SONS"/>
    <n v="0"/>
    <n v="0"/>
    <n v="0"/>
    <n v="0"/>
    <n v="0"/>
    <n v="31"/>
    <n v="0"/>
    <n v="0"/>
    <n v="0"/>
    <n v="0"/>
    <n v="0"/>
    <n v="0"/>
    <n v="31"/>
  </r>
  <r>
    <x v="2224"/>
    <n v="816496"/>
    <s v="MAA KAILADEVI BUILDING MATERIA"/>
    <n v="170197"/>
    <s v="ARVIND BUILDING MATERIAL"/>
    <n v="0"/>
    <n v="0"/>
    <n v="0"/>
    <n v="0"/>
    <n v="0"/>
    <n v="0"/>
    <n v="105"/>
    <n v="80"/>
    <n v="84"/>
    <n v="132"/>
    <n v="119"/>
    <n v="0"/>
    <n v="520"/>
  </r>
  <r>
    <x v="2225"/>
    <n v="816496"/>
    <s v="MAA KAILADEVI BUILDING MATERIA"/>
    <n v="208183"/>
    <s v="AAGRAWAL TRADING COMPANY"/>
    <n v="0"/>
    <n v="0"/>
    <n v="0"/>
    <n v="0"/>
    <n v="0"/>
    <n v="0"/>
    <n v="0"/>
    <n v="0"/>
    <n v="0"/>
    <n v="27.75"/>
    <n v="0"/>
    <n v="0"/>
    <n v="27.75"/>
  </r>
  <r>
    <x v="2226"/>
    <n v="816497"/>
    <s v="TOSHNIWAL MARBLE AND SANITARY"/>
    <n v="140881"/>
    <s v="NAM DEV STONE SUPPLIERS"/>
    <n v="0"/>
    <n v="0"/>
    <n v="0"/>
    <n v="0"/>
    <n v="0"/>
    <n v="0"/>
    <n v="0"/>
    <n v="6"/>
    <n v="32.5"/>
    <n v="0"/>
    <n v="15"/>
    <n v="0"/>
    <n v="53.5"/>
  </r>
  <r>
    <x v="2227"/>
    <n v="816497"/>
    <s v="TOSHNIWAL MARBLE AND SANITARY"/>
    <n v="174034"/>
    <s v="RADHE BUILDING MATERIAL"/>
    <n v="0"/>
    <n v="0"/>
    <n v="0"/>
    <n v="0"/>
    <n v="0"/>
    <n v="0"/>
    <n v="0"/>
    <n v="0"/>
    <n v="40"/>
    <n v="56.25"/>
    <n v="47.5"/>
    <n v="80"/>
    <n v="223.75"/>
  </r>
  <r>
    <x v="2228"/>
    <n v="816498"/>
    <s v="SHREE BALAJI STONE SUPPLIERS"/>
    <n v="209017"/>
    <s v="SARSWAT HARDWARE"/>
    <n v="0"/>
    <n v="0"/>
    <n v="0"/>
    <n v="0"/>
    <n v="0"/>
    <n v="35"/>
    <n v="83"/>
    <n v="31"/>
    <n v="82"/>
    <n v="41"/>
    <n v="12.5"/>
    <n v="10"/>
    <n v="294.5"/>
  </r>
  <r>
    <x v="2229"/>
    <n v="816499"/>
    <s v="ASHOK KUMAR REGAR"/>
    <n v="205591"/>
    <s v="ROOP RAJAT TRADING CO"/>
    <n v="0"/>
    <n v="0"/>
    <n v="0"/>
    <n v="0"/>
    <n v="0"/>
    <n v="0"/>
    <n v="0"/>
    <n v="20"/>
    <n v="0"/>
    <n v="10"/>
    <n v="30"/>
    <n v="40"/>
    <n v="100"/>
  </r>
  <r>
    <x v="2230"/>
    <n v="816500"/>
    <s v="KISHAN GAR"/>
    <n v="176869"/>
    <s v="CHHABRA CEMENT SUPPLIERS"/>
    <n v="0"/>
    <n v="0"/>
    <n v="0"/>
    <n v="0"/>
    <n v="0"/>
    <n v="81"/>
    <n v="0"/>
    <n v="0"/>
    <n v="76"/>
    <n v="35"/>
    <n v="87.5"/>
    <n v="67.5"/>
    <n v="347"/>
  </r>
  <r>
    <x v="2231"/>
    <n v="816501"/>
    <s v="AMBIKA CONSTRUCTION &amp; BUILDING"/>
    <n v="119050"/>
    <s v="RAJASTHAN CEMENT CORPORATION"/>
    <n v="0"/>
    <n v="0"/>
    <n v="0"/>
    <n v="0"/>
    <n v="0"/>
    <n v="15"/>
    <n v="10"/>
    <n v="0"/>
    <n v="7.5"/>
    <n v="0"/>
    <n v="0"/>
    <n v="0"/>
    <n v="32.5"/>
  </r>
  <r>
    <x v="2232"/>
    <n v="816522"/>
    <s v="J P ENTERPRISES"/>
    <n v="140881"/>
    <s v="NAM DEV STONE SUPPLIERS"/>
    <n v="0"/>
    <n v="0"/>
    <n v="0"/>
    <n v="0"/>
    <n v="0"/>
    <n v="0"/>
    <n v="20"/>
    <n v="25"/>
    <n v="40"/>
    <n v="35"/>
    <n v="15"/>
    <n v="20"/>
    <n v="155"/>
  </r>
  <r>
    <x v="2233"/>
    <n v="816522"/>
    <s v="J P ENTERPRISES"/>
    <n v="210566"/>
    <s v="LADHURAM  MURLIDHAR RATHI"/>
    <n v="0"/>
    <n v="0"/>
    <n v="0"/>
    <n v="0"/>
    <n v="0"/>
    <n v="0"/>
    <n v="0"/>
    <n v="0"/>
    <n v="47.5"/>
    <n v="45.15"/>
    <n v="25"/>
    <n v="42.5"/>
    <n v="160.15"/>
  </r>
  <r>
    <x v="2234"/>
    <n v="816525"/>
    <s v="KISHNARAM CEMENT SUPPLIERS"/>
    <n v="210566"/>
    <s v="LADHURAM  MURLIDHAR RATHI"/>
    <n v="0"/>
    <n v="0"/>
    <n v="0"/>
    <n v="0"/>
    <n v="0"/>
    <n v="0"/>
    <n v="0"/>
    <n v="0"/>
    <n v="42.5"/>
    <n v="50"/>
    <n v="12.5"/>
    <n v="25"/>
    <n v="130"/>
  </r>
  <r>
    <x v="2235"/>
    <n v="816529"/>
    <s v="NEELKANTH SALES AGENCY"/>
    <n v="204307"/>
    <s v="JAI BAJRANG STEELS"/>
    <n v="0"/>
    <n v="0"/>
    <n v="0"/>
    <n v="0"/>
    <n v="0"/>
    <n v="0"/>
    <n v="0"/>
    <n v="25"/>
    <n v="47.5"/>
    <n v="30"/>
    <n v="75"/>
    <n v="45"/>
    <n v="222.5"/>
  </r>
  <r>
    <x v="2236"/>
    <n v="816534"/>
    <s v="SHRI KANHAIYA BUILDING MATERIA"/>
    <n v="119047"/>
    <s v="BANSAL TRADING COMPANY"/>
    <n v="0"/>
    <n v="0"/>
    <n v="0"/>
    <n v="0"/>
    <n v="0"/>
    <n v="0"/>
    <n v="87"/>
    <n v="68"/>
    <n v="81"/>
    <n v="84"/>
    <n v="54"/>
    <n v="84"/>
    <n v="458"/>
  </r>
  <r>
    <x v="2237"/>
    <n v="816536"/>
    <s v="RAJESH KUMAR SARASWAT"/>
    <n v="119044"/>
    <s v="PANWAR TRADING CORPORATION LTD"/>
    <n v="0"/>
    <n v="0"/>
    <n v="0"/>
    <n v="0"/>
    <n v="0"/>
    <n v="175"/>
    <n v="30"/>
    <n v="122"/>
    <n v="105.5"/>
    <n v="60"/>
    <n v="50"/>
    <n v="102"/>
    <n v="644.5"/>
  </r>
  <r>
    <x v="2238"/>
    <n v="816536"/>
    <s v="RAJESH KUMAR SARASWAT"/>
    <n v="144154"/>
    <s v="SANGAM TRADERS"/>
    <n v="0"/>
    <n v="0"/>
    <n v="0"/>
    <n v="0"/>
    <n v="0"/>
    <n v="0"/>
    <n v="45"/>
    <n v="0"/>
    <n v="0"/>
    <n v="0"/>
    <n v="0"/>
    <n v="0"/>
    <n v="45"/>
  </r>
  <r>
    <x v="2239"/>
    <n v="816536"/>
    <s v="RAJESH KUMAR SARASWAT"/>
    <n v="208955"/>
    <s v="MOHAMMAD MOHSIN BUILDING MATER"/>
    <n v="0"/>
    <n v="0"/>
    <n v="0"/>
    <n v="0"/>
    <n v="0"/>
    <n v="0"/>
    <n v="0"/>
    <n v="12.5"/>
    <n v="0"/>
    <n v="0"/>
    <n v="0"/>
    <n v="0"/>
    <n v="12.5"/>
  </r>
  <r>
    <x v="2240"/>
    <n v="816546"/>
    <s v="RAMDEV CEMENT SUPPLIER"/>
    <n v="209652"/>
    <s v="RAJRUCHI CEMENT BHANDAR"/>
    <n v="0"/>
    <n v="0"/>
    <n v="0"/>
    <n v="0"/>
    <n v="0"/>
    <n v="0"/>
    <n v="27"/>
    <n v="10"/>
    <n v="40"/>
    <n v="53"/>
    <n v="10"/>
    <n v="58"/>
    <n v="198"/>
  </r>
  <r>
    <x v="2241"/>
    <n v="816547"/>
    <s v="OM GURUJI GENERAL STORE"/>
    <n v="209652"/>
    <s v="RAJRUCHI CEMENT BHANDAR"/>
    <n v="0"/>
    <n v="0"/>
    <n v="0"/>
    <n v="0"/>
    <n v="0"/>
    <n v="15"/>
    <n v="79.5"/>
    <n v="33.5"/>
    <n v="108.5"/>
    <n v="87"/>
    <n v="54"/>
    <n v="40"/>
    <n v="417.5"/>
  </r>
  <r>
    <x v="2242"/>
    <n v="816551"/>
    <s v="DEV SHREE ENTERPRISES"/>
    <n v="202225"/>
    <s v="ASTOLIA INDUSTRIES"/>
    <n v="0"/>
    <n v="0"/>
    <n v="0"/>
    <n v="0"/>
    <n v="0"/>
    <n v="20"/>
    <n v="0"/>
    <n v="10"/>
    <n v="55"/>
    <n v="5"/>
    <n v="40"/>
    <n v="0"/>
    <n v="130"/>
  </r>
  <r>
    <x v="2243"/>
    <n v="816554"/>
    <s v="GUPTA BUILDING MATERIAL STORE"/>
    <n v="172252"/>
    <s v="GUPTA TRADERS"/>
    <n v="0"/>
    <n v="0"/>
    <n v="0"/>
    <n v="0"/>
    <n v="0"/>
    <n v="0"/>
    <n v="0"/>
    <n v="22"/>
    <n v="0"/>
    <n v="0"/>
    <n v="0"/>
    <n v="0"/>
    <n v="22"/>
  </r>
  <r>
    <x v="2244"/>
    <n v="816555"/>
    <s v="SATNAM CEMENT AGENCY"/>
    <n v="170708"/>
    <s v="BANSAL MARBLES"/>
    <n v="0"/>
    <n v="0"/>
    <n v="0"/>
    <n v="0"/>
    <n v="0"/>
    <n v="10"/>
    <n v="100"/>
    <n v="41"/>
    <n v="12.5"/>
    <n v="82"/>
    <n v="20"/>
    <n v="148"/>
    <n v="413.5"/>
  </r>
  <r>
    <x v="2245"/>
    <n v="816561"/>
    <s v="RAJA RAM"/>
    <n v="140881"/>
    <s v="NAM DEV STONE SUPPLIERS"/>
    <n v="0"/>
    <n v="0"/>
    <n v="0"/>
    <n v="0"/>
    <n v="0"/>
    <n v="0"/>
    <n v="35"/>
    <n v="35"/>
    <n v="95"/>
    <n v="70"/>
    <n v="55"/>
    <n v="20"/>
    <n v="310"/>
  </r>
  <r>
    <x v="2246"/>
    <n v="816566"/>
    <s v="DINESH CEMENT SUPPLIERS"/>
    <n v="209652"/>
    <s v="RAJRUCHI CEMENT BHANDAR"/>
    <n v="0"/>
    <n v="0"/>
    <n v="0"/>
    <n v="0"/>
    <n v="0"/>
    <n v="20"/>
    <n v="50"/>
    <n v="33.5"/>
    <n v="20.5"/>
    <n v="67"/>
    <n v="60"/>
    <n v="30"/>
    <n v="281"/>
  </r>
  <r>
    <x v="2247"/>
    <n v="816574"/>
    <s v="JAI GIRIRAJ DHARAN TRADERS"/>
    <n v="170149"/>
    <s v="ASHOK TRADING  COMPANY"/>
    <n v="0"/>
    <n v="0"/>
    <n v="0"/>
    <n v="0"/>
    <n v="0"/>
    <n v="0"/>
    <n v="40"/>
    <n v="0"/>
    <n v="35"/>
    <n v="0"/>
    <n v="35"/>
    <n v="20"/>
    <n v="130"/>
  </r>
  <r>
    <x v="2248"/>
    <n v="816575"/>
    <s v="RADHA RANI BUILDING MATERIAL"/>
    <n v="201741"/>
    <s v="AGARWAL BUILDING MATERIAL"/>
    <n v="0"/>
    <n v="0"/>
    <n v="0"/>
    <n v="0"/>
    <n v="0"/>
    <n v="0"/>
    <n v="136.5"/>
    <n v="35"/>
    <n v="182.5"/>
    <n v="133"/>
    <n v="207"/>
    <n v="317"/>
    <n v="1011"/>
  </r>
  <r>
    <x v="2249"/>
    <n v="816576"/>
    <s v="MAHAVEER TRADERS"/>
    <n v="143114"/>
    <s v="RAJESH TRADING COMPANY"/>
    <n v="0"/>
    <n v="0"/>
    <n v="0"/>
    <n v="0"/>
    <n v="0"/>
    <n v="5"/>
    <n v="0"/>
    <n v="0"/>
    <n v="0"/>
    <n v="0"/>
    <n v="0"/>
    <n v="0"/>
    <n v="5"/>
  </r>
  <r>
    <x v="2250"/>
    <n v="816580"/>
    <s v="KHEMRAJ"/>
    <n v="175848"/>
    <s v="PURAWAT ENTERPRISERS"/>
    <n v="0"/>
    <n v="0"/>
    <n v="0"/>
    <n v="0"/>
    <n v="0"/>
    <n v="0"/>
    <n v="65"/>
    <n v="25"/>
    <n v="39"/>
    <n v="23"/>
    <n v="21"/>
    <n v="24"/>
    <n v="197"/>
  </r>
  <r>
    <x v="2251"/>
    <n v="816592"/>
    <s v="CHHGAN LAL PINDEL"/>
    <n v="202850"/>
    <s v="SAMRATHAL BUILDING MATERIAL"/>
    <n v="0"/>
    <n v="0"/>
    <n v="0"/>
    <n v="0"/>
    <n v="0"/>
    <n v="30"/>
    <n v="15"/>
    <n v="10"/>
    <n v="0"/>
    <n v="30"/>
    <n v="15"/>
    <n v="25"/>
    <n v="125"/>
  </r>
  <r>
    <x v="2252"/>
    <n v="816594"/>
    <s v="SHREE RAM CEMENT AGENCY"/>
    <n v="205742"/>
    <s v="KISTURI TRADERS"/>
    <n v="0"/>
    <n v="0"/>
    <n v="0"/>
    <n v="0"/>
    <n v="0"/>
    <n v="0"/>
    <n v="20"/>
    <n v="0"/>
    <n v="20"/>
    <n v="0"/>
    <n v="0"/>
    <n v="0"/>
    <n v="40"/>
  </r>
  <r>
    <x v="2253"/>
    <n v="816595"/>
    <s v="KRISHNA BUILDING MATERIAL"/>
    <n v="175856"/>
    <s v="SUMAN AGENCY"/>
    <n v="0"/>
    <n v="0"/>
    <n v="0"/>
    <n v="0"/>
    <n v="0"/>
    <n v="0"/>
    <n v="0"/>
    <n v="0"/>
    <n v="13"/>
    <n v="0"/>
    <n v="0"/>
    <n v="10"/>
    <n v="23"/>
  </r>
  <r>
    <x v="2254"/>
    <n v="816601"/>
    <s v="DIVISHA ENTERPRISES"/>
    <n v="208638"/>
    <s v="SHRI GANESH CEMENT &amp; STEELS"/>
    <n v="0"/>
    <n v="0"/>
    <n v="0"/>
    <n v="0"/>
    <n v="0"/>
    <n v="0"/>
    <n v="47.5"/>
    <n v="5"/>
    <n v="0"/>
    <n v="0"/>
    <n v="0"/>
    <n v="2"/>
    <n v="54.5"/>
  </r>
  <r>
    <x v="2255"/>
    <n v="816606"/>
    <s v="VISHNU DUTT GAUTAM ENTERPRISES"/>
    <n v="174166"/>
    <s v="NAMOKAR STONE TRADERS"/>
    <n v="0"/>
    <n v="0"/>
    <n v="0"/>
    <n v="0"/>
    <n v="0"/>
    <n v="0"/>
    <n v="0"/>
    <n v="15"/>
    <n v="10"/>
    <n v="0"/>
    <n v="0"/>
    <n v="0"/>
    <n v="25"/>
  </r>
  <r>
    <x v="2256"/>
    <n v="816625"/>
    <s v="SATYANAM CEMENT AGENCY"/>
    <n v="171506"/>
    <s v="DEVU KHAD BEEJ BHANDAR AND CEM"/>
    <n v="0"/>
    <n v="0"/>
    <n v="0"/>
    <n v="0"/>
    <n v="0"/>
    <n v="0"/>
    <n v="0"/>
    <n v="21"/>
    <n v="10"/>
    <n v="8"/>
    <n v="20"/>
    <n v="0"/>
    <n v="59"/>
  </r>
  <r>
    <x v="2257"/>
    <n v="816626"/>
    <s v="ROHIT AJMERA"/>
    <n v="170248"/>
    <s v="MAHAVEER ENTERPRISES"/>
    <n v="0"/>
    <n v="0"/>
    <n v="0"/>
    <n v="0"/>
    <n v="0"/>
    <n v="0"/>
    <n v="20"/>
    <n v="0"/>
    <n v="0"/>
    <n v="0"/>
    <n v="0"/>
    <n v="0"/>
    <n v="20"/>
  </r>
  <r>
    <x v="2258"/>
    <n v="816627"/>
    <s v="A B SALES CORPORATION"/>
    <n v="209563"/>
    <s v="GOYAL ENTERPRISES"/>
    <n v="0"/>
    <n v="0"/>
    <n v="0"/>
    <n v="0"/>
    <n v="0"/>
    <n v="0"/>
    <n v="46.15"/>
    <n v="54.2"/>
    <n v="72.150000000000006"/>
    <n v="25"/>
    <n v="83.5"/>
    <n v="140"/>
    <n v="421"/>
  </r>
  <r>
    <x v="2259"/>
    <n v="816631"/>
    <s v="SHANKAR LAL CHOUDHARY"/>
    <n v="203600"/>
    <s v="MANISH CEMENT AGENCY"/>
    <n v="0"/>
    <n v="0"/>
    <n v="0"/>
    <n v="0"/>
    <n v="0"/>
    <n v="0"/>
    <n v="35"/>
    <n v="10"/>
    <n v="15"/>
    <n v="26"/>
    <n v="10"/>
    <n v="30.5"/>
    <n v="126.5"/>
  </r>
  <r>
    <x v="2260"/>
    <n v="816634"/>
    <s v="ALBURHANI TIMBERS"/>
    <n v="142243"/>
    <s v="ADINATH TRADERS"/>
    <n v="0"/>
    <n v="0"/>
    <n v="0"/>
    <n v="0"/>
    <n v="0"/>
    <n v="0"/>
    <n v="0"/>
    <n v="15"/>
    <n v="0"/>
    <n v="0"/>
    <n v="0"/>
    <n v="0"/>
    <n v="15"/>
  </r>
  <r>
    <x v="2261"/>
    <n v="816639"/>
    <s v="SITARAM SHARMA"/>
    <n v="203971"/>
    <s v="KUMAWAT STONE MERCHANT"/>
    <n v="0"/>
    <n v="0"/>
    <n v="0"/>
    <n v="0"/>
    <n v="0"/>
    <n v="0"/>
    <n v="38.5"/>
    <n v="13.5"/>
    <n v="50.5"/>
    <n v="38.4"/>
    <n v="19.5"/>
    <n v="31.5"/>
    <n v="191.9"/>
  </r>
  <r>
    <x v="2262"/>
    <n v="816642"/>
    <s v="BALAJI BUILDING MATERIAL"/>
    <n v="173224"/>
    <s v="D.R.MARBLE &amp; SANITORY"/>
    <n v="0"/>
    <n v="0"/>
    <n v="0"/>
    <n v="0"/>
    <n v="0"/>
    <n v="0"/>
    <n v="65"/>
    <n v="15"/>
    <n v="32.5"/>
    <n v="8.5"/>
    <n v="15"/>
    <n v="57.5"/>
    <n v="193.5"/>
  </r>
  <r>
    <x v="2263"/>
    <n v="816651"/>
    <s v="HANUMAN TRADERS"/>
    <n v="209990"/>
    <s v="DHAKAD KRISHI SEVA KENDRA,"/>
    <n v="0"/>
    <n v="0"/>
    <n v="0"/>
    <n v="0"/>
    <n v="0"/>
    <n v="0"/>
    <n v="20"/>
    <n v="0"/>
    <n v="25"/>
    <n v="10"/>
    <n v="55"/>
    <n v="20"/>
    <n v="130"/>
  </r>
  <r>
    <x v="2264"/>
    <n v="816652"/>
    <s v="DEV CEMENT AGENCY"/>
    <n v="171578"/>
    <s v="KOTA BUILDMAT"/>
    <n v="0"/>
    <n v="0"/>
    <n v="0"/>
    <n v="0"/>
    <n v="0"/>
    <n v="0"/>
    <n v="0"/>
    <n v="20"/>
    <n v="19"/>
    <n v="7.5"/>
    <n v="0"/>
    <n v="10"/>
    <n v="56.5"/>
  </r>
  <r>
    <x v="2265"/>
    <n v="816652"/>
    <s v="DEV CEMENT AGENCY"/>
    <n v="174166"/>
    <s v="NAMOKAR STONE TRADERS"/>
    <n v="0"/>
    <n v="0"/>
    <n v="0"/>
    <n v="0"/>
    <n v="0"/>
    <n v="0"/>
    <n v="0"/>
    <n v="0"/>
    <n v="0"/>
    <n v="0"/>
    <n v="10"/>
    <n v="0"/>
    <n v="10"/>
  </r>
  <r>
    <x v="2266"/>
    <n v="816685"/>
    <s v="TRIVENI CEMENT SUPPLIERS"/>
    <n v="201172"/>
    <s v="MAA TRADERS"/>
    <n v="0"/>
    <n v="0"/>
    <n v="0"/>
    <n v="0"/>
    <n v="0"/>
    <n v="0"/>
    <n v="91.5"/>
    <n v="26.75"/>
    <n v="121"/>
    <n v="114.5"/>
    <n v="244.25"/>
    <n v="306.64999999999998"/>
    <n v="904.65"/>
  </r>
  <r>
    <x v="2267"/>
    <n v="816687"/>
    <s v="NEMICHAND"/>
    <n v="208055"/>
    <s v="SHIV SHAKTI BUILDING MATERIAL"/>
    <n v="0"/>
    <n v="0"/>
    <n v="0"/>
    <n v="0"/>
    <n v="0"/>
    <n v="0"/>
    <n v="10"/>
    <n v="30"/>
    <n v="120"/>
    <n v="36"/>
    <n v="20"/>
    <n v="95"/>
    <n v="311"/>
  </r>
  <r>
    <x v="2268"/>
    <n v="816689"/>
    <s v="BALAJI ELECTRONICS AND BUILDIN"/>
    <n v="174271"/>
    <s v="S K TRADERS"/>
    <n v="0"/>
    <n v="0"/>
    <n v="0"/>
    <n v="0"/>
    <n v="0"/>
    <n v="0"/>
    <n v="0"/>
    <n v="0"/>
    <n v="0"/>
    <n v="80"/>
    <n v="60"/>
    <n v="95"/>
    <n v="235"/>
  </r>
  <r>
    <x v="2269"/>
    <n v="816690"/>
    <s v="ROYAL ENTERPRISES"/>
    <n v="209017"/>
    <s v="SARSWAT HARDWARE"/>
    <n v="0"/>
    <n v="0"/>
    <n v="0"/>
    <n v="0"/>
    <n v="0"/>
    <n v="0"/>
    <n v="62"/>
    <n v="20"/>
    <n v="30.5"/>
    <n v="35"/>
    <n v="30.1"/>
    <n v="10"/>
    <n v="187.6"/>
  </r>
  <r>
    <x v="2270"/>
    <n v="816691"/>
    <s v="HARI OM TRADING COMPANY"/>
    <n v="209017"/>
    <s v="SARSWAT HARDWARE"/>
    <n v="0"/>
    <n v="0"/>
    <n v="0"/>
    <n v="0"/>
    <n v="0"/>
    <n v="0"/>
    <n v="25"/>
    <n v="35"/>
    <n v="35.5"/>
    <n v="30"/>
    <n v="40"/>
    <n v="50"/>
    <n v="215.5"/>
  </r>
  <r>
    <x v="2271"/>
    <n v="816694"/>
    <s v="SHRI OM VISHNU DHARAMKANTA AND"/>
    <n v="174034"/>
    <s v="RADHE BUILDING MATERIAL"/>
    <n v="0"/>
    <n v="0"/>
    <n v="0"/>
    <n v="0"/>
    <n v="0"/>
    <n v="0"/>
    <n v="0"/>
    <n v="0"/>
    <n v="0"/>
    <n v="70"/>
    <n v="0"/>
    <n v="22"/>
    <n v="92"/>
  </r>
  <r>
    <x v="2272"/>
    <n v="816705"/>
    <s v="JMG CONSTRUCTION COMPANY"/>
    <n v="170617"/>
    <s v="MANGALAM TRADING COMPANY"/>
    <n v="0"/>
    <n v="0"/>
    <n v="0"/>
    <n v="0"/>
    <n v="0"/>
    <n v="0"/>
    <n v="62"/>
    <n v="87.5"/>
    <n v="108.75"/>
    <n v="50"/>
    <n v="20"/>
    <n v="72"/>
    <n v="400.25"/>
  </r>
  <r>
    <x v="2273"/>
    <n v="816716"/>
    <s v="BAGRODIA SALES"/>
    <n v="207713"/>
    <s v="TAGALA BROTHERS"/>
    <n v="0"/>
    <n v="0"/>
    <n v="0"/>
    <n v="0"/>
    <n v="0"/>
    <n v="0"/>
    <n v="29.5"/>
    <n v="50"/>
    <n v="27.5"/>
    <n v="20.5"/>
    <n v="28.5"/>
    <n v="40"/>
    <n v="196"/>
  </r>
  <r>
    <x v="2274"/>
    <n v="816718"/>
    <s v="SHRI BALAJI CEMENT SUPPLIERS"/>
    <n v="170617"/>
    <s v="MANGALAM TRADING COMPANY"/>
    <n v="0"/>
    <n v="0"/>
    <n v="0"/>
    <n v="0"/>
    <n v="0"/>
    <n v="0"/>
    <n v="178"/>
    <n v="57.5"/>
    <n v="98"/>
    <n v="78.5"/>
    <n v="10"/>
    <n v="67"/>
    <n v="489"/>
  </r>
  <r>
    <x v="2275"/>
    <n v="816719"/>
    <s v="SHRI BALAJI TILES UDYOG"/>
    <n v="209130"/>
    <s v="CHOUDHARY BUILDING MATERIAL"/>
    <n v="0"/>
    <n v="0"/>
    <n v="0"/>
    <n v="0"/>
    <n v="0"/>
    <n v="0"/>
    <n v="70"/>
    <n v="40"/>
    <n v="32.5"/>
    <n v="15"/>
    <n v="25"/>
    <n v="41.5"/>
    <n v="224"/>
  </r>
  <r>
    <x v="2276"/>
    <n v="816735"/>
    <s v="SHREE GATOD CEMENT SUPPLIERS"/>
    <n v="140967"/>
    <s v="B.L.JAIN &amp; SONS"/>
    <n v="0"/>
    <n v="0"/>
    <n v="0"/>
    <n v="0"/>
    <n v="0"/>
    <n v="0"/>
    <n v="0"/>
    <n v="0"/>
    <n v="0"/>
    <n v="6.5"/>
    <n v="20"/>
    <n v="20"/>
    <n v="46.5"/>
  </r>
  <r>
    <x v="2277"/>
    <n v="816736"/>
    <s v="PRAVITRA BUILDING MATERIAL SUP"/>
    <n v="209796"/>
    <s v="SHAKTAWAT BUILDING MATERIAL"/>
    <n v="0"/>
    <n v="0"/>
    <n v="0"/>
    <n v="0"/>
    <n v="0"/>
    <n v="0"/>
    <n v="63.5"/>
    <n v="25"/>
    <n v="131.25"/>
    <n v="90.5"/>
    <n v="61"/>
    <n v="107"/>
    <n v="478.25"/>
  </r>
  <r>
    <x v="2278"/>
    <n v="816738"/>
    <s v="VIJAS BUILDING MATERIALS"/>
    <n v="205992"/>
    <s v="SISPURIA BUILDING MATERIAL"/>
    <n v="0"/>
    <n v="0"/>
    <n v="0"/>
    <n v="0"/>
    <n v="0"/>
    <n v="0"/>
    <n v="10.75"/>
    <n v="102"/>
    <n v="77.5"/>
    <n v="75"/>
    <n v="20"/>
    <n v="15"/>
    <n v="300.25"/>
  </r>
  <r>
    <x v="2279"/>
    <n v="816739"/>
    <s v="LAXMI NARAYAN CONSTRUCTION"/>
    <n v="205966"/>
    <s v="POKHARNA CEMENT SUPPLIERS"/>
    <n v="0"/>
    <n v="0"/>
    <n v="0"/>
    <n v="0"/>
    <n v="0"/>
    <n v="0"/>
    <n v="0"/>
    <n v="15"/>
    <n v="40"/>
    <n v="56"/>
    <n v="25"/>
    <n v="51"/>
    <n v="187"/>
  </r>
  <r>
    <x v="2280"/>
    <n v="816740"/>
    <s v="JAY MAA PIPALAAJ CONSTRUCTION"/>
    <n v="140848"/>
    <s v="PADAM CEMENT SUPPLIERS"/>
    <n v="0"/>
    <n v="0"/>
    <n v="0"/>
    <n v="0"/>
    <n v="0"/>
    <n v="0"/>
    <n v="0"/>
    <n v="0"/>
    <n v="0"/>
    <n v="0"/>
    <n v="19.25"/>
    <n v="50"/>
    <n v="69.25"/>
  </r>
  <r>
    <x v="2281"/>
    <n v="816742"/>
    <s v="UPADHYAY BUILDING MATERIAL"/>
    <n v="170708"/>
    <s v="BANSAL MARBLES"/>
    <n v="0"/>
    <n v="0"/>
    <n v="0"/>
    <n v="0"/>
    <n v="0"/>
    <n v="0"/>
    <n v="20"/>
    <n v="20.5"/>
    <n v="12.5"/>
    <n v="40"/>
    <n v="0"/>
    <n v="0"/>
    <n v="93"/>
  </r>
  <r>
    <x v="2282"/>
    <n v="816760"/>
    <s v="HITESH ENTERPRISES"/>
    <n v="119038"/>
    <s v="NAVEEN DISTRIBUTORS"/>
    <n v="0"/>
    <n v="0"/>
    <n v="0"/>
    <n v="0"/>
    <n v="0"/>
    <n v="0"/>
    <n v="0"/>
    <n v="33"/>
    <n v="0"/>
    <n v="0"/>
    <n v="15"/>
    <n v="0"/>
    <n v="48"/>
  </r>
  <r>
    <x v="2283"/>
    <n v="816764"/>
    <s v="JAGDISH S/O SADRAM"/>
    <n v="206066"/>
    <s v="GAJANAND CEMENT AGENCY"/>
    <n v="0"/>
    <n v="0"/>
    <n v="0"/>
    <n v="0"/>
    <n v="0"/>
    <n v="0"/>
    <n v="67"/>
    <n v="285"/>
    <n v="180"/>
    <n v="142"/>
    <n v="65"/>
    <n v="147"/>
    <n v="886"/>
  </r>
  <r>
    <x v="2284"/>
    <n v="816765"/>
    <s v="POONMA RAM"/>
    <n v="206066"/>
    <s v="GAJANAND CEMENT AGENCY"/>
    <n v="0"/>
    <n v="0"/>
    <n v="0"/>
    <n v="0"/>
    <n v="0"/>
    <n v="0"/>
    <n v="30"/>
    <n v="173"/>
    <n v="60"/>
    <n v="45"/>
    <n v="77"/>
    <n v="15"/>
    <n v="400"/>
  </r>
  <r>
    <x v="2285"/>
    <n v="816767"/>
    <s v="KHUSHAL DAGDI"/>
    <n v="208074"/>
    <s v="SWASTIK STEEL TRADERS"/>
    <n v="0"/>
    <n v="0"/>
    <n v="0"/>
    <n v="0"/>
    <n v="0"/>
    <n v="0"/>
    <n v="0"/>
    <n v="20"/>
    <n v="20"/>
    <n v="0"/>
    <n v="0"/>
    <n v="0"/>
    <n v="40"/>
  </r>
  <r>
    <x v="2286"/>
    <n v="816781"/>
    <s v="SHREE MEHOJI CEMENT AGENCY"/>
    <n v="173224"/>
    <s v="D.R.MARBLE &amp; SANITORY"/>
    <n v="0"/>
    <n v="0"/>
    <n v="0"/>
    <n v="0"/>
    <n v="0"/>
    <n v="0"/>
    <n v="47"/>
    <n v="30"/>
    <n v="107"/>
    <n v="31"/>
    <n v="52.5"/>
    <n v="140"/>
    <n v="407.5"/>
  </r>
  <r>
    <x v="2287"/>
    <n v="816785"/>
    <s v="GAREEB NAWAZ BUILDING METERIAL"/>
    <n v="208809"/>
    <s v="MAHADEV SALES"/>
    <n v="0"/>
    <n v="0"/>
    <n v="0"/>
    <n v="0"/>
    <n v="0"/>
    <n v="0"/>
    <n v="10"/>
    <n v="20"/>
    <n v="38"/>
    <n v="20"/>
    <n v="10"/>
    <n v="0"/>
    <n v="98"/>
  </r>
  <r>
    <x v="2288"/>
    <n v="816786"/>
    <s v="MAHADEV TRADING COMPANY"/>
    <n v="208809"/>
    <s v="MAHADEV SALES"/>
    <n v="0"/>
    <n v="0"/>
    <n v="0"/>
    <n v="0"/>
    <n v="0"/>
    <n v="0"/>
    <n v="20"/>
    <n v="30"/>
    <n v="65"/>
    <n v="0"/>
    <n v="40"/>
    <n v="57.5"/>
    <n v="212.5"/>
  </r>
  <r>
    <x v="2289"/>
    <n v="816787"/>
    <s v="RAJ TRADING COMPANY"/>
    <n v="203455"/>
    <s v="NARAYAN TRADERS"/>
    <n v="0"/>
    <n v="0"/>
    <n v="0"/>
    <n v="0"/>
    <n v="0"/>
    <n v="0"/>
    <n v="0"/>
    <n v="0"/>
    <n v="0"/>
    <n v="10"/>
    <n v="20"/>
    <n v="0"/>
    <n v="30"/>
  </r>
  <r>
    <x v="2290"/>
    <n v="816796"/>
    <s v="KHATRI BUILDING MATERIALS"/>
    <n v="207713"/>
    <s v="TAGALA BROTHERS"/>
    <n v="0"/>
    <n v="0"/>
    <n v="0"/>
    <n v="0"/>
    <n v="0"/>
    <n v="0"/>
    <n v="35"/>
    <n v="43"/>
    <n v="44.1"/>
    <n v="25"/>
    <n v="49.5"/>
    <n v="70"/>
    <n v="266.60000000000002"/>
  </r>
  <r>
    <x v="2291"/>
    <n v="816829"/>
    <s v="MALAM SINGH RAJPUROHIT"/>
    <n v="201280"/>
    <s v="SIDDHI VINAYAK CEMENT DISTRIBU"/>
    <n v="0"/>
    <n v="0"/>
    <n v="0"/>
    <n v="0"/>
    <n v="0"/>
    <n v="0"/>
    <n v="24"/>
    <n v="0"/>
    <n v="47"/>
    <n v="57"/>
    <n v="21"/>
    <n v="0"/>
    <n v="149"/>
  </r>
  <r>
    <x v="2292"/>
    <n v="816836"/>
    <s v="SUNIL"/>
    <n v="147936"/>
    <s v="VKR CEMENT SUPPLIERS"/>
    <n v="0"/>
    <n v="0"/>
    <n v="0"/>
    <n v="0"/>
    <n v="0"/>
    <n v="0"/>
    <n v="0"/>
    <n v="10"/>
    <n v="20"/>
    <n v="0"/>
    <n v="30"/>
    <n v="30"/>
    <n v="90"/>
  </r>
  <r>
    <x v="2293"/>
    <n v="816859"/>
    <s v="JODHA RAM DEVASI"/>
    <n v="206956"/>
    <s v="KHETESHWAR DATA CONTRACTOR"/>
    <n v="0"/>
    <n v="0"/>
    <n v="0"/>
    <n v="0"/>
    <n v="0"/>
    <n v="0"/>
    <n v="0"/>
    <n v="0"/>
    <n v="109"/>
    <n v="93"/>
    <n v="18"/>
    <n v="97"/>
    <n v="317"/>
  </r>
  <r>
    <x v="2294"/>
    <n v="816882"/>
    <s v="RANAWAT CEMENT AGENCY"/>
    <n v="203156"/>
    <s v="AMBESHWAR TRADING COMPANY"/>
    <n v="0"/>
    <n v="0"/>
    <n v="0"/>
    <n v="0"/>
    <n v="0"/>
    <n v="0"/>
    <n v="15"/>
    <n v="53"/>
    <n v="128"/>
    <n v="115.5"/>
    <n v="147"/>
    <n v="144.44999999999999"/>
    <n v="602.95000000000005"/>
  </r>
  <r>
    <x v="2295"/>
    <n v="816882"/>
    <s v="RANAWAT CEMENT AGENCY"/>
    <n v="208123"/>
    <s v="BORANA CEMENT DISTRIBUTOR"/>
    <n v="0"/>
    <n v="0"/>
    <n v="0"/>
    <n v="0"/>
    <n v="0"/>
    <n v="0"/>
    <n v="0"/>
    <n v="20"/>
    <n v="0"/>
    <n v="0"/>
    <n v="0"/>
    <n v="0"/>
    <n v="20"/>
  </r>
  <r>
    <x v="2296"/>
    <n v="816895"/>
    <s v="OM SAI TRADERS"/>
    <n v="144747"/>
    <s v="ROOP ENTERPRISES"/>
    <n v="0"/>
    <n v="0"/>
    <n v="0"/>
    <n v="0"/>
    <n v="0"/>
    <n v="0"/>
    <n v="0"/>
    <n v="0"/>
    <n v="10"/>
    <n v="37.5"/>
    <n v="32.5"/>
    <n v="15"/>
    <n v="95"/>
  </r>
  <r>
    <x v="2297"/>
    <n v="816896"/>
    <s v="PITRA KRIPA BUILDING MATERIAL"/>
    <n v="172084"/>
    <s v="PRAJAPATI BUILDING MATERIAL"/>
    <n v="0"/>
    <n v="0"/>
    <n v="0"/>
    <n v="0"/>
    <n v="0"/>
    <n v="0"/>
    <n v="0"/>
    <n v="27"/>
    <n v="80"/>
    <n v="160"/>
    <n v="97.5"/>
    <n v="55"/>
    <n v="419.5"/>
  </r>
  <r>
    <x v="2298"/>
    <n v="816897"/>
    <s v="SAI ENTERPRISES"/>
    <n v="173728"/>
    <s v="LAXMI CEMANT AND BUILDING MATE"/>
    <n v="0"/>
    <n v="0"/>
    <n v="0"/>
    <n v="0"/>
    <n v="0"/>
    <n v="0"/>
    <n v="0"/>
    <n v="25"/>
    <n v="105"/>
    <n v="82.05"/>
    <n v="73.5"/>
    <n v="133.5"/>
    <n v="419.05"/>
  </r>
  <r>
    <x v="2299"/>
    <n v="816898"/>
    <s v="VISHAL KIRANA STORE"/>
    <n v="205747"/>
    <s v="DRL BUILDING MATERIAL &amp;  SUPPL"/>
    <n v="0"/>
    <n v="0"/>
    <n v="0"/>
    <n v="0"/>
    <n v="0"/>
    <n v="0"/>
    <n v="0"/>
    <n v="5"/>
    <n v="10"/>
    <n v="10"/>
    <n v="10"/>
    <n v="10"/>
    <n v="45"/>
  </r>
  <r>
    <x v="2300"/>
    <n v="816905"/>
    <s v="HARSH STEELS"/>
    <n v="204307"/>
    <s v="JAI BAJRANG STEELS"/>
    <n v="0"/>
    <n v="0"/>
    <n v="0"/>
    <n v="0"/>
    <n v="0"/>
    <n v="0"/>
    <n v="0"/>
    <n v="58"/>
    <n v="55"/>
    <n v="34.5"/>
    <n v="75"/>
    <n v="45"/>
    <n v="267.5"/>
  </r>
  <r>
    <x v="2301"/>
    <n v="816906"/>
    <s v="VINAYAK TRADERS"/>
    <n v="207857"/>
    <s v="YADAV BUILDING MATERIAL"/>
    <n v="0"/>
    <n v="0"/>
    <n v="0"/>
    <n v="0"/>
    <n v="0"/>
    <n v="0"/>
    <n v="20"/>
    <n v="85"/>
    <n v="52"/>
    <n v="10"/>
    <n v="32.5"/>
    <n v="83.75"/>
    <n v="283.25"/>
  </r>
  <r>
    <x v="2302"/>
    <n v="816917"/>
    <s v="JODHANA CEMENT SUPPLIERS"/>
    <n v="179907"/>
    <s v="SWETA STONE"/>
    <n v="0"/>
    <n v="0"/>
    <n v="0"/>
    <n v="0"/>
    <n v="0"/>
    <n v="0"/>
    <n v="0"/>
    <n v="20"/>
    <n v="10"/>
    <n v="0"/>
    <n v="0"/>
    <n v="0"/>
    <n v="30"/>
  </r>
  <r>
    <x v="2303"/>
    <n v="816918"/>
    <s v="JMD BUILDING MATERIAL SUPPLIER"/>
    <n v="208032"/>
    <s v="AKASH MACHINERY MART"/>
    <n v="0"/>
    <n v="0"/>
    <n v="0"/>
    <n v="0"/>
    <n v="0"/>
    <n v="0"/>
    <n v="0"/>
    <n v="0"/>
    <n v="50.5"/>
    <n v="10"/>
    <n v="32.15"/>
    <n v="0"/>
    <n v="92.65"/>
  </r>
  <r>
    <x v="2304"/>
    <n v="816921"/>
    <s v="AASHAPURA HARDWARE AND SANTERY"/>
    <n v="144747"/>
    <s v="ROOP ENTERPRISES"/>
    <n v="0"/>
    <n v="0"/>
    <n v="0"/>
    <n v="0"/>
    <n v="0"/>
    <n v="0"/>
    <n v="0"/>
    <n v="15"/>
    <n v="32.5"/>
    <n v="42.5"/>
    <n v="45"/>
    <n v="20"/>
    <n v="155"/>
  </r>
  <r>
    <x v="2305"/>
    <n v="816922"/>
    <s v="HARIOM ENTERPRISES"/>
    <n v="206412"/>
    <s v="RAJARAM ENTERPRISES"/>
    <n v="0"/>
    <n v="0"/>
    <n v="0"/>
    <n v="0"/>
    <n v="0"/>
    <n v="0"/>
    <n v="0"/>
    <n v="20"/>
    <n v="20"/>
    <n v="60"/>
    <n v="30"/>
    <n v="50"/>
    <n v="180"/>
  </r>
  <r>
    <x v="2306"/>
    <n v="816923"/>
    <s v="NAVNIT TRADERS"/>
    <n v="144747"/>
    <s v="ROOP ENTERPRISES"/>
    <n v="0"/>
    <n v="0"/>
    <n v="0"/>
    <n v="0"/>
    <n v="0"/>
    <n v="0"/>
    <n v="0"/>
    <n v="10"/>
    <n v="40"/>
    <n v="90.9"/>
    <n v="80"/>
    <n v="110"/>
    <n v="330.9"/>
  </r>
  <r>
    <x v="2307"/>
    <n v="816931"/>
    <s v="VISHAL DHARAMKANTA"/>
    <n v="170617"/>
    <s v="MANGALAM TRADING COMPANY"/>
    <n v="0"/>
    <n v="0"/>
    <n v="0"/>
    <n v="0"/>
    <n v="0"/>
    <n v="0"/>
    <n v="0"/>
    <n v="0"/>
    <n v="12"/>
    <n v="0"/>
    <n v="0"/>
    <n v="0"/>
    <n v="12"/>
  </r>
  <r>
    <x v="2308"/>
    <n v="816932"/>
    <s v="GHUSINGHA BUILDING MATERIAL"/>
    <n v="207907"/>
    <s v="NARSINGH KHAAD BEEJ BHANDAR"/>
    <n v="0"/>
    <n v="0"/>
    <n v="0"/>
    <n v="0"/>
    <n v="0"/>
    <n v="0"/>
    <n v="0"/>
    <n v="97.5"/>
    <n v="10"/>
    <n v="0"/>
    <n v="27.5"/>
    <n v="0"/>
    <n v="135"/>
  </r>
  <r>
    <x v="2309"/>
    <n v="816933"/>
    <s v="RAJENDRA TRADERS"/>
    <n v="202870"/>
    <s v="ASHUTOSH CONSTRUCTION CO"/>
    <n v="0"/>
    <n v="0"/>
    <n v="0"/>
    <n v="0"/>
    <n v="0"/>
    <n v="0"/>
    <n v="0"/>
    <n v="11"/>
    <n v="10"/>
    <n v="0"/>
    <n v="0"/>
    <n v="0"/>
    <n v="21"/>
  </r>
  <r>
    <x v="2310"/>
    <n v="816940"/>
    <s v="ANITA"/>
    <n v="208074"/>
    <s v="SWASTIK STEEL TRADERS"/>
    <n v="0"/>
    <n v="0"/>
    <n v="0"/>
    <n v="0"/>
    <n v="0"/>
    <n v="0"/>
    <n v="0"/>
    <n v="50"/>
    <n v="50"/>
    <n v="52.85"/>
    <n v="25"/>
    <n v="22.650000000000002"/>
    <n v="200.5"/>
  </r>
  <r>
    <x v="2311"/>
    <n v="816941"/>
    <s v="SADAT ALI"/>
    <n v="178268"/>
    <s v="VISHNU KHAD BEEZ BHANDAR"/>
    <n v="0"/>
    <n v="0"/>
    <n v="0"/>
    <n v="0"/>
    <n v="0"/>
    <n v="0"/>
    <n v="0"/>
    <n v="10"/>
    <n v="0"/>
    <n v="0"/>
    <n v="0"/>
    <n v="4"/>
    <n v="14"/>
  </r>
  <r>
    <x v="2312"/>
    <n v="816946"/>
    <s v="KULDEEP ENTERPRISES"/>
    <n v="208638"/>
    <s v="SHRI GANESH CEMENT &amp; STEELS"/>
    <n v="0"/>
    <n v="0"/>
    <n v="0"/>
    <n v="0"/>
    <n v="0"/>
    <n v="0"/>
    <n v="0"/>
    <n v="10"/>
    <n v="23.5"/>
    <n v="27.5"/>
    <n v="10"/>
    <n v="2"/>
    <n v="73"/>
  </r>
  <r>
    <x v="2313"/>
    <n v="816947"/>
    <s v="KALU RAM MEENA"/>
    <n v="173310"/>
    <s v="NAGORA  &amp; COMPANY"/>
    <n v="0"/>
    <n v="0"/>
    <n v="0"/>
    <n v="0"/>
    <n v="0"/>
    <n v="0"/>
    <n v="0"/>
    <n v="10"/>
    <n v="20.2"/>
    <n v="0"/>
    <n v="20"/>
    <n v="13"/>
    <n v="63.2"/>
  </r>
  <r>
    <x v="2314"/>
    <n v="816948"/>
    <s v="HADA TRADERS"/>
    <n v="208638"/>
    <s v="SHRI GANESH CEMENT &amp; STEELS"/>
    <n v="0"/>
    <n v="0"/>
    <n v="0"/>
    <n v="0"/>
    <n v="0"/>
    <n v="0"/>
    <n v="0"/>
    <n v="50"/>
    <n v="58.75"/>
    <n v="47.5"/>
    <n v="23"/>
    <n v="2"/>
    <n v="181.25"/>
  </r>
  <r>
    <x v="2315"/>
    <n v="816949"/>
    <s v="PARETA BUILDING MATERIAL"/>
    <n v="204320"/>
    <s v="KESHAV KANHA TRADERS"/>
    <n v="0"/>
    <n v="0"/>
    <n v="0"/>
    <n v="0"/>
    <n v="0"/>
    <n v="0"/>
    <n v="0"/>
    <n v="5"/>
    <n v="35"/>
    <n v="92.5"/>
    <n v="57.5"/>
    <n v="44"/>
    <n v="234"/>
  </r>
  <r>
    <x v="2316"/>
    <n v="816950"/>
    <s v="VISHAL TRADERS"/>
    <n v="119066"/>
    <s v="RAJENDRA KUMAR RATAN LAL JAIN"/>
    <n v="0"/>
    <n v="0"/>
    <n v="0"/>
    <n v="0"/>
    <n v="0"/>
    <n v="0"/>
    <n v="0"/>
    <n v="35"/>
    <n v="54"/>
    <n v="0"/>
    <n v="95"/>
    <n v="0"/>
    <n v="184"/>
  </r>
  <r>
    <x v="2317"/>
    <n v="816970"/>
    <s v="HARIOM BROTHERS"/>
    <n v="143464"/>
    <s v="JYOTI BUILDING MATERIAL SUPPLI"/>
    <n v="0"/>
    <n v="0"/>
    <n v="0"/>
    <n v="0"/>
    <n v="0"/>
    <n v="0"/>
    <n v="0"/>
    <n v="0"/>
    <n v="0"/>
    <n v="15"/>
    <n v="55"/>
    <n v="35"/>
    <n v="105"/>
  </r>
  <r>
    <x v="2318"/>
    <n v="816975"/>
    <s v="NAKSH TRADERS"/>
    <n v="142332"/>
    <s v="SANTOSH KIRANA AND CEMENT"/>
    <n v="0"/>
    <n v="0"/>
    <n v="0"/>
    <n v="0"/>
    <n v="0"/>
    <n v="0"/>
    <n v="0"/>
    <n v="20"/>
    <n v="20"/>
    <n v="40"/>
    <n v="5"/>
    <n v="77.5"/>
    <n v="162.5"/>
  </r>
  <r>
    <x v="2319"/>
    <n v="816984"/>
    <s v="KANHA BUILDING MATERIAL"/>
    <n v="208183"/>
    <s v="AAGRAWAL TRADING COMPANY"/>
    <n v="0"/>
    <n v="0"/>
    <n v="0"/>
    <n v="0"/>
    <n v="0"/>
    <n v="0"/>
    <n v="0"/>
    <n v="70"/>
    <n v="0"/>
    <n v="5"/>
    <n v="52"/>
    <n v="40"/>
    <n v="167"/>
  </r>
  <r>
    <x v="2320"/>
    <n v="816986"/>
    <s v="BAJRANG BALI TRADERS"/>
    <n v="170204"/>
    <s v="GOYAL BUILDING MATERIAL"/>
    <n v="0"/>
    <n v="0"/>
    <n v="0"/>
    <n v="0"/>
    <n v="0"/>
    <n v="0"/>
    <n v="0"/>
    <n v="0"/>
    <n v="20"/>
    <n v="10"/>
    <n v="0"/>
    <n v="78.5"/>
    <n v="108.5"/>
  </r>
  <r>
    <x v="2321"/>
    <n v="816987"/>
    <s v="J S CONSTRUCTION COMPANY"/>
    <n v="170204"/>
    <s v="GOYAL BUILDING MATERIAL"/>
    <n v="0"/>
    <n v="0"/>
    <n v="0"/>
    <n v="0"/>
    <n v="0"/>
    <n v="0"/>
    <n v="0"/>
    <n v="0"/>
    <n v="120"/>
    <n v="77"/>
    <n v="85"/>
    <n v="200"/>
    <n v="482"/>
  </r>
  <r>
    <x v="2322"/>
    <n v="816989"/>
    <s v="RAJKARAN SINGH"/>
    <n v="178236"/>
    <s v="BHORIWAL CEMENT UDYOG"/>
    <n v="0"/>
    <n v="0"/>
    <n v="0"/>
    <n v="0"/>
    <n v="0"/>
    <n v="0"/>
    <n v="0"/>
    <n v="10"/>
    <n v="102.3"/>
    <n v="50"/>
    <n v="40"/>
    <n v="50"/>
    <n v="252.3"/>
  </r>
  <r>
    <x v="2323"/>
    <n v="816991"/>
    <s v="LAKSHMI NARAYAN"/>
    <n v="209954"/>
    <s v="D.S.CONTRUCTION"/>
    <n v="0"/>
    <n v="0"/>
    <n v="0"/>
    <n v="0"/>
    <n v="0"/>
    <n v="0"/>
    <n v="0"/>
    <n v="0"/>
    <n v="0"/>
    <n v="219"/>
    <n v="112"/>
    <n v="119"/>
    <n v="450"/>
  </r>
  <r>
    <x v="2324"/>
    <n v="816996"/>
    <s v="BALAJI TRADING COMPANY"/>
    <n v="209146"/>
    <s v="KUMAWAT TRADING CO."/>
    <n v="0"/>
    <n v="0"/>
    <n v="0"/>
    <n v="0"/>
    <n v="0"/>
    <n v="0"/>
    <n v="0"/>
    <n v="20"/>
    <n v="0"/>
    <n v="0"/>
    <n v="0"/>
    <n v="0"/>
    <n v="20"/>
  </r>
  <r>
    <x v="2325"/>
    <n v="817005"/>
    <s v="SHRI OM TRADING COMPANY"/>
    <n v="170204"/>
    <s v="GOYAL BUILDING MATERIAL"/>
    <n v="0"/>
    <n v="0"/>
    <n v="0"/>
    <n v="0"/>
    <n v="0"/>
    <n v="0"/>
    <n v="0"/>
    <n v="0"/>
    <n v="10"/>
    <n v="35"/>
    <n v="21"/>
    <n v="35"/>
    <n v="101"/>
  </r>
  <r>
    <x v="2326"/>
    <n v="817014"/>
    <s v="SIDDHI VINAYAK TRADERS"/>
    <n v="170204"/>
    <s v="GOYAL BUILDING MATERIAL"/>
    <n v="0"/>
    <n v="0"/>
    <n v="0"/>
    <n v="0"/>
    <n v="0"/>
    <n v="0"/>
    <n v="0"/>
    <n v="0"/>
    <n v="10"/>
    <n v="0"/>
    <n v="0"/>
    <n v="45"/>
    <n v="55"/>
  </r>
  <r>
    <x v="2327"/>
    <n v="817029"/>
    <s v="JAI SHREE RAM AGENCY"/>
    <n v="208976"/>
    <s v="SHREE BALAJI STEELS TRADERS"/>
    <n v="0"/>
    <n v="0"/>
    <n v="0"/>
    <n v="0"/>
    <n v="0"/>
    <n v="0"/>
    <n v="0"/>
    <n v="32.5"/>
    <n v="25"/>
    <n v="59"/>
    <n v="72.5"/>
    <n v="82.5"/>
    <n v="271.5"/>
  </r>
  <r>
    <x v="2328"/>
    <n v="817030"/>
    <s v="GAURAV KUMAWAT"/>
    <n v="209816"/>
    <s v="OM TRADERS"/>
    <n v="0"/>
    <n v="0"/>
    <n v="0"/>
    <n v="0"/>
    <n v="0"/>
    <n v="0"/>
    <n v="0"/>
    <n v="17"/>
    <n v="100"/>
    <n v="125.75"/>
    <n v="91"/>
    <n v="83.5"/>
    <n v="417.25"/>
  </r>
  <r>
    <x v="2329"/>
    <n v="817030"/>
    <s v="GAURAV KUMAWAT"/>
    <n v="210855"/>
    <s v="OM TRADERS"/>
    <n v="0"/>
    <n v="0"/>
    <n v="0"/>
    <n v="0"/>
    <n v="0"/>
    <n v="0"/>
    <n v="0"/>
    <n v="0"/>
    <n v="0"/>
    <n v="0"/>
    <n v="0"/>
    <n v="7.75"/>
    <n v="7.75"/>
  </r>
  <r>
    <x v="2330"/>
    <n v="817031"/>
    <s v="RAMAVATAR BUILDING MATERIAL"/>
    <n v="208268"/>
    <s v="BADIWAL TRADERS"/>
    <n v="0"/>
    <n v="0"/>
    <n v="0"/>
    <n v="0"/>
    <n v="0"/>
    <n v="0"/>
    <n v="0"/>
    <n v="50"/>
    <n v="36.5"/>
    <n v="10"/>
    <n v="35"/>
    <n v="17.5"/>
    <n v="149"/>
  </r>
  <r>
    <x v="2331"/>
    <n v="817032"/>
    <s v="VAISHALI TRADING COMPANY"/>
    <n v="206049"/>
    <s v="VAIBHAV ENTERPRISES"/>
    <n v="0"/>
    <n v="0"/>
    <n v="0"/>
    <n v="0"/>
    <n v="0"/>
    <n v="0"/>
    <n v="0"/>
    <n v="10"/>
    <n v="53"/>
    <n v="10"/>
    <n v="0"/>
    <n v="0"/>
    <n v="73"/>
  </r>
  <r>
    <x v="2332"/>
    <n v="817038"/>
    <s v="DEEPAK SINGAL"/>
    <n v="149764"/>
    <s v="JMD CEMENT &amp; IRON STORE"/>
    <n v="0"/>
    <n v="0"/>
    <n v="0"/>
    <n v="0"/>
    <n v="0"/>
    <n v="0"/>
    <n v="0"/>
    <n v="65"/>
    <n v="37.5"/>
    <n v="0"/>
    <n v="41"/>
    <n v="110"/>
    <n v="253.5"/>
  </r>
  <r>
    <x v="2333"/>
    <n v="817039"/>
    <s v="DS INTERDECOR"/>
    <n v="175547"/>
    <s v="S.S.BHATI ENTERPRISES"/>
    <n v="0"/>
    <n v="0"/>
    <n v="0"/>
    <n v="0"/>
    <n v="0"/>
    <n v="0"/>
    <n v="0"/>
    <n v="78"/>
    <n v="75"/>
    <n v="135"/>
    <n v="30"/>
    <n v="0"/>
    <n v="318"/>
  </r>
  <r>
    <x v="2334"/>
    <n v="817041"/>
    <s v="DASHMESH SHUTTERING STORE"/>
    <n v="119031"/>
    <s v="RAMESH CHANDRA RAJENDRA KUMAR"/>
    <n v="0"/>
    <n v="0"/>
    <n v="0"/>
    <n v="0"/>
    <n v="0"/>
    <n v="0"/>
    <n v="0"/>
    <n v="0"/>
    <n v="0"/>
    <n v="7.5"/>
    <n v="18"/>
    <n v="10"/>
    <n v="35.5"/>
  </r>
  <r>
    <x v="2335"/>
    <n v="817045"/>
    <s v="THALOR TILES AND MARBLES"/>
    <n v="177426"/>
    <s v="THALOR ENTERPRISES"/>
    <n v="0"/>
    <n v="0"/>
    <n v="0"/>
    <n v="0"/>
    <n v="0"/>
    <n v="0"/>
    <n v="0"/>
    <n v="0"/>
    <n v="32.5"/>
    <n v="35"/>
    <n v="25"/>
    <n v="40"/>
    <n v="132.5"/>
  </r>
  <r>
    <x v="2336"/>
    <n v="817046"/>
    <s v="BHAWANI CEMENT AND HARDWARE SA"/>
    <n v="210132"/>
    <s v="SHRI MATESHWARI AGENCY"/>
    <n v="0"/>
    <n v="0"/>
    <n v="0"/>
    <n v="0"/>
    <n v="0"/>
    <n v="0"/>
    <n v="0"/>
    <n v="8"/>
    <n v="94.5"/>
    <n v="20.5"/>
    <n v="0"/>
    <n v="37"/>
    <n v="160"/>
  </r>
  <r>
    <x v="2337"/>
    <n v="817052"/>
    <s v="R R MATERIAL SUPPLIER"/>
    <n v="206049"/>
    <s v="VAIBHAV ENTERPRISES"/>
    <n v="0"/>
    <n v="0"/>
    <n v="0"/>
    <n v="0"/>
    <n v="0"/>
    <n v="0"/>
    <n v="0"/>
    <n v="33.75"/>
    <n v="90.5"/>
    <n v="17.5"/>
    <n v="67.5"/>
    <n v="367.15"/>
    <n v="576.4"/>
  </r>
  <r>
    <x v="2338"/>
    <n v="817053"/>
    <s v="N R CEMENT AGENCY"/>
    <n v="208268"/>
    <s v="BADIWAL TRADERS"/>
    <n v="0"/>
    <n v="0"/>
    <n v="0"/>
    <n v="0"/>
    <n v="0"/>
    <n v="0"/>
    <n v="0"/>
    <n v="0"/>
    <n v="51.25"/>
    <n v="10.25"/>
    <n v="7.5"/>
    <n v="0"/>
    <n v="69"/>
  </r>
  <r>
    <x v="2339"/>
    <n v="817054"/>
    <s v="BK CONSTRUCTION COMPANY"/>
    <n v="148557"/>
    <s v="MITALI ALLOYS PVT LTD"/>
    <n v="0"/>
    <n v="0"/>
    <n v="0"/>
    <n v="0"/>
    <n v="0"/>
    <n v="0"/>
    <n v="0"/>
    <n v="88.5"/>
    <n v="64"/>
    <n v="42"/>
    <n v="54"/>
    <n v="0"/>
    <n v="248.5"/>
  </r>
  <r>
    <x v="2340"/>
    <n v="817055"/>
    <s v="SANVALA RAM"/>
    <n v="206066"/>
    <s v="GAJANAND CEMENT AGENCY"/>
    <n v="0"/>
    <n v="0"/>
    <n v="0"/>
    <n v="0"/>
    <n v="0"/>
    <n v="0"/>
    <n v="0"/>
    <n v="135"/>
    <n v="105"/>
    <n v="75.5"/>
    <n v="95"/>
    <n v="15"/>
    <n v="425.5"/>
  </r>
  <r>
    <x v="2341"/>
    <n v="817057"/>
    <s v="OB SINGH"/>
    <n v="206066"/>
    <s v="GAJANAND CEMENT AGENCY"/>
    <n v="0"/>
    <n v="0"/>
    <n v="0"/>
    <n v="0"/>
    <n v="0"/>
    <n v="0"/>
    <n v="0"/>
    <n v="0"/>
    <n v="0"/>
    <n v="0"/>
    <n v="0"/>
    <n v="289"/>
    <n v="289"/>
  </r>
  <r>
    <x v="2342"/>
    <n v="817057"/>
    <s v="OB SINGH"/>
    <n v="209036"/>
    <s v="ASHAPURA CEMENT AGENCY"/>
    <n v="0"/>
    <n v="0"/>
    <n v="0"/>
    <n v="0"/>
    <n v="0"/>
    <n v="0"/>
    <n v="0"/>
    <n v="10"/>
    <n v="0"/>
    <n v="0"/>
    <n v="0"/>
    <n v="0"/>
    <n v="10"/>
  </r>
  <r>
    <x v="2343"/>
    <n v="817060"/>
    <s v="ISHWAR GURJAR"/>
    <n v="206529"/>
    <s v="GOPAL KRISHAN DHUPPAD"/>
    <n v="0"/>
    <n v="0"/>
    <n v="0"/>
    <n v="0"/>
    <n v="0"/>
    <n v="0"/>
    <n v="0"/>
    <n v="0"/>
    <n v="43"/>
    <n v="21"/>
    <n v="23"/>
    <n v="33"/>
    <n v="120"/>
  </r>
  <r>
    <x v="2344"/>
    <n v="817063"/>
    <s v="SHYAM BIHARI BUILDING MATERIAL"/>
    <n v="171226"/>
    <s v="SATYA TRADERS"/>
    <n v="0"/>
    <n v="0"/>
    <n v="0"/>
    <n v="0"/>
    <n v="0"/>
    <n v="0"/>
    <n v="0"/>
    <n v="0"/>
    <n v="160"/>
    <n v="92"/>
    <n v="105"/>
    <n v="64"/>
    <n v="421"/>
  </r>
  <r>
    <x v="2345"/>
    <n v="817064"/>
    <s v="LAXMI CEMENT AGENCY"/>
    <n v="208183"/>
    <s v="AAGRAWAL TRADING COMPANY"/>
    <n v="0"/>
    <n v="0"/>
    <n v="0"/>
    <n v="0"/>
    <n v="0"/>
    <n v="0"/>
    <n v="0"/>
    <n v="0"/>
    <n v="35"/>
    <n v="0"/>
    <n v="26.5"/>
    <n v="0"/>
    <n v="61.5"/>
  </r>
  <r>
    <x v="2346"/>
    <n v="817065"/>
    <s v="AMAN KOTAWAT"/>
    <n v="175848"/>
    <s v="PURAWAT ENTERPRISERS"/>
    <n v="0"/>
    <n v="0"/>
    <n v="0"/>
    <n v="0"/>
    <n v="0"/>
    <n v="0"/>
    <n v="0"/>
    <n v="0"/>
    <n v="16"/>
    <n v="13"/>
    <n v="11"/>
    <n v="11"/>
    <n v="51"/>
  </r>
  <r>
    <x v="2347"/>
    <n v="817073"/>
    <s v="UMIYA PATIDAR BUILDING MATERIA"/>
    <n v="144747"/>
    <s v="ROOP ENTERPRISES"/>
    <n v="0"/>
    <n v="0"/>
    <n v="0"/>
    <n v="0"/>
    <n v="0"/>
    <n v="0"/>
    <n v="0"/>
    <n v="0"/>
    <n v="87.5"/>
    <n v="55"/>
    <n v="50"/>
    <n v="65.5"/>
    <n v="258"/>
  </r>
  <r>
    <x v="2348"/>
    <n v="817078"/>
    <s v="FLKE AMIRKHAN PATHAN"/>
    <n v="206529"/>
    <s v="GOPAL KRISHAN DHUPPAD"/>
    <n v="0"/>
    <n v="0"/>
    <n v="0"/>
    <n v="0"/>
    <n v="0"/>
    <n v="0"/>
    <n v="0"/>
    <n v="0"/>
    <n v="43"/>
    <n v="21"/>
    <n v="25"/>
    <n v="31"/>
    <n v="120"/>
  </r>
  <r>
    <x v="2349"/>
    <n v="817081"/>
    <s v="PILANIYA STONE COMPANY"/>
    <n v="149991"/>
    <s v="BALAJI STONE COMPANY"/>
    <n v="0"/>
    <n v="0"/>
    <n v="0"/>
    <n v="0"/>
    <n v="0"/>
    <n v="0"/>
    <n v="0"/>
    <n v="0"/>
    <n v="66.5"/>
    <n v="42.5"/>
    <n v="41.5"/>
    <n v="20"/>
    <n v="170.5"/>
  </r>
  <r>
    <x v="2350"/>
    <n v="817087"/>
    <s v="KANHAIYA LAL KALAL"/>
    <n v="142332"/>
    <s v="SANTOSH KIRANA AND CEMENT"/>
    <n v="0"/>
    <n v="0"/>
    <n v="0"/>
    <n v="0"/>
    <n v="0"/>
    <n v="0"/>
    <n v="0"/>
    <n v="25"/>
    <n v="32.5"/>
    <n v="60"/>
    <n v="35"/>
    <n v="60"/>
    <n v="212.5"/>
  </r>
  <r>
    <x v="2351"/>
    <n v="817093"/>
    <s v="MAA KAILADEVI BUILDING MATERIA"/>
    <n v="170197"/>
    <s v="ARVIND BUILDING MATERIAL"/>
    <n v="0"/>
    <n v="0"/>
    <n v="0"/>
    <n v="0"/>
    <n v="0"/>
    <n v="0"/>
    <n v="0"/>
    <n v="0"/>
    <n v="0"/>
    <n v="0"/>
    <n v="0"/>
    <n v="74"/>
    <n v="74"/>
  </r>
  <r>
    <x v="2352"/>
    <n v="817093"/>
    <s v="MAA KAILADEVI BUILDING MATERIA"/>
    <n v="208183"/>
    <s v="AAGRAWAL TRADING COMPANY"/>
    <n v="0"/>
    <n v="0"/>
    <n v="0"/>
    <n v="0"/>
    <n v="0"/>
    <n v="0"/>
    <n v="0"/>
    <n v="0"/>
    <n v="84"/>
    <n v="128"/>
    <n v="113.85"/>
    <n v="110"/>
    <n v="435.85"/>
  </r>
  <r>
    <x v="2353"/>
    <n v="817094"/>
    <s v="MANAS ENTERPRISES"/>
    <n v="171578"/>
    <s v="KOTA BUILDMAT"/>
    <n v="0"/>
    <n v="0"/>
    <n v="0"/>
    <n v="0"/>
    <n v="0"/>
    <n v="0"/>
    <n v="0"/>
    <n v="20"/>
    <n v="45"/>
    <n v="79.55"/>
    <n v="28.25"/>
    <n v="5"/>
    <n v="177.8"/>
  </r>
  <r>
    <x v="2354"/>
    <n v="817094"/>
    <s v="MANAS ENTERPRISES"/>
    <n v="211138"/>
    <s v="LAXMIKANT BUILDING MATERIAL"/>
    <n v="0"/>
    <n v="0"/>
    <n v="0"/>
    <n v="0"/>
    <n v="0"/>
    <n v="0"/>
    <n v="0"/>
    <n v="0"/>
    <n v="0"/>
    <n v="0"/>
    <n v="34.5"/>
    <n v="0"/>
    <n v="34.5"/>
  </r>
  <r>
    <x v="2355"/>
    <n v="817095"/>
    <s v="PARAS MAL JAIN"/>
    <n v="178003"/>
    <s v="SHREE JI BUILDING MATERIAL SUP"/>
    <n v="0"/>
    <n v="0"/>
    <n v="0"/>
    <n v="0"/>
    <n v="0"/>
    <n v="0"/>
    <n v="0"/>
    <n v="66"/>
    <n v="20"/>
    <n v="15"/>
    <n v="32.75"/>
    <n v="5"/>
    <n v="138.75"/>
  </r>
  <r>
    <x v="2356"/>
    <n v="817102"/>
    <s v="SHIV CEMENT AGENCY"/>
    <n v="207857"/>
    <s v="YADAV BUILDING MATERIAL"/>
    <n v="0"/>
    <n v="0"/>
    <n v="0"/>
    <n v="0"/>
    <n v="0"/>
    <n v="0"/>
    <n v="0"/>
    <n v="45"/>
    <n v="80"/>
    <n v="10"/>
    <n v="47.5"/>
    <n v="102"/>
    <n v="284.5"/>
  </r>
  <r>
    <x v="2357"/>
    <n v="817103"/>
    <s v="MAHAKAL CONTRACTORS"/>
    <n v="170606"/>
    <s v="SHREE SANWARIYA CONSTRUCTION"/>
    <n v="0"/>
    <n v="0"/>
    <n v="0"/>
    <n v="0"/>
    <n v="0"/>
    <n v="0"/>
    <n v="0"/>
    <n v="0"/>
    <n v="0"/>
    <n v="0"/>
    <n v="6.55"/>
    <n v="0"/>
    <n v="6.55"/>
  </r>
  <r>
    <x v="2358"/>
    <n v="817103"/>
    <s v="MAHAKAL CONTRACTORS"/>
    <n v="207643"/>
    <s v="SHREE SANWALIYA TRADERS"/>
    <n v="0"/>
    <n v="0"/>
    <n v="0"/>
    <n v="0"/>
    <n v="0"/>
    <n v="0"/>
    <n v="0"/>
    <n v="0"/>
    <n v="6"/>
    <n v="33"/>
    <n v="0"/>
    <n v="88.5"/>
    <n v="127.5"/>
  </r>
  <r>
    <x v="2359"/>
    <n v="817106"/>
    <s v="SHIV SHAKTI CEMENT"/>
    <n v="170775"/>
    <s v="GANPAT LAL MAROTHIYA AND SONS"/>
    <n v="0"/>
    <n v="0"/>
    <n v="0"/>
    <n v="0"/>
    <n v="0"/>
    <n v="0"/>
    <n v="0"/>
    <n v="0"/>
    <n v="20"/>
    <n v="20"/>
    <n v="70"/>
    <n v="55"/>
    <n v="165"/>
  </r>
  <r>
    <x v="2360"/>
    <n v="817108"/>
    <s v="HARSH BUILDING MATERIAL"/>
    <n v="119038"/>
    <s v="NAVEEN DISTRIBUTORS"/>
    <n v="0"/>
    <n v="0"/>
    <n v="0"/>
    <n v="0"/>
    <n v="0"/>
    <n v="0"/>
    <n v="0"/>
    <n v="0"/>
    <n v="96.2"/>
    <n v="60.5"/>
    <n v="100"/>
    <n v="145.75"/>
    <n v="402.45"/>
  </r>
  <r>
    <x v="2361"/>
    <n v="817121"/>
    <s v="BHOI DINESH CHANDRA TRADERS"/>
    <n v="174756"/>
    <s v="SHAH TRADERS"/>
    <n v="0"/>
    <n v="0"/>
    <n v="0"/>
    <n v="0"/>
    <n v="0"/>
    <n v="0"/>
    <n v="0"/>
    <n v="19"/>
    <n v="30.5"/>
    <n v="42"/>
    <n v="25.5"/>
    <n v="36"/>
    <n v="153"/>
  </r>
  <r>
    <x v="2362"/>
    <n v="817122"/>
    <s v="KRITIKA CEMENT SUPPLIERS"/>
    <n v="209599"/>
    <s v="SHYAM KRIPA HARDWARE AND SENET"/>
    <n v="0"/>
    <n v="0"/>
    <n v="0"/>
    <n v="0"/>
    <n v="0"/>
    <n v="0"/>
    <n v="0"/>
    <n v="10"/>
    <n v="71"/>
    <n v="118.25"/>
    <n v="88.95"/>
    <n v="129.35000000000002"/>
    <n v="417.55"/>
  </r>
  <r>
    <x v="2363"/>
    <n v="817123"/>
    <s v="RAJASTHAN HARDWARE"/>
    <n v="119066"/>
    <s v="RAJENDRA KUMAR RATAN LAL JAIN"/>
    <n v="0"/>
    <n v="0"/>
    <n v="0"/>
    <n v="0"/>
    <n v="0"/>
    <n v="0"/>
    <n v="0"/>
    <n v="0"/>
    <n v="7.5"/>
    <n v="0"/>
    <n v="0"/>
    <n v="50"/>
    <n v="57.5"/>
  </r>
  <r>
    <x v="2364"/>
    <n v="817124"/>
    <s v="JOSHI KRISHI FARM"/>
    <n v="140960"/>
    <s v="HARI OM CEMENT SUPPLIERS"/>
    <n v="0"/>
    <n v="0"/>
    <n v="0"/>
    <n v="0"/>
    <n v="0"/>
    <n v="0"/>
    <n v="0"/>
    <n v="35"/>
    <n v="73.5"/>
    <n v="0"/>
    <n v="25"/>
    <n v="0"/>
    <n v="133.5"/>
  </r>
  <r>
    <x v="2365"/>
    <n v="817127"/>
    <s v="LOKESH TRADERS"/>
    <n v="206049"/>
    <s v="VAIBHAV ENTERPRISES"/>
    <n v="0"/>
    <n v="0"/>
    <n v="0"/>
    <n v="0"/>
    <n v="0"/>
    <n v="0"/>
    <n v="0"/>
    <n v="0"/>
    <n v="55"/>
    <n v="10"/>
    <n v="0"/>
    <n v="0"/>
    <n v="65"/>
  </r>
  <r>
    <x v="2366"/>
    <n v="817136"/>
    <s v="NAMO ENTERPRISES"/>
    <n v="205225"/>
    <s v="MAHAVEER ASSOCIATES"/>
    <n v="0"/>
    <n v="0"/>
    <n v="0"/>
    <n v="0"/>
    <n v="0"/>
    <n v="0"/>
    <n v="0"/>
    <n v="43"/>
    <n v="203.25"/>
    <n v="197"/>
    <n v="181"/>
    <n v="370.1"/>
    <n v="994.35"/>
  </r>
  <r>
    <x v="2367"/>
    <n v="817143"/>
    <s v="A.K SUPPLIERS"/>
    <n v="172282"/>
    <s v="SHREE BALAJI IRON STORE"/>
    <n v="0"/>
    <n v="0"/>
    <n v="0"/>
    <n v="0"/>
    <n v="0"/>
    <n v="0"/>
    <n v="0"/>
    <n v="0"/>
    <n v="81.5"/>
    <n v="133.5"/>
    <n v="69"/>
    <n v="52"/>
    <n v="336"/>
  </r>
  <r>
    <x v="2368"/>
    <n v="817144"/>
    <s v="GOURI TILES AND SANITARY"/>
    <n v="209017"/>
    <s v="SARSWAT HARDWARE"/>
    <n v="0"/>
    <n v="0"/>
    <n v="0"/>
    <n v="0"/>
    <n v="0"/>
    <n v="0"/>
    <n v="0"/>
    <n v="20"/>
    <n v="50.5"/>
    <n v="80"/>
    <n v="45"/>
    <n v="96"/>
    <n v="291.5"/>
  </r>
  <r>
    <x v="2369"/>
    <n v="817146"/>
    <s v="SHARMA CEMENT AGENCY"/>
    <n v="119212"/>
    <s v="SURENDRA KUMAR &amp; CO"/>
    <n v="0"/>
    <n v="0"/>
    <n v="0"/>
    <n v="0"/>
    <n v="0"/>
    <n v="0"/>
    <n v="0"/>
    <n v="45.5"/>
    <n v="78"/>
    <n v="27.5"/>
    <n v="35"/>
    <n v="75.5"/>
    <n v="261.5"/>
  </r>
  <r>
    <x v="2370"/>
    <n v="817152"/>
    <s v="SHREE VINAYAK AGENCIES"/>
    <n v="144868"/>
    <s v="ASHISH SALES CORPORATION"/>
    <n v="0"/>
    <n v="0"/>
    <n v="0"/>
    <n v="0"/>
    <n v="0"/>
    <n v="0"/>
    <n v="0"/>
    <n v="0"/>
    <n v="62"/>
    <n v="29"/>
    <n v="27.5"/>
    <n v="37.5"/>
    <n v="156"/>
  </r>
  <r>
    <x v="2371"/>
    <n v="817153"/>
    <s v="MEENAKSHI BUILDING MATERIAL SU"/>
    <n v="119261"/>
    <s v="DURGESH ENTERPRISES"/>
    <n v="0"/>
    <n v="0"/>
    <n v="0"/>
    <n v="0"/>
    <n v="0"/>
    <n v="0"/>
    <n v="0"/>
    <n v="0"/>
    <n v="21"/>
    <n v="20"/>
    <n v="0"/>
    <n v="0"/>
    <n v="41"/>
  </r>
  <r>
    <x v="2372"/>
    <n v="817159"/>
    <s v="SHREE MEHOJI CEMENT AGENCY"/>
    <n v="119038"/>
    <s v="NAVEEN DISTRIBUTORS"/>
    <n v="0"/>
    <n v="0"/>
    <n v="0"/>
    <n v="0"/>
    <n v="0"/>
    <n v="0"/>
    <n v="0"/>
    <n v="0"/>
    <n v="0"/>
    <n v="0"/>
    <n v="25"/>
    <n v="0"/>
    <n v="25"/>
  </r>
  <r>
    <x v="2373"/>
    <n v="817163"/>
    <s v="M R BUILDING MATERIALS"/>
    <n v="177426"/>
    <s v="THALOR ENTERPRISES"/>
    <n v="0"/>
    <n v="0"/>
    <n v="0"/>
    <n v="0"/>
    <n v="0"/>
    <n v="0"/>
    <n v="0"/>
    <n v="0"/>
    <n v="11"/>
    <n v="35"/>
    <n v="50"/>
    <n v="45"/>
    <n v="141"/>
  </r>
  <r>
    <x v="2374"/>
    <n v="817164"/>
    <s v="SOLANKI TRADERS"/>
    <n v="172597"/>
    <s v="SONU TRADERS"/>
    <n v="0"/>
    <n v="0"/>
    <n v="0"/>
    <n v="0"/>
    <n v="0"/>
    <n v="0"/>
    <n v="0"/>
    <n v="0"/>
    <n v="53.5"/>
    <n v="20"/>
    <n v="12.5"/>
    <n v="0"/>
    <n v="86"/>
  </r>
  <r>
    <x v="2375"/>
    <n v="817165"/>
    <s v="MATESHWARI KIRANA AND GENERAL"/>
    <n v="119028"/>
    <s v="KANHAYALAL &amp; SONS"/>
    <n v="0"/>
    <n v="0"/>
    <n v="0"/>
    <n v="0"/>
    <n v="0"/>
    <n v="0"/>
    <n v="0"/>
    <n v="0"/>
    <n v="10"/>
    <n v="0"/>
    <n v="0"/>
    <n v="93"/>
    <n v="103"/>
  </r>
  <r>
    <x v="2376"/>
    <n v="817167"/>
    <s v="DEEPAK TRADING COMPANY"/>
    <n v="210440"/>
    <s v="SATISH CHAND NARESH CHAND"/>
    <n v="0"/>
    <n v="0"/>
    <n v="0"/>
    <n v="0"/>
    <n v="0"/>
    <n v="0"/>
    <n v="0"/>
    <n v="0"/>
    <n v="27.5"/>
    <n v="39"/>
    <n v="32"/>
    <n v="0"/>
    <n v="98.5"/>
  </r>
  <r>
    <x v="2377"/>
    <n v="817168"/>
    <s v="KAVYA CONSTRUCTION"/>
    <n v="119050"/>
    <s v="RAJASTHAN CEMENT CORPORATION"/>
    <n v="0"/>
    <n v="0"/>
    <n v="0"/>
    <n v="0"/>
    <n v="0"/>
    <n v="0"/>
    <n v="0"/>
    <n v="0"/>
    <n v="51.5"/>
    <n v="68"/>
    <n v="75"/>
    <n v="33.85"/>
    <n v="228.35"/>
  </r>
  <r>
    <x v="2378"/>
    <n v="817172"/>
    <s v="JAI BHAWANI BUILDING MATERIAL"/>
    <n v="119044"/>
    <s v="PANWAR TRADING CORPORATION LTD"/>
    <n v="0"/>
    <n v="0"/>
    <n v="0"/>
    <n v="0"/>
    <n v="0"/>
    <n v="0"/>
    <n v="0"/>
    <n v="0"/>
    <n v="70"/>
    <n v="108"/>
    <n v="90"/>
    <n v="135"/>
    <n v="403"/>
  </r>
  <r>
    <x v="2379"/>
    <n v="817188"/>
    <s v="GAJENDRA SINGH"/>
    <n v="178219"/>
    <s v="BALAJI CEMENT COMPANY"/>
    <n v="0"/>
    <n v="0"/>
    <n v="0"/>
    <n v="0"/>
    <n v="0"/>
    <n v="0"/>
    <n v="0"/>
    <n v="0"/>
    <n v="47.5"/>
    <n v="85"/>
    <n v="72"/>
    <n v="101.5"/>
    <n v="306"/>
  </r>
  <r>
    <x v="2380"/>
    <n v="817189"/>
    <s v="VINAYAK BUILDERS AND SUPPLIERS"/>
    <n v="119261"/>
    <s v="DURGESH ENTERPRISES"/>
    <n v="0"/>
    <n v="0"/>
    <n v="0"/>
    <n v="0"/>
    <n v="0"/>
    <n v="0"/>
    <n v="0"/>
    <n v="0"/>
    <n v="100"/>
    <n v="120"/>
    <n v="0"/>
    <n v="182"/>
    <n v="402"/>
  </r>
  <r>
    <x v="2381"/>
    <n v="817192"/>
    <s v="SHRI SHYAM BUILDING MATERIAL"/>
    <n v="210452"/>
    <s v="SHRI MANSA MATA BUILDING MATER"/>
    <n v="0"/>
    <n v="0"/>
    <n v="0"/>
    <n v="0"/>
    <n v="0"/>
    <n v="0"/>
    <n v="0"/>
    <n v="0"/>
    <n v="95"/>
    <n v="42"/>
    <n v="39"/>
    <n v="40"/>
    <n v="216"/>
  </r>
  <r>
    <x v="2382"/>
    <n v="817196"/>
    <s v="SURESH"/>
    <n v="204208"/>
    <s v="NIMBIWAL BUILDING MATERIAL&amp;SUP"/>
    <n v="0"/>
    <n v="0"/>
    <n v="0"/>
    <n v="0"/>
    <n v="0"/>
    <n v="0"/>
    <n v="0"/>
    <n v="0"/>
    <n v="145"/>
    <n v="33"/>
    <n v="30"/>
    <n v="20"/>
    <n v="228"/>
  </r>
  <r>
    <x v="2383"/>
    <n v="817203"/>
    <s v="MANSHA CEMENT SUPPLIERS"/>
    <n v="209599"/>
    <s v="SHYAM KRIPA HARDWARE AND SENET"/>
    <n v="0"/>
    <n v="0"/>
    <n v="0"/>
    <n v="0"/>
    <n v="0"/>
    <n v="0"/>
    <n v="0"/>
    <n v="0"/>
    <n v="76.5"/>
    <n v="115.8"/>
    <n v="76.5"/>
    <n v="75"/>
    <n v="343.8"/>
  </r>
  <r>
    <x v="2384"/>
    <n v="817206"/>
    <s v="SHRI RAM BUILDING MATERIAL SUP"/>
    <n v="170846"/>
    <s v="SANGAM ENTERPRISES"/>
    <n v="0"/>
    <n v="0"/>
    <n v="0"/>
    <n v="0"/>
    <n v="0"/>
    <n v="0"/>
    <n v="0"/>
    <n v="0"/>
    <n v="31.5"/>
    <n v="52"/>
    <n v="30"/>
    <n v="0"/>
    <n v="113.5"/>
  </r>
  <r>
    <x v="2385"/>
    <n v="817208"/>
    <s v="DEEPAK KUMAR"/>
    <n v="145394"/>
    <s v="DEVRAJ AND SONS"/>
    <n v="0"/>
    <n v="0"/>
    <n v="0"/>
    <n v="0"/>
    <n v="0"/>
    <n v="0"/>
    <n v="0"/>
    <n v="0"/>
    <n v="19"/>
    <n v="10"/>
    <n v="30"/>
    <n v="0"/>
    <n v="59"/>
  </r>
  <r>
    <x v="2386"/>
    <n v="817211"/>
    <s v="BALAJI CEMENT &amp; BUILDING MATER"/>
    <n v="204034"/>
    <s v="PATEL CEMENT SUPPLIERS"/>
    <n v="0"/>
    <n v="0"/>
    <n v="0"/>
    <n v="0"/>
    <n v="0"/>
    <n v="0"/>
    <n v="0"/>
    <n v="0"/>
    <n v="81.599999999999994"/>
    <n v="76"/>
    <n v="85"/>
    <n v="157"/>
    <n v="399.6"/>
  </r>
  <r>
    <x v="2387"/>
    <n v="817212"/>
    <s v="SP BILIYA VA TABUK UDHYOG"/>
    <n v="149991"/>
    <s v="BALAJI STONE COMPANY"/>
    <n v="0"/>
    <n v="0"/>
    <n v="0"/>
    <n v="0"/>
    <n v="0"/>
    <n v="0"/>
    <n v="0"/>
    <n v="0"/>
    <n v="57.5"/>
    <n v="22.5"/>
    <n v="35"/>
    <n v="43.5"/>
    <n v="158.5"/>
  </r>
  <r>
    <x v="2388"/>
    <n v="817213"/>
    <s v="MAHENDRA KUMAR"/>
    <n v="119026"/>
    <s v="FRIENDS SUPPLIERS CO.(L"/>
    <n v="0"/>
    <n v="0"/>
    <n v="0"/>
    <n v="0"/>
    <n v="0"/>
    <n v="0"/>
    <n v="0"/>
    <n v="0"/>
    <n v="0"/>
    <n v="60"/>
    <n v="72.5"/>
    <n v="30"/>
    <n v="162.5"/>
  </r>
  <r>
    <x v="2389"/>
    <n v="817217"/>
    <s v="JASNATH CEMENT SUPPLIERS"/>
    <n v="209652"/>
    <s v="RAJRUCHI CEMENT BHANDAR"/>
    <n v="0"/>
    <n v="0"/>
    <n v="0"/>
    <n v="0"/>
    <n v="0"/>
    <n v="0"/>
    <n v="0"/>
    <n v="0"/>
    <n v="40"/>
    <n v="63"/>
    <n v="60"/>
    <n v="60"/>
    <n v="223"/>
  </r>
  <r>
    <x v="2390"/>
    <n v="817218"/>
    <s v="JASNATH CEMENT AGENCY"/>
    <n v="209652"/>
    <s v="RAJRUCHI CEMENT BHANDAR"/>
    <n v="0"/>
    <n v="0"/>
    <n v="0"/>
    <n v="0"/>
    <n v="0"/>
    <n v="0"/>
    <n v="0"/>
    <n v="0"/>
    <n v="152"/>
    <n v="79"/>
    <n v="70"/>
    <n v="123.5"/>
    <n v="424.5"/>
  </r>
  <r>
    <x v="2391"/>
    <n v="817219"/>
    <s v="GANPATI BUILDING MATERIAL"/>
    <n v="209652"/>
    <s v="RAJRUCHI CEMENT BHANDAR"/>
    <n v="0"/>
    <n v="0"/>
    <n v="0"/>
    <n v="0"/>
    <n v="0"/>
    <n v="0"/>
    <n v="0"/>
    <n v="0"/>
    <n v="45"/>
    <n v="40"/>
    <n v="0"/>
    <n v="30"/>
    <n v="115"/>
  </r>
  <r>
    <x v="2392"/>
    <n v="817221"/>
    <s v="ANNAPURNA SALES AGENCY"/>
    <n v="209702"/>
    <s v="ANNAPURNA DEVELOPERS"/>
    <n v="0"/>
    <n v="0"/>
    <n v="0"/>
    <n v="0"/>
    <n v="0"/>
    <n v="0"/>
    <n v="0"/>
    <n v="0"/>
    <n v="20"/>
    <n v="60"/>
    <n v="0"/>
    <n v="15"/>
    <n v="95"/>
  </r>
  <r>
    <x v="2393"/>
    <n v="817223"/>
    <s v="LAKSHYA CEMENT SUPPLIER"/>
    <n v="170392"/>
    <s v="JYOTI SUPPLIERS"/>
    <n v="0"/>
    <n v="0"/>
    <n v="0"/>
    <n v="0"/>
    <n v="0"/>
    <n v="0"/>
    <n v="0"/>
    <n v="0"/>
    <n v="0"/>
    <n v="0"/>
    <n v="0"/>
    <n v="35"/>
    <n v="35"/>
  </r>
  <r>
    <x v="2394"/>
    <n v="817223"/>
    <s v="LAKSHYA CEMENT SUPPLIER"/>
    <n v="172640"/>
    <s v="KUSHAL TRADERS"/>
    <n v="0"/>
    <n v="0"/>
    <n v="0"/>
    <n v="0"/>
    <n v="0"/>
    <n v="0"/>
    <n v="0"/>
    <n v="0"/>
    <n v="273.25"/>
    <n v="312.5"/>
    <n v="252"/>
    <n v="349.5"/>
    <n v="1187.25"/>
  </r>
  <r>
    <x v="2395"/>
    <n v="817224"/>
    <s v="OM PRAKASH PRAJAPAT"/>
    <n v="201678"/>
    <s v="SHREE NATH JI MARBLES"/>
    <n v="0"/>
    <n v="0"/>
    <n v="0"/>
    <n v="0"/>
    <n v="0"/>
    <n v="0"/>
    <n v="0"/>
    <n v="0"/>
    <n v="40"/>
    <n v="65.5"/>
    <n v="20"/>
    <n v="0"/>
    <n v="125.5"/>
  </r>
  <r>
    <x v="2396"/>
    <n v="817225"/>
    <s v="DILIP SHARMA"/>
    <n v="178004"/>
    <s v="ANUSHIL ENTERPRISES"/>
    <n v="0"/>
    <n v="0"/>
    <n v="0"/>
    <n v="0"/>
    <n v="0"/>
    <n v="0"/>
    <n v="0"/>
    <n v="0"/>
    <n v="20"/>
    <n v="40"/>
    <n v="30"/>
    <n v="51"/>
    <n v="141"/>
  </r>
  <r>
    <x v="2397"/>
    <n v="817233"/>
    <s v="JAIN SANITARY &amp; CEMENT"/>
    <n v="179560"/>
    <s v="TIRUPATI TRADING COMPANY"/>
    <n v="0"/>
    <n v="0"/>
    <n v="0"/>
    <n v="0"/>
    <n v="0"/>
    <n v="0"/>
    <n v="0"/>
    <n v="0"/>
    <n v="38.5"/>
    <n v="45"/>
    <n v="48.5"/>
    <n v="30"/>
    <n v="162"/>
  </r>
  <r>
    <x v="2398"/>
    <n v="817235"/>
    <s v="SHIV DEV TRADERS"/>
    <n v="170958"/>
    <s v="JAI SHRI CONSTRUCTION"/>
    <n v="0"/>
    <n v="0"/>
    <n v="0"/>
    <n v="0"/>
    <n v="0"/>
    <n v="0"/>
    <n v="0"/>
    <n v="0"/>
    <n v="50"/>
    <n v="17.5"/>
    <n v="0"/>
    <n v="0"/>
    <n v="67.5"/>
  </r>
  <r>
    <x v="2399"/>
    <n v="817238"/>
    <s v="KAKA TRADERS"/>
    <n v="171578"/>
    <s v="KOTA BUILDMAT"/>
    <n v="0"/>
    <n v="0"/>
    <n v="0"/>
    <n v="0"/>
    <n v="0"/>
    <n v="0"/>
    <n v="0"/>
    <n v="0"/>
    <n v="63"/>
    <n v="87.5"/>
    <n v="72.150000000000006"/>
    <n v="178.25"/>
    <n v="400.9"/>
  </r>
  <r>
    <x v="2400"/>
    <n v="817239"/>
    <s v="KUSHAL BUILDING MATERIAL SUPPL"/>
    <n v="171578"/>
    <s v="KOTA BUILDMAT"/>
    <n v="0"/>
    <n v="0"/>
    <n v="0"/>
    <n v="0"/>
    <n v="0"/>
    <n v="0"/>
    <n v="0"/>
    <n v="0"/>
    <n v="5"/>
    <n v="5"/>
    <n v="20"/>
    <n v="10"/>
    <n v="40"/>
  </r>
  <r>
    <x v="2401"/>
    <n v="817251"/>
    <s v="RAKESH KHILERI"/>
    <n v="210566"/>
    <s v="LADHURAM  MURLIDHAR RATHI"/>
    <n v="0"/>
    <n v="0"/>
    <n v="0"/>
    <n v="0"/>
    <n v="0"/>
    <n v="0"/>
    <n v="0"/>
    <n v="0"/>
    <n v="62.5"/>
    <n v="108.5"/>
    <n v="0"/>
    <n v="130"/>
    <n v="301"/>
  </r>
  <r>
    <x v="2402"/>
    <n v="817252"/>
    <s v="SHREE BALAJI BUILDING MATERIAL"/>
    <n v="209017"/>
    <s v="SARSWAT HARDWARE"/>
    <n v="0"/>
    <n v="0"/>
    <n v="0"/>
    <n v="0"/>
    <n v="0"/>
    <n v="0"/>
    <n v="0"/>
    <n v="0"/>
    <n v="55"/>
    <n v="50"/>
    <n v="50.1"/>
    <n v="91"/>
    <n v="246.1"/>
  </r>
  <r>
    <x v="2403"/>
    <n v="817254"/>
    <s v="VIMAL BUILDING MATERIAL SUPPLI"/>
    <n v="207713"/>
    <s v="TAGALA BROTHERS"/>
    <n v="0"/>
    <n v="0"/>
    <n v="0"/>
    <n v="0"/>
    <n v="0"/>
    <n v="0"/>
    <n v="0"/>
    <n v="0"/>
    <n v="32.5"/>
    <n v="12.5"/>
    <n v="33.5"/>
    <n v="37.5"/>
    <n v="116"/>
  </r>
  <r>
    <x v="2404"/>
    <n v="817263"/>
    <s v="TULARA TRADERS"/>
    <n v="170204"/>
    <s v="GOYAL BUILDING MATERIAL"/>
    <n v="0"/>
    <n v="0"/>
    <n v="0"/>
    <n v="0"/>
    <n v="0"/>
    <n v="0"/>
    <n v="0"/>
    <n v="0"/>
    <n v="129"/>
    <n v="20"/>
    <n v="133"/>
    <n v="180.5"/>
    <n v="462.5"/>
  </r>
  <r>
    <x v="2405"/>
    <n v="817264"/>
    <s v="INDIRA GANDHI CONTRACTOR"/>
    <n v="170200"/>
    <s v="GARG TRADING COMPANY"/>
    <n v="0"/>
    <n v="0"/>
    <n v="0"/>
    <n v="0"/>
    <n v="0"/>
    <n v="0"/>
    <n v="0"/>
    <n v="0"/>
    <n v="35"/>
    <n v="35"/>
    <n v="35"/>
    <n v="34"/>
    <n v="139"/>
  </r>
  <r>
    <x v="2406"/>
    <n v="817268"/>
    <s v="PITRA KRIPA CEMENT AGENCY"/>
    <n v="202867"/>
    <s v="DEV NAKODA CEMENT AGENCY"/>
    <n v="0"/>
    <n v="0"/>
    <n v="0"/>
    <n v="0"/>
    <n v="0"/>
    <n v="0"/>
    <n v="0"/>
    <n v="0"/>
    <n v="109"/>
    <n v="26"/>
    <n v="48"/>
    <n v="126"/>
    <n v="309"/>
  </r>
  <r>
    <x v="2407"/>
    <n v="817270"/>
    <s v="MANOHAR SINGH"/>
    <n v="176929"/>
    <s v="BHARAT TRADERS"/>
    <n v="0"/>
    <n v="0"/>
    <n v="0"/>
    <n v="0"/>
    <n v="0"/>
    <n v="0"/>
    <n v="0"/>
    <n v="0"/>
    <n v="20"/>
    <n v="41"/>
    <n v="40"/>
    <n v="45"/>
    <n v="146"/>
  </r>
  <r>
    <x v="2408"/>
    <n v="817271"/>
    <s v="BHAIRAV BUILDING MATERIAL"/>
    <n v="170204"/>
    <s v="GOYAL BUILDING MATERIAL"/>
    <n v="0"/>
    <n v="0"/>
    <n v="0"/>
    <n v="0"/>
    <n v="0"/>
    <n v="0"/>
    <n v="0"/>
    <n v="0"/>
    <n v="87"/>
    <n v="67"/>
    <n v="0"/>
    <n v="10"/>
    <n v="164"/>
  </r>
  <r>
    <x v="2409"/>
    <n v="817272"/>
    <s v="RAJ TRADERS"/>
    <n v="202870"/>
    <s v="ASHUTOSH CONSTRUCTION CO"/>
    <n v="0"/>
    <n v="0"/>
    <n v="0"/>
    <n v="0"/>
    <n v="0"/>
    <n v="0"/>
    <n v="0"/>
    <n v="0"/>
    <n v="68"/>
    <n v="96"/>
    <n v="40"/>
    <n v="52"/>
    <n v="256"/>
  </r>
  <r>
    <x v="2410"/>
    <n v="817273"/>
    <s v="NAGDA BUILDING MATERIAL SUPPLI"/>
    <n v="204034"/>
    <s v="PATEL CEMENT SUPPLIERS"/>
    <n v="0"/>
    <n v="0"/>
    <n v="0"/>
    <n v="0"/>
    <n v="0"/>
    <n v="0"/>
    <n v="0"/>
    <n v="0"/>
    <n v="15"/>
    <n v="15"/>
    <n v="28"/>
    <n v="62"/>
    <n v="120"/>
  </r>
  <r>
    <x v="2411"/>
    <n v="817275"/>
    <s v="PARAS BEEJ BHANDAR"/>
    <n v="172640"/>
    <s v="KUSHAL TRADERS"/>
    <n v="0"/>
    <n v="0"/>
    <n v="0"/>
    <n v="0"/>
    <n v="0"/>
    <n v="0"/>
    <n v="0"/>
    <n v="0"/>
    <n v="200"/>
    <n v="151"/>
    <n v="176.75"/>
    <n v="119.5"/>
    <n v="647.25"/>
  </r>
  <r>
    <x v="2412"/>
    <n v="817276"/>
    <s v="DEEPIKA STONE COMPANY"/>
    <n v="149991"/>
    <s v="BALAJI STONE COMPANY"/>
    <n v="0"/>
    <n v="0"/>
    <n v="0"/>
    <n v="0"/>
    <n v="0"/>
    <n v="0"/>
    <n v="0"/>
    <n v="0"/>
    <n v="40"/>
    <n v="22.5"/>
    <n v="18.75"/>
    <n v="10"/>
    <n v="91.25"/>
  </r>
  <r>
    <x v="2413"/>
    <n v="817276"/>
    <s v="DEEPIKA STONE COMPANY"/>
    <n v="177956"/>
    <s v="CHOUDHARY BUIDING MATERIAL"/>
    <n v="0"/>
    <n v="0"/>
    <n v="0"/>
    <n v="0"/>
    <n v="0"/>
    <n v="0"/>
    <n v="0"/>
    <n v="0"/>
    <n v="14"/>
    <n v="0"/>
    <n v="0"/>
    <n v="0"/>
    <n v="14"/>
  </r>
  <r>
    <x v="2414"/>
    <n v="817277"/>
    <s v="MAHENDRA KUMAR SUTHAR"/>
    <n v="174756"/>
    <s v="SHAH TRADERS"/>
    <n v="0"/>
    <n v="0"/>
    <n v="0"/>
    <n v="0"/>
    <n v="0"/>
    <n v="0"/>
    <n v="0"/>
    <n v="0"/>
    <n v="27"/>
    <n v="25"/>
    <n v="17.5"/>
    <n v="22"/>
    <n v="91.5"/>
  </r>
  <r>
    <x v="2415"/>
    <n v="817283"/>
    <s v="SAVITRI ENTERPRISE"/>
    <n v="203352"/>
    <s v="NIRBAN BUILDER &amp; HARDWARE SUPP"/>
    <n v="0"/>
    <n v="0"/>
    <n v="0"/>
    <n v="0"/>
    <n v="0"/>
    <n v="0"/>
    <n v="0"/>
    <n v="0"/>
    <n v="0"/>
    <n v="53.800000000000004"/>
    <n v="152.5"/>
    <n v="194.5"/>
    <n v="400.8"/>
  </r>
  <r>
    <x v="2416"/>
    <n v="817302"/>
    <s v="ROYAL ENTERPRISES"/>
    <n v="121706"/>
    <s v="ANKIT TRADERS"/>
    <n v="0"/>
    <n v="0"/>
    <n v="0"/>
    <n v="0"/>
    <n v="0"/>
    <n v="0"/>
    <n v="0"/>
    <n v="0"/>
    <n v="30"/>
    <n v="10"/>
    <n v="15"/>
    <n v="0"/>
    <n v="55"/>
  </r>
  <r>
    <x v="2417"/>
    <n v="817308"/>
    <s v="POOJA STEEL"/>
    <n v="209586"/>
    <s v="SHIV SHAKTI WELDING WORKS"/>
    <n v="0"/>
    <n v="0"/>
    <n v="0"/>
    <n v="0"/>
    <n v="0"/>
    <n v="0"/>
    <n v="0"/>
    <n v="0"/>
    <n v="40"/>
    <n v="0"/>
    <n v="3.5"/>
    <n v="0"/>
    <n v="43.5"/>
  </r>
  <r>
    <x v="2418"/>
    <n v="817319"/>
    <s v="SATYAM TRADING COMPANY"/>
    <n v="170617"/>
    <s v="MANGALAM TRADING COMPANY"/>
    <n v="0"/>
    <n v="0"/>
    <n v="0"/>
    <n v="0"/>
    <n v="0"/>
    <n v="0"/>
    <n v="0"/>
    <n v="0"/>
    <n v="20"/>
    <n v="45"/>
    <n v="61.5"/>
    <n v="0"/>
    <n v="126.5"/>
  </r>
  <r>
    <x v="2419"/>
    <n v="817320"/>
    <s v="ROHIT ENTERPRISES"/>
    <n v="178105"/>
    <s v="BALAJI TRADERS"/>
    <n v="0"/>
    <n v="0"/>
    <n v="0"/>
    <n v="0"/>
    <n v="0"/>
    <n v="0"/>
    <n v="0"/>
    <n v="0"/>
    <n v="40.5"/>
    <n v="56"/>
    <n v="87.5"/>
    <n v="96"/>
    <n v="280"/>
  </r>
  <r>
    <x v="2420"/>
    <n v="817322"/>
    <s v="SHREE JAANKINATH CONSTRUCTION"/>
    <n v="149885"/>
    <s v="LUHANI CEMENT SUPPLIERS"/>
    <n v="0"/>
    <n v="0"/>
    <n v="0"/>
    <n v="0"/>
    <n v="0"/>
    <n v="0"/>
    <n v="0"/>
    <n v="0"/>
    <n v="75.45"/>
    <n v="52"/>
    <n v="27"/>
    <n v="37"/>
    <n v="191.45"/>
  </r>
  <r>
    <x v="2421"/>
    <n v="817329"/>
    <s v="BALAJI DHARAMKANTA"/>
    <n v="207713"/>
    <s v="TAGALA BROTHERS"/>
    <n v="0"/>
    <n v="0"/>
    <n v="0"/>
    <n v="0"/>
    <n v="0"/>
    <n v="0"/>
    <n v="0"/>
    <n v="0"/>
    <n v="8"/>
    <n v="7.5"/>
    <n v="25"/>
    <n v="25"/>
    <n v="65.5"/>
  </r>
  <r>
    <x v="2422"/>
    <n v="817337"/>
    <s v="SHRI KRISHNA BUILDING MATERIAL"/>
    <n v="177379"/>
    <s v="MANGILAL &amp; SONS"/>
    <n v="0"/>
    <n v="0"/>
    <n v="0"/>
    <n v="0"/>
    <n v="0"/>
    <n v="0"/>
    <n v="0"/>
    <n v="0"/>
    <n v="30"/>
    <n v="50"/>
    <n v="35"/>
    <n v="65"/>
    <n v="180"/>
  </r>
  <r>
    <x v="2423"/>
    <n v="817342"/>
    <s v="SHRI KRISHNA ASSOCIATES"/>
    <n v="179396"/>
    <s v="SHRI KHANDAL CEMENT AGENCY"/>
    <n v="0"/>
    <n v="0"/>
    <n v="0"/>
    <n v="0"/>
    <n v="0"/>
    <n v="0"/>
    <n v="0"/>
    <n v="0"/>
    <n v="11.25"/>
    <n v="8"/>
    <n v="0"/>
    <n v="30"/>
    <n v="49.25"/>
  </r>
  <r>
    <x v="2424"/>
    <n v="817343"/>
    <s v="R K ELECTRICALS AND HARDWARE"/>
    <n v="149825"/>
    <s v="MISHRA CEMENT AGENCIES"/>
    <n v="0"/>
    <n v="0"/>
    <n v="0"/>
    <n v="0"/>
    <n v="0"/>
    <n v="0"/>
    <n v="0"/>
    <n v="0"/>
    <n v="15"/>
    <n v="0"/>
    <n v="0"/>
    <n v="0"/>
    <n v="15"/>
  </r>
  <r>
    <x v="2425"/>
    <n v="817349"/>
    <s v="BALAJI CEMENT UDYOG"/>
    <n v="205742"/>
    <s v="KISTURI TRADERS"/>
    <n v="0"/>
    <n v="0"/>
    <n v="0"/>
    <n v="0"/>
    <n v="0"/>
    <n v="0"/>
    <n v="0"/>
    <n v="0"/>
    <n v="0"/>
    <n v="10"/>
    <n v="0"/>
    <n v="15"/>
    <n v="25"/>
  </r>
  <r>
    <x v="2426"/>
    <n v="817350"/>
    <s v="ISHWAR RAM"/>
    <n v="174034"/>
    <s v="RADHE BUILDING MATERIAL"/>
    <n v="0"/>
    <n v="0"/>
    <n v="0"/>
    <n v="0"/>
    <n v="0"/>
    <n v="0"/>
    <n v="0"/>
    <n v="0"/>
    <n v="0"/>
    <n v="0"/>
    <n v="32.5"/>
    <n v="35"/>
    <n v="67.5"/>
  </r>
  <r>
    <x v="2427"/>
    <n v="817352"/>
    <s v="SHRI KRISHNA BUILDING MATERIAL"/>
    <n v="171479"/>
    <s v="YADAV TRADING COMPANY"/>
    <n v="0"/>
    <n v="0"/>
    <n v="0"/>
    <n v="0"/>
    <n v="0"/>
    <n v="0"/>
    <n v="0"/>
    <n v="0"/>
    <n v="52.5"/>
    <n v="60"/>
    <n v="54"/>
    <n v="70"/>
    <n v="236.5"/>
  </r>
  <r>
    <x v="2428"/>
    <n v="817364"/>
    <s v="CHARBHUJA ELECTRONIC HARDWARE"/>
    <n v="148934"/>
    <s v="VIDHATA CEMENT DISTRIBUTORS"/>
    <n v="0"/>
    <n v="0"/>
    <n v="0"/>
    <n v="0"/>
    <n v="0"/>
    <n v="0"/>
    <n v="0"/>
    <n v="0"/>
    <n v="28.5"/>
    <n v="89"/>
    <n v="109.5"/>
    <n v="145.30000000000001"/>
    <n v="372.3"/>
  </r>
  <r>
    <x v="2429"/>
    <n v="817365"/>
    <s v="MAJISHA AGENCY"/>
    <n v="148934"/>
    <s v="VIDHATA CEMENT DISTRIBUTORS"/>
    <n v="0"/>
    <n v="0"/>
    <n v="0"/>
    <n v="0"/>
    <n v="0"/>
    <n v="0"/>
    <n v="0"/>
    <n v="0"/>
    <n v="28.5"/>
    <n v="86"/>
    <n v="127.5"/>
    <n v="115"/>
    <n v="357"/>
  </r>
  <r>
    <x v="2430"/>
    <n v="817366"/>
    <s v="MUNIRAJ MEENA"/>
    <n v="210355"/>
    <s v="SHRI BALAJI TRADERS"/>
    <n v="0"/>
    <n v="0"/>
    <n v="0"/>
    <n v="0"/>
    <n v="0"/>
    <n v="0"/>
    <n v="0"/>
    <n v="0"/>
    <n v="15"/>
    <n v="114"/>
    <n v="0"/>
    <n v="20"/>
    <n v="149"/>
  </r>
  <r>
    <x v="2431"/>
    <n v="817368"/>
    <s v="RAM KUMAR"/>
    <n v="143608"/>
    <s v="OM IRON AND CEMENT AGENCY"/>
    <n v="0"/>
    <n v="0"/>
    <n v="0"/>
    <n v="0"/>
    <n v="0"/>
    <n v="0"/>
    <n v="0"/>
    <n v="0"/>
    <n v="25"/>
    <n v="53"/>
    <n v="41"/>
    <n v="3"/>
    <n v="122"/>
  </r>
  <r>
    <x v="2432"/>
    <n v="817372"/>
    <s v="MAJISHA CONSTRUCTION COMPANY"/>
    <n v="173224"/>
    <s v="D.R.MARBLE &amp; SANITORY"/>
    <n v="0"/>
    <n v="0"/>
    <n v="0"/>
    <n v="0"/>
    <n v="0"/>
    <n v="0"/>
    <n v="0"/>
    <n v="0"/>
    <n v="100"/>
    <n v="30"/>
    <n v="131"/>
    <n v="140"/>
    <n v="401"/>
  </r>
  <r>
    <x v="2433"/>
    <n v="817377"/>
    <s v="SHREE SHYAM BUILDING MATERIAL"/>
    <n v="178105"/>
    <s v="BALAJI TRADERS"/>
    <n v="0"/>
    <n v="0"/>
    <n v="0"/>
    <n v="0"/>
    <n v="0"/>
    <n v="0"/>
    <n v="0"/>
    <n v="0"/>
    <n v="39.5"/>
    <n v="66"/>
    <n v="23"/>
    <n v="48.5"/>
    <n v="177"/>
  </r>
  <r>
    <x v="2434"/>
    <n v="817382"/>
    <s v="KRISHNA CONSTRUCTION"/>
    <n v="119065"/>
    <s v="AJMERA TRANSPORTER"/>
    <n v="0"/>
    <n v="0"/>
    <n v="0"/>
    <n v="0"/>
    <n v="0"/>
    <n v="0"/>
    <n v="0"/>
    <n v="0"/>
    <n v="0"/>
    <n v="32.5"/>
    <n v="27.5"/>
    <n v="37.5"/>
    <n v="97.5"/>
  </r>
  <r>
    <x v="2435"/>
    <n v="817384"/>
    <s v="SHUBH LABH TRADERS"/>
    <n v="204622"/>
    <s v="VINAYAK TRADERS"/>
    <n v="0"/>
    <n v="0"/>
    <n v="0"/>
    <n v="0"/>
    <n v="0"/>
    <n v="0"/>
    <n v="0"/>
    <n v="0"/>
    <n v="42.5"/>
    <n v="36"/>
    <n v="54.75"/>
    <n v="51"/>
    <n v="184.25"/>
  </r>
  <r>
    <x v="2436"/>
    <n v="817386"/>
    <s v="PARAS STEEL"/>
    <n v="179911"/>
    <s v="DIPESH STEEL AND BUILDING MATE"/>
    <n v="0"/>
    <n v="0"/>
    <n v="0"/>
    <n v="0"/>
    <n v="0"/>
    <n v="0"/>
    <n v="0"/>
    <n v="0"/>
    <n v="15"/>
    <n v="10"/>
    <n v="0"/>
    <n v="20"/>
    <n v="45"/>
  </r>
  <r>
    <x v="2437"/>
    <n v="817403"/>
    <s v="MENA"/>
    <n v="176869"/>
    <s v="CHHABRA CEMENT SUPPLIERS"/>
    <n v="0"/>
    <n v="0"/>
    <n v="0"/>
    <n v="0"/>
    <n v="0"/>
    <n v="0"/>
    <n v="0"/>
    <n v="0"/>
    <n v="100.5"/>
    <n v="129"/>
    <n v="125"/>
    <n v="175"/>
    <n v="529.5"/>
  </r>
  <r>
    <x v="2438"/>
    <n v="817403"/>
    <s v="MENA"/>
    <n v="177787"/>
    <s v="S M TILES UDYOG"/>
    <n v="0"/>
    <n v="0"/>
    <n v="0"/>
    <n v="0"/>
    <n v="0"/>
    <n v="0"/>
    <n v="0"/>
    <n v="0"/>
    <n v="0"/>
    <n v="0"/>
    <n v="7.5"/>
    <n v="0"/>
    <n v="7.5"/>
  </r>
  <r>
    <x v="2439"/>
    <n v="817404"/>
    <s v="JAI AMBE TRADERS"/>
    <n v="178234"/>
    <s v="SHREE GIRIRAJ TRADERS"/>
    <n v="0"/>
    <n v="0"/>
    <n v="0"/>
    <n v="0"/>
    <n v="0"/>
    <n v="0"/>
    <n v="0"/>
    <n v="0"/>
    <n v="101.5"/>
    <n v="171.6"/>
    <n v="81.55"/>
    <n v="111"/>
    <n v="465.65000000000003"/>
  </r>
  <r>
    <x v="2440"/>
    <n v="817411"/>
    <s v="DHARMA RAM"/>
    <n v="177295"/>
    <s v="ROHIT TRADERS"/>
    <n v="0"/>
    <n v="0"/>
    <n v="0"/>
    <n v="0"/>
    <n v="0"/>
    <n v="0"/>
    <n v="0"/>
    <n v="0"/>
    <n v="40"/>
    <n v="75"/>
    <n v="10"/>
    <n v="44"/>
    <n v="169"/>
  </r>
  <r>
    <x v="2441"/>
    <n v="817412"/>
    <s v="BARKAT ALI"/>
    <n v="176833"/>
    <s v="NAKORA CEMENT SUPPLIERS"/>
    <n v="0"/>
    <n v="0"/>
    <n v="0"/>
    <n v="0"/>
    <n v="0"/>
    <n v="0"/>
    <n v="0"/>
    <n v="0"/>
    <n v="125"/>
    <n v="95"/>
    <n v="40"/>
    <n v="20"/>
    <n v="280"/>
  </r>
  <r>
    <x v="2442"/>
    <n v="817413"/>
    <s v="RUPA RAM"/>
    <n v="177295"/>
    <s v="ROHIT TRADERS"/>
    <n v="0"/>
    <n v="0"/>
    <n v="0"/>
    <n v="0"/>
    <n v="0"/>
    <n v="0"/>
    <n v="0"/>
    <n v="0"/>
    <n v="35"/>
    <n v="75"/>
    <n v="20"/>
    <n v="40"/>
    <n v="170"/>
  </r>
  <r>
    <x v="2443"/>
    <n v="817417"/>
    <s v="KHANDELWAL TRADING COMPANY"/>
    <n v="119261"/>
    <s v="DURGESH ENTERPRISES"/>
    <n v="0"/>
    <n v="0"/>
    <n v="0"/>
    <n v="0"/>
    <n v="0"/>
    <n v="0"/>
    <n v="0"/>
    <n v="0"/>
    <n v="20"/>
    <n v="20.5"/>
    <n v="0"/>
    <n v="0"/>
    <n v="40.5"/>
  </r>
  <r>
    <x v="2444"/>
    <n v="817426"/>
    <s v="JEEVAN BUILDING MATERIAL SUPPL"/>
    <n v="177426"/>
    <s v="THALOR ENTERPRISES"/>
    <n v="0"/>
    <n v="0"/>
    <n v="0"/>
    <n v="0"/>
    <n v="0"/>
    <n v="0"/>
    <n v="0"/>
    <n v="0"/>
    <n v="11"/>
    <n v="0"/>
    <n v="10"/>
    <n v="38"/>
    <n v="59"/>
  </r>
  <r>
    <x v="2445"/>
    <n v="817427"/>
    <s v="SOMVEER"/>
    <n v="210452"/>
    <s v="SHRI MANSA MATA BUILDING MATER"/>
    <n v="0"/>
    <n v="0"/>
    <n v="0"/>
    <n v="0"/>
    <n v="0"/>
    <n v="0"/>
    <n v="0"/>
    <n v="0"/>
    <n v="0"/>
    <n v="43"/>
    <n v="59"/>
    <n v="68.849999999999994"/>
    <n v="170.85"/>
  </r>
  <r>
    <x v="2446"/>
    <n v="817454"/>
    <s v="JUGARAM"/>
    <n v="178268"/>
    <s v="VISHNU KHAD BEEZ BHANDAR"/>
    <n v="0"/>
    <n v="0"/>
    <n v="0"/>
    <n v="0"/>
    <n v="0"/>
    <n v="0"/>
    <n v="0"/>
    <n v="0"/>
    <n v="0"/>
    <n v="51"/>
    <n v="64"/>
    <n v="126"/>
    <n v="241"/>
  </r>
  <r>
    <x v="2447"/>
    <n v="817459"/>
    <s v="BALAJI STONE SUPPLIERS"/>
    <n v="143607"/>
    <s v="KRISHNA AGENCIES"/>
    <n v="0"/>
    <n v="0"/>
    <n v="0"/>
    <n v="0"/>
    <n v="0"/>
    <n v="0"/>
    <n v="0"/>
    <n v="0"/>
    <n v="0"/>
    <n v="10"/>
    <n v="31"/>
    <n v="27"/>
    <n v="68"/>
  </r>
  <r>
    <x v="2448"/>
    <n v="817461"/>
    <s v="VIJAY KUMAR"/>
    <n v="177301"/>
    <s v="BALAJI CEMENT SUPPLIERS"/>
    <n v="0"/>
    <n v="0"/>
    <n v="0"/>
    <n v="0"/>
    <n v="0"/>
    <n v="0"/>
    <n v="0"/>
    <n v="0"/>
    <n v="0"/>
    <n v="25"/>
    <n v="35"/>
    <n v="48.5"/>
    <n v="108.5"/>
  </r>
  <r>
    <x v="2449"/>
    <n v="817480"/>
    <s v="KARNI KRIPA CEMENT AGENCY THOB"/>
    <n v="119038"/>
    <s v="NAVEEN DISTRIBUTORS"/>
    <n v="0"/>
    <n v="0"/>
    <n v="0"/>
    <n v="0"/>
    <n v="0"/>
    <n v="0"/>
    <n v="0"/>
    <n v="0"/>
    <n v="30"/>
    <n v="55"/>
    <n v="40"/>
    <n v="0"/>
    <n v="125"/>
  </r>
  <r>
    <x v="2450"/>
    <n v="817482"/>
    <s v="N K TRADERS"/>
    <n v="119029"/>
    <s v="LALLAMAL KANHYALAL &amp; SONS"/>
    <n v="0"/>
    <n v="0"/>
    <n v="0"/>
    <n v="0"/>
    <n v="0"/>
    <n v="0"/>
    <n v="0"/>
    <n v="0"/>
    <n v="0"/>
    <n v="0"/>
    <n v="25"/>
    <n v="9"/>
    <n v="34"/>
  </r>
  <r>
    <x v="2451"/>
    <n v="817489"/>
    <s v="SENGAWA MARKET"/>
    <n v="170775"/>
    <s v="GANPAT LAL MAROTHIYA AND SONS"/>
    <n v="0"/>
    <n v="0"/>
    <n v="0"/>
    <n v="0"/>
    <n v="0"/>
    <n v="0"/>
    <n v="0"/>
    <n v="0"/>
    <n v="10"/>
    <n v="40"/>
    <n v="10"/>
    <n v="65"/>
    <n v="125"/>
  </r>
  <r>
    <x v="2452"/>
    <n v="817513"/>
    <s v="PRIYANKA"/>
    <n v="205004"/>
    <s v="MORCHHARI TRADE LINK"/>
    <n v="0"/>
    <n v="0"/>
    <n v="0"/>
    <n v="0"/>
    <n v="0"/>
    <n v="0"/>
    <n v="0"/>
    <n v="0"/>
    <n v="18"/>
    <n v="43.5"/>
    <n v="23.5"/>
    <n v="69"/>
    <n v="154"/>
  </r>
  <r>
    <x v="2453"/>
    <n v="817514"/>
    <s v="GUPTA CEMENT AGENCY"/>
    <n v="119261"/>
    <s v="DURGESH ENTERPRISES"/>
    <n v="0"/>
    <n v="0"/>
    <n v="0"/>
    <n v="0"/>
    <n v="0"/>
    <n v="0"/>
    <n v="0"/>
    <n v="0"/>
    <n v="0"/>
    <n v="82"/>
    <n v="100"/>
    <n v="50"/>
    <n v="232"/>
  </r>
  <r>
    <x v="2454"/>
    <n v="817515"/>
    <s v="RAJENDRA SINGH"/>
    <n v="204030"/>
    <s v="DEVA LAL KUMAWAT"/>
    <n v="0"/>
    <n v="0"/>
    <n v="0"/>
    <n v="0"/>
    <n v="0"/>
    <n v="0"/>
    <n v="0"/>
    <n v="0"/>
    <n v="26"/>
    <n v="0"/>
    <n v="52"/>
    <n v="65.5"/>
    <n v="143.5"/>
  </r>
  <r>
    <x v="2455"/>
    <n v="817542"/>
    <s v="ROSHAN TRADERS"/>
    <n v="171578"/>
    <s v="KOTA BUILDMAT"/>
    <n v="0"/>
    <n v="0"/>
    <n v="0"/>
    <n v="0"/>
    <n v="0"/>
    <n v="0"/>
    <n v="0"/>
    <n v="0"/>
    <n v="0"/>
    <n v="70"/>
    <n v="67.400000000000006"/>
    <n v="270.75"/>
    <n v="408.15"/>
  </r>
  <r>
    <x v="2456"/>
    <n v="817543"/>
    <s v="BANDAWALA CEMENT AGENCY"/>
    <n v="210123"/>
    <s v="ANKIT TRADERS"/>
    <n v="0"/>
    <n v="0"/>
    <n v="0"/>
    <n v="0"/>
    <n v="0"/>
    <n v="0"/>
    <n v="0"/>
    <n v="0"/>
    <n v="0"/>
    <n v="152.5"/>
    <n v="50"/>
    <n v="172"/>
    <n v="374.5"/>
  </r>
  <r>
    <x v="2457"/>
    <n v="817546"/>
    <s v="NISHA TRADERS"/>
    <n v="141512"/>
    <s v="MISHRA TRADERS"/>
    <n v="0"/>
    <n v="0"/>
    <n v="0"/>
    <n v="0"/>
    <n v="0"/>
    <n v="0"/>
    <n v="0"/>
    <n v="0"/>
    <n v="55"/>
    <n v="59.75"/>
    <n v="56.5"/>
    <n v="61"/>
    <n v="232.25"/>
  </r>
  <r>
    <x v="2458"/>
    <n v="817549"/>
    <s v="SHRI BALAJI GRANITE CUTTING UD"/>
    <n v="179486"/>
    <s v="MOROLIA TRADERS"/>
    <n v="0"/>
    <n v="0"/>
    <n v="0"/>
    <n v="0"/>
    <n v="0"/>
    <n v="0"/>
    <n v="0"/>
    <n v="0"/>
    <n v="0"/>
    <n v="30"/>
    <n v="10"/>
    <n v="47"/>
    <n v="87"/>
  </r>
  <r>
    <x v="2459"/>
    <n v="817585"/>
    <s v="RAHUL CEMENT AGENCY"/>
    <n v="202204"/>
    <s v="NEERAJ &amp; BROTHERS"/>
    <n v="0"/>
    <n v="0"/>
    <n v="0"/>
    <n v="0"/>
    <n v="0"/>
    <n v="0"/>
    <n v="0"/>
    <n v="0"/>
    <n v="0"/>
    <n v="90"/>
    <n v="35"/>
    <n v="35"/>
    <n v="160"/>
  </r>
  <r>
    <x v="2460"/>
    <n v="817586"/>
    <s v="PADMAWATI TRADERS"/>
    <n v="119066"/>
    <s v="RAJENDRA KUMAR RATAN LAL JAIN"/>
    <n v="0"/>
    <n v="0"/>
    <n v="0"/>
    <n v="0"/>
    <n v="0"/>
    <n v="0"/>
    <n v="0"/>
    <n v="0"/>
    <n v="0"/>
    <n v="101"/>
    <n v="80"/>
    <n v="102.5"/>
    <n v="283.5"/>
  </r>
  <r>
    <x v="2461"/>
    <n v="817587"/>
    <s v="GOMATI BUILDING MATERIAL"/>
    <n v="208183"/>
    <s v="AAGRAWAL TRADING COMPANY"/>
    <n v="0"/>
    <n v="0"/>
    <n v="0"/>
    <n v="0"/>
    <n v="0"/>
    <n v="0"/>
    <n v="0"/>
    <n v="0"/>
    <n v="0"/>
    <n v="41.5"/>
    <n v="10"/>
    <n v="44.25"/>
    <n v="95.75"/>
  </r>
  <r>
    <x v="2462"/>
    <n v="817588"/>
    <s v="RINIYA BALAJI CEMENT AGENCY"/>
    <n v="172338"/>
    <s v="KHILJEE BUILDING MATERIAL"/>
    <n v="0"/>
    <n v="0"/>
    <n v="0"/>
    <n v="0"/>
    <n v="0"/>
    <n v="0"/>
    <n v="0"/>
    <n v="0"/>
    <n v="0"/>
    <n v="66"/>
    <n v="25"/>
    <n v="12.5"/>
    <n v="103.5"/>
  </r>
  <r>
    <x v="2463"/>
    <n v="817589"/>
    <s v="JAI SHREE NAGNARAI BUILDING MA"/>
    <n v="172338"/>
    <s v="KHILJEE BUILDING MATERIAL"/>
    <n v="0"/>
    <n v="0"/>
    <n v="0"/>
    <n v="0"/>
    <n v="0"/>
    <n v="0"/>
    <n v="0"/>
    <n v="0"/>
    <n v="0"/>
    <n v="25"/>
    <n v="0"/>
    <n v="0"/>
    <n v="25"/>
  </r>
  <r>
    <x v="2464"/>
    <n v="817591"/>
    <s v="JOSHI AGENCIES"/>
    <n v="119261"/>
    <s v="DURGESH ENTERPRISES"/>
    <n v="0"/>
    <n v="0"/>
    <n v="0"/>
    <n v="0"/>
    <n v="0"/>
    <n v="0"/>
    <n v="0"/>
    <n v="0"/>
    <n v="0"/>
    <n v="50"/>
    <n v="149"/>
    <n v="0"/>
    <n v="199"/>
  </r>
  <r>
    <x v="2465"/>
    <n v="817595"/>
    <s v="MAHADEV TRADERS"/>
    <n v="142269"/>
    <s v="CHAMUNDA BUILDING MATERIAL SUP"/>
    <n v="0"/>
    <n v="0"/>
    <n v="0"/>
    <n v="0"/>
    <n v="0"/>
    <n v="0"/>
    <n v="0"/>
    <n v="0"/>
    <n v="0"/>
    <n v="180"/>
    <n v="50"/>
    <n v="70"/>
    <n v="300"/>
  </r>
  <r>
    <x v="2466"/>
    <n v="817598"/>
    <s v="SHREE CONSTRUCTION"/>
    <n v="171839"/>
    <s v="SARAWAGI CEMENT AGENCY"/>
    <n v="0"/>
    <n v="0"/>
    <n v="0"/>
    <n v="0"/>
    <n v="0"/>
    <n v="0"/>
    <n v="0"/>
    <n v="0"/>
    <n v="0"/>
    <n v="113.5"/>
    <n v="100"/>
    <n v="45"/>
    <n v="258.5"/>
  </r>
  <r>
    <x v="2467"/>
    <n v="817609"/>
    <s v="HEMRAJ AHIR"/>
    <n v="210132"/>
    <s v="SHRI MATESHWARI AGENCY"/>
    <n v="0"/>
    <n v="0"/>
    <n v="0"/>
    <n v="0"/>
    <n v="0"/>
    <n v="0"/>
    <n v="0"/>
    <n v="0"/>
    <n v="0"/>
    <n v="88"/>
    <n v="135.75"/>
    <n v="177"/>
    <n v="400.75"/>
  </r>
  <r>
    <x v="2468"/>
    <n v="817610"/>
    <s v="PRADEEP BUILDING MATERIAL SUPP"/>
    <n v="148557"/>
    <s v="MITALI ALLOYS PVT LTD"/>
    <n v="0"/>
    <n v="0"/>
    <n v="0"/>
    <n v="0"/>
    <n v="0"/>
    <n v="0"/>
    <n v="0"/>
    <n v="0"/>
    <n v="0"/>
    <n v="28"/>
    <n v="55"/>
    <n v="50"/>
    <n v="133"/>
  </r>
  <r>
    <x v="2469"/>
    <n v="817611"/>
    <s v="DHANPAL LODHA"/>
    <n v="119071"/>
    <s v="GANESH AGENCIES"/>
    <n v="0"/>
    <n v="0"/>
    <n v="0"/>
    <n v="0"/>
    <n v="0"/>
    <n v="0"/>
    <n v="0"/>
    <n v="0"/>
    <n v="0"/>
    <n v="52.5"/>
    <n v="10"/>
    <n v="20"/>
    <n v="82.5"/>
  </r>
  <r>
    <x v="2470"/>
    <n v="817614"/>
    <s v="DEEPENDRA SINGH"/>
    <n v="206367"/>
    <s v="RAMNIWAS DUDARAM BUILDING MATE"/>
    <n v="0"/>
    <n v="0"/>
    <n v="0"/>
    <n v="0"/>
    <n v="0"/>
    <n v="0"/>
    <n v="0"/>
    <n v="0"/>
    <n v="0"/>
    <n v="10"/>
    <n v="30"/>
    <n v="10"/>
    <n v="50"/>
  </r>
  <r>
    <x v="2471"/>
    <n v="817628"/>
    <s v="HONEY CEMENT AGENCY"/>
    <n v="207857"/>
    <s v="YADAV BUILDING MATERIAL"/>
    <n v="0"/>
    <n v="0"/>
    <n v="0"/>
    <n v="0"/>
    <n v="0"/>
    <n v="0"/>
    <n v="0"/>
    <n v="0"/>
    <n v="0"/>
    <n v="20"/>
    <n v="10"/>
    <n v="0"/>
    <n v="30"/>
  </r>
  <r>
    <x v="2472"/>
    <n v="817644"/>
    <s v="SATPAL"/>
    <n v="172942"/>
    <s v="LAXMI IRON STORE"/>
    <n v="0"/>
    <n v="0"/>
    <n v="0"/>
    <n v="0"/>
    <n v="0"/>
    <n v="0"/>
    <n v="0"/>
    <n v="0"/>
    <n v="0"/>
    <n v="60"/>
    <n v="55"/>
    <n v="40"/>
    <n v="155"/>
  </r>
  <r>
    <x v="2473"/>
    <n v="817646"/>
    <s v="HUSSAIN TRADERS"/>
    <n v="175856"/>
    <s v="SUMAN AGENCY"/>
    <n v="0"/>
    <n v="0"/>
    <n v="0"/>
    <n v="0"/>
    <n v="0"/>
    <n v="0"/>
    <n v="0"/>
    <n v="0"/>
    <n v="0"/>
    <n v="0"/>
    <n v="25"/>
    <n v="15"/>
    <n v="40"/>
  </r>
  <r>
    <x v="2474"/>
    <n v="817647"/>
    <s v="JAI AMBEY KHAD BEEJ BHANDAR"/>
    <n v="170204"/>
    <s v="GOYAL BUILDING MATERIAL"/>
    <n v="0"/>
    <n v="0"/>
    <n v="0"/>
    <n v="0"/>
    <n v="0"/>
    <n v="0"/>
    <n v="0"/>
    <n v="0"/>
    <n v="0"/>
    <n v="10"/>
    <n v="10"/>
    <n v="12.5"/>
    <n v="32.5"/>
  </r>
  <r>
    <x v="2475"/>
    <n v="817650"/>
    <s v="NARENDER KUMAR"/>
    <n v="171839"/>
    <s v="SARAWAGI CEMENT AGENCY"/>
    <n v="0"/>
    <n v="0"/>
    <n v="0"/>
    <n v="0"/>
    <n v="0"/>
    <n v="0"/>
    <n v="0"/>
    <n v="0"/>
    <n v="0"/>
    <n v="136.5"/>
    <n v="55"/>
    <n v="24"/>
    <n v="215.5"/>
  </r>
  <r>
    <x v="2476"/>
    <n v="817659"/>
    <s v="PATIDAR BUILDING MATERIAL"/>
    <n v="140984"/>
    <s v="SHIVANG SAINETORY &amp; HARDWARE"/>
    <n v="0"/>
    <n v="0"/>
    <n v="0"/>
    <n v="0"/>
    <n v="0"/>
    <n v="0"/>
    <n v="0"/>
    <n v="0"/>
    <n v="0"/>
    <n v="55"/>
    <n v="104.5"/>
    <n v="75"/>
    <n v="234.5"/>
  </r>
  <r>
    <x v="2477"/>
    <n v="817665"/>
    <s v="SRIRAM INTERLOCKING BRICKS"/>
    <n v="208874"/>
    <s v="SINGHAL SAINATARY &amp; HARDWARE"/>
    <n v="0"/>
    <n v="0"/>
    <n v="0"/>
    <n v="0"/>
    <n v="0"/>
    <n v="0"/>
    <n v="0"/>
    <n v="0"/>
    <n v="0"/>
    <n v="45"/>
    <n v="20"/>
    <n v="52"/>
    <n v="117"/>
  </r>
  <r>
    <x v="2478"/>
    <n v="817666"/>
    <s v="DEEPESH BUILDING MATERIAL"/>
    <n v="170197"/>
    <s v="ARVIND BUILDING MATERIAL"/>
    <n v="0"/>
    <n v="0"/>
    <n v="0"/>
    <n v="0"/>
    <n v="0"/>
    <n v="0"/>
    <n v="0"/>
    <n v="0"/>
    <n v="0"/>
    <n v="49.5"/>
    <n v="35"/>
    <n v="195"/>
    <n v="279.5"/>
  </r>
  <r>
    <x v="2479"/>
    <n v="817668"/>
    <s v="MAA DURGA TRADERS"/>
    <n v="174166"/>
    <s v="NAMOKAR STONE TRADERS"/>
    <n v="0"/>
    <n v="0"/>
    <n v="0"/>
    <n v="0"/>
    <n v="0"/>
    <n v="0"/>
    <n v="0"/>
    <n v="0"/>
    <n v="0"/>
    <n v="10.8"/>
    <n v="40"/>
    <n v="5"/>
    <n v="55.8"/>
  </r>
  <r>
    <x v="2480"/>
    <n v="817677"/>
    <s v="ASHA &amp; SONS"/>
    <n v="142843"/>
    <s v="GURUNANAK IRON STORE"/>
    <n v="0"/>
    <n v="0"/>
    <n v="0"/>
    <n v="0"/>
    <n v="0"/>
    <n v="0"/>
    <n v="0"/>
    <n v="0"/>
    <n v="0"/>
    <n v="27"/>
    <n v="15"/>
    <n v="47"/>
    <n v="89"/>
  </r>
  <r>
    <x v="2481"/>
    <n v="817679"/>
    <s v="KISHAN ENTERPRISES"/>
    <n v="170617"/>
    <s v="MANGALAM TRADING COMPANY"/>
    <n v="0"/>
    <n v="0"/>
    <n v="0"/>
    <n v="0"/>
    <n v="0"/>
    <n v="0"/>
    <n v="0"/>
    <n v="0"/>
    <n v="0"/>
    <n v="30"/>
    <n v="15"/>
    <n v="274"/>
    <n v="319"/>
  </r>
  <r>
    <x v="2482"/>
    <n v="817684"/>
    <s v="SHREE KRISHNA PASHU AAHAR AND"/>
    <n v="209796"/>
    <s v="SHAKTAWAT BUILDING MATERIAL"/>
    <n v="0"/>
    <n v="0"/>
    <n v="0"/>
    <n v="0"/>
    <n v="0"/>
    <n v="0"/>
    <n v="0"/>
    <n v="0"/>
    <n v="0"/>
    <n v="30"/>
    <n v="30"/>
    <n v="40"/>
    <n v="100"/>
  </r>
  <r>
    <x v="2483"/>
    <n v="817709"/>
    <s v="GOVIND KUMAR CHOUDHARY"/>
    <n v="208032"/>
    <s v="AKASH MACHINERY MART"/>
    <n v="0"/>
    <n v="0"/>
    <n v="0"/>
    <n v="0"/>
    <n v="0"/>
    <n v="0"/>
    <n v="0"/>
    <n v="0"/>
    <n v="0"/>
    <n v="56"/>
    <n v="78"/>
    <n v="146.5"/>
    <n v="280.5"/>
  </r>
  <r>
    <x v="2484"/>
    <n v="817715"/>
    <s v="CHIRAG JAIN"/>
    <n v="142241"/>
    <s v="NISHANT TRADERS"/>
    <n v="0"/>
    <n v="0"/>
    <n v="0"/>
    <n v="0"/>
    <n v="0"/>
    <n v="0"/>
    <n v="0"/>
    <n v="0"/>
    <n v="0"/>
    <n v="101"/>
    <n v="0"/>
    <n v="298.5"/>
    <n v="399.5"/>
  </r>
  <r>
    <x v="2485"/>
    <n v="817730"/>
    <s v="JAI JEEN MATA BUILDING MATERIA"/>
    <n v="207379"/>
    <s v="BABA RAMDEV BUILDING MATERIAL"/>
    <n v="0"/>
    <n v="0"/>
    <n v="0"/>
    <n v="0"/>
    <n v="0"/>
    <n v="0"/>
    <n v="0"/>
    <n v="0"/>
    <n v="0"/>
    <n v="40"/>
    <n v="70"/>
    <n v="188.5"/>
    <n v="298.5"/>
  </r>
  <r>
    <x v="2486"/>
    <n v="817732"/>
    <s v="GAJAND BUILDING MATERIAL"/>
    <n v="208628"/>
    <s v="J.B BUILDING MATERIAL"/>
    <n v="0"/>
    <n v="0"/>
    <n v="0"/>
    <n v="0"/>
    <n v="0"/>
    <n v="0"/>
    <n v="0"/>
    <n v="0"/>
    <n v="0"/>
    <n v="20"/>
    <n v="45"/>
    <n v="115"/>
    <n v="180"/>
  </r>
  <r>
    <x v="2487"/>
    <n v="817735"/>
    <s v="MAHARISHI GAUTAM CEMENT AGENCY"/>
    <n v="173224"/>
    <s v="D.R.MARBLE &amp; SANITORY"/>
    <n v="0"/>
    <n v="0"/>
    <n v="0"/>
    <n v="0"/>
    <n v="0"/>
    <n v="0"/>
    <n v="0"/>
    <n v="0"/>
    <n v="0"/>
    <n v="19"/>
    <n v="10"/>
    <n v="30"/>
    <n v="59"/>
  </r>
  <r>
    <x v="2488"/>
    <n v="817739"/>
    <s v="SHAKTAWAT TELICOM"/>
    <n v="209796"/>
    <s v="SHAKTAWAT BUILDING MATERIAL"/>
    <n v="0"/>
    <n v="0"/>
    <n v="0"/>
    <n v="0"/>
    <n v="0"/>
    <n v="0"/>
    <n v="0"/>
    <n v="0"/>
    <n v="0"/>
    <n v="105"/>
    <n v="270"/>
    <n v="363"/>
    <n v="738"/>
  </r>
  <r>
    <x v="2489"/>
    <n v="817740"/>
    <s v="BAHUBALI BUILDING MATERIAL"/>
    <n v="204034"/>
    <s v="PATEL CEMENT SUPPLIERS"/>
    <n v="0"/>
    <n v="0"/>
    <n v="0"/>
    <n v="0"/>
    <n v="0"/>
    <n v="0"/>
    <n v="0"/>
    <n v="0"/>
    <n v="0"/>
    <n v="0"/>
    <n v="10"/>
    <n v="30"/>
    <n v="40"/>
  </r>
  <r>
    <x v="2490"/>
    <n v="817742"/>
    <s v="JAI BUILDING MATERIAL SUPPLIER"/>
    <n v="125022"/>
    <s v="SHIV CEMENT AGENCY"/>
    <n v="0"/>
    <n v="0"/>
    <n v="0"/>
    <n v="0"/>
    <n v="0"/>
    <n v="0"/>
    <n v="0"/>
    <n v="0"/>
    <n v="0"/>
    <n v="8"/>
    <n v="112.5"/>
    <n v="147.75"/>
    <n v="268.25"/>
  </r>
  <r>
    <x v="2491"/>
    <n v="817743"/>
    <s v="SANVI ENTERPRISES"/>
    <n v="177092"/>
    <s v="RAJARAM BUILDING AND ELECTRICA"/>
    <n v="0"/>
    <n v="0"/>
    <n v="0"/>
    <n v="0"/>
    <n v="0"/>
    <n v="0"/>
    <n v="0"/>
    <n v="0"/>
    <n v="0"/>
    <n v="0"/>
    <n v="70"/>
    <n v="127.5"/>
    <n v="197.5"/>
  </r>
  <r>
    <x v="2492"/>
    <n v="817744"/>
    <s v="DHAN KUBER ENTERPRISES"/>
    <n v="144747"/>
    <s v="ROOP ENTERPRISES"/>
    <n v="0"/>
    <n v="0"/>
    <n v="0"/>
    <n v="0"/>
    <n v="0"/>
    <n v="0"/>
    <n v="0"/>
    <n v="0"/>
    <n v="0"/>
    <n v="0"/>
    <n v="38"/>
    <n v="57.5"/>
    <n v="95.5"/>
  </r>
  <r>
    <x v="2493"/>
    <n v="817746"/>
    <s v="GURUKRIPA SAHEB TRADERS"/>
    <n v="210163"/>
    <s v="KHANDELWAL DISTRIBUTORS"/>
    <n v="0"/>
    <n v="0"/>
    <n v="0"/>
    <n v="0"/>
    <n v="0"/>
    <n v="0"/>
    <n v="0"/>
    <n v="0"/>
    <n v="0"/>
    <n v="0"/>
    <n v="38"/>
    <n v="10"/>
    <n v="48"/>
  </r>
  <r>
    <x v="2494"/>
    <n v="817757"/>
    <s v="KUMAWAT CEMENT SUPPLIERS"/>
    <n v="171834"/>
    <s v="BABA RAMDEV TRADING COMPANY"/>
    <n v="0"/>
    <n v="0"/>
    <n v="0"/>
    <n v="0"/>
    <n v="0"/>
    <n v="0"/>
    <n v="0"/>
    <n v="0"/>
    <n v="0"/>
    <n v="77.150000000000006"/>
    <n v="88"/>
    <n v="110"/>
    <n v="275.14999999999998"/>
  </r>
  <r>
    <x v="2495"/>
    <n v="817763"/>
    <s v="GAURI STEEL TRADERS"/>
    <n v="203520"/>
    <s v="MOHAMMED YUSUF MOHAMMED RIZWAN"/>
    <n v="0"/>
    <n v="0"/>
    <n v="0"/>
    <n v="0"/>
    <n v="0"/>
    <n v="0"/>
    <n v="0"/>
    <n v="0"/>
    <n v="0"/>
    <n v="35"/>
    <n v="0"/>
    <n v="0"/>
    <n v="35"/>
  </r>
  <r>
    <x v="2496"/>
    <n v="817774"/>
    <s v="OM PRAKASH BUILDING MATERIAL"/>
    <n v="170200"/>
    <s v="GARG TRADING COMPANY"/>
    <n v="0"/>
    <n v="0"/>
    <n v="0"/>
    <n v="0"/>
    <n v="0"/>
    <n v="0"/>
    <n v="0"/>
    <n v="0"/>
    <n v="0"/>
    <n v="35"/>
    <n v="70"/>
    <n v="0"/>
    <n v="105"/>
  </r>
  <r>
    <x v="2497"/>
    <n v="817775"/>
    <s v="SURENDRA KUMAR"/>
    <n v="179486"/>
    <s v="MOROLIA TRADERS"/>
    <n v="0"/>
    <n v="0"/>
    <n v="0"/>
    <n v="0"/>
    <n v="0"/>
    <n v="0"/>
    <n v="0"/>
    <n v="0"/>
    <n v="0"/>
    <n v="0"/>
    <n v="48.9"/>
    <n v="67.5"/>
    <n v="116.4"/>
  </r>
  <r>
    <x v="2498"/>
    <n v="817787"/>
    <s v="RAMNARAYAN"/>
    <n v="205004"/>
    <s v="MORCHHARI TRADE LINK"/>
    <n v="0"/>
    <n v="0"/>
    <n v="0"/>
    <n v="0"/>
    <n v="0"/>
    <n v="0"/>
    <n v="0"/>
    <n v="0"/>
    <n v="0"/>
    <n v="20"/>
    <n v="64"/>
    <n v="72"/>
    <n v="156"/>
  </r>
  <r>
    <x v="2499"/>
    <n v="817788"/>
    <s v="RIDDHI SIDDHI TRADING COMPANY"/>
    <n v="205969"/>
    <s v="AKBAR ALI KHAKHADWALA AND SONS"/>
    <n v="0"/>
    <n v="0"/>
    <n v="0"/>
    <n v="0"/>
    <n v="0"/>
    <n v="0"/>
    <n v="0"/>
    <n v="0"/>
    <n v="0"/>
    <n v="0"/>
    <n v="30"/>
    <n v="27.5"/>
    <n v="57.5"/>
  </r>
  <r>
    <x v="2500"/>
    <n v="817789"/>
    <s v="KULDEEP CEMENT AGENCY"/>
    <n v="179894"/>
    <s v="SHARMA CEMENT AGENCY"/>
    <n v="0"/>
    <n v="0"/>
    <n v="0"/>
    <n v="0"/>
    <n v="0"/>
    <n v="0"/>
    <n v="0"/>
    <n v="0"/>
    <n v="0"/>
    <n v="0"/>
    <n v="40"/>
    <n v="0"/>
    <n v="40"/>
  </r>
  <r>
    <x v="2501"/>
    <n v="817791"/>
    <s v="GHANSHYAM AGRO AGENCY"/>
    <n v="208183"/>
    <s v="AAGRAWAL TRADING COMPANY"/>
    <n v="0"/>
    <n v="0"/>
    <n v="0"/>
    <n v="0"/>
    <n v="0"/>
    <n v="0"/>
    <n v="0"/>
    <n v="0"/>
    <n v="0"/>
    <n v="21"/>
    <n v="21.5"/>
    <n v="21"/>
    <n v="63.5"/>
  </r>
  <r>
    <x v="2502"/>
    <n v="817792"/>
    <s v="LALITA CEMENT STORE"/>
    <n v="178661"/>
    <s v="KHAJANCHI TRADING CO."/>
    <n v="0"/>
    <n v="0"/>
    <n v="0"/>
    <n v="0"/>
    <n v="0"/>
    <n v="0"/>
    <n v="0"/>
    <n v="0"/>
    <n v="0"/>
    <n v="40"/>
    <n v="35"/>
    <n v="51.5"/>
    <n v="126.5"/>
  </r>
  <r>
    <x v="2503"/>
    <n v="817794"/>
    <s v="SHREE BALAJI CEMENT AGENCY"/>
    <n v="207782"/>
    <s v="BALAJI ELECTRICALS AND HARDWAR"/>
    <n v="0"/>
    <n v="0"/>
    <n v="0"/>
    <n v="0"/>
    <n v="0"/>
    <n v="0"/>
    <n v="0"/>
    <n v="0"/>
    <n v="0"/>
    <n v="0"/>
    <n v="35"/>
    <n v="45"/>
    <n v="80"/>
  </r>
  <r>
    <x v="2504"/>
    <n v="817795"/>
    <s v="SHREE RAMDEV MARBLE AND GRANIT"/>
    <n v="209652"/>
    <s v="RAJRUCHI CEMENT BHANDAR"/>
    <n v="0"/>
    <n v="0"/>
    <n v="0"/>
    <n v="0"/>
    <n v="0"/>
    <n v="0"/>
    <n v="0"/>
    <n v="0"/>
    <n v="0"/>
    <n v="20"/>
    <n v="56"/>
    <n v="104"/>
    <n v="180"/>
  </r>
  <r>
    <x v="2505"/>
    <n v="817796"/>
    <s v="MAGA RAM"/>
    <n v="176833"/>
    <s v="NAKORA CEMENT SUPPLIERS"/>
    <n v="0"/>
    <n v="0"/>
    <n v="0"/>
    <n v="0"/>
    <n v="0"/>
    <n v="0"/>
    <n v="0"/>
    <n v="0"/>
    <n v="0"/>
    <n v="39"/>
    <n v="0"/>
    <n v="80"/>
    <n v="119"/>
  </r>
  <r>
    <x v="2506"/>
    <n v="817797"/>
    <s v="MAHADEV ELECTRIC HARDWARE AND"/>
    <n v="209652"/>
    <s v="RAJRUCHI CEMENT BHANDAR"/>
    <n v="0"/>
    <n v="0"/>
    <n v="0"/>
    <n v="0"/>
    <n v="0"/>
    <n v="0"/>
    <n v="0"/>
    <n v="0"/>
    <n v="0"/>
    <n v="20"/>
    <n v="65"/>
    <n v="82"/>
    <n v="167"/>
  </r>
  <r>
    <x v="2507"/>
    <n v="817799"/>
    <s v="ALI HADER"/>
    <n v="202850"/>
    <s v="SAMRATHAL BUILDING MATERIAL"/>
    <n v="0"/>
    <n v="0"/>
    <n v="0"/>
    <n v="0"/>
    <n v="0"/>
    <n v="0"/>
    <n v="0"/>
    <n v="0"/>
    <n v="0"/>
    <n v="65"/>
    <n v="120"/>
    <n v="45"/>
    <n v="230"/>
  </r>
  <r>
    <x v="2508"/>
    <n v="817809"/>
    <s v="AYUSH WATER SUPLLY"/>
    <n v="141115"/>
    <s v="KALPESH CEMENT AGENCY"/>
    <n v="0"/>
    <n v="0"/>
    <n v="0"/>
    <n v="0"/>
    <n v="0"/>
    <n v="0"/>
    <n v="0"/>
    <n v="0"/>
    <n v="0"/>
    <n v="102.5"/>
    <n v="151"/>
    <n v="151.5"/>
    <n v="405"/>
  </r>
  <r>
    <x v="2509"/>
    <n v="817811"/>
    <s v="VEER TEJA JI INT UDHYOG"/>
    <n v="210566"/>
    <s v="LADHURAM  MURLIDHAR RATHI"/>
    <n v="0"/>
    <n v="0"/>
    <n v="0"/>
    <n v="0"/>
    <n v="0"/>
    <n v="0"/>
    <n v="0"/>
    <n v="0"/>
    <n v="0"/>
    <n v="17.5"/>
    <n v="32.5"/>
    <n v="27.5"/>
    <n v="77.5"/>
  </r>
  <r>
    <x v="2510"/>
    <n v="817812"/>
    <s v="RAJESHWAR CEMENT SUPPLIERS"/>
    <n v="209652"/>
    <s v="RAJRUCHI CEMENT BHANDAR"/>
    <n v="0"/>
    <n v="0"/>
    <n v="0"/>
    <n v="0"/>
    <n v="0"/>
    <n v="0"/>
    <n v="0"/>
    <n v="0"/>
    <n v="0"/>
    <n v="65"/>
    <n v="113"/>
    <n v="112"/>
    <n v="290"/>
  </r>
  <r>
    <x v="2511"/>
    <n v="817813"/>
    <s v="NEW RAMDEV BUILDING MATERIAL"/>
    <n v="175547"/>
    <s v="S.S.BHATI ENTERPRISES"/>
    <n v="0"/>
    <n v="0"/>
    <n v="0"/>
    <n v="0"/>
    <n v="0"/>
    <n v="0"/>
    <n v="0"/>
    <n v="0"/>
    <n v="0"/>
    <n v="71"/>
    <n v="85"/>
    <n v="90"/>
    <n v="246"/>
  </r>
  <r>
    <x v="2512"/>
    <n v="817814"/>
    <s v="KEVA DANGI"/>
    <n v="140860"/>
    <s v="VIPUL CEMENT SUPPLIERS"/>
    <n v="0"/>
    <n v="0"/>
    <n v="0"/>
    <n v="0"/>
    <n v="0"/>
    <n v="0"/>
    <n v="0"/>
    <n v="0"/>
    <n v="0"/>
    <n v="0"/>
    <n v="10"/>
    <n v="0"/>
    <n v="10"/>
  </r>
  <r>
    <x v="2513"/>
    <n v="817819"/>
    <s v="BALAJI TRADERS"/>
    <n v="147640"/>
    <s v="GEDHAR STEEL SHUTTERING"/>
    <n v="0"/>
    <n v="0"/>
    <n v="0"/>
    <n v="0"/>
    <n v="0"/>
    <n v="0"/>
    <n v="0"/>
    <n v="0"/>
    <n v="0"/>
    <n v="5"/>
    <n v="135"/>
    <n v="136"/>
    <n v="276"/>
  </r>
  <r>
    <x v="2514"/>
    <n v="817820"/>
    <s v="RAMU NATH"/>
    <n v="210566"/>
    <s v="LADHURAM  MURLIDHAR RATHI"/>
    <n v="0"/>
    <n v="0"/>
    <n v="0"/>
    <n v="0"/>
    <n v="0"/>
    <n v="0"/>
    <n v="0"/>
    <n v="0"/>
    <n v="0"/>
    <n v="15"/>
    <n v="27.5"/>
    <n v="20"/>
    <n v="62.5"/>
  </r>
  <r>
    <x v="2515"/>
    <n v="817831"/>
    <s v="GARIB NAWAZ RETI &amp; BUILDING MA"/>
    <n v="208776"/>
    <s v="ABHIS BUILDTECH"/>
    <n v="0"/>
    <n v="0"/>
    <n v="0"/>
    <n v="0"/>
    <n v="0"/>
    <n v="0"/>
    <n v="0"/>
    <n v="0"/>
    <n v="0"/>
    <n v="20"/>
    <n v="102.5"/>
    <n v="30"/>
    <n v="152.5"/>
  </r>
  <r>
    <x v="2516"/>
    <n v="817833"/>
    <s v="JAI MATA DI ENTERPRISES"/>
    <n v="171578"/>
    <s v="KOTA BUILDMAT"/>
    <n v="0"/>
    <n v="0"/>
    <n v="0"/>
    <n v="0"/>
    <n v="0"/>
    <n v="0"/>
    <n v="0"/>
    <n v="0"/>
    <n v="0"/>
    <n v="20"/>
    <n v="20"/>
    <n v="10"/>
    <n v="50"/>
  </r>
  <r>
    <x v="2517"/>
    <n v="817834"/>
    <s v="LUHANI ENTERPRISES"/>
    <n v="149885"/>
    <s v="LUHANI CEMENT SUPPLIERS"/>
    <n v="0"/>
    <n v="0"/>
    <n v="0"/>
    <n v="0"/>
    <n v="0"/>
    <n v="0"/>
    <n v="0"/>
    <n v="0"/>
    <n v="0"/>
    <n v="55"/>
    <n v="62.5"/>
    <n v="112"/>
    <n v="229.5"/>
  </r>
  <r>
    <x v="2518"/>
    <n v="817835"/>
    <s v="DHAKED BUILDING MATERIAL"/>
    <n v="119023"/>
    <s v="AGARWAL MACHINERY STORES"/>
    <n v="0"/>
    <n v="0"/>
    <n v="0"/>
    <n v="0"/>
    <n v="0"/>
    <n v="0"/>
    <n v="0"/>
    <n v="0"/>
    <n v="0"/>
    <n v="0"/>
    <n v="106"/>
    <n v="112"/>
    <n v="218"/>
  </r>
  <r>
    <x v="2519"/>
    <n v="817838"/>
    <s v="SHREE JAMUWAY MATA BUILDING MA"/>
    <n v="149885"/>
    <s v="LUHANI CEMENT SUPPLIERS"/>
    <n v="0"/>
    <n v="0"/>
    <n v="0"/>
    <n v="0"/>
    <n v="0"/>
    <n v="0"/>
    <n v="0"/>
    <n v="0"/>
    <n v="0"/>
    <n v="50"/>
    <n v="27.5"/>
    <n v="22.5"/>
    <n v="100"/>
  </r>
  <r>
    <x v="2520"/>
    <n v="817839"/>
    <s v="SITARAM"/>
    <n v="174271"/>
    <s v="S K TRADERS"/>
    <n v="0"/>
    <n v="0"/>
    <n v="0"/>
    <n v="0"/>
    <n v="0"/>
    <n v="0"/>
    <n v="0"/>
    <n v="0"/>
    <n v="0"/>
    <n v="30"/>
    <n v="115"/>
    <n v="90"/>
    <n v="235"/>
  </r>
  <r>
    <x v="2521"/>
    <n v="817847"/>
    <s v="SURAJ SHARMA"/>
    <n v="206302"/>
    <s v="BALAJI CEMENT AGENCY"/>
    <n v="0"/>
    <n v="0"/>
    <n v="0"/>
    <n v="0"/>
    <n v="0"/>
    <n v="0"/>
    <n v="0"/>
    <n v="0"/>
    <n v="0"/>
    <n v="30"/>
    <n v="74"/>
    <n v="73.5"/>
    <n v="177.5"/>
  </r>
  <r>
    <x v="2522"/>
    <n v="817848"/>
    <s v="SHER SINGH"/>
    <n v="149859"/>
    <s v="DHARM PAL AKSHAY KUMAR"/>
    <n v="0"/>
    <n v="0"/>
    <n v="0"/>
    <n v="0"/>
    <n v="0"/>
    <n v="0"/>
    <n v="0"/>
    <n v="0"/>
    <n v="0"/>
    <n v="10"/>
    <n v="21.5"/>
    <n v="37.5"/>
    <n v="69"/>
  </r>
  <r>
    <x v="2523"/>
    <n v="817858"/>
    <s v="BAJIYA CONSTRRUCTION"/>
    <n v="171591"/>
    <s v="RULANIYA CEMENT AGENCY"/>
    <n v="0"/>
    <n v="0"/>
    <n v="0"/>
    <n v="0"/>
    <n v="0"/>
    <n v="0"/>
    <n v="0"/>
    <n v="0"/>
    <n v="0"/>
    <n v="20"/>
    <n v="101.95"/>
    <n v="150"/>
    <n v="271.95"/>
  </r>
  <r>
    <x v="2524"/>
    <n v="817864"/>
    <s v="GIRDHARI LAL"/>
    <n v="174271"/>
    <s v="S K TRADERS"/>
    <n v="0"/>
    <n v="0"/>
    <n v="0"/>
    <n v="0"/>
    <n v="0"/>
    <n v="0"/>
    <n v="0"/>
    <n v="0"/>
    <n v="0"/>
    <n v="30"/>
    <n v="150"/>
    <n v="220"/>
    <n v="400"/>
  </r>
  <r>
    <x v="2525"/>
    <n v="817866"/>
    <s v="SHREE YADE CEMENT AGENCY"/>
    <n v="174378"/>
    <s v="BELIM CEMENT AND BUILDING MATE"/>
    <n v="0"/>
    <n v="0"/>
    <n v="0"/>
    <n v="0"/>
    <n v="0"/>
    <n v="0"/>
    <n v="0"/>
    <n v="0"/>
    <n v="0"/>
    <n v="0"/>
    <n v="0"/>
    <n v="20"/>
    <n v="20"/>
  </r>
  <r>
    <x v="2526"/>
    <n v="817868"/>
    <s v="SHREE SHYAM TRADING AND ENTERP"/>
    <n v="202941"/>
    <s v="SHRI BALAJI BUILDING MATERIAL"/>
    <n v="0"/>
    <n v="0"/>
    <n v="0"/>
    <n v="0"/>
    <n v="0"/>
    <n v="0"/>
    <n v="0"/>
    <n v="0"/>
    <n v="0"/>
    <n v="0"/>
    <n v="30"/>
    <n v="35"/>
    <n v="65"/>
  </r>
  <r>
    <x v="2527"/>
    <n v="817870"/>
    <s v="SHREE BALAJI TRADERS"/>
    <n v="207809"/>
    <s v="SHIV MAHIMA TRADERS"/>
    <n v="0"/>
    <n v="0"/>
    <n v="0"/>
    <n v="0"/>
    <n v="0"/>
    <n v="0"/>
    <n v="0"/>
    <n v="0"/>
    <n v="0"/>
    <n v="35"/>
    <n v="95"/>
    <n v="105"/>
    <n v="235"/>
  </r>
  <r>
    <x v="2528"/>
    <n v="817871"/>
    <s v="MANGAL BUILDING MATERIAL"/>
    <n v="174713"/>
    <s v="KANHA BUILDING MATERIAL"/>
    <n v="0"/>
    <n v="0"/>
    <n v="0"/>
    <n v="0"/>
    <n v="0"/>
    <n v="0"/>
    <n v="0"/>
    <n v="0"/>
    <n v="0"/>
    <n v="0"/>
    <n v="20"/>
    <n v="12"/>
    <n v="32"/>
  </r>
  <r>
    <x v="2529"/>
    <n v="817872"/>
    <s v="AMBIKA BUILDING MATERIALS"/>
    <n v="173310"/>
    <s v="NAGORA  &amp; COMPANY"/>
    <n v="0"/>
    <n v="0"/>
    <n v="0"/>
    <n v="0"/>
    <n v="0"/>
    <n v="0"/>
    <n v="0"/>
    <n v="0"/>
    <n v="0"/>
    <n v="0"/>
    <n v="10"/>
    <n v="13"/>
    <n v="23"/>
  </r>
  <r>
    <x v="2530"/>
    <n v="817876"/>
    <s v="MAA SACCHIYAY CONSTRUCTION COM"/>
    <n v="209652"/>
    <s v="RAJRUCHI CEMENT BHANDAR"/>
    <n v="0"/>
    <n v="0"/>
    <n v="0"/>
    <n v="0"/>
    <n v="0"/>
    <n v="0"/>
    <n v="0"/>
    <n v="0"/>
    <n v="0"/>
    <n v="15"/>
    <n v="50"/>
    <n v="28"/>
    <n v="93"/>
  </r>
  <r>
    <x v="2531"/>
    <n v="817878"/>
    <s v="BHAGYA LAKSHMI BUILDING MATERI"/>
    <n v="141714"/>
    <s v="AAI MATA KALI BHANDAR"/>
    <n v="0"/>
    <n v="0"/>
    <n v="0"/>
    <n v="0"/>
    <n v="0"/>
    <n v="0"/>
    <n v="0"/>
    <n v="0"/>
    <n v="0"/>
    <n v="35"/>
    <n v="129"/>
    <n v="120"/>
    <n v="284"/>
  </r>
  <r>
    <x v="2532"/>
    <n v="817880"/>
    <s v="RADHE RADHE BUILDING MATERIAL"/>
    <n v="210566"/>
    <s v="LADHURAM  MURLIDHAR RATHI"/>
    <n v="0"/>
    <n v="0"/>
    <n v="0"/>
    <n v="0"/>
    <n v="0"/>
    <n v="0"/>
    <n v="0"/>
    <n v="0"/>
    <n v="0"/>
    <n v="0"/>
    <n v="28.5"/>
    <n v="25"/>
    <n v="53.5"/>
  </r>
  <r>
    <x v="2533"/>
    <n v="817881"/>
    <s v="HARUN SHAH"/>
    <n v="176833"/>
    <s v="NAKORA CEMENT SUPPLIERS"/>
    <n v="0"/>
    <n v="0"/>
    <n v="0"/>
    <n v="0"/>
    <n v="0"/>
    <n v="0"/>
    <n v="0"/>
    <n v="0"/>
    <n v="0"/>
    <n v="30"/>
    <n v="87"/>
    <n v="90"/>
    <n v="207"/>
  </r>
  <r>
    <x v="2534"/>
    <n v="817882"/>
    <s v="ARPITA TRADERS"/>
    <n v="207019"/>
    <s v="MANISHA TRADERS"/>
    <n v="0"/>
    <n v="0"/>
    <n v="0"/>
    <n v="0"/>
    <n v="0"/>
    <n v="0"/>
    <n v="0"/>
    <n v="0"/>
    <n v="0"/>
    <n v="0"/>
    <n v="35"/>
    <n v="35"/>
    <n v="70"/>
  </r>
  <r>
    <x v="2535"/>
    <n v="817891"/>
    <s v="AKSHAY KUMAR SETHIYA"/>
    <n v="176833"/>
    <s v="NAKORA CEMENT SUPPLIERS"/>
    <n v="0"/>
    <n v="0"/>
    <n v="0"/>
    <n v="0"/>
    <n v="0"/>
    <n v="0"/>
    <n v="0"/>
    <n v="0"/>
    <n v="0"/>
    <n v="0"/>
    <n v="30"/>
    <n v="0"/>
    <n v="30"/>
  </r>
  <r>
    <x v="2536"/>
    <n v="817894"/>
    <s v="KRISHNA TRADING COMPANY"/>
    <n v="203811"/>
    <s v="RAMPRASAD FERTILIZERS"/>
    <n v="0"/>
    <n v="0"/>
    <n v="0"/>
    <n v="0"/>
    <n v="0"/>
    <n v="0"/>
    <n v="0"/>
    <n v="0"/>
    <n v="0"/>
    <n v="0"/>
    <n v="110"/>
    <n v="35"/>
    <n v="145"/>
  </r>
  <r>
    <x v="2537"/>
    <n v="817900"/>
    <s v="SHARMA ENTERPRISES"/>
    <n v="119208"/>
    <s v="SURAJMAL TANSUKH RAI"/>
    <n v="0"/>
    <n v="0"/>
    <n v="0"/>
    <n v="0"/>
    <n v="0"/>
    <n v="0"/>
    <n v="0"/>
    <n v="0"/>
    <n v="0"/>
    <n v="0"/>
    <n v="143"/>
    <n v="0"/>
    <n v="143"/>
  </r>
  <r>
    <x v="2538"/>
    <n v="817901"/>
    <s v="SHRI ROOP SHREE BUILDING MATER"/>
    <n v="119038"/>
    <s v="NAVEEN DISTRIBUTORS"/>
    <n v="0"/>
    <n v="0"/>
    <n v="0"/>
    <n v="0"/>
    <n v="0"/>
    <n v="0"/>
    <n v="0"/>
    <n v="0"/>
    <n v="0"/>
    <n v="0"/>
    <n v="55"/>
    <n v="123.25"/>
    <n v="178.25"/>
  </r>
  <r>
    <x v="2539"/>
    <n v="817902"/>
    <s v="SUNIL CEMENT AGENCY"/>
    <n v="172706"/>
    <s v="KAMAL CONSTRUCTION COMPANY"/>
    <n v="0"/>
    <n v="0"/>
    <n v="0"/>
    <n v="0"/>
    <n v="0"/>
    <n v="0"/>
    <n v="0"/>
    <n v="0"/>
    <n v="0"/>
    <n v="0"/>
    <n v="95"/>
    <n v="40"/>
    <n v="135"/>
  </r>
  <r>
    <x v="2540"/>
    <n v="817905"/>
    <s v="GUPTA  BUILDING MATERIAL"/>
    <n v="211138"/>
    <s v="LAXMIKANT BUILDING MATERIAL"/>
    <n v="0"/>
    <n v="0"/>
    <n v="0"/>
    <n v="0"/>
    <n v="0"/>
    <n v="0"/>
    <n v="0"/>
    <n v="0"/>
    <n v="0"/>
    <n v="0"/>
    <n v="70"/>
    <n v="112"/>
    <n v="182"/>
  </r>
  <r>
    <x v="2541"/>
    <n v="817913"/>
    <s v="RAMESH CEMENT AGENCY"/>
    <n v="178298"/>
    <s v="SAINI BUILDING MATERIAL"/>
    <n v="0"/>
    <n v="0"/>
    <n v="0"/>
    <n v="0"/>
    <n v="0"/>
    <n v="0"/>
    <n v="0"/>
    <n v="0"/>
    <n v="0"/>
    <n v="0"/>
    <n v="50"/>
    <n v="44"/>
    <n v="94"/>
  </r>
  <r>
    <x v="2542"/>
    <n v="817914"/>
    <s v="RADHEY CEMENT AGENCY"/>
    <n v="210355"/>
    <s v="SHRI BALAJI TRADERS"/>
    <n v="0"/>
    <n v="0"/>
    <n v="0"/>
    <n v="0"/>
    <n v="0"/>
    <n v="0"/>
    <n v="0"/>
    <n v="0"/>
    <n v="0"/>
    <n v="70"/>
    <n v="150"/>
    <n v="397.5"/>
    <n v="617.5"/>
  </r>
  <r>
    <x v="2543"/>
    <n v="817915"/>
    <s v="MURARI LAL GOYAL"/>
    <n v="119261"/>
    <s v="DURGESH ENTERPRISES"/>
    <n v="0"/>
    <n v="0"/>
    <n v="0"/>
    <n v="0"/>
    <n v="0"/>
    <n v="0"/>
    <n v="0"/>
    <n v="0"/>
    <n v="0"/>
    <n v="0"/>
    <n v="110.5"/>
    <n v="20"/>
    <n v="130.5"/>
  </r>
  <r>
    <x v="2544"/>
    <n v="817916"/>
    <s v="KRATIKA ENTERPRISES"/>
    <n v="178298"/>
    <s v="SAINI BUILDING MATERIAL"/>
    <n v="0"/>
    <n v="0"/>
    <n v="0"/>
    <n v="0"/>
    <n v="0"/>
    <n v="0"/>
    <n v="0"/>
    <n v="0"/>
    <n v="0"/>
    <n v="0"/>
    <n v="67"/>
    <n v="51.5"/>
    <n v="118.5"/>
  </r>
  <r>
    <x v="2545"/>
    <n v="817917"/>
    <s v="YASH BUILDING MATERIAL SUPPLIE"/>
    <n v="207857"/>
    <s v="YADAV BUILDING MATERIAL"/>
    <n v="0"/>
    <n v="0"/>
    <n v="0"/>
    <n v="0"/>
    <n v="0"/>
    <n v="0"/>
    <n v="0"/>
    <n v="0"/>
    <n v="0"/>
    <n v="0"/>
    <n v="37.5"/>
    <n v="124.8"/>
    <n v="162.30000000000001"/>
  </r>
  <r>
    <x v="2546"/>
    <n v="817917"/>
    <s v="YASH BUILDING MATERIAL SUPPLIE"/>
    <n v="211256"/>
    <s v="SHREE MOKA BABA BUILDING MATER"/>
    <n v="0"/>
    <n v="0"/>
    <n v="0"/>
    <n v="0"/>
    <n v="0"/>
    <n v="0"/>
    <n v="0"/>
    <n v="0"/>
    <n v="0"/>
    <n v="0"/>
    <n v="10"/>
    <n v="0"/>
    <n v="10"/>
  </r>
  <r>
    <x v="2547"/>
    <n v="817933"/>
    <s v="MEENA BUILDING MATERIAL SUPPLI"/>
    <n v="202870"/>
    <s v="ASHUTOSH CONSTRUCTION CO"/>
    <n v="0"/>
    <n v="0"/>
    <n v="0"/>
    <n v="0"/>
    <n v="0"/>
    <n v="0"/>
    <n v="0"/>
    <n v="0"/>
    <n v="0"/>
    <n v="0"/>
    <n v="74"/>
    <n v="134.5"/>
    <n v="208.5"/>
  </r>
  <r>
    <x v="2548"/>
    <n v="817934"/>
    <s v="KRISHNA TRADING COMPANY"/>
    <n v="210355"/>
    <s v="SHRI BALAJI TRADERS"/>
    <n v="0"/>
    <n v="0"/>
    <n v="0"/>
    <n v="0"/>
    <n v="0"/>
    <n v="0"/>
    <n v="0"/>
    <n v="0"/>
    <n v="0"/>
    <n v="0"/>
    <n v="40"/>
    <n v="0"/>
    <n v="40"/>
  </r>
  <r>
    <x v="2549"/>
    <n v="817940"/>
    <s v="SHEETAL BUILING MATERIAL"/>
    <n v="202142"/>
    <s v="PRAHALAD KUMAR LABOUR SUPPLIER"/>
    <n v="0"/>
    <n v="0"/>
    <n v="0"/>
    <n v="0"/>
    <n v="0"/>
    <n v="0"/>
    <n v="0"/>
    <n v="0"/>
    <n v="0"/>
    <n v="0"/>
    <n v="55"/>
    <n v="34"/>
    <n v="89"/>
  </r>
  <r>
    <x v="2550"/>
    <n v="817941"/>
    <s v="RATAN LAL VAISHNAV"/>
    <n v="206529"/>
    <s v="GOPAL KRISHAN DHUPPAD"/>
    <n v="0"/>
    <n v="0"/>
    <n v="0"/>
    <n v="0"/>
    <n v="0"/>
    <n v="0"/>
    <n v="0"/>
    <n v="0"/>
    <n v="0"/>
    <n v="0"/>
    <n v="41"/>
    <n v="31"/>
    <n v="72"/>
  </r>
  <r>
    <x v="2551"/>
    <n v="817943"/>
    <s v="VIJAY TRADING COMPANY"/>
    <n v="210619"/>
    <s v="JAGDAMBA TRADING CO"/>
    <n v="0"/>
    <n v="0"/>
    <n v="0"/>
    <n v="0"/>
    <n v="0"/>
    <n v="0"/>
    <n v="0"/>
    <n v="0"/>
    <n v="0"/>
    <n v="0"/>
    <n v="165"/>
    <n v="163"/>
    <n v="328"/>
  </r>
  <r>
    <x v="2552"/>
    <n v="817945"/>
    <s v="DHAKAR BUILDING MATERIAL SUPPL"/>
    <n v="173528"/>
    <s v="DHAKER TRADERS &amp; SUPPLIERS"/>
    <n v="0"/>
    <n v="0"/>
    <n v="0"/>
    <n v="0"/>
    <n v="0"/>
    <n v="0"/>
    <n v="0"/>
    <n v="0"/>
    <n v="0"/>
    <n v="0"/>
    <n v="17.5"/>
    <n v="30"/>
    <n v="47.5"/>
  </r>
  <r>
    <x v="2553"/>
    <n v="817947"/>
    <s v="WELCOME ELECTRIC HARDWARE  AND"/>
    <n v="119026"/>
    <s v="FRIENDS SUPPLIERS CO.(L"/>
    <n v="0"/>
    <n v="0"/>
    <n v="0"/>
    <n v="0"/>
    <n v="0"/>
    <n v="0"/>
    <n v="0"/>
    <n v="0"/>
    <n v="0"/>
    <n v="0"/>
    <n v="15"/>
    <n v="38.5"/>
    <n v="53.5"/>
  </r>
  <r>
    <x v="2554"/>
    <n v="817958"/>
    <s v="SHRI BANKE BIHARI ENTERPRISES"/>
    <n v="208638"/>
    <s v="SHRI GANESH CEMENT &amp; STEELS"/>
    <n v="0"/>
    <n v="0"/>
    <n v="0"/>
    <n v="0"/>
    <n v="0"/>
    <n v="0"/>
    <n v="0"/>
    <n v="0"/>
    <n v="0"/>
    <n v="0"/>
    <n v="10"/>
    <n v="2"/>
    <n v="12"/>
  </r>
  <r>
    <x v="2555"/>
    <n v="817972"/>
    <s v="MOSHIN KHAN"/>
    <n v="201280"/>
    <s v="SIDDHI VINAYAK CEMENT DISTRIBU"/>
    <n v="0"/>
    <n v="0"/>
    <n v="0"/>
    <n v="0"/>
    <n v="0"/>
    <n v="0"/>
    <n v="0"/>
    <n v="0"/>
    <n v="0"/>
    <n v="0"/>
    <n v="66"/>
    <n v="41"/>
    <n v="107"/>
  </r>
  <r>
    <x v="2556"/>
    <n v="817976"/>
    <s v="SANWARIYA TRADING COMPANY"/>
    <n v="211137"/>
    <s v="BALAJI AGENCY"/>
    <n v="0"/>
    <n v="0"/>
    <n v="0"/>
    <n v="0"/>
    <n v="0"/>
    <n v="0"/>
    <n v="0"/>
    <n v="0"/>
    <n v="0"/>
    <n v="0"/>
    <n v="205"/>
    <n v="325.5"/>
    <n v="530.5"/>
  </r>
  <r>
    <x v="2557"/>
    <n v="817977"/>
    <s v="MAHAVEER SINGH"/>
    <n v="175049"/>
    <s v="KASHISH ENTERPRISES"/>
    <n v="0"/>
    <n v="0"/>
    <n v="0"/>
    <n v="0"/>
    <n v="0"/>
    <n v="0"/>
    <n v="0"/>
    <n v="0"/>
    <n v="0"/>
    <n v="0"/>
    <n v="55"/>
    <n v="31"/>
    <n v="86"/>
  </r>
  <r>
    <x v="2558"/>
    <n v="817979"/>
    <s v="KARNI MATA CEMENT SUPPLIERS"/>
    <n v="176833"/>
    <s v="NAKORA CEMENT SUPPLIERS"/>
    <n v="0"/>
    <n v="0"/>
    <n v="0"/>
    <n v="0"/>
    <n v="0"/>
    <n v="0"/>
    <n v="0"/>
    <n v="0"/>
    <n v="0"/>
    <n v="0"/>
    <n v="85"/>
    <n v="60"/>
    <n v="145"/>
  </r>
  <r>
    <x v="2559"/>
    <n v="817980"/>
    <s v="ASHOK KUMAR"/>
    <n v="170904"/>
    <s v="ASHAPURA CEMENT SALES"/>
    <n v="0"/>
    <n v="0"/>
    <n v="0"/>
    <n v="0"/>
    <n v="0"/>
    <n v="0"/>
    <n v="0"/>
    <n v="0"/>
    <n v="0"/>
    <n v="0"/>
    <n v="101.3"/>
    <n v="156.05000000000001"/>
    <n v="257.35000000000002"/>
  </r>
  <r>
    <x v="2560"/>
    <n v="818004"/>
    <s v="RADHIKA ELECTRICAL AND BUILDIN"/>
    <n v="149764"/>
    <s v="JMD CEMENT &amp; IRON STORE"/>
    <n v="0"/>
    <n v="0"/>
    <n v="0"/>
    <n v="0"/>
    <n v="0"/>
    <n v="0"/>
    <n v="0"/>
    <n v="0"/>
    <n v="0"/>
    <n v="0"/>
    <n v="20"/>
    <n v="60"/>
    <n v="80"/>
  </r>
  <r>
    <x v="2561"/>
    <n v="818017"/>
    <s v="SANJAY CHOUHAN"/>
    <n v="141115"/>
    <s v="KALPESH CEMENT AGENCY"/>
    <n v="0"/>
    <n v="0"/>
    <n v="0"/>
    <n v="0"/>
    <n v="0"/>
    <n v="0"/>
    <n v="0"/>
    <n v="0"/>
    <n v="0"/>
    <n v="0"/>
    <n v="51"/>
    <n v="81"/>
    <n v="132"/>
  </r>
  <r>
    <x v="2562"/>
    <n v="818018"/>
    <s v="CHOUDHARY CONSTRUCTION"/>
    <n v="204375"/>
    <s v="JAI MATESHWARI CONSTRUCTION"/>
    <n v="0"/>
    <n v="0"/>
    <n v="0"/>
    <n v="0"/>
    <n v="0"/>
    <n v="0"/>
    <n v="0"/>
    <n v="0"/>
    <n v="0"/>
    <n v="0"/>
    <n v="0"/>
    <n v="30"/>
    <n v="30"/>
  </r>
  <r>
    <x v="2563"/>
    <n v="818021"/>
    <s v="MANYATA TRADING"/>
    <n v="174756"/>
    <s v="SHAH TRADERS"/>
    <n v="0"/>
    <n v="0"/>
    <n v="0"/>
    <n v="0"/>
    <n v="0"/>
    <n v="0"/>
    <n v="0"/>
    <n v="0"/>
    <n v="0"/>
    <n v="0"/>
    <n v="42"/>
    <n v="45"/>
    <n v="87"/>
  </r>
  <r>
    <x v="2564"/>
    <n v="818023"/>
    <s v="NAVEEN TRADERS"/>
    <n v="172640"/>
    <s v="KUSHAL TRADERS"/>
    <n v="0"/>
    <n v="0"/>
    <n v="0"/>
    <n v="0"/>
    <n v="0"/>
    <n v="0"/>
    <n v="0"/>
    <n v="0"/>
    <n v="0"/>
    <n v="0"/>
    <n v="94.5"/>
    <n v="2"/>
    <n v="96.5"/>
  </r>
  <r>
    <x v="2565"/>
    <n v="818043"/>
    <s v="GAURAV PAREEK"/>
    <n v="171685"/>
    <s v="GANPATI TRADERS"/>
    <n v="0"/>
    <n v="0"/>
    <n v="0"/>
    <n v="0"/>
    <n v="0"/>
    <n v="0"/>
    <n v="0"/>
    <n v="0"/>
    <n v="0"/>
    <n v="0"/>
    <n v="52"/>
    <n v="83"/>
    <n v="135"/>
  </r>
  <r>
    <x v="2566"/>
    <n v="818063"/>
    <s v="JAI CHANDA MAA CONSTRUCTION"/>
    <n v="170606"/>
    <s v="SHREE SANWARIYA CONSTRUCTION"/>
    <n v="0"/>
    <n v="0"/>
    <n v="0"/>
    <n v="0"/>
    <n v="0"/>
    <n v="0"/>
    <n v="0"/>
    <n v="0"/>
    <n v="0"/>
    <n v="0"/>
    <n v="0"/>
    <n v="89"/>
    <n v="89"/>
  </r>
  <r>
    <x v="2567"/>
    <n v="818066"/>
    <s v="INDU JAIN"/>
    <n v="119261"/>
    <s v="DURGESH ENTERPRISES"/>
    <n v="0"/>
    <n v="0"/>
    <n v="0"/>
    <n v="0"/>
    <n v="0"/>
    <n v="0"/>
    <n v="0"/>
    <n v="0"/>
    <n v="0"/>
    <n v="0"/>
    <n v="100"/>
    <n v="100"/>
    <n v="200"/>
  </r>
  <r>
    <x v="2568"/>
    <n v="818071"/>
    <s v="GAURI CEMENT AGENCY"/>
    <n v="202478"/>
    <s v="RAMSWAROOP PRAKASHCHAND"/>
    <n v="0"/>
    <n v="0"/>
    <n v="0"/>
    <n v="0"/>
    <n v="0"/>
    <n v="0"/>
    <n v="0"/>
    <n v="0"/>
    <n v="0"/>
    <n v="0"/>
    <n v="28"/>
    <n v="20"/>
    <n v="48"/>
  </r>
  <r>
    <x v="2569"/>
    <n v="818073"/>
    <s v="SHARMA BUILDING MATERIAL"/>
    <n v="208516"/>
    <s v="HARDENIYA CEMENT AGENCIES"/>
    <n v="0"/>
    <n v="0"/>
    <n v="0"/>
    <n v="0"/>
    <n v="0"/>
    <n v="0"/>
    <n v="0"/>
    <n v="0"/>
    <n v="0"/>
    <n v="0"/>
    <n v="50"/>
    <n v="52"/>
    <n v="102"/>
  </r>
  <r>
    <x v="2570"/>
    <n v="818077"/>
    <s v="MULCHAND"/>
    <n v="119044"/>
    <s v="PANWAR TRADING CORPORATION LTD"/>
    <n v="0"/>
    <n v="0"/>
    <n v="0"/>
    <n v="0"/>
    <n v="0"/>
    <n v="0"/>
    <n v="0"/>
    <n v="0"/>
    <n v="0"/>
    <n v="0"/>
    <n v="0"/>
    <n v="50"/>
    <n v="50"/>
  </r>
  <r>
    <x v="2571"/>
    <n v="818098"/>
    <s v="CG SHREENATH BULIDING MATERIAL"/>
    <n v="204034"/>
    <s v="PATEL CEMENT SUPPLIERS"/>
    <n v="0"/>
    <n v="0"/>
    <n v="0"/>
    <n v="0"/>
    <n v="0"/>
    <n v="0"/>
    <n v="0"/>
    <n v="0"/>
    <n v="0"/>
    <n v="0"/>
    <n v="0"/>
    <n v="20"/>
    <n v="20"/>
  </r>
  <r>
    <x v="2572"/>
    <n v="818099"/>
    <s v="GHANSHYAM REGAR"/>
    <n v="175049"/>
    <s v="KASHISH ENTERPRISES"/>
    <n v="0"/>
    <n v="0"/>
    <n v="0"/>
    <n v="0"/>
    <n v="0"/>
    <n v="0"/>
    <n v="0"/>
    <n v="0"/>
    <n v="0"/>
    <n v="0"/>
    <n v="0"/>
    <n v="31"/>
    <n v="31"/>
  </r>
  <r>
    <x v="2573"/>
    <n v="818101"/>
    <s v="BHUPESH DANGI"/>
    <n v="141115"/>
    <s v="KALPESH CEMENT AGENCY"/>
    <n v="0"/>
    <n v="0"/>
    <n v="0"/>
    <n v="0"/>
    <n v="0"/>
    <n v="0"/>
    <n v="0"/>
    <n v="0"/>
    <n v="0"/>
    <n v="0"/>
    <n v="62.25"/>
    <n v="120.75"/>
    <n v="183"/>
  </r>
  <r>
    <x v="2574"/>
    <n v="818102"/>
    <s v="PRIYANKA LIGHT AND TENT HOUSE"/>
    <n v="170846"/>
    <s v="SANGAM ENTERPRISES"/>
    <n v="0"/>
    <n v="0"/>
    <n v="0"/>
    <n v="0"/>
    <n v="0"/>
    <n v="0"/>
    <n v="0"/>
    <n v="0"/>
    <n v="0"/>
    <n v="0"/>
    <n v="0"/>
    <n v="10"/>
    <n v="10"/>
  </r>
  <r>
    <x v="2575"/>
    <n v="818124"/>
    <s v="DEV NARAYAN TRADERS"/>
    <n v="210691"/>
    <s v="AARADHYA CEMENT SUPPLIER"/>
    <n v="0"/>
    <n v="0"/>
    <n v="0"/>
    <n v="0"/>
    <n v="0"/>
    <n v="0"/>
    <n v="0"/>
    <n v="0"/>
    <n v="0"/>
    <n v="0"/>
    <n v="20.149999999999999"/>
    <n v="174.5"/>
    <n v="194.65"/>
  </r>
  <r>
    <x v="2576"/>
    <n v="818131"/>
    <s v="RANCHHODA RAM"/>
    <n v="206066"/>
    <s v="GAJANAND CEMENT AGENCY"/>
    <n v="0"/>
    <n v="0"/>
    <n v="0"/>
    <n v="0"/>
    <n v="0"/>
    <n v="0"/>
    <n v="0"/>
    <n v="0"/>
    <n v="0"/>
    <n v="0"/>
    <n v="25"/>
    <n v="264"/>
    <n v="289"/>
  </r>
  <r>
    <x v="2577"/>
    <n v="818132"/>
    <s v="DAMRA RAM"/>
    <n v="206066"/>
    <s v="GAJANAND CEMENT AGENCY"/>
    <n v="0"/>
    <n v="0"/>
    <n v="0"/>
    <n v="0"/>
    <n v="0"/>
    <n v="0"/>
    <n v="0"/>
    <n v="0"/>
    <n v="0"/>
    <n v="0"/>
    <n v="10"/>
    <n v="105"/>
    <n v="115"/>
  </r>
  <r>
    <x v="2578"/>
    <n v="818133"/>
    <s v="KAPUR NATH LAL NATH"/>
    <n v="206066"/>
    <s v="GAJANAND CEMENT AGENCY"/>
    <n v="0"/>
    <n v="0"/>
    <n v="0"/>
    <n v="0"/>
    <n v="0"/>
    <n v="0"/>
    <n v="0"/>
    <n v="0"/>
    <n v="0"/>
    <n v="0"/>
    <n v="50"/>
    <n v="60"/>
    <n v="110"/>
  </r>
  <r>
    <x v="2579"/>
    <n v="818134"/>
    <s v="RAMDEV"/>
    <n v="171839"/>
    <s v="SARAWAGI CEMENT AGENCY"/>
    <n v="0"/>
    <n v="0"/>
    <n v="0"/>
    <n v="0"/>
    <n v="0"/>
    <n v="0"/>
    <n v="0"/>
    <n v="0"/>
    <n v="0"/>
    <n v="0"/>
    <n v="0"/>
    <n v="35"/>
    <n v="35"/>
  </r>
  <r>
    <x v="2580"/>
    <n v="818135"/>
    <s v="MAHESH BUILDING MATERIAL"/>
    <n v="170204"/>
    <s v="GOYAL BUILDING MATERIAL"/>
    <n v="0"/>
    <n v="0"/>
    <n v="0"/>
    <n v="0"/>
    <n v="0"/>
    <n v="0"/>
    <n v="0"/>
    <n v="0"/>
    <n v="0"/>
    <n v="0"/>
    <n v="0"/>
    <n v="46.95"/>
    <n v="46.95"/>
  </r>
  <r>
    <x v="2581"/>
    <n v="818136"/>
    <s v="JAI BHAWANI TRADERS"/>
    <n v="177742"/>
    <s v="PATEL MOTORS"/>
    <n v="0"/>
    <n v="0"/>
    <n v="0"/>
    <n v="0"/>
    <n v="0"/>
    <n v="0"/>
    <n v="0"/>
    <n v="0"/>
    <n v="0"/>
    <n v="0"/>
    <n v="0"/>
    <n v="35"/>
    <n v="35"/>
  </r>
  <r>
    <x v="2582"/>
    <n v="818137"/>
    <s v="NARESH KUMAR SHAH"/>
    <n v="119212"/>
    <s v="SURENDRA KUMAR &amp; CO"/>
    <n v="0"/>
    <n v="0"/>
    <n v="0"/>
    <n v="0"/>
    <n v="0"/>
    <n v="0"/>
    <n v="0"/>
    <n v="0"/>
    <n v="0"/>
    <n v="0"/>
    <n v="45"/>
    <n v="35"/>
    <n v="80"/>
  </r>
  <r>
    <x v="2583"/>
    <n v="818140"/>
    <s v="SANWLIYA AND BROTHERS BUILDING"/>
    <n v="209990"/>
    <s v="DHAKAD KRISHI SEVA KENDRA,"/>
    <n v="0"/>
    <n v="0"/>
    <n v="0"/>
    <n v="0"/>
    <n v="0"/>
    <n v="0"/>
    <n v="0"/>
    <n v="0"/>
    <n v="0"/>
    <n v="0"/>
    <n v="20"/>
    <n v="55"/>
    <n v="75"/>
  </r>
  <r>
    <x v="2584"/>
    <n v="818141"/>
    <s v="M K TRADERS"/>
    <n v="178764"/>
    <s v="PERFECT TRADERS"/>
    <n v="0"/>
    <n v="0"/>
    <n v="0"/>
    <n v="0"/>
    <n v="0"/>
    <n v="0"/>
    <n v="0"/>
    <n v="0"/>
    <n v="0"/>
    <n v="0"/>
    <n v="35"/>
    <n v="35"/>
    <n v="70"/>
  </r>
  <r>
    <x v="2585"/>
    <n v="818142"/>
    <s v="JANJ ENTERPRISES"/>
    <n v="175547"/>
    <s v="S.S.BHATI ENTERPRISES"/>
    <n v="0"/>
    <n v="0"/>
    <n v="0"/>
    <n v="0"/>
    <n v="0"/>
    <n v="0"/>
    <n v="0"/>
    <n v="0"/>
    <n v="0"/>
    <n v="0"/>
    <n v="70"/>
    <n v="135"/>
    <n v="205"/>
  </r>
  <r>
    <x v="2586"/>
    <n v="818153"/>
    <s v="JAY BHERU NATH BUILDING MATERI"/>
    <n v="205591"/>
    <s v="ROOP RAJAT TRADING CO"/>
    <n v="0"/>
    <n v="0"/>
    <n v="0"/>
    <n v="0"/>
    <n v="0"/>
    <n v="0"/>
    <n v="0"/>
    <n v="0"/>
    <n v="0"/>
    <n v="0"/>
    <n v="0"/>
    <n v="10"/>
    <n v="10"/>
  </r>
  <r>
    <x v="2587"/>
    <n v="818155"/>
    <s v="SHRI MATESHWARI CEMENT AND HAR"/>
    <n v="141115"/>
    <s v="KALPESH CEMENT AGENCY"/>
    <n v="0"/>
    <n v="0"/>
    <n v="0"/>
    <n v="0"/>
    <n v="0"/>
    <n v="0"/>
    <n v="0"/>
    <n v="0"/>
    <n v="0"/>
    <n v="0"/>
    <n v="94.75"/>
    <n v="105.25"/>
    <n v="200"/>
  </r>
  <r>
    <x v="2588"/>
    <n v="818156"/>
    <s v="BALAJI CEMENT SUPPLIERS"/>
    <n v="209599"/>
    <s v="SHYAM KRIPA HARDWARE AND SENET"/>
    <n v="0"/>
    <n v="0"/>
    <n v="0"/>
    <n v="0"/>
    <n v="0"/>
    <n v="0"/>
    <n v="0"/>
    <n v="0"/>
    <n v="0"/>
    <n v="0"/>
    <n v="22"/>
    <n v="70"/>
    <n v="92"/>
  </r>
  <r>
    <x v="2589"/>
    <n v="818159"/>
    <s v="YAWAN BUILDING MATERIALS"/>
    <n v="211282"/>
    <s v="VINAYAK BUILDING MATERIALS"/>
    <n v="0"/>
    <n v="0"/>
    <n v="0"/>
    <n v="0"/>
    <n v="0"/>
    <n v="0"/>
    <n v="0"/>
    <n v="0"/>
    <n v="0"/>
    <n v="0"/>
    <n v="45"/>
    <n v="101"/>
    <n v="146"/>
  </r>
  <r>
    <x v="2590"/>
    <n v="818161"/>
    <s v="ARUN TRADERS"/>
    <n v="211282"/>
    <s v="VINAYAK BUILDING MATERIALS"/>
    <n v="0"/>
    <n v="0"/>
    <n v="0"/>
    <n v="0"/>
    <n v="0"/>
    <n v="0"/>
    <n v="0"/>
    <n v="0"/>
    <n v="0"/>
    <n v="0"/>
    <n v="115"/>
    <n v="190"/>
    <n v="305"/>
  </r>
  <r>
    <x v="2591"/>
    <n v="818163"/>
    <s v="MANISH TRADERS"/>
    <n v="119071"/>
    <s v="GANESH AGENCIES"/>
    <n v="0"/>
    <n v="0"/>
    <n v="0"/>
    <n v="0"/>
    <n v="0"/>
    <n v="0"/>
    <n v="0"/>
    <n v="0"/>
    <n v="0"/>
    <n v="0"/>
    <n v="20"/>
    <n v="172"/>
    <n v="192"/>
  </r>
  <r>
    <x v="2592"/>
    <n v="818164"/>
    <s v="SHANKARA RAM MALI"/>
    <n v="206066"/>
    <s v="GAJANAND CEMENT AGENCY"/>
    <n v="0"/>
    <n v="0"/>
    <n v="0"/>
    <n v="0"/>
    <n v="0"/>
    <n v="0"/>
    <n v="0"/>
    <n v="0"/>
    <n v="0"/>
    <n v="0"/>
    <n v="0"/>
    <n v="25"/>
    <n v="25"/>
  </r>
  <r>
    <x v="2593"/>
    <n v="818177"/>
    <s v="MAHADEV STONE AND CEMENT SUPPL"/>
    <n v="170775"/>
    <s v="GANPAT LAL MAROTHIYA AND SONS"/>
    <n v="0"/>
    <n v="0"/>
    <n v="0"/>
    <n v="0"/>
    <n v="0"/>
    <n v="0"/>
    <n v="0"/>
    <n v="0"/>
    <n v="0"/>
    <n v="0"/>
    <n v="10"/>
    <n v="35"/>
    <n v="45"/>
  </r>
  <r>
    <x v="2594"/>
    <n v="818181"/>
    <s v="SHRI MAHADEV BUILDING MATERIAL"/>
    <n v="170775"/>
    <s v="GANPAT LAL MAROTHIYA AND SONS"/>
    <n v="0"/>
    <n v="0"/>
    <n v="0"/>
    <n v="0"/>
    <n v="0"/>
    <n v="0"/>
    <n v="0"/>
    <n v="0"/>
    <n v="0"/>
    <n v="0"/>
    <n v="55"/>
    <n v="145"/>
    <n v="200"/>
  </r>
  <r>
    <x v="2595"/>
    <n v="818192"/>
    <s v="DIKSHIT KALAL"/>
    <n v="172798"/>
    <s v="PANKAJ TRADERS"/>
    <n v="0"/>
    <n v="0"/>
    <n v="0"/>
    <n v="0"/>
    <n v="0"/>
    <n v="0"/>
    <n v="0"/>
    <n v="0"/>
    <n v="0"/>
    <n v="0"/>
    <n v="0"/>
    <n v="50"/>
    <n v="50"/>
  </r>
  <r>
    <x v="2596"/>
    <n v="818194"/>
    <s v="SHIV SHAKTI BUILDING MATERIAL"/>
    <n v="141512"/>
    <s v="MISHRA TRADERS"/>
    <n v="0"/>
    <n v="0"/>
    <n v="0"/>
    <n v="0"/>
    <n v="0"/>
    <n v="0"/>
    <n v="0"/>
    <n v="0"/>
    <n v="0"/>
    <n v="0"/>
    <n v="0"/>
    <n v="60.5"/>
    <n v="60.5"/>
  </r>
  <r>
    <x v="2597"/>
    <n v="818201"/>
    <s v="REKHRAJ CHOUDHARY"/>
    <n v="201117"/>
    <s v="LOKESH ROOFING'S"/>
    <n v="0"/>
    <n v="0"/>
    <n v="0"/>
    <n v="0"/>
    <n v="0"/>
    <n v="0"/>
    <n v="0"/>
    <n v="0"/>
    <n v="0"/>
    <n v="0"/>
    <n v="2.85"/>
    <n v="114.5"/>
    <n v="117.35"/>
  </r>
  <r>
    <x v="2598"/>
    <n v="818207"/>
    <s v="SHREEJI TRADING COMPANY"/>
    <n v="207192"/>
    <s v="GOYAL TRADING COMPANY"/>
    <n v="0"/>
    <n v="0"/>
    <n v="0"/>
    <n v="0"/>
    <n v="0"/>
    <n v="0"/>
    <n v="0"/>
    <n v="0"/>
    <n v="0"/>
    <n v="0"/>
    <n v="0"/>
    <n v="35.5"/>
    <n v="35.5"/>
  </r>
  <r>
    <x v="2599"/>
    <n v="818212"/>
    <s v="NAGANA BUILDING MATERIAL AND S"/>
    <n v="119038"/>
    <s v="NAVEEN DISTRIBUTORS"/>
    <n v="0"/>
    <n v="0"/>
    <n v="0"/>
    <n v="0"/>
    <n v="0"/>
    <n v="0"/>
    <n v="0"/>
    <n v="0"/>
    <n v="0"/>
    <n v="0"/>
    <n v="0"/>
    <n v="15"/>
    <n v="15"/>
  </r>
  <r>
    <x v="2600"/>
    <n v="818213"/>
    <s v="JITENDRA KUMAR"/>
    <n v="210210"/>
    <s v="SHREE BRAHMANI BUILDING MATERI"/>
    <n v="0"/>
    <n v="0"/>
    <n v="0"/>
    <n v="0"/>
    <n v="0"/>
    <n v="0"/>
    <n v="0"/>
    <n v="0"/>
    <n v="0"/>
    <n v="0"/>
    <n v="0"/>
    <n v="15"/>
    <n v="15"/>
  </r>
  <r>
    <x v="2601"/>
    <n v="818214"/>
    <s v="MUKESH CEMENT SUPPLIERS"/>
    <n v="209599"/>
    <s v="SHYAM KRIPA HARDWARE AND SENET"/>
    <n v="0"/>
    <n v="0"/>
    <n v="0"/>
    <n v="0"/>
    <n v="0"/>
    <n v="0"/>
    <n v="0"/>
    <n v="0"/>
    <n v="0"/>
    <n v="0"/>
    <n v="0"/>
    <n v="102"/>
    <n v="102"/>
  </r>
  <r>
    <x v="2602"/>
    <n v="818216"/>
    <s v="MAHIMA BUILDING MATERIALS"/>
    <n v="170325"/>
    <s v="MANOJ TRADERS"/>
    <n v="0"/>
    <n v="0"/>
    <n v="0"/>
    <n v="0"/>
    <n v="0"/>
    <n v="0"/>
    <n v="0"/>
    <n v="0"/>
    <n v="0"/>
    <n v="0"/>
    <n v="0"/>
    <n v="85"/>
    <n v="85"/>
  </r>
  <r>
    <x v="2603"/>
    <n v="818217"/>
    <s v="SHRI RAM BUILDING MATERIAL"/>
    <n v="173865"/>
    <s v="BHARDWAJ TRADERS"/>
    <n v="0"/>
    <n v="0"/>
    <n v="0"/>
    <n v="0"/>
    <n v="0"/>
    <n v="0"/>
    <n v="0"/>
    <n v="0"/>
    <n v="0"/>
    <n v="0"/>
    <n v="0"/>
    <n v="55"/>
    <n v="55"/>
  </r>
  <r>
    <x v="2604"/>
    <n v="818218"/>
    <s v="MAA BHAGWATI BUILDING SOLUTION"/>
    <n v="206986"/>
    <s v="SHREE SAI CONSTRUCTION"/>
    <n v="0"/>
    <n v="0"/>
    <n v="0"/>
    <n v="0"/>
    <n v="0"/>
    <n v="0"/>
    <n v="0"/>
    <n v="0"/>
    <n v="0"/>
    <n v="0"/>
    <n v="0"/>
    <n v="10"/>
    <n v="10"/>
  </r>
  <r>
    <x v="2605"/>
    <n v="818221"/>
    <s v="PREETI JOSHI"/>
    <n v="119034"/>
    <s v="SOGANI AGENCIES"/>
    <n v="0"/>
    <n v="0"/>
    <n v="0"/>
    <n v="0"/>
    <n v="0"/>
    <n v="0"/>
    <n v="0"/>
    <n v="0"/>
    <n v="0"/>
    <n v="0"/>
    <n v="0"/>
    <n v="80"/>
    <n v="80"/>
  </r>
  <r>
    <x v="2606"/>
    <n v="818232"/>
    <s v="DURGA SHANKAR SHARMA"/>
    <n v="209816"/>
    <s v="OM TRADERS"/>
    <n v="0"/>
    <n v="0"/>
    <n v="0"/>
    <n v="0"/>
    <n v="0"/>
    <n v="0"/>
    <n v="0"/>
    <n v="0"/>
    <n v="0"/>
    <n v="0"/>
    <n v="0"/>
    <n v="22.5"/>
    <n v="22.5"/>
  </r>
  <r>
    <x v="2607"/>
    <n v="818235"/>
    <s v="VISHWAKARMA CEMENT AGENCY"/>
    <n v="211342"/>
    <s v="JANGID ENTERPRISES"/>
    <n v="0"/>
    <n v="0"/>
    <n v="0"/>
    <n v="0"/>
    <n v="0"/>
    <n v="0"/>
    <n v="0"/>
    <n v="0"/>
    <n v="0"/>
    <n v="0"/>
    <n v="0"/>
    <n v="30"/>
    <n v="30"/>
  </r>
  <r>
    <x v="2608"/>
    <n v="818237"/>
    <s v="SHREE BAJRANG BUILDING MATERIA"/>
    <n v="209816"/>
    <s v="OM TRADERS"/>
    <n v="0"/>
    <n v="0"/>
    <n v="0"/>
    <n v="0"/>
    <n v="0"/>
    <n v="0"/>
    <n v="0"/>
    <n v="0"/>
    <n v="0"/>
    <n v="0"/>
    <n v="0"/>
    <n v="27.5"/>
    <n v="27.5"/>
  </r>
  <r>
    <x v="2609"/>
    <n v="818238"/>
    <s v="KAZI TRADING COMPANY"/>
    <n v="170204"/>
    <s v="GOYAL BUILDING MATERIAL"/>
    <n v="0"/>
    <n v="0"/>
    <n v="0"/>
    <n v="0"/>
    <n v="0"/>
    <n v="0"/>
    <n v="0"/>
    <n v="0"/>
    <n v="0"/>
    <n v="0"/>
    <n v="0"/>
    <n v="110"/>
    <n v="110"/>
  </r>
  <r>
    <x v="2610"/>
    <n v="818240"/>
    <s v="MANISH AGENCY"/>
    <n v="144746"/>
    <s v="JAIN BUILDING MATERIAL SUPPLIE"/>
    <n v="0"/>
    <n v="0"/>
    <n v="0"/>
    <n v="0"/>
    <n v="0"/>
    <n v="0"/>
    <n v="0"/>
    <n v="0"/>
    <n v="0"/>
    <n v="0"/>
    <n v="0"/>
    <n v="140"/>
    <n v="140"/>
  </r>
  <r>
    <x v="2611"/>
    <n v="818250"/>
    <s v="GOPA RAM"/>
    <n v="203651"/>
    <s v="VINAYAK STEEL TRADERS"/>
    <n v="0"/>
    <n v="0"/>
    <n v="0"/>
    <n v="0"/>
    <n v="0"/>
    <n v="0"/>
    <n v="0"/>
    <n v="0"/>
    <n v="0"/>
    <n v="0"/>
    <n v="0"/>
    <n v="105"/>
    <n v="105"/>
  </r>
  <r>
    <x v="2612"/>
    <n v="818251"/>
    <s v="RAMDEV TRADERS"/>
    <n v="208088"/>
    <s v="DEVENDRA  KUMAR  BABULAL"/>
    <n v="0"/>
    <n v="0"/>
    <n v="0"/>
    <n v="0"/>
    <n v="0"/>
    <n v="0"/>
    <n v="0"/>
    <n v="0"/>
    <n v="0"/>
    <n v="0"/>
    <n v="0"/>
    <n v="69"/>
    <n v="69"/>
  </r>
  <r>
    <x v="2613"/>
    <n v="818252"/>
    <s v="MAHADEV CEMENT SUPPLIER"/>
    <n v="209652"/>
    <s v="RAJRUCHI CEMENT BHANDAR"/>
    <n v="0"/>
    <n v="0"/>
    <n v="0"/>
    <n v="0"/>
    <n v="0"/>
    <n v="0"/>
    <n v="0"/>
    <n v="0"/>
    <n v="0"/>
    <n v="0"/>
    <n v="0"/>
    <n v="115"/>
    <n v="115"/>
  </r>
  <r>
    <x v="2614"/>
    <n v="818254"/>
    <s v="RAJESHWAR HARDWARE"/>
    <n v="209652"/>
    <s v="RAJRUCHI CEMENT BHANDAR"/>
    <n v="0"/>
    <n v="0"/>
    <n v="0"/>
    <n v="0"/>
    <n v="0"/>
    <n v="0"/>
    <n v="0"/>
    <n v="0"/>
    <n v="0"/>
    <n v="0"/>
    <n v="0"/>
    <n v="70"/>
    <n v="70"/>
  </r>
  <r>
    <x v="2615"/>
    <n v="818255"/>
    <s v="HEERA LAL GURJAR"/>
    <n v="202428"/>
    <s v="JAIN HARDWARE AND BUILDING MAT"/>
    <n v="0"/>
    <n v="0"/>
    <n v="0"/>
    <n v="0"/>
    <n v="0"/>
    <n v="0"/>
    <n v="0"/>
    <n v="0"/>
    <n v="0"/>
    <n v="0"/>
    <n v="0"/>
    <n v="4.5"/>
    <n v="4.5"/>
  </r>
  <r>
    <x v="2616"/>
    <n v="818255"/>
    <s v="HEERA LAL GURJAR"/>
    <n v="210538"/>
    <s v="JAI MATA DI CONSTRUCTION COMPA"/>
    <n v="0"/>
    <n v="0"/>
    <n v="0"/>
    <n v="0"/>
    <n v="0"/>
    <n v="0"/>
    <n v="0"/>
    <n v="0"/>
    <n v="0"/>
    <n v="0"/>
    <n v="0"/>
    <n v="30"/>
    <n v="30"/>
  </r>
  <r>
    <x v="2617"/>
    <n v="818256"/>
    <s v="NARAYAN CEMENT AGENCY"/>
    <n v="142984"/>
    <s v="JAGDAMBEY BUILDING MATERIAL SU"/>
    <n v="0"/>
    <n v="0"/>
    <n v="0"/>
    <n v="0"/>
    <n v="0"/>
    <n v="0"/>
    <n v="0"/>
    <n v="0"/>
    <n v="0"/>
    <n v="0"/>
    <n v="0"/>
    <n v="15"/>
    <n v="15"/>
  </r>
  <r>
    <x v="2618"/>
    <n v="818257"/>
    <s v="SHEKHAWATI MARBLE &amp; KOTA STONE"/>
    <n v="149885"/>
    <s v="LUHANI CEMENT SUPPLIERS"/>
    <n v="0"/>
    <n v="0"/>
    <n v="0"/>
    <n v="0"/>
    <n v="0"/>
    <n v="0"/>
    <n v="0"/>
    <n v="0"/>
    <n v="0"/>
    <n v="0"/>
    <n v="0"/>
    <n v="85"/>
    <n v="85"/>
  </r>
  <r>
    <x v="2619"/>
    <n v="818263"/>
    <s v="BABA RAMDEV BUILDING CONTRACTO"/>
    <n v="208074"/>
    <s v="SWASTIK STEEL TRADERS"/>
    <n v="0"/>
    <n v="0"/>
    <n v="0"/>
    <n v="0"/>
    <n v="0"/>
    <n v="0"/>
    <n v="0"/>
    <n v="0"/>
    <n v="0"/>
    <n v="0"/>
    <n v="0"/>
    <n v="67.5"/>
    <n v="67.5"/>
  </r>
  <r>
    <x v="2620"/>
    <n v="818277"/>
    <s v="SHIV BUILDING MATERIALS"/>
    <n v="209599"/>
    <s v="SHYAM KRIPA HARDWARE AND SENET"/>
    <n v="0"/>
    <n v="0"/>
    <n v="0"/>
    <n v="0"/>
    <n v="0"/>
    <n v="0"/>
    <n v="0"/>
    <n v="0"/>
    <n v="0"/>
    <n v="0"/>
    <n v="0"/>
    <n v="10"/>
    <n v="10"/>
  </r>
  <r>
    <x v="2621"/>
    <n v="818279"/>
    <s v="DUNGAR BHARTI"/>
    <n v="210745"/>
    <s v="RAMDEV TRADERS"/>
    <n v="0"/>
    <n v="0"/>
    <n v="0"/>
    <n v="0"/>
    <n v="0"/>
    <n v="0"/>
    <n v="0"/>
    <n v="0"/>
    <n v="0"/>
    <n v="0"/>
    <n v="0"/>
    <n v="120"/>
    <n v="120"/>
  </r>
  <r>
    <x v="2622"/>
    <n v="818280"/>
    <s v="SHREE YADE TRADERS"/>
    <n v="172338"/>
    <s v="KHILJEE BUILDING MATERIAL"/>
    <n v="0"/>
    <n v="0"/>
    <n v="0"/>
    <n v="0"/>
    <n v="0"/>
    <n v="0"/>
    <n v="0"/>
    <n v="0"/>
    <n v="0"/>
    <n v="0"/>
    <n v="0"/>
    <n v="143.5"/>
    <n v="143.5"/>
  </r>
  <r>
    <x v="2623"/>
    <n v="818288"/>
    <s v="RAJESH CHOUDHARY"/>
    <n v="170904"/>
    <s v="ASHAPURA CEMENT SALES"/>
    <n v="0"/>
    <n v="0"/>
    <n v="0"/>
    <n v="0"/>
    <n v="0"/>
    <n v="0"/>
    <n v="0"/>
    <n v="0"/>
    <n v="0"/>
    <n v="0"/>
    <n v="0"/>
    <n v="10"/>
    <n v="10"/>
  </r>
  <r>
    <x v="2624"/>
    <n v="818290"/>
    <s v="BALAJI BUILDING MATERIAL"/>
    <n v="173224"/>
    <s v="D.R.MARBLE &amp; SANITORY"/>
    <n v="0"/>
    <n v="0"/>
    <n v="0"/>
    <n v="0"/>
    <n v="0"/>
    <n v="0"/>
    <n v="0"/>
    <n v="0"/>
    <n v="0"/>
    <n v="0"/>
    <n v="0"/>
    <n v="112.5"/>
    <n v="112.5"/>
  </r>
  <r>
    <x v="2625"/>
    <n v="818293"/>
    <s v="BHOMIYA JI KIRANA STORE"/>
    <n v="173224"/>
    <s v="D.R.MARBLE &amp; SANITORY"/>
    <n v="0"/>
    <n v="0"/>
    <n v="0"/>
    <n v="0"/>
    <n v="0"/>
    <n v="0"/>
    <n v="0"/>
    <n v="0"/>
    <n v="0"/>
    <n v="0"/>
    <n v="0"/>
    <n v="95"/>
    <n v="95"/>
  </r>
  <r>
    <x v="2626"/>
    <n v="818294"/>
    <s v="JIYANSH CEMENT AGENCY"/>
    <n v="207895"/>
    <s v="NISHANT ASSOCIATES"/>
    <n v="0"/>
    <n v="0"/>
    <n v="0"/>
    <n v="0"/>
    <n v="0"/>
    <n v="0"/>
    <n v="0"/>
    <n v="0"/>
    <n v="0"/>
    <n v="0"/>
    <n v="0"/>
    <n v="20"/>
    <n v="20"/>
  </r>
  <r>
    <x v="2627"/>
    <n v="818295"/>
    <s v="PATIDAR KRISHI FIRM NANDOR"/>
    <n v="208066"/>
    <s v="SHIV CORPORATION"/>
    <n v="0"/>
    <n v="0"/>
    <n v="0"/>
    <n v="0"/>
    <n v="0"/>
    <n v="0"/>
    <n v="0"/>
    <n v="0"/>
    <n v="0"/>
    <n v="0"/>
    <n v="0"/>
    <n v="25"/>
    <n v="25"/>
  </r>
  <r>
    <x v="2628"/>
    <n v="818306"/>
    <s v="ROYAL BUILDING MATERIAL"/>
    <n v="208183"/>
    <s v="AAGRAWAL TRADING COMPANY"/>
    <n v="0"/>
    <n v="0"/>
    <n v="0"/>
    <n v="0"/>
    <n v="0"/>
    <n v="0"/>
    <n v="0"/>
    <n v="0"/>
    <n v="0"/>
    <n v="0"/>
    <n v="0"/>
    <n v="84"/>
    <n v="84"/>
  </r>
  <r>
    <x v="2629"/>
    <n v="818307"/>
    <s v="ROOP LAL BHEEL"/>
    <n v="204375"/>
    <s v="JAI MATESHWARI CONSTRUCTION"/>
    <n v="0"/>
    <n v="0"/>
    <n v="0"/>
    <n v="0"/>
    <n v="0"/>
    <n v="0"/>
    <n v="0"/>
    <n v="0"/>
    <n v="0"/>
    <n v="0"/>
    <n v="0"/>
    <n v="10"/>
    <n v="10"/>
  </r>
  <r>
    <x v="2630"/>
    <n v="818317"/>
    <s v="JETHA RAM"/>
    <n v="176833"/>
    <s v="NAKORA CEMENT SUPPLIERS"/>
    <n v="0"/>
    <n v="0"/>
    <n v="0"/>
    <n v="0"/>
    <n v="0"/>
    <n v="0"/>
    <n v="0"/>
    <n v="0"/>
    <n v="0"/>
    <n v="0"/>
    <n v="0"/>
    <n v="95"/>
    <n v="95"/>
  </r>
  <r>
    <x v="2631"/>
    <n v="818324"/>
    <s v="PRAKASH CHANDRA"/>
    <n v="205591"/>
    <s v="ROOP RAJAT TRADING CO"/>
    <n v="0"/>
    <n v="0"/>
    <n v="0"/>
    <n v="0"/>
    <n v="0"/>
    <n v="0"/>
    <n v="0"/>
    <n v="0"/>
    <n v="0"/>
    <n v="0"/>
    <n v="0"/>
    <n v="23"/>
    <n v="23"/>
  </r>
  <r>
    <x v="2632"/>
    <n v="818325"/>
    <s v="R V BUILDING MATERIAL SUPPLIER"/>
    <n v="148557"/>
    <s v="MITALI ALLOYS PVT LTD"/>
    <n v="0"/>
    <n v="0"/>
    <n v="0"/>
    <n v="0"/>
    <n v="0"/>
    <n v="0"/>
    <n v="0"/>
    <n v="0"/>
    <n v="0"/>
    <n v="0"/>
    <n v="0"/>
    <n v="10"/>
    <n v="10"/>
  </r>
  <r>
    <x v="2633"/>
    <n v="818328"/>
    <s v="NAVDEEP CEMENT AGENCY"/>
    <n v="209954"/>
    <s v="D.S.CONTRUCTION"/>
    <n v="0"/>
    <n v="0"/>
    <n v="0"/>
    <n v="0"/>
    <n v="0"/>
    <n v="0"/>
    <n v="0"/>
    <n v="0"/>
    <n v="0"/>
    <n v="0"/>
    <n v="0"/>
    <n v="157"/>
    <n v="157"/>
  </r>
  <r>
    <x v="2634"/>
    <n v="818329"/>
    <s v="SHREE KRISHNAM TRADERS"/>
    <n v="173865"/>
    <s v="BHARDWAJ TRADERS"/>
    <n v="0"/>
    <n v="0"/>
    <n v="0"/>
    <n v="0"/>
    <n v="0"/>
    <n v="0"/>
    <n v="0"/>
    <n v="0"/>
    <n v="0"/>
    <n v="0"/>
    <n v="0"/>
    <n v="39.9"/>
    <n v="39.9"/>
  </r>
  <r>
    <x v="2635"/>
    <n v="818340"/>
    <s v="JAI BHOMIYA BUILDING MATERIAL"/>
    <n v="210619"/>
    <s v="JAGDAMBA TRADING CO"/>
    <n v="0"/>
    <n v="0"/>
    <n v="0"/>
    <n v="0"/>
    <n v="0"/>
    <n v="0"/>
    <n v="0"/>
    <n v="0"/>
    <n v="0"/>
    <n v="0"/>
    <n v="0"/>
    <n v="80"/>
    <n v="80"/>
  </r>
  <r>
    <x v="2636"/>
    <n v="818341"/>
    <s v="MEENA KHAD BEEJ BHANDAR"/>
    <n v="210619"/>
    <s v="JAGDAMBA TRADING CO"/>
    <n v="0"/>
    <n v="0"/>
    <n v="0"/>
    <n v="0"/>
    <n v="0"/>
    <n v="0"/>
    <n v="0"/>
    <n v="0"/>
    <n v="0"/>
    <n v="0"/>
    <n v="0"/>
    <n v="85"/>
    <n v="85"/>
  </r>
  <r>
    <x v="2637"/>
    <n v="818343"/>
    <s v="ASHOK SHARMA"/>
    <n v="210566"/>
    <s v="LADHURAM  MURLIDHAR RATHI"/>
    <n v="0"/>
    <n v="0"/>
    <n v="0"/>
    <n v="0"/>
    <n v="0"/>
    <n v="0"/>
    <n v="0"/>
    <n v="0"/>
    <n v="0"/>
    <n v="0"/>
    <n v="0"/>
    <n v="45"/>
    <n v="45"/>
  </r>
  <r>
    <x v="2638"/>
    <n v="818347"/>
    <s v="SHREE KRISHNA CEMENT AGENCY"/>
    <n v="140927"/>
    <s v="SHIV CHARAN LAL RAKESH KUMAR"/>
    <n v="0"/>
    <n v="0"/>
    <n v="0"/>
    <n v="0"/>
    <n v="0"/>
    <n v="0"/>
    <n v="0"/>
    <n v="0"/>
    <n v="0"/>
    <n v="0"/>
    <n v="0"/>
    <n v="40"/>
    <n v="40"/>
  </r>
  <r>
    <x v="2639"/>
    <n v="818372"/>
    <s v="GOKUL IRON AND CONSTRUCTION"/>
    <n v="144747"/>
    <s v="ROOP ENTERPRISES"/>
    <n v="0"/>
    <n v="0"/>
    <n v="0"/>
    <n v="0"/>
    <n v="0"/>
    <n v="0"/>
    <n v="0"/>
    <n v="0"/>
    <n v="0"/>
    <n v="0"/>
    <n v="0"/>
    <n v="22.5"/>
    <n v="22.5"/>
  </r>
  <r>
    <x v="2640"/>
    <n v="818394"/>
    <s v="ASHOK CEMENT SUPPLIERS"/>
    <n v="209599"/>
    <s v="SHYAM KRIPA HARDWARE AND SENET"/>
    <n v="0"/>
    <n v="0"/>
    <n v="0"/>
    <n v="0"/>
    <n v="0"/>
    <n v="0"/>
    <n v="0"/>
    <n v="0"/>
    <n v="0"/>
    <n v="0"/>
    <n v="0"/>
    <n v="77"/>
    <n v="77"/>
  </r>
  <r>
    <x v="2641"/>
    <n v="818395"/>
    <s v="SHREE VINAYAK CEMENT SUPPLIERS"/>
    <n v="208770"/>
    <s v="SHEKHAWAT BUILDING MATERIAL"/>
    <n v="0"/>
    <n v="0"/>
    <n v="0"/>
    <n v="0"/>
    <n v="0"/>
    <n v="0"/>
    <n v="0"/>
    <n v="0"/>
    <n v="0"/>
    <n v="0"/>
    <n v="0"/>
    <n v="14.5"/>
    <n v="14.5"/>
  </r>
  <r>
    <x v="2642"/>
    <n v="818408"/>
    <s v="PANNA RAM"/>
    <n v="147429"/>
    <s v="RAJASTHAN TRADING COMPANY"/>
    <n v="0"/>
    <n v="0"/>
    <n v="0"/>
    <n v="0"/>
    <n v="0"/>
    <n v="0"/>
    <n v="0"/>
    <n v="0"/>
    <n v="0"/>
    <n v="0"/>
    <n v="0"/>
    <n v="96"/>
    <n v="96"/>
  </r>
  <r>
    <x v="2643"/>
    <n v="818409"/>
    <s v="ROOP SANITORY AND HARDWARE"/>
    <n v="119236"/>
    <s v="PATEL TRADERS"/>
    <n v="0"/>
    <n v="0"/>
    <n v="0"/>
    <n v="0"/>
    <n v="0"/>
    <n v="0"/>
    <n v="0"/>
    <n v="0"/>
    <n v="0"/>
    <n v="0"/>
    <n v="0"/>
    <n v="70"/>
    <n v="70"/>
  </r>
  <r>
    <x v="2644"/>
    <n v="818429"/>
    <s v="BHERU LAL KUMAWAT"/>
    <n v="175287"/>
    <s v="SHREE DEVNARAYAN BUILDING MATE"/>
    <n v="0"/>
    <n v="0"/>
    <n v="0"/>
    <n v="0"/>
    <n v="0"/>
    <n v="0"/>
    <n v="0"/>
    <n v="0"/>
    <n v="0"/>
    <n v="0"/>
    <n v="0"/>
    <n v="18"/>
    <n v="18"/>
  </r>
  <r>
    <x v="2645"/>
    <n v="818440"/>
    <s v="KHANDELWAL CEMENT AGENCY"/>
    <n v="119046"/>
    <s v="GARG AGRO AGENCIES"/>
    <n v="0"/>
    <n v="0"/>
    <n v="0"/>
    <n v="0"/>
    <n v="0"/>
    <n v="0"/>
    <n v="0"/>
    <n v="0"/>
    <n v="0"/>
    <n v="0"/>
    <n v="0"/>
    <n v="115"/>
    <n v="115"/>
  </r>
  <r>
    <x v="2646"/>
    <n v="818441"/>
    <s v="PINANIYA CONSTRUCTION COMPANY"/>
    <n v="210619"/>
    <s v="JAGDAMBA TRADING CO"/>
    <n v="0"/>
    <n v="0"/>
    <n v="0"/>
    <n v="0"/>
    <n v="0"/>
    <n v="0"/>
    <n v="0"/>
    <n v="0"/>
    <n v="0"/>
    <n v="0"/>
    <n v="0"/>
    <n v="96"/>
    <n v="96"/>
  </r>
  <r>
    <x v="2647"/>
    <n v="811172"/>
    <s v="SAMAY BUILD TECH"/>
    <n v="170392"/>
    <s v="JYOTI SUPPLIERS"/>
    <n v="0"/>
    <n v="0"/>
    <n v="0"/>
    <n v="0"/>
    <n v="0"/>
    <n v="0"/>
    <n v="0"/>
    <n v="0"/>
    <n v="0"/>
    <n v="0"/>
    <n v="0"/>
    <n v="35"/>
    <n v="35"/>
  </r>
  <r>
    <x v="2648"/>
    <n v="812563"/>
    <s v="SAVETA CEMENT AGENCY"/>
    <n v="178237"/>
    <s v="BADAYA TRADERS"/>
    <n v="0"/>
    <n v="0"/>
    <n v="0"/>
    <n v="0"/>
    <n v="0"/>
    <n v="0"/>
    <n v="0"/>
    <n v="0"/>
    <n v="0"/>
    <n v="0"/>
    <n v="0"/>
    <n v="11"/>
    <n v="11"/>
  </r>
  <r>
    <x v="2649"/>
    <n v="813378"/>
    <s v="BRIJENDRA SINGH CHAUHAN"/>
    <n v="178237"/>
    <s v="BADAYA TRADERS"/>
    <n v="0"/>
    <n v="0"/>
    <n v="0"/>
    <n v="0"/>
    <n v="0"/>
    <n v="0"/>
    <n v="0"/>
    <n v="0"/>
    <n v="0"/>
    <n v="0"/>
    <n v="0"/>
    <n v="3"/>
    <n v="3"/>
  </r>
  <r>
    <x v="2650"/>
    <n v="814602"/>
    <s v="ROSHAN SAINI"/>
    <n v="201172"/>
    <s v="MAA TRADERS"/>
    <n v="0"/>
    <n v="0"/>
    <n v="0"/>
    <n v="0"/>
    <n v="0"/>
    <n v="0"/>
    <n v="0"/>
    <n v="0"/>
    <n v="0"/>
    <n v="0"/>
    <n v="0"/>
    <n v="2.5"/>
    <n v="2.5"/>
  </r>
  <r>
    <x v="2651"/>
    <n v="814655"/>
    <s v="JAI BHERUNATH BUILDING MATERIA"/>
    <n v="179877"/>
    <s v="HANUMANGARH  INT SUPPLIERS"/>
    <n v="0"/>
    <n v="0"/>
    <n v="0"/>
    <n v="0"/>
    <n v="0"/>
    <n v="0"/>
    <n v="0"/>
    <n v="0"/>
    <n v="0"/>
    <n v="0"/>
    <n v="0"/>
    <n v="10"/>
    <n v="10"/>
  </r>
  <r>
    <x v="2652"/>
    <n v="814877"/>
    <s v="UDAI LAL JAT"/>
    <n v="170392"/>
    <s v="JYOTI SUPPLIERS"/>
    <n v="0"/>
    <n v="0"/>
    <n v="0"/>
    <n v="0"/>
    <n v="0"/>
    <n v="0"/>
    <n v="0"/>
    <n v="0"/>
    <n v="0"/>
    <n v="0"/>
    <n v="0"/>
    <n v="25.35"/>
    <n v="25.35"/>
  </r>
  <r>
    <x v="2653"/>
    <n v="817052"/>
    <s v="R R MATERIAL SUPPLIER"/>
    <n v="145639"/>
    <s v="GOVIND TRADERS"/>
    <n v="0"/>
    <n v="0"/>
    <n v="0"/>
    <n v="0"/>
    <n v="0"/>
    <n v="0"/>
    <n v="0"/>
    <n v="0"/>
    <n v="0"/>
    <n v="0"/>
    <n v="0"/>
    <n v="25"/>
    <n v="25"/>
  </r>
  <r>
    <x v="2654"/>
    <n v="817056"/>
    <s v="UDA RAM"/>
    <n v="206066"/>
    <s v="GAJANAND CEMENT AGENCY"/>
    <n v="0"/>
    <n v="0"/>
    <n v="0"/>
    <n v="0"/>
    <n v="0"/>
    <n v="0"/>
    <n v="0"/>
    <n v="0"/>
    <n v="0"/>
    <n v="0"/>
    <n v="0"/>
    <n v="97"/>
    <n v="97"/>
  </r>
  <r>
    <x v="2655"/>
    <n v="817914"/>
    <s v="RADHEY CEMENT AGENCY"/>
    <n v="178298"/>
    <s v="SAINI BUILDING MATERIAL"/>
    <n v="0"/>
    <n v="0"/>
    <n v="0"/>
    <n v="0"/>
    <n v="0"/>
    <n v="0"/>
    <n v="0"/>
    <n v="0"/>
    <n v="0"/>
    <n v="0"/>
    <n v="0"/>
    <n v="13"/>
    <n v="13"/>
  </r>
  <r>
    <x v="2656"/>
    <n v="818342"/>
    <s v="SHREE NAGANARAY CEMENT"/>
    <n v="173098"/>
    <s v="PABUJI BUILDING MATERIAL"/>
    <n v="0"/>
    <n v="0"/>
    <n v="0"/>
    <n v="0"/>
    <n v="0"/>
    <n v="0"/>
    <n v="0"/>
    <n v="0"/>
    <n v="0"/>
    <n v="0"/>
    <n v="0"/>
    <n v="65"/>
    <n v="65"/>
  </r>
  <r>
    <x v="2657"/>
    <n v="818354"/>
    <s v="BALAJI CEMENT AGENCY"/>
    <n v="202479"/>
    <s v="SHIKHA ENTERPRSIES"/>
    <n v="0"/>
    <n v="0"/>
    <n v="0"/>
    <n v="0"/>
    <n v="0"/>
    <n v="0"/>
    <n v="0"/>
    <n v="0"/>
    <n v="0"/>
    <n v="0"/>
    <n v="0"/>
    <n v="35"/>
    <n v="35"/>
  </r>
  <r>
    <x v="2658"/>
    <n v="818391"/>
    <s v="AJAY TRADERS"/>
    <n v="170132"/>
    <s v="JAI KOSHLESH TRADING COMPANY"/>
    <n v="0"/>
    <n v="0"/>
    <n v="0"/>
    <n v="0"/>
    <n v="0"/>
    <n v="0"/>
    <n v="0"/>
    <n v="0"/>
    <n v="0"/>
    <n v="0"/>
    <n v="0"/>
    <n v="45"/>
    <n v="45"/>
  </r>
  <r>
    <x v="2659"/>
    <n v="818392"/>
    <s v="KHAN TRADING COMPANY"/>
    <n v="170132"/>
    <s v="JAI KOSHLESH TRADING COMPANY"/>
    <n v="0"/>
    <n v="0"/>
    <n v="0"/>
    <n v="0"/>
    <n v="0"/>
    <n v="0"/>
    <n v="0"/>
    <n v="0"/>
    <n v="0"/>
    <n v="0"/>
    <n v="0"/>
    <n v="60"/>
    <n v="60"/>
  </r>
  <r>
    <x v="2660"/>
    <n v="818407"/>
    <s v="HARI OM CEMENT SUPPLIERS"/>
    <n v="209796"/>
    <s v="SHAKTAWAT BUILDING MATERIAL"/>
    <n v="0"/>
    <n v="0"/>
    <n v="0"/>
    <n v="0"/>
    <n v="0"/>
    <n v="0"/>
    <n v="0"/>
    <n v="0"/>
    <n v="0"/>
    <n v="0"/>
    <n v="0"/>
    <n v="50"/>
    <n v="50"/>
  </r>
  <r>
    <x v="2661"/>
    <n v="818483"/>
    <s v="VIRMANI BUILDERS"/>
    <n v="210619"/>
    <s v="JAGDAMBA TRADING CO"/>
    <n v="0"/>
    <n v="0"/>
    <n v="0"/>
    <n v="0"/>
    <n v="0"/>
    <n v="0"/>
    <n v="0"/>
    <n v="0"/>
    <n v="0"/>
    <n v="0"/>
    <n v="0"/>
    <n v="63.5"/>
    <n v="63.5"/>
  </r>
  <r>
    <x v="2662"/>
    <n v="818499"/>
    <s v="MANGAL BUILDING MATERIAL"/>
    <n v="149996"/>
    <s v="GOKLENDRA BUILDING MATERIAL"/>
    <n v="0"/>
    <n v="0"/>
    <n v="0"/>
    <n v="0"/>
    <n v="0"/>
    <n v="0"/>
    <n v="0"/>
    <n v="0"/>
    <n v="0"/>
    <n v="0"/>
    <n v="0"/>
    <n v="20"/>
    <n v="20"/>
  </r>
  <r>
    <x v="2663"/>
    <n v="818506"/>
    <s v="OM BHAGWATI SANITARY"/>
    <n v="209599"/>
    <s v="SHYAM KRIPA HARDWARE AND SENET"/>
    <n v="0"/>
    <n v="0"/>
    <n v="0"/>
    <n v="0"/>
    <n v="0"/>
    <n v="0"/>
    <n v="0"/>
    <n v="0"/>
    <n v="0"/>
    <n v="0"/>
    <n v="0"/>
    <n v="10"/>
    <n v="10"/>
  </r>
  <r>
    <x v="2664"/>
    <n v="818507"/>
    <s v="AJAY CEMENT SUPPLIERS"/>
    <n v="209599"/>
    <s v="SHYAM KRIPA HARDWARE AND SENET"/>
    <n v="0"/>
    <n v="0"/>
    <n v="0"/>
    <n v="0"/>
    <n v="0"/>
    <n v="0"/>
    <n v="0"/>
    <n v="0"/>
    <n v="0"/>
    <n v="0"/>
    <n v="0"/>
    <n v="5"/>
    <n v="5"/>
  </r>
  <r>
    <x v="2665"/>
    <n v="818514"/>
    <s v="SHREE GANESH ENTERPRISES"/>
    <n v="210433"/>
    <s v="SHREE JEE CEMENT AGENCY"/>
    <n v="0"/>
    <n v="0"/>
    <n v="0"/>
    <n v="0"/>
    <n v="0"/>
    <n v="0"/>
    <n v="0"/>
    <n v="0"/>
    <n v="0"/>
    <n v="0"/>
    <n v="0"/>
    <n v="4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J38" firstHeaderRow="1" firstDataRow="2" firstDataCol="3"/>
  <pivotFields count="1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axis="axisCol" compact="0" outline="0" showAll="0" defaultSubtotal="0">
      <items count="6">
        <item x="1"/>
        <item x="2"/>
        <item x="0"/>
        <item x="4"/>
        <item x="5"/>
        <item x="3"/>
      </items>
    </pivotField>
    <pivotField axis="axisRow" compact="0" outline="0" showAll="0" defaultSubtotal="0">
      <items count="33">
        <item x="10"/>
        <item x="0"/>
        <item x="25"/>
        <item x="27"/>
        <item x="13"/>
        <item x="1"/>
        <item x="22"/>
        <item x="19"/>
        <item x="28"/>
        <item x="23"/>
        <item x="4"/>
        <item x="7"/>
        <item x="2"/>
        <item x="26"/>
        <item x="20"/>
        <item x="3"/>
        <item x="14"/>
        <item x="16"/>
        <item x="29"/>
        <item x="5"/>
        <item x="15"/>
        <item x="8"/>
        <item x="30"/>
        <item x="11"/>
        <item x="17"/>
        <item x="24"/>
        <item x="31"/>
        <item x="9"/>
        <item x="6"/>
        <item x="18"/>
        <item x="21"/>
        <item x="12"/>
        <item x="32"/>
      </items>
    </pivotField>
    <pivotField axis="axisRow" compact="0" outline="0" showAll="0" defaultSubtotal="0">
      <items count="12">
        <item x="4"/>
        <item x="0"/>
        <item x="8"/>
        <item x="9"/>
        <item x="1"/>
        <item x="2"/>
        <item x="5"/>
        <item x="10"/>
        <item x="6"/>
        <item x="3"/>
        <item x="7"/>
        <item x="11"/>
      </items>
    </pivotField>
    <pivotField axis="axisRow" compact="0" outline="0" showAll="0" defaultSubtotal="0">
      <items count="3">
        <item x="0"/>
        <item x="1"/>
        <item x="2"/>
      </items>
    </pivotField>
  </pivotFields>
  <rowFields count="3">
    <field x="15"/>
    <field x="16"/>
    <field x="17"/>
  </rowFields>
  <rowItems count="34">
    <i>
      <x/>
      <x/>
      <x v="1"/>
    </i>
    <i>
      <x v="1"/>
      <x v="1"/>
      <x/>
    </i>
    <i>
      <x v="2"/>
      <x v="3"/>
      <x v="2"/>
    </i>
    <i>
      <x v="3"/>
      <x v="7"/>
      <x v="2"/>
    </i>
    <i>
      <x v="4"/>
      <x v="6"/>
      <x v="1"/>
    </i>
    <i>
      <x v="5"/>
      <x v="1"/>
      <x/>
    </i>
    <i>
      <x v="6"/>
      <x v="2"/>
      <x v="2"/>
    </i>
    <i>
      <x v="7"/>
      <x v="10"/>
      <x v="1"/>
    </i>
    <i>
      <x v="8"/>
      <x v="7"/>
      <x v="2"/>
    </i>
    <i>
      <x v="9"/>
      <x v="2"/>
      <x v="2"/>
    </i>
    <i>
      <x v="10"/>
      <x v="5"/>
      <x/>
    </i>
    <i>
      <x v="11"/>
      <x v="9"/>
      <x/>
    </i>
    <i>
      <x v="12"/>
      <x v="1"/>
      <x/>
    </i>
    <i>
      <x v="13"/>
      <x v="3"/>
      <x v="2"/>
    </i>
    <i>
      <x v="14"/>
      <x v="10"/>
      <x v="1"/>
    </i>
    <i>
      <x v="15"/>
      <x v="4"/>
      <x/>
    </i>
    <i>
      <x v="16"/>
      <x v="6"/>
      <x v="1"/>
    </i>
    <i>
      <x v="17"/>
      <x v="8"/>
      <x v="1"/>
    </i>
    <i>
      <x v="18"/>
      <x v="7"/>
      <x v="2"/>
    </i>
    <i>
      <x v="19"/>
      <x v="5"/>
      <x/>
    </i>
    <i>
      <x v="20"/>
      <x v="6"/>
      <x v="1"/>
    </i>
    <i>
      <x v="21"/>
      <x v="9"/>
      <x/>
    </i>
    <i>
      <x v="22"/>
      <x v="7"/>
      <x v="2"/>
    </i>
    <i>
      <x v="23"/>
      <x/>
      <x v="1"/>
    </i>
    <i>
      <x v="24"/>
      <x v="8"/>
      <x v="1"/>
    </i>
    <i>
      <x v="25"/>
      <x v="2"/>
      <x v="2"/>
    </i>
    <i>
      <x v="26"/>
      <x v="11"/>
      <x v="2"/>
    </i>
    <i>
      <x v="27"/>
      <x v="9"/>
      <x/>
    </i>
    <i>
      <x v="28"/>
      <x v="5"/>
      <x/>
    </i>
    <i>
      <x v="29"/>
      <x v="8"/>
      <x v="1"/>
    </i>
    <i>
      <x v="30"/>
      <x v="10"/>
      <x v="1"/>
    </i>
    <i>
      <x v="31"/>
      <x/>
      <x v="1"/>
    </i>
    <i>
      <x v="32"/>
      <x v="11"/>
      <x v="2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Avg" fld="13" subtotal="average" baseField="15" baseItem="0" numFmtId="1"/>
  </dataFields>
  <formats count="11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38" firstHeaderRow="1" firstDataRow="2" firstDataCol="1"/>
  <pivotFields count="18">
    <pivotField showAll="0"/>
    <pivotField showAll="0"/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Col" showAll="0">
      <items count="7">
        <item x="1"/>
        <item x="2"/>
        <item x="0"/>
        <item x="4"/>
        <item x="5"/>
        <item x="3"/>
        <item t="default"/>
      </items>
    </pivotField>
    <pivotField axis="axisRow" showAll="0">
      <items count="34">
        <item x="10"/>
        <item x="0"/>
        <item x="25"/>
        <item x="27"/>
        <item x="13"/>
        <item x="1"/>
        <item x="22"/>
        <item x="19"/>
        <item x="28"/>
        <item x="23"/>
        <item x="4"/>
        <item x="7"/>
        <item x="2"/>
        <item x="26"/>
        <item x="20"/>
        <item x="3"/>
        <item x="14"/>
        <item x="16"/>
        <item x="29"/>
        <item x="5"/>
        <item x="15"/>
        <item x="8"/>
        <item x="30"/>
        <item x="11"/>
        <item x="17"/>
        <item x="24"/>
        <item x="31"/>
        <item x="9"/>
        <item x="6"/>
        <item x="18"/>
        <item x="21"/>
        <item x="12"/>
        <item x="32"/>
        <item t="default"/>
      </items>
    </pivotField>
    <pivotField showAll="0">
      <items count="13">
        <item x="4"/>
        <item x="0"/>
        <item x="8"/>
        <item x="9"/>
        <item x="1"/>
        <item x="2"/>
        <item x="5"/>
        <item x="10"/>
        <item x="6"/>
        <item x="3"/>
        <item x="7"/>
        <item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tailer Desc.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M2670" firstHeaderRow="0" firstDataRow="1" firstDataCol="1"/>
  <pivotFields count="18">
    <pivotField axis="axisRow" showAll="0">
      <items count="26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5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2647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2648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2649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2650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2651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2652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653"/>
        <item x="2337"/>
        <item x="2338"/>
        <item x="2339"/>
        <item x="2340"/>
        <item x="2654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655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56"/>
        <item x="2637"/>
        <item x="2638"/>
        <item x="2657"/>
        <item x="2639"/>
        <item x="2658"/>
        <item x="2659"/>
        <item x="2640"/>
        <item x="2641"/>
        <item x="2660"/>
        <item x="2642"/>
        <item x="2643"/>
        <item x="2644"/>
        <item x="2645"/>
        <item x="2646"/>
        <item x="2661"/>
        <item x="2662"/>
        <item x="2663"/>
        <item x="2664"/>
        <item x="2665"/>
        <item t="default"/>
      </items>
    </pivotField>
    <pivotField showAll="0"/>
    <pivotField showAll="0"/>
    <pivotField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</pivotFields>
  <rowFields count="1">
    <field x="0"/>
  </rowFields>
  <rowItems count="2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Apr'21" fld="5" baseField="0" baseItem="0"/>
    <dataField name="Sum of May'21" fld="6" baseField="0" baseItem="0"/>
    <dataField name="Sum of Jun'21" fld="7" baseField="0" baseItem="0"/>
    <dataField name="Sum of Jul'21" fld="8" baseField="0" baseItem="0"/>
    <dataField name="Sum of Aug'21" fld="9" baseField="0" baseItem="0"/>
    <dataField name="Sum of Sep'21" fld="10" baseField="0" baseItem="0"/>
    <dataField name="Sum of Oct'21" fld="11" baseField="0" baseItem="0"/>
    <dataField name="Sum of Nov'21" fld="12" baseField="0" baseItem="0"/>
    <dataField name="Sum of Dec'21" fld="13" baseField="0" baseItem="0"/>
    <dataField name="Sum of Jan'22" fld="14" baseField="0" baseItem="0"/>
    <dataField name="Sum of Feb'22" fld="15" baseField="0" baseItem="0"/>
    <dataField name="Sum of Mar'22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38"/>
  <sheetViews>
    <sheetView topLeftCell="A15" workbookViewId="0">
      <selection activeCell="A4" sqref="A4:J38"/>
    </sheetView>
  </sheetViews>
  <sheetFormatPr defaultRowHeight="12.75"/>
  <cols>
    <col min="1" max="1" width="23.28515625" bestFit="1" customWidth="1"/>
    <col min="2" max="2" width="17" bestFit="1" customWidth="1"/>
    <col min="3" max="3" width="12.42578125" bestFit="1" customWidth="1"/>
    <col min="4" max="8" width="12.140625" bestFit="1" customWidth="1"/>
    <col min="9" max="10" width="12.5703125" bestFit="1" customWidth="1"/>
  </cols>
  <sheetData>
    <row r="3" spans="1:10">
      <c r="A3" s="2" t="s">
        <v>445</v>
      </c>
      <c r="D3" s="2" t="s">
        <v>437</v>
      </c>
    </row>
    <row r="4" spans="1:10">
      <c r="A4" s="2" t="s">
        <v>346</v>
      </c>
      <c r="B4" s="2" t="s">
        <v>347</v>
      </c>
      <c r="C4" s="2" t="s">
        <v>348</v>
      </c>
      <c r="D4" t="s">
        <v>438</v>
      </c>
      <c r="E4" t="s">
        <v>439</v>
      </c>
      <c r="F4" t="s">
        <v>460</v>
      </c>
      <c r="G4" t="s">
        <v>440</v>
      </c>
      <c r="H4" t="s">
        <v>441</v>
      </c>
      <c r="I4" t="s">
        <v>442</v>
      </c>
      <c r="J4" t="s">
        <v>342</v>
      </c>
    </row>
    <row r="5" spans="1:10">
      <c r="A5" t="s">
        <v>1</v>
      </c>
      <c r="B5" t="s">
        <v>1</v>
      </c>
      <c r="C5" t="s">
        <v>351</v>
      </c>
      <c r="D5" s="5">
        <v>4.652806122448979</v>
      </c>
      <c r="E5" s="5">
        <v>14.886842105263156</v>
      </c>
      <c r="F5" s="5">
        <v>24.884615384615383</v>
      </c>
      <c r="G5" s="5">
        <v>36.122321428571432</v>
      </c>
      <c r="H5" s="5">
        <v>42.216964285714283</v>
      </c>
      <c r="I5" s="5">
        <v>92.526488095238093</v>
      </c>
      <c r="J5" s="5">
        <v>35.839785714285711</v>
      </c>
    </row>
    <row r="6" spans="1:10">
      <c r="A6" t="s">
        <v>28</v>
      </c>
      <c r="B6" t="s">
        <v>28</v>
      </c>
      <c r="C6" t="s">
        <v>352</v>
      </c>
      <c r="D6" s="5">
        <v>5.7433673469387747</v>
      </c>
      <c r="E6" s="5">
        <v>15.001587301587298</v>
      </c>
      <c r="F6" s="5">
        <v>25.374175824175822</v>
      </c>
      <c r="G6" s="5">
        <v>35.626190476190473</v>
      </c>
      <c r="H6" s="5">
        <v>44.690476190476197</v>
      </c>
      <c r="I6" s="5">
        <v>83.729192546583846</v>
      </c>
      <c r="J6" s="5">
        <v>38.259732142857139</v>
      </c>
    </row>
    <row r="7" spans="1:10">
      <c r="A7" t="s">
        <v>10</v>
      </c>
      <c r="B7" t="s">
        <v>15</v>
      </c>
      <c r="C7" t="s">
        <v>350</v>
      </c>
      <c r="D7" s="5">
        <v>5.4165413533834581</v>
      </c>
      <c r="E7" s="5">
        <v>15.799285714285713</v>
      </c>
      <c r="F7" s="5">
        <v>24.726190476190471</v>
      </c>
      <c r="G7" s="5">
        <v>34.942857142857143</v>
      </c>
      <c r="H7" s="5">
        <v>44.758928571428569</v>
      </c>
      <c r="I7" s="5">
        <v>96.157563025210081</v>
      </c>
      <c r="J7" s="5">
        <v>39.236059907834104</v>
      </c>
    </row>
    <row r="8" spans="1:10">
      <c r="A8" t="s">
        <v>56</v>
      </c>
      <c r="B8" t="s">
        <v>18</v>
      </c>
      <c r="C8" t="s">
        <v>350</v>
      </c>
      <c r="D8" s="5">
        <v>5.7420634920634921</v>
      </c>
      <c r="E8" s="5">
        <v>13.692857142857145</v>
      </c>
      <c r="F8" s="5">
        <v>26.107142857142858</v>
      </c>
      <c r="G8" s="5">
        <v>32.714285714285715</v>
      </c>
      <c r="H8" s="5"/>
      <c r="I8" s="5">
        <v>170.55952380952382</v>
      </c>
      <c r="J8" s="5">
        <v>33.145329670329673</v>
      </c>
    </row>
    <row r="9" spans="1:10">
      <c r="A9" t="s">
        <v>12</v>
      </c>
      <c r="B9" t="s">
        <v>5</v>
      </c>
      <c r="C9" t="s">
        <v>351</v>
      </c>
      <c r="D9" s="5">
        <v>5.6263736263736259</v>
      </c>
      <c r="E9" s="5">
        <v>14.401785714285714</v>
      </c>
      <c r="F9" s="5">
        <v>28.142857142857142</v>
      </c>
      <c r="G9" s="5"/>
      <c r="H9" s="5">
        <v>47.228571428571421</v>
      </c>
      <c r="I9" s="5">
        <v>88.957142857142827</v>
      </c>
      <c r="J9" s="5">
        <v>42.547619047619051</v>
      </c>
    </row>
    <row r="10" spans="1:10">
      <c r="A10" t="s">
        <v>2</v>
      </c>
      <c r="B10" t="s">
        <v>28</v>
      </c>
      <c r="C10" t="s">
        <v>352</v>
      </c>
      <c r="D10" s="5">
        <v>5.3174603174603181</v>
      </c>
      <c r="E10" s="5">
        <v>15.914285714285715</v>
      </c>
      <c r="F10" s="5">
        <v>27</v>
      </c>
      <c r="G10" s="5">
        <v>36.195238095238096</v>
      </c>
      <c r="H10" s="5">
        <v>44.857142857142854</v>
      </c>
      <c r="I10" s="5">
        <v>114.14928571428572</v>
      </c>
      <c r="J10" s="5">
        <v>63.158730158730151</v>
      </c>
    </row>
    <row r="11" spans="1:10">
      <c r="A11" t="s">
        <v>45</v>
      </c>
      <c r="B11" t="s">
        <v>45</v>
      </c>
      <c r="C11" t="s">
        <v>350</v>
      </c>
      <c r="D11" s="5">
        <v>3.8277992277992285</v>
      </c>
      <c r="E11" s="5">
        <v>11.972222222222221</v>
      </c>
      <c r="F11" s="5">
        <v>25.487662337662336</v>
      </c>
      <c r="G11" s="5">
        <v>34.698412698412696</v>
      </c>
      <c r="H11" s="5">
        <v>45.115306122448978</v>
      </c>
      <c r="I11" s="5">
        <v>87.582857142857151</v>
      </c>
      <c r="J11" s="5">
        <v>28.086120129870132</v>
      </c>
    </row>
    <row r="12" spans="1:10">
      <c r="A12" t="s">
        <v>13</v>
      </c>
      <c r="B12" t="s">
        <v>8</v>
      </c>
      <c r="C12" t="s">
        <v>351</v>
      </c>
      <c r="D12" s="5">
        <v>4.5357142857142856</v>
      </c>
      <c r="E12" s="5">
        <v>13.909340659340661</v>
      </c>
      <c r="F12" s="5">
        <v>23.835389610389608</v>
      </c>
      <c r="G12" s="5">
        <v>34.865079365079367</v>
      </c>
      <c r="H12" s="5">
        <v>44.563636363636363</v>
      </c>
      <c r="I12" s="5">
        <v>67.813961038961025</v>
      </c>
      <c r="J12" s="5">
        <v>28.864547837483624</v>
      </c>
    </row>
    <row r="13" spans="1:10">
      <c r="A13" t="s">
        <v>52</v>
      </c>
      <c r="B13" t="s">
        <v>18</v>
      </c>
      <c r="C13" t="s">
        <v>350</v>
      </c>
      <c r="D13" s="5">
        <v>3.0681818181818183</v>
      </c>
      <c r="E13" s="5">
        <v>15.533928571428572</v>
      </c>
      <c r="F13" s="5">
        <v>21.389285714285712</v>
      </c>
      <c r="G13" s="5">
        <v>38.047619047619044</v>
      </c>
      <c r="H13" s="5">
        <v>47.5</v>
      </c>
      <c r="I13" s="5">
        <v>67.257142857142853</v>
      </c>
      <c r="J13" s="5">
        <v>22.255714285714284</v>
      </c>
    </row>
    <row r="14" spans="1:10">
      <c r="A14" t="s">
        <v>0</v>
      </c>
      <c r="B14" t="s">
        <v>45</v>
      </c>
      <c r="C14" t="s">
        <v>350</v>
      </c>
      <c r="D14" s="5">
        <v>5.195341614906833</v>
      </c>
      <c r="E14" s="5">
        <v>14.195378151260504</v>
      </c>
      <c r="F14" s="5">
        <v>23.490476190476191</v>
      </c>
      <c r="G14" s="5">
        <v>34.81818181818182</v>
      </c>
      <c r="H14" s="5">
        <v>45.158163265306122</v>
      </c>
      <c r="I14" s="5">
        <v>80.283540372670799</v>
      </c>
      <c r="J14" s="5">
        <v>34.283102918586785</v>
      </c>
    </row>
    <row r="15" spans="1:10">
      <c r="A15" t="s">
        <v>51</v>
      </c>
      <c r="B15" t="s">
        <v>65</v>
      </c>
      <c r="C15" t="s">
        <v>352</v>
      </c>
      <c r="D15" s="5">
        <v>4.3051948051948052</v>
      </c>
      <c r="E15" s="5">
        <v>15.818571428571428</v>
      </c>
      <c r="F15" s="5">
        <v>24.392857142857142</v>
      </c>
      <c r="G15" s="5">
        <v>34.150892857142857</v>
      </c>
      <c r="H15" s="5">
        <v>43.392857142857139</v>
      </c>
      <c r="I15" s="5">
        <v>95.619841269841274</v>
      </c>
      <c r="J15" s="5">
        <v>34.184161490683231</v>
      </c>
    </row>
    <row r="16" spans="1:10">
      <c r="A16" t="s">
        <v>90</v>
      </c>
      <c r="B16" t="s">
        <v>9</v>
      </c>
      <c r="C16" t="s">
        <v>352</v>
      </c>
      <c r="D16" s="5">
        <v>3.2420634920634921</v>
      </c>
      <c r="E16" s="5">
        <v>11.357142857142856</v>
      </c>
      <c r="F16" s="5">
        <v>22.428571428571431</v>
      </c>
      <c r="G16" s="5">
        <v>33.142857142857146</v>
      </c>
      <c r="H16" s="5">
        <v>45.51428571428572</v>
      </c>
      <c r="I16" s="5">
        <v>106.78571428571428</v>
      </c>
      <c r="J16" s="5">
        <v>37.418322981366458</v>
      </c>
    </row>
    <row r="17" spans="1:10">
      <c r="A17" t="s">
        <v>37</v>
      </c>
      <c r="B17" t="s">
        <v>28</v>
      </c>
      <c r="C17" t="s">
        <v>352</v>
      </c>
      <c r="D17" s="5">
        <v>3.5476190476190474</v>
      </c>
      <c r="E17" s="5">
        <v>15.607142857142858</v>
      </c>
      <c r="F17" s="5"/>
      <c r="G17" s="5"/>
      <c r="H17" s="5">
        <v>45.285714285714292</v>
      </c>
      <c r="I17" s="5">
        <v>51.226190476190482</v>
      </c>
      <c r="J17" s="5">
        <v>28.610714285714288</v>
      </c>
    </row>
    <row r="18" spans="1:10">
      <c r="A18" t="s">
        <v>15</v>
      </c>
      <c r="B18" t="s">
        <v>15</v>
      </c>
      <c r="C18" t="s">
        <v>350</v>
      </c>
      <c r="D18" s="5">
        <v>4.6775510204081625</v>
      </c>
      <c r="E18" s="5">
        <v>14.896103896103893</v>
      </c>
      <c r="F18" s="5">
        <v>24.567460317460316</v>
      </c>
      <c r="G18" s="5">
        <v>35.057692307692307</v>
      </c>
      <c r="H18" s="5">
        <v>45.090816326530621</v>
      </c>
      <c r="I18" s="5">
        <v>89.82380952380953</v>
      </c>
      <c r="J18" s="5">
        <v>29.059711075441406</v>
      </c>
    </row>
    <row r="19" spans="1:10">
      <c r="A19" t="s">
        <v>11</v>
      </c>
      <c r="B19" t="s">
        <v>8</v>
      </c>
      <c r="C19" t="s">
        <v>351</v>
      </c>
      <c r="D19" s="5">
        <v>5.3824175824175837</v>
      </c>
      <c r="E19" s="5">
        <v>15.624999999999998</v>
      </c>
      <c r="F19" s="5">
        <v>25.559090909090909</v>
      </c>
      <c r="G19" s="5">
        <v>34.871428571428574</v>
      </c>
      <c r="H19" s="5">
        <v>44.35</v>
      </c>
      <c r="I19" s="5">
        <v>69.846825396825409</v>
      </c>
      <c r="J19" s="5">
        <v>36.309424603174605</v>
      </c>
    </row>
    <row r="20" spans="1:10">
      <c r="A20" t="s">
        <v>3</v>
      </c>
      <c r="B20" t="s">
        <v>3</v>
      </c>
      <c r="C20" t="s">
        <v>352</v>
      </c>
      <c r="D20" s="5">
        <v>4.6866666666666665</v>
      </c>
      <c r="E20" s="5">
        <v>15.017857142857142</v>
      </c>
      <c r="F20" s="5">
        <v>24.56309523809524</v>
      </c>
      <c r="G20" s="5">
        <v>36.813265306122446</v>
      </c>
      <c r="H20" s="5">
        <v>44.781512605042018</v>
      </c>
      <c r="I20" s="5">
        <v>111.12249999999997</v>
      </c>
      <c r="J20" s="5">
        <v>43.731400742115035</v>
      </c>
    </row>
    <row r="21" spans="1:10">
      <c r="A21" t="s">
        <v>7</v>
      </c>
      <c r="B21" t="s">
        <v>5</v>
      </c>
      <c r="C21" t="s">
        <v>351</v>
      </c>
      <c r="D21" s="5"/>
      <c r="E21" s="5"/>
      <c r="F21" s="5"/>
      <c r="G21" s="5"/>
      <c r="H21" s="5">
        <v>48.142857142857146</v>
      </c>
      <c r="I21" s="5">
        <v>128.66666666666666</v>
      </c>
      <c r="J21" s="5">
        <v>108.53571428571428</v>
      </c>
    </row>
    <row r="22" spans="1:10">
      <c r="A22" t="s">
        <v>54</v>
      </c>
      <c r="B22" t="s">
        <v>124</v>
      </c>
      <c r="C22" t="s">
        <v>351</v>
      </c>
      <c r="D22" s="5">
        <v>4.5952380952380958</v>
      </c>
      <c r="E22" s="5">
        <v>13.071428571428571</v>
      </c>
      <c r="F22" s="5"/>
      <c r="G22" s="5">
        <v>33.607142857142854</v>
      </c>
      <c r="H22" s="5"/>
      <c r="I22" s="5">
        <v>72.763392857142847</v>
      </c>
      <c r="J22" s="5">
        <v>39.539285714285711</v>
      </c>
    </row>
    <row r="23" spans="1:10">
      <c r="A23" t="s">
        <v>14</v>
      </c>
      <c r="B23" t="s">
        <v>18</v>
      </c>
      <c r="C23" t="s">
        <v>350</v>
      </c>
      <c r="D23" s="5">
        <v>3.8412698412698418</v>
      </c>
      <c r="E23" s="5">
        <v>13.959183673469386</v>
      </c>
      <c r="F23" s="5">
        <v>26.142857142857146</v>
      </c>
      <c r="G23" s="5">
        <v>35.535714285714285</v>
      </c>
      <c r="H23" s="5">
        <v>43.142857142857146</v>
      </c>
      <c r="I23" s="5">
        <v>85.208333333333329</v>
      </c>
      <c r="J23" s="5">
        <v>23.788327526132402</v>
      </c>
    </row>
    <row r="24" spans="1:10">
      <c r="A24" t="s">
        <v>65</v>
      </c>
      <c r="B24" t="s">
        <v>65</v>
      </c>
      <c r="C24" t="s">
        <v>352</v>
      </c>
      <c r="D24" s="5">
        <v>4.6428571428571423</v>
      </c>
      <c r="E24" s="5">
        <v>10.732142857142858</v>
      </c>
      <c r="F24" s="5">
        <v>24.107142857142858</v>
      </c>
      <c r="G24" s="5">
        <v>34.871428571428574</v>
      </c>
      <c r="H24" s="5"/>
      <c r="I24" s="5"/>
      <c r="J24" s="5">
        <v>16.262244897959185</v>
      </c>
    </row>
    <row r="25" spans="1:10">
      <c r="A25" t="s">
        <v>5</v>
      </c>
      <c r="B25" t="s">
        <v>5</v>
      </c>
      <c r="C25" t="s">
        <v>351</v>
      </c>
      <c r="D25" s="5">
        <v>5.0875576036866361</v>
      </c>
      <c r="E25" s="5">
        <v>14.538669950738917</v>
      </c>
      <c r="F25" s="5">
        <v>26.100340136054434</v>
      </c>
      <c r="G25" s="5">
        <v>33.903571428571425</v>
      </c>
      <c r="H25" s="5">
        <v>45.076190476190483</v>
      </c>
      <c r="I25" s="5">
        <v>71.745918367346945</v>
      </c>
      <c r="J25" s="5">
        <v>30.537272727272718</v>
      </c>
    </row>
    <row r="26" spans="1:10">
      <c r="A26" t="s">
        <v>23</v>
      </c>
      <c r="B26" t="s">
        <v>9</v>
      </c>
      <c r="C26" t="s">
        <v>352</v>
      </c>
      <c r="D26" s="5">
        <v>6.5</v>
      </c>
      <c r="E26" s="5">
        <v>12.515079365079364</v>
      </c>
      <c r="F26" s="5">
        <v>21.071428571428573</v>
      </c>
      <c r="G26" s="5">
        <v>35.495714285714278</v>
      </c>
      <c r="H26" s="5">
        <v>48.11904761904762</v>
      </c>
      <c r="I26" s="5">
        <v>121.03571428571429</v>
      </c>
      <c r="J26" s="5">
        <v>30.150595238095239</v>
      </c>
    </row>
    <row r="27" spans="1:10">
      <c r="A27" t="s">
        <v>18</v>
      </c>
      <c r="B27" t="s">
        <v>18</v>
      </c>
      <c r="C27" t="s">
        <v>350</v>
      </c>
      <c r="D27" s="5">
        <v>4.2173076923076929</v>
      </c>
      <c r="E27" s="5">
        <v>13.985714285714284</v>
      </c>
      <c r="F27" s="5">
        <v>25.005102040816325</v>
      </c>
      <c r="G27" s="5">
        <v>35.552142857142854</v>
      </c>
      <c r="H27" s="5">
        <v>46.428571428571431</v>
      </c>
      <c r="I27" s="5">
        <v>83.695238095238111</v>
      </c>
      <c r="J27" s="5">
        <v>29.94153061224489</v>
      </c>
    </row>
    <row r="28" spans="1:10">
      <c r="A28" t="s">
        <v>30</v>
      </c>
      <c r="B28" t="s">
        <v>1</v>
      </c>
      <c r="C28" t="s">
        <v>351</v>
      </c>
      <c r="D28" s="5">
        <v>3.8095238095238102</v>
      </c>
      <c r="E28" s="5">
        <v>16.011904761904763</v>
      </c>
      <c r="F28" s="5">
        <v>24.017857142857146</v>
      </c>
      <c r="G28" s="5">
        <v>31.36904761904762</v>
      </c>
      <c r="H28" s="5">
        <v>45.75</v>
      </c>
      <c r="I28" s="5">
        <v>66.452380952380949</v>
      </c>
      <c r="J28" s="5">
        <v>26.105102040816323</v>
      </c>
    </row>
    <row r="29" spans="1:10">
      <c r="A29" t="s">
        <v>124</v>
      </c>
      <c r="B29" t="s">
        <v>124</v>
      </c>
      <c r="C29" t="s">
        <v>351</v>
      </c>
      <c r="D29" s="5">
        <v>6.1285714285714281</v>
      </c>
      <c r="E29" s="5">
        <v>14.124999999999998</v>
      </c>
      <c r="F29" s="5">
        <v>22.857142857142861</v>
      </c>
      <c r="G29" s="5">
        <v>34.862499999999997</v>
      </c>
      <c r="H29" s="5">
        <v>46.005357142857136</v>
      </c>
      <c r="I29" s="5">
        <v>75.042142857142863</v>
      </c>
      <c r="J29" s="5">
        <v>38.80952380952381</v>
      </c>
    </row>
    <row r="30" spans="1:10">
      <c r="A30" t="s">
        <v>25</v>
      </c>
      <c r="B30" t="s">
        <v>45</v>
      </c>
      <c r="C30" t="s">
        <v>350</v>
      </c>
      <c r="D30" s="5">
        <v>5.316326530612244</v>
      </c>
      <c r="E30" s="5">
        <v>16.561224489795915</v>
      </c>
      <c r="F30" s="5">
        <v>25.488095238095237</v>
      </c>
      <c r="G30" s="5">
        <v>33.173214285714288</v>
      </c>
      <c r="H30" s="5">
        <v>44.50714285714286</v>
      </c>
      <c r="I30" s="5">
        <v>63.464285714285715</v>
      </c>
      <c r="J30" s="5">
        <v>25.42463054187192</v>
      </c>
    </row>
    <row r="31" spans="1:10">
      <c r="A31" t="s">
        <v>77</v>
      </c>
      <c r="B31" t="s">
        <v>75</v>
      </c>
      <c r="C31" t="s">
        <v>350</v>
      </c>
      <c r="D31" s="5">
        <v>4.803061224489797</v>
      </c>
      <c r="E31" s="5">
        <v>14.707142857142859</v>
      </c>
      <c r="F31" s="5">
        <v>23.440816326530612</v>
      </c>
      <c r="G31" s="5">
        <v>38.535714285714292</v>
      </c>
      <c r="H31" s="5">
        <v>45.667857142857137</v>
      </c>
      <c r="I31" s="5">
        <v>115.03766233766235</v>
      </c>
      <c r="J31" s="5">
        <v>35.221428571428568</v>
      </c>
    </row>
    <row r="32" spans="1:10">
      <c r="A32" t="s">
        <v>9</v>
      </c>
      <c r="B32" t="s">
        <v>9</v>
      </c>
      <c r="C32" t="s">
        <v>352</v>
      </c>
      <c r="D32" s="5">
        <v>4.7346938775510203</v>
      </c>
      <c r="E32" s="5">
        <v>15.266233766233768</v>
      </c>
      <c r="F32" s="5">
        <v>25.000000000000004</v>
      </c>
      <c r="G32" s="5">
        <v>35.076923076923073</v>
      </c>
      <c r="H32" s="5">
        <v>46.031168831168827</v>
      </c>
      <c r="I32" s="5">
        <v>84.367559523809533</v>
      </c>
      <c r="J32" s="5">
        <v>39.095746388443025</v>
      </c>
    </row>
    <row r="33" spans="1:10">
      <c r="A33" t="s">
        <v>17</v>
      </c>
      <c r="B33" t="s">
        <v>65</v>
      </c>
      <c r="C33" t="s">
        <v>352</v>
      </c>
      <c r="D33" s="5">
        <v>4.5335714285714284</v>
      </c>
      <c r="E33" s="5">
        <v>14.877619047619051</v>
      </c>
      <c r="F33" s="5">
        <v>23.341836734693878</v>
      </c>
      <c r="G33" s="5">
        <v>34.898412698412706</v>
      </c>
      <c r="H33" s="5">
        <v>44.487755102040815</v>
      </c>
      <c r="I33" s="5">
        <v>75.298214285714295</v>
      </c>
      <c r="J33" s="5">
        <v>35.486411149825784</v>
      </c>
    </row>
    <row r="34" spans="1:10">
      <c r="A34" t="s">
        <v>78</v>
      </c>
      <c r="B34" t="s">
        <v>124</v>
      </c>
      <c r="C34" t="s">
        <v>351</v>
      </c>
      <c r="D34" s="5">
        <v>9.7857142857142865</v>
      </c>
      <c r="E34" s="5">
        <v>15</v>
      </c>
      <c r="F34" s="5">
        <v>24.071428571428573</v>
      </c>
      <c r="G34" s="5">
        <v>33.090476190476188</v>
      </c>
      <c r="H34" s="5">
        <v>46.785714285714285</v>
      </c>
      <c r="I34" s="5">
        <v>130.78968253968253</v>
      </c>
      <c r="J34" s="5">
        <v>63.679464285714282</v>
      </c>
    </row>
    <row r="35" spans="1:10">
      <c r="A35" t="s">
        <v>8</v>
      </c>
      <c r="B35" t="s">
        <v>8</v>
      </c>
      <c r="C35" t="s">
        <v>351</v>
      </c>
      <c r="D35" s="5">
        <v>6.0803571428571432</v>
      </c>
      <c r="E35" s="5">
        <v>15.778571428571428</v>
      </c>
      <c r="F35" s="5">
        <v>24.752678571428572</v>
      </c>
      <c r="G35" s="5">
        <v>35.970408163265304</v>
      </c>
      <c r="H35" s="5">
        <v>46.738888888888887</v>
      </c>
      <c r="I35" s="5">
        <v>81.092857142857127</v>
      </c>
      <c r="J35" s="5">
        <v>51.980267857142849</v>
      </c>
    </row>
    <row r="36" spans="1:10">
      <c r="A36" t="s">
        <v>43</v>
      </c>
      <c r="B36" t="s">
        <v>1</v>
      </c>
      <c r="C36" t="s">
        <v>351</v>
      </c>
      <c r="D36" s="5">
        <v>5.4302197802197805</v>
      </c>
      <c r="E36" s="5">
        <v>15.129999999999999</v>
      </c>
      <c r="F36" s="5">
        <v>23.857142857142858</v>
      </c>
      <c r="G36" s="5">
        <v>33.410714285714285</v>
      </c>
      <c r="H36" s="5">
        <v>48.514285714285712</v>
      </c>
      <c r="I36" s="5">
        <v>77.228571428571414</v>
      </c>
      <c r="J36" s="5">
        <v>19.410714285714285</v>
      </c>
    </row>
    <row r="37" spans="1:10">
      <c r="A37" t="s">
        <v>75</v>
      </c>
      <c r="B37" t="s">
        <v>75</v>
      </c>
      <c r="C37" t="s">
        <v>350</v>
      </c>
      <c r="D37" s="5">
        <v>4.818167701863354</v>
      </c>
      <c r="E37" s="5">
        <v>14.247959183673473</v>
      </c>
      <c r="F37" s="5">
        <v>25.279047619047621</v>
      </c>
      <c r="G37" s="5">
        <v>34.241326530612248</v>
      </c>
      <c r="H37" s="5">
        <v>44.293749999999989</v>
      </c>
      <c r="I37" s="5">
        <v>86.356534954407309</v>
      </c>
      <c r="J37" s="5">
        <v>34.950410116199592</v>
      </c>
    </row>
    <row r="38" spans="1:10">
      <c r="A38" t="s">
        <v>342</v>
      </c>
      <c r="D38" s="5">
        <v>4.7011486664906252</v>
      </c>
      <c r="E38" s="5">
        <v>14.640992063492067</v>
      </c>
      <c r="F38" s="5">
        <v>24.846625615763575</v>
      </c>
      <c r="G38" s="5">
        <v>34.808985132514543</v>
      </c>
      <c r="H38" s="5">
        <v>45.073264166001614</v>
      </c>
      <c r="I38" s="5">
        <v>87.993800813008122</v>
      </c>
      <c r="J38" s="5">
        <v>35.560945751320212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workbookViewId="0">
      <selection activeCell="K36" sqref="K36"/>
    </sheetView>
  </sheetViews>
  <sheetFormatPr defaultRowHeight="12.75"/>
  <cols>
    <col min="1" max="2" width="18.85546875" bestFit="1" customWidth="1"/>
    <col min="3" max="3" width="12.42578125" bestFit="1" customWidth="1"/>
    <col min="4" max="4" width="7.85546875" style="6" bestFit="1" customWidth="1"/>
    <col min="5" max="8" width="8.85546875" style="6" bestFit="1" customWidth="1"/>
    <col min="9" max="9" width="7.42578125" style="6" bestFit="1" customWidth="1"/>
    <col min="10" max="10" width="11.7109375" style="6" bestFit="1" customWidth="1"/>
    <col min="11" max="17" width="9.140625" style="1"/>
  </cols>
  <sheetData>
    <row r="1" spans="1:17">
      <c r="A1" s="7"/>
      <c r="B1" s="7"/>
      <c r="C1" s="7"/>
      <c r="D1" s="42" t="s">
        <v>462</v>
      </c>
      <c r="E1" s="42"/>
      <c r="F1" s="42"/>
      <c r="G1" s="42"/>
      <c r="H1" s="42"/>
      <c r="I1" s="42"/>
      <c r="J1" s="42"/>
      <c r="K1" s="43" t="s">
        <v>463</v>
      </c>
      <c r="L1" s="43"/>
      <c r="M1" s="43"/>
      <c r="N1" s="43"/>
      <c r="O1" s="43"/>
      <c r="P1" s="43"/>
      <c r="Q1" s="43"/>
    </row>
    <row r="2" spans="1:17">
      <c r="A2" s="8" t="s">
        <v>346</v>
      </c>
      <c r="B2" s="8" t="s">
        <v>347</v>
      </c>
      <c r="C2" s="8" t="s">
        <v>348</v>
      </c>
      <c r="D2" s="9" t="s">
        <v>438</v>
      </c>
      <c r="E2" s="9" t="s">
        <v>439</v>
      </c>
      <c r="F2" s="9" t="s">
        <v>460</v>
      </c>
      <c r="G2" s="9" t="s">
        <v>440</v>
      </c>
      <c r="H2" s="9" t="s">
        <v>441</v>
      </c>
      <c r="I2" s="9" t="s">
        <v>442</v>
      </c>
      <c r="J2" s="9" t="s">
        <v>342</v>
      </c>
      <c r="K2" s="10" t="s">
        <v>438</v>
      </c>
      <c r="L2" s="10" t="s">
        <v>439</v>
      </c>
      <c r="M2" s="10" t="s">
        <v>460</v>
      </c>
      <c r="N2" s="10" t="s">
        <v>440</v>
      </c>
      <c r="O2" s="10" t="s">
        <v>441</v>
      </c>
      <c r="P2" s="10" t="s">
        <v>442</v>
      </c>
      <c r="Q2" s="10" t="s">
        <v>342</v>
      </c>
    </row>
    <row r="3" spans="1:17">
      <c r="A3" s="11" t="s">
        <v>28</v>
      </c>
      <c r="B3" s="11" t="s">
        <v>28</v>
      </c>
      <c r="C3" s="7" t="s">
        <v>352</v>
      </c>
      <c r="D3" s="12">
        <v>5.7433673469387747</v>
      </c>
      <c r="E3" s="12">
        <v>15.001587301587298</v>
      </c>
      <c r="F3" s="12">
        <v>25.374175824175822</v>
      </c>
      <c r="G3" s="12">
        <v>35.626190476190473</v>
      </c>
      <c r="H3" s="12">
        <v>44.690476190476197</v>
      </c>
      <c r="I3" s="12">
        <v>83.729192546583846</v>
      </c>
      <c r="J3" s="12">
        <f t="shared" ref="J3:J35" si="0">SUM(D3:I3)</f>
        <v>210.16498968595241</v>
      </c>
      <c r="K3" s="12">
        <v>14</v>
      </c>
      <c r="L3" s="12">
        <v>18</v>
      </c>
      <c r="M3" s="12">
        <v>13</v>
      </c>
      <c r="N3" s="12">
        <v>9</v>
      </c>
      <c r="O3" s="12">
        <v>3</v>
      </c>
      <c r="P3" s="12">
        <v>23</v>
      </c>
      <c r="Q3" s="12">
        <f t="shared" ref="Q3:Q36" si="1">SUM(K3:P3)</f>
        <v>80</v>
      </c>
    </row>
    <row r="4" spans="1:17">
      <c r="A4" s="11" t="s">
        <v>2</v>
      </c>
      <c r="B4" s="11" t="s">
        <v>28</v>
      </c>
      <c r="C4" s="7" t="s">
        <v>352</v>
      </c>
      <c r="D4" s="12">
        <v>5.3174603174603181</v>
      </c>
      <c r="E4" s="12">
        <v>15.914285714285715</v>
      </c>
      <c r="F4" s="12">
        <v>27</v>
      </c>
      <c r="G4" s="12">
        <v>36.195238095238096</v>
      </c>
      <c r="H4" s="12">
        <v>44.857142857142854</v>
      </c>
      <c r="I4" s="12">
        <v>114.14928571428572</v>
      </c>
      <c r="J4" s="12">
        <f t="shared" si="0"/>
        <v>243.43341269841272</v>
      </c>
      <c r="K4" s="12">
        <v>9</v>
      </c>
      <c r="L4" s="12">
        <v>5</v>
      </c>
      <c r="M4" s="12">
        <v>2</v>
      </c>
      <c r="N4" s="12">
        <v>3</v>
      </c>
      <c r="O4" s="12">
        <v>6</v>
      </c>
      <c r="P4" s="12">
        <v>20</v>
      </c>
      <c r="Q4" s="12">
        <f t="shared" si="1"/>
        <v>45</v>
      </c>
    </row>
    <row r="5" spans="1:17">
      <c r="A5" s="11" t="s">
        <v>37</v>
      </c>
      <c r="B5" s="11" t="s">
        <v>28</v>
      </c>
      <c r="C5" s="7" t="s">
        <v>352</v>
      </c>
      <c r="D5" s="12">
        <v>3.5476190476190474</v>
      </c>
      <c r="E5" s="12">
        <v>15.607142857142858</v>
      </c>
      <c r="F5" s="12">
        <v>0</v>
      </c>
      <c r="G5" s="12">
        <v>0</v>
      </c>
      <c r="H5" s="12">
        <v>45.285714285714292</v>
      </c>
      <c r="I5" s="12">
        <v>51.226190476190482</v>
      </c>
      <c r="J5" s="12">
        <f t="shared" si="0"/>
        <v>115.66666666666669</v>
      </c>
      <c r="K5" s="12">
        <v>3</v>
      </c>
      <c r="L5" s="12">
        <v>2</v>
      </c>
      <c r="M5" s="12">
        <v>0</v>
      </c>
      <c r="N5" s="12">
        <v>0</v>
      </c>
      <c r="O5" s="12">
        <v>2</v>
      </c>
      <c r="P5" s="12">
        <v>3</v>
      </c>
      <c r="Q5" s="12">
        <f t="shared" si="1"/>
        <v>10</v>
      </c>
    </row>
    <row r="6" spans="1:17">
      <c r="A6" s="11" t="s">
        <v>3</v>
      </c>
      <c r="B6" s="11" t="s">
        <v>3</v>
      </c>
      <c r="C6" s="7" t="s">
        <v>352</v>
      </c>
      <c r="D6" s="12">
        <v>4.6866666666666665</v>
      </c>
      <c r="E6" s="12">
        <v>15.017857142857142</v>
      </c>
      <c r="F6" s="12">
        <v>24.56309523809524</v>
      </c>
      <c r="G6" s="12">
        <v>36.813265306122446</v>
      </c>
      <c r="H6" s="12">
        <v>44.781512605042018</v>
      </c>
      <c r="I6" s="12">
        <v>111.12249999999997</v>
      </c>
      <c r="J6" s="12">
        <f t="shared" si="0"/>
        <v>236.98489695878348</v>
      </c>
      <c r="K6" s="12">
        <v>30</v>
      </c>
      <c r="L6" s="12">
        <v>36</v>
      </c>
      <c r="M6" s="12">
        <v>24</v>
      </c>
      <c r="N6" s="12">
        <v>7</v>
      </c>
      <c r="O6" s="12">
        <v>17</v>
      </c>
      <c r="P6" s="12">
        <v>40</v>
      </c>
      <c r="Q6" s="12">
        <f t="shared" si="1"/>
        <v>154</v>
      </c>
    </row>
    <row r="7" spans="1:17">
      <c r="A7" s="11" t="s">
        <v>51</v>
      </c>
      <c r="B7" s="11" t="s">
        <v>65</v>
      </c>
      <c r="C7" s="7" t="s">
        <v>352</v>
      </c>
      <c r="D7" s="12">
        <v>4.3051948051948052</v>
      </c>
      <c r="E7" s="12">
        <v>15.818571428571428</v>
      </c>
      <c r="F7" s="12">
        <v>24.392857142857142</v>
      </c>
      <c r="G7" s="12">
        <v>34.150892857142857</v>
      </c>
      <c r="H7" s="12">
        <v>43.392857142857139</v>
      </c>
      <c r="I7" s="12">
        <v>95.619841269841274</v>
      </c>
      <c r="J7" s="12">
        <f t="shared" si="0"/>
        <v>217.68021464646466</v>
      </c>
      <c r="K7" s="12">
        <v>11</v>
      </c>
      <c r="L7" s="12">
        <v>10</v>
      </c>
      <c r="M7" s="12">
        <v>6</v>
      </c>
      <c r="N7" s="12">
        <v>8</v>
      </c>
      <c r="O7" s="12">
        <v>2</v>
      </c>
      <c r="P7" s="12">
        <v>9</v>
      </c>
      <c r="Q7" s="12">
        <f t="shared" si="1"/>
        <v>46</v>
      </c>
    </row>
    <row r="8" spans="1:17">
      <c r="A8" s="11" t="s">
        <v>65</v>
      </c>
      <c r="B8" s="11" t="s">
        <v>65</v>
      </c>
      <c r="C8" s="7" t="s">
        <v>352</v>
      </c>
      <c r="D8" s="12">
        <v>4.6428571428571423</v>
      </c>
      <c r="E8" s="12">
        <v>10.732142857142858</v>
      </c>
      <c r="F8" s="12">
        <v>24.107142857142858</v>
      </c>
      <c r="G8" s="12">
        <v>34.871428571428574</v>
      </c>
      <c r="H8" s="12">
        <v>0</v>
      </c>
      <c r="I8" s="12">
        <v>0</v>
      </c>
      <c r="J8" s="12">
        <f t="shared" si="0"/>
        <v>74.353571428571428</v>
      </c>
      <c r="K8" s="12">
        <v>2</v>
      </c>
      <c r="L8" s="12">
        <v>2</v>
      </c>
      <c r="M8" s="12">
        <v>2</v>
      </c>
      <c r="N8" s="12">
        <v>1</v>
      </c>
      <c r="O8" s="12">
        <v>0</v>
      </c>
      <c r="P8" s="12">
        <v>0</v>
      </c>
      <c r="Q8" s="12">
        <f t="shared" si="1"/>
        <v>7</v>
      </c>
    </row>
    <row r="9" spans="1:17">
      <c r="A9" s="11" t="s">
        <v>17</v>
      </c>
      <c r="B9" s="11" t="s">
        <v>65</v>
      </c>
      <c r="C9" s="7" t="s">
        <v>352</v>
      </c>
      <c r="D9" s="12">
        <v>4.5335714285714284</v>
      </c>
      <c r="E9" s="12">
        <v>14.877619047619051</v>
      </c>
      <c r="F9" s="12">
        <v>23.341836734693878</v>
      </c>
      <c r="G9" s="12">
        <v>34.898412698412706</v>
      </c>
      <c r="H9" s="12">
        <v>44.487755102040815</v>
      </c>
      <c r="I9" s="12">
        <v>75.298214285714295</v>
      </c>
      <c r="J9" s="12">
        <f t="shared" si="0"/>
        <v>197.43740929705217</v>
      </c>
      <c r="K9" s="12">
        <v>20</v>
      </c>
      <c r="L9" s="12">
        <v>15</v>
      </c>
      <c r="M9" s="12">
        <v>7</v>
      </c>
      <c r="N9" s="12">
        <v>9</v>
      </c>
      <c r="O9" s="12">
        <v>7</v>
      </c>
      <c r="P9" s="12">
        <v>24</v>
      </c>
      <c r="Q9" s="12">
        <f t="shared" si="1"/>
        <v>82</v>
      </c>
    </row>
    <row r="10" spans="1:17">
      <c r="A10" s="11" t="s">
        <v>90</v>
      </c>
      <c r="B10" s="11" t="s">
        <v>9</v>
      </c>
      <c r="C10" s="7" t="s">
        <v>352</v>
      </c>
      <c r="D10" s="12">
        <v>3.2420634920634921</v>
      </c>
      <c r="E10" s="12">
        <v>11.357142857142856</v>
      </c>
      <c r="F10" s="12">
        <v>22.428571428571431</v>
      </c>
      <c r="G10" s="12">
        <v>33.142857142857146</v>
      </c>
      <c r="H10" s="12">
        <v>45.51428571428572</v>
      </c>
      <c r="I10" s="12">
        <v>106.78571428571428</v>
      </c>
      <c r="J10" s="12">
        <f t="shared" si="0"/>
        <v>222.47063492063492</v>
      </c>
      <c r="K10" s="12">
        <v>9</v>
      </c>
      <c r="L10" s="12">
        <v>3</v>
      </c>
      <c r="M10" s="12">
        <v>2</v>
      </c>
      <c r="N10" s="12">
        <v>2</v>
      </c>
      <c r="O10" s="12">
        <v>1</v>
      </c>
      <c r="P10" s="12">
        <v>6</v>
      </c>
      <c r="Q10" s="12">
        <f t="shared" si="1"/>
        <v>23</v>
      </c>
    </row>
    <row r="11" spans="1:17">
      <c r="A11" s="11" t="s">
        <v>23</v>
      </c>
      <c r="B11" s="11" t="s">
        <v>9</v>
      </c>
      <c r="C11" s="7" t="s">
        <v>352</v>
      </c>
      <c r="D11" s="12">
        <v>6.5</v>
      </c>
      <c r="E11" s="12">
        <v>12.515079365079364</v>
      </c>
      <c r="F11" s="12">
        <v>21.071428571428573</v>
      </c>
      <c r="G11" s="12">
        <v>35.495714285714278</v>
      </c>
      <c r="H11" s="12">
        <v>48.11904761904762</v>
      </c>
      <c r="I11" s="12">
        <v>121.03571428571429</v>
      </c>
      <c r="J11" s="12">
        <f t="shared" si="0"/>
        <v>244.73698412698411</v>
      </c>
      <c r="K11" s="12">
        <v>4</v>
      </c>
      <c r="L11" s="12">
        <v>9</v>
      </c>
      <c r="M11" s="12">
        <v>1</v>
      </c>
      <c r="N11" s="12">
        <v>5</v>
      </c>
      <c r="O11" s="12">
        <v>3</v>
      </c>
      <c r="P11" s="12">
        <v>2</v>
      </c>
      <c r="Q11" s="12">
        <f t="shared" si="1"/>
        <v>24</v>
      </c>
    </row>
    <row r="12" spans="1:17">
      <c r="A12" s="11" t="s">
        <v>9</v>
      </c>
      <c r="B12" s="11" t="s">
        <v>9</v>
      </c>
      <c r="C12" s="7" t="s">
        <v>352</v>
      </c>
      <c r="D12" s="12">
        <v>4.7346938775510203</v>
      </c>
      <c r="E12" s="12">
        <v>15.266233766233768</v>
      </c>
      <c r="F12" s="12">
        <v>25.000000000000004</v>
      </c>
      <c r="G12" s="12">
        <v>35.076923076923073</v>
      </c>
      <c r="H12" s="12">
        <v>46.031168831168827</v>
      </c>
      <c r="I12" s="12">
        <v>84.367559523809533</v>
      </c>
      <c r="J12" s="12">
        <f t="shared" si="0"/>
        <v>210.47657907568623</v>
      </c>
      <c r="K12" s="12">
        <v>21</v>
      </c>
      <c r="L12" s="12">
        <v>11</v>
      </c>
      <c r="M12" s="12">
        <v>9</v>
      </c>
      <c r="N12" s="12">
        <v>13</v>
      </c>
      <c r="O12" s="12">
        <v>11</v>
      </c>
      <c r="P12" s="12">
        <v>24</v>
      </c>
      <c r="Q12" s="12">
        <f t="shared" si="1"/>
        <v>89</v>
      </c>
    </row>
    <row r="13" spans="1:17">
      <c r="A13" s="11" t="s">
        <v>1</v>
      </c>
      <c r="B13" s="11" t="s">
        <v>1</v>
      </c>
      <c r="C13" s="7" t="s">
        <v>351</v>
      </c>
      <c r="D13" s="12">
        <v>4.652806122448979</v>
      </c>
      <c r="E13" s="12">
        <v>14.886842105263156</v>
      </c>
      <c r="F13" s="12">
        <v>24.884615384615383</v>
      </c>
      <c r="G13" s="12">
        <v>36.122321428571432</v>
      </c>
      <c r="H13" s="12">
        <v>42.216964285714283</v>
      </c>
      <c r="I13" s="12">
        <v>92.526488095238093</v>
      </c>
      <c r="J13" s="12">
        <f t="shared" si="0"/>
        <v>215.29003742185131</v>
      </c>
      <c r="K13" s="12">
        <v>28</v>
      </c>
      <c r="L13" s="12">
        <v>19</v>
      </c>
      <c r="M13" s="12">
        <v>13</v>
      </c>
      <c r="N13" s="12">
        <v>8</v>
      </c>
      <c r="O13" s="12">
        <v>8</v>
      </c>
      <c r="P13" s="12">
        <v>24</v>
      </c>
      <c r="Q13" s="12">
        <f t="shared" si="1"/>
        <v>100</v>
      </c>
    </row>
    <row r="14" spans="1:17">
      <c r="A14" s="11" t="s">
        <v>30</v>
      </c>
      <c r="B14" s="11" t="s">
        <v>1</v>
      </c>
      <c r="C14" s="7" t="s">
        <v>351</v>
      </c>
      <c r="D14" s="12">
        <v>3.8095238095238102</v>
      </c>
      <c r="E14" s="12">
        <v>16.011904761904763</v>
      </c>
      <c r="F14" s="12">
        <v>24.017857142857146</v>
      </c>
      <c r="G14" s="12">
        <v>31.36904761904762</v>
      </c>
      <c r="H14" s="12">
        <v>45.75</v>
      </c>
      <c r="I14" s="12">
        <v>66.452380952380949</v>
      </c>
      <c r="J14" s="12">
        <f t="shared" si="0"/>
        <v>187.41071428571428</v>
      </c>
      <c r="K14" s="12">
        <v>12</v>
      </c>
      <c r="L14" s="12">
        <v>6</v>
      </c>
      <c r="M14" s="12">
        <v>4</v>
      </c>
      <c r="N14" s="12">
        <v>3</v>
      </c>
      <c r="O14" s="12">
        <v>4</v>
      </c>
      <c r="P14" s="12">
        <v>6</v>
      </c>
      <c r="Q14" s="12">
        <f t="shared" si="1"/>
        <v>35</v>
      </c>
    </row>
    <row r="15" spans="1:17">
      <c r="A15" s="11" t="s">
        <v>43</v>
      </c>
      <c r="B15" s="11" t="s">
        <v>1</v>
      </c>
      <c r="C15" s="7" t="s">
        <v>351</v>
      </c>
      <c r="D15" s="12">
        <v>5.4302197802197805</v>
      </c>
      <c r="E15" s="12">
        <v>15.129999999999999</v>
      </c>
      <c r="F15" s="12">
        <v>23.857142857142858</v>
      </c>
      <c r="G15" s="12">
        <v>33.410714285714285</v>
      </c>
      <c r="H15" s="12">
        <v>48.514285714285712</v>
      </c>
      <c r="I15" s="12">
        <v>77.228571428571414</v>
      </c>
      <c r="J15" s="12">
        <f t="shared" si="0"/>
        <v>203.57093406593407</v>
      </c>
      <c r="K15" s="12">
        <v>13</v>
      </c>
      <c r="L15" s="12">
        <v>5</v>
      </c>
      <c r="M15" s="12">
        <v>7</v>
      </c>
      <c r="N15" s="12">
        <v>4</v>
      </c>
      <c r="O15" s="12">
        <v>2</v>
      </c>
      <c r="P15" s="12">
        <v>1</v>
      </c>
      <c r="Q15" s="12">
        <f t="shared" si="1"/>
        <v>32</v>
      </c>
    </row>
    <row r="16" spans="1:17">
      <c r="A16" s="11" t="s">
        <v>12</v>
      </c>
      <c r="B16" s="11" t="s">
        <v>5</v>
      </c>
      <c r="C16" s="7" t="s">
        <v>351</v>
      </c>
      <c r="D16" s="12">
        <v>5.6263736263736259</v>
      </c>
      <c r="E16" s="12">
        <v>14.401785714285714</v>
      </c>
      <c r="F16" s="12">
        <v>28.142857142857142</v>
      </c>
      <c r="G16" s="12">
        <v>0</v>
      </c>
      <c r="H16" s="12">
        <v>47.228571428571421</v>
      </c>
      <c r="I16" s="12">
        <v>88.957142857142827</v>
      </c>
      <c r="J16" s="12">
        <f t="shared" si="0"/>
        <v>184.35673076923072</v>
      </c>
      <c r="K16" s="12">
        <v>13</v>
      </c>
      <c r="L16" s="12">
        <v>8</v>
      </c>
      <c r="M16" s="12">
        <v>1</v>
      </c>
      <c r="N16" s="12">
        <v>0</v>
      </c>
      <c r="O16" s="12">
        <v>5</v>
      </c>
      <c r="P16" s="12">
        <v>15</v>
      </c>
      <c r="Q16" s="12">
        <f t="shared" si="1"/>
        <v>42</v>
      </c>
    </row>
    <row r="17" spans="1:17">
      <c r="A17" s="11" t="s">
        <v>7</v>
      </c>
      <c r="B17" s="11" t="s">
        <v>5</v>
      </c>
      <c r="C17" s="7" t="s">
        <v>351</v>
      </c>
      <c r="D17" s="12">
        <v>0</v>
      </c>
      <c r="E17" s="12">
        <v>0</v>
      </c>
      <c r="F17" s="12">
        <v>0</v>
      </c>
      <c r="G17" s="12">
        <v>0</v>
      </c>
      <c r="H17" s="12">
        <v>48.142857142857146</v>
      </c>
      <c r="I17" s="12">
        <v>128.66666666666666</v>
      </c>
      <c r="J17" s="12">
        <f t="shared" si="0"/>
        <v>176.8095238095238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3</v>
      </c>
      <c r="Q17" s="12">
        <f t="shared" si="1"/>
        <v>4</v>
      </c>
    </row>
    <row r="18" spans="1:17">
      <c r="A18" s="11" t="s">
        <v>5</v>
      </c>
      <c r="B18" s="11" t="s">
        <v>5</v>
      </c>
      <c r="C18" s="7" t="s">
        <v>351</v>
      </c>
      <c r="D18" s="12">
        <v>5.0875576036866361</v>
      </c>
      <c r="E18" s="12">
        <v>14.538669950738917</v>
      </c>
      <c r="F18" s="12">
        <v>26.100340136054434</v>
      </c>
      <c r="G18" s="12">
        <v>33.903571428571425</v>
      </c>
      <c r="H18" s="12">
        <v>45.076190476190483</v>
      </c>
      <c r="I18" s="12">
        <v>71.745918367346945</v>
      </c>
      <c r="J18" s="12">
        <f t="shared" si="0"/>
        <v>196.45224796258884</v>
      </c>
      <c r="K18" s="12">
        <v>31</v>
      </c>
      <c r="L18" s="12">
        <v>29</v>
      </c>
      <c r="M18" s="12">
        <v>42</v>
      </c>
      <c r="N18" s="12">
        <v>20</v>
      </c>
      <c r="O18" s="12">
        <v>15</v>
      </c>
      <c r="P18" s="12">
        <v>28</v>
      </c>
      <c r="Q18" s="12">
        <f t="shared" si="1"/>
        <v>165</v>
      </c>
    </row>
    <row r="19" spans="1:17">
      <c r="A19" s="11" t="s">
        <v>54</v>
      </c>
      <c r="B19" s="11" t="s">
        <v>124</v>
      </c>
      <c r="C19" s="7" t="s">
        <v>351</v>
      </c>
      <c r="D19" s="12">
        <v>4.5952380952380958</v>
      </c>
      <c r="E19" s="12">
        <v>13.071428571428571</v>
      </c>
      <c r="F19" s="12">
        <v>0</v>
      </c>
      <c r="G19" s="12">
        <v>33.607142857142854</v>
      </c>
      <c r="H19" s="12">
        <v>0</v>
      </c>
      <c r="I19" s="12">
        <v>72.763392857142847</v>
      </c>
      <c r="J19" s="12">
        <f t="shared" si="0"/>
        <v>124.03720238095237</v>
      </c>
      <c r="K19" s="12">
        <v>6</v>
      </c>
      <c r="L19" s="12">
        <v>1</v>
      </c>
      <c r="M19" s="12">
        <v>0</v>
      </c>
      <c r="N19" s="12">
        <v>5</v>
      </c>
      <c r="O19" s="12">
        <v>0</v>
      </c>
      <c r="P19" s="12">
        <v>8</v>
      </c>
      <c r="Q19" s="12">
        <f t="shared" si="1"/>
        <v>20</v>
      </c>
    </row>
    <row r="20" spans="1:17">
      <c r="A20" s="11" t="s">
        <v>124</v>
      </c>
      <c r="B20" s="11" t="s">
        <v>124</v>
      </c>
      <c r="C20" s="7" t="s">
        <v>351</v>
      </c>
      <c r="D20" s="12">
        <v>6.1285714285714281</v>
      </c>
      <c r="E20" s="12">
        <v>14.124999999999998</v>
      </c>
      <c r="F20" s="12">
        <v>22.857142857142861</v>
      </c>
      <c r="G20" s="12">
        <v>34.862499999999997</v>
      </c>
      <c r="H20" s="12">
        <v>46.005357142857136</v>
      </c>
      <c r="I20" s="12">
        <v>75.042142857142863</v>
      </c>
      <c r="J20" s="12">
        <f t="shared" si="0"/>
        <v>199.02071428571429</v>
      </c>
      <c r="K20" s="12">
        <v>5</v>
      </c>
      <c r="L20" s="12">
        <v>6</v>
      </c>
      <c r="M20" s="12">
        <v>4</v>
      </c>
      <c r="N20" s="12">
        <v>4</v>
      </c>
      <c r="O20" s="12">
        <v>4</v>
      </c>
      <c r="P20" s="12">
        <v>10</v>
      </c>
      <c r="Q20" s="12">
        <f t="shared" si="1"/>
        <v>33</v>
      </c>
    </row>
    <row r="21" spans="1:17">
      <c r="A21" s="11" t="s">
        <v>78</v>
      </c>
      <c r="B21" s="11" t="s">
        <v>124</v>
      </c>
      <c r="C21" s="7" t="s">
        <v>351</v>
      </c>
      <c r="D21" s="12">
        <v>9.7857142857142865</v>
      </c>
      <c r="E21" s="12">
        <v>15</v>
      </c>
      <c r="F21" s="12">
        <v>24.071428571428573</v>
      </c>
      <c r="G21" s="12">
        <v>33.090476190476188</v>
      </c>
      <c r="H21" s="12">
        <v>46.785714285714285</v>
      </c>
      <c r="I21" s="12">
        <v>130.78968253968253</v>
      </c>
      <c r="J21" s="12">
        <f t="shared" si="0"/>
        <v>259.52301587301588</v>
      </c>
      <c r="K21" s="12">
        <v>1</v>
      </c>
      <c r="L21" s="12">
        <v>5</v>
      </c>
      <c r="M21" s="12">
        <v>5</v>
      </c>
      <c r="N21" s="12">
        <v>3</v>
      </c>
      <c r="O21" s="12">
        <v>1</v>
      </c>
      <c r="P21" s="12">
        <v>9</v>
      </c>
      <c r="Q21" s="12">
        <f t="shared" si="1"/>
        <v>24</v>
      </c>
    </row>
    <row r="22" spans="1:17">
      <c r="A22" s="11" t="s">
        <v>13</v>
      </c>
      <c r="B22" s="11" t="s">
        <v>8</v>
      </c>
      <c r="C22" s="7" t="s">
        <v>351</v>
      </c>
      <c r="D22" s="12">
        <v>4.5357142857142856</v>
      </c>
      <c r="E22" s="12">
        <v>13.909340659340661</v>
      </c>
      <c r="F22" s="12">
        <v>23.835389610389608</v>
      </c>
      <c r="G22" s="12">
        <v>34.865079365079367</v>
      </c>
      <c r="H22" s="12">
        <v>44.563636363636363</v>
      </c>
      <c r="I22" s="12">
        <v>67.813961038961025</v>
      </c>
      <c r="J22" s="12">
        <f t="shared" si="0"/>
        <v>189.5231213231213</v>
      </c>
      <c r="K22" s="12">
        <v>32</v>
      </c>
      <c r="L22" s="12">
        <v>13</v>
      </c>
      <c r="M22" s="12">
        <v>22</v>
      </c>
      <c r="N22" s="12">
        <v>9</v>
      </c>
      <c r="O22" s="12">
        <v>11</v>
      </c>
      <c r="P22" s="12">
        <v>22</v>
      </c>
      <c r="Q22" s="12">
        <f t="shared" si="1"/>
        <v>109</v>
      </c>
    </row>
    <row r="23" spans="1:17">
      <c r="A23" s="11" t="s">
        <v>11</v>
      </c>
      <c r="B23" s="11" t="s">
        <v>8</v>
      </c>
      <c r="C23" s="7" t="s">
        <v>351</v>
      </c>
      <c r="D23" s="12">
        <v>5.3824175824175837</v>
      </c>
      <c r="E23" s="12">
        <v>15.624999999999998</v>
      </c>
      <c r="F23" s="12">
        <v>25.559090909090909</v>
      </c>
      <c r="G23" s="12">
        <v>34.871428571428574</v>
      </c>
      <c r="H23" s="12">
        <v>44.35</v>
      </c>
      <c r="I23" s="12">
        <v>69.846825396825409</v>
      </c>
      <c r="J23" s="12">
        <f t="shared" si="0"/>
        <v>195.63476245976247</v>
      </c>
      <c r="K23" s="12">
        <v>13</v>
      </c>
      <c r="L23" s="12">
        <v>8</v>
      </c>
      <c r="M23" s="12">
        <v>11</v>
      </c>
      <c r="N23" s="12">
        <v>10</v>
      </c>
      <c r="O23" s="12">
        <v>12</v>
      </c>
      <c r="P23" s="12">
        <v>18</v>
      </c>
      <c r="Q23" s="12">
        <f t="shared" si="1"/>
        <v>72</v>
      </c>
    </row>
    <row r="24" spans="1:17">
      <c r="A24" s="11" t="s">
        <v>8</v>
      </c>
      <c r="B24" s="11" t="s">
        <v>8</v>
      </c>
      <c r="C24" s="7" t="s">
        <v>351</v>
      </c>
      <c r="D24" s="12">
        <v>6.0803571428571432</v>
      </c>
      <c r="E24" s="12">
        <v>15.778571428571428</v>
      </c>
      <c r="F24" s="12">
        <v>24.752678571428572</v>
      </c>
      <c r="G24" s="12">
        <v>35.970408163265304</v>
      </c>
      <c r="H24" s="12">
        <v>46.738888888888887</v>
      </c>
      <c r="I24" s="12">
        <v>81.092857142857127</v>
      </c>
      <c r="J24" s="12">
        <f t="shared" si="0"/>
        <v>210.41376133786846</v>
      </c>
      <c r="K24" s="12">
        <v>8</v>
      </c>
      <c r="L24" s="12">
        <v>10</v>
      </c>
      <c r="M24" s="12">
        <v>8</v>
      </c>
      <c r="N24" s="12">
        <v>7</v>
      </c>
      <c r="O24" s="12">
        <v>9</v>
      </c>
      <c r="P24" s="12">
        <v>38</v>
      </c>
      <c r="Q24" s="12">
        <f t="shared" si="1"/>
        <v>80</v>
      </c>
    </row>
    <row r="25" spans="1:17">
      <c r="A25" s="11" t="s">
        <v>45</v>
      </c>
      <c r="B25" s="11" t="s">
        <v>45</v>
      </c>
      <c r="C25" s="7" t="s">
        <v>350</v>
      </c>
      <c r="D25" s="12">
        <v>3.8277992277992285</v>
      </c>
      <c r="E25" s="12">
        <v>11.972222222222221</v>
      </c>
      <c r="F25" s="12">
        <v>25.487662337662336</v>
      </c>
      <c r="G25" s="12">
        <v>34.698412698412696</v>
      </c>
      <c r="H25" s="12">
        <v>45.115306122448978</v>
      </c>
      <c r="I25" s="12">
        <v>87.582857142857151</v>
      </c>
      <c r="J25" s="12">
        <f t="shared" si="0"/>
        <v>208.68425975140264</v>
      </c>
      <c r="K25" s="12">
        <v>37</v>
      </c>
      <c r="L25" s="12">
        <v>9</v>
      </c>
      <c r="M25" s="12">
        <v>11</v>
      </c>
      <c r="N25" s="12">
        <v>9</v>
      </c>
      <c r="O25" s="12">
        <v>7</v>
      </c>
      <c r="P25" s="12">
        <v>15</v>
      </c>
      <c r="Q25" s="12">
        <f t="shared" si="1"/>
        <v>88</v>
      </c>
    </row>
    <row r="26" spans="1:17">
      <c r="A26" s="11" t="s">
        <v>0</v>
      </c>
      <c r="B26" s="11" t="s">
        <v>45</v>
      </c>
      <c r="C26" s="7" t="s">
        <v>350</v>
      </c>
      <c r="D26" s="12">
        <v>5.195341614906833</v>
      </c>
      <c r="E26" s="12">
        <v>14.195378151260504</v>
      </c>
      <c r="F26" s="12">
        <v>23.490476190476191</v>
      </c>
      <c r="G26" s="12">
        <v>34.81818181818182</v>
      </c>
      <c r="H26" s="12">
        <v>45.158163265306122</v>
      </c>
      <c r="I26" s="12">
        <v>80.283540372670799</v>
      </c>
      <c r="J26" s="12">
        <f t="shared" si="0"/>
        <v>203.14108141280224</v>
      </c>
      <c r="K26" s="12">
        <v>23</v>
      </c>
      <c r="L26" s="12">
        <v>17</v>
      </c>
      <c r="M26" s="12">
        <v>12</v>
      </c>
      <c r="N26" s="12">
        <v>11</v>
      </c>
      <c r="O26" s="12">
        <v>7</v>
      </c>
      <c r="P26" s="12">
        <v>23</v>
      </c>
      <c r="Q26" s="12">
        <f t="shared" si="1"/>
        <v>93</v>
      </c>
    </row>
    <row r="27" spans="1:17">
      <c r="A27" s="11" t="s">
        <v>25</v>
      </c>
      <c r="B27" s="11" t="s">
        <v>45</v>
      </c>
      <c r="C27" s="7" t="s">
        <v>350</v>
      </c>
      <c r="D27" s="12">
        <v>5.316326530612244</v>
      </c>
      <c r="E27" s="12">
        <v>16.561224489795915</v>
      </c>
      <c r="F27" s="12">
        <v>25.488095238095237</v>
      </c>
      <c r="G27" s="12">
        <v>33.173214285714288</v>
      </c>
      <c r="H27" s="12">
        <v>44.50714285714286</v>
      </c>
      <c r="I27" s="12">
        <v>63.464285714285715</v>
      </c>
      <c r="J27" s="12">
        <f t="shared" si="0"/>
        <v>188.51028911564626</v>
      </c>
      <c r="K27" s="12">
        <v>7</v>
      </c>
      <c r="L27" s="12">
        <v>7</v>
      </c>
      <c r="M27" s="12">
        <v>3</v>
      </c>
      <c r="N27" s="12">
        <v>4</v>
      </c>
      <c r="O27" s="12">
        <v>7</v>
      </c>
      <c r="P27" s="12">
        <v>1</v>
      </c>
      <c r="Q27" s="12">
        <f t="shared" si="1"/>
        <v>29</v>
      </c>
    </row>
    <row r="28" spans="1:17">
      <c r="A28" s="11" t="s">
        <v>10</v>
      </c>
      <c r="B28" s="11" t="s">
        <v>15</v>
      </c>
      <c r="C28" s="7" t="s">
        <v>350</v>
      </c>
      <c r="D28" s="12">
        <v>5.4165413533834581</v>
      </c>
      <c r="E28" s="12">
        <v>15.799285714285713</v>
      </c>
      <c r="F28" s="12">
        <v>24.726190476190471</v>
      </c>
      <c r="G28" s="12">
        <v>34.942857142857143</v>
      </c>
      <c r="H28" s="12">
        <v>44.758928571428569</v>
      </c>
      <c r="I28" s="12">
        <v>96.157563025210081</v>
      </c>
      <c r="J28" s="12">
        <f t="shared" si="0"/>
        <v>221.80136628335543</v>
      </c>
      <c r="K28" s="12">
        <v>19</v>
      </c>
      <c r="L28" s="12">
        <v>10</v>
      </c>
      <c r="M28" s="12">
        <v>6</v>
      </c>
      <c r="N28" s="12">
        <v>6</v>
      </c>
      <c r="O28" s="12">
        <v>4</v>
      </c>
      <c r="P28" s="12">
        <v>17</v>
      </c>
      <c r="Q28" s="12">
        <f t="shared" si="1"/>
        <v>62</v>
      </c>
    </row>
    <row r="29" spans="1:17">
      <c r="A29" s="11" t="s">
        <v>15</v>
      </c>
      <c r="B29" s="11" t="s">
        <v>15</v>
      </c>
      <c r="C29" s="7" t="s">
        <v>350</v>
      </c>
      <c r="D29" s="12">
        <v>4.6775510204081625</v>
      </c>
      <c r="E29" s="12">
        <v>14.896103896103893</v>
      </c>
      <c r="F29" s="12">
        <v>24.567460317460316</v>
      </c>
      <c r="G29" s="12">
        <v>35.057692307692307</v>
      </c>
      <c r="H29" s="12">
        <v>45.090816326530621</v>
      </c>
      <c r="I29" s="12">
        <v>89.82380952380953</v>
      </c>
      <c r="J29" s="12">
        <f t="shared" si="0"/>
        <v>214.11343339200482</v>
      </c>
      <c r="K29" s="12">
        <v>28</v>
      </c>
      <c r="L29" s="12">
        <v>11</v>
      </c>
      <c r="M29" s="12">
        <v>18</v>
      </c>
      <c r="N29" s="12">
        <v>13</v>
      </c>
      <c r="O29" s="12">
        <v>7</v>
      </c>
      <c r="P29" s="12">
        <v>12</v>
      </c>
      <c r="Q29" s="12">
        <f t="shared" si="1"/>
        <v>89</v>
      </c>
    </row>
    <row r="30" spans="1:17">
      <c r="A30" s="11" t="s">
        <v>56</v>
      </c>
      <c r="B30" s="11" t="s">
        <v>18</v>
      </c>
      <c r="C30" s="7" t="s">
        <v>350</v>
      </c>
      <c r="D30" s="12">
        <v>5.7420634920634921</v>
      </c>
      <c r="E30" s="12">
        <v>13.692857142857145</v>
      </c>
      <c r="F30" s="12">
        <v>26.107142857142858</v>
      </c>
      <c r="G30" s="12">
        <v>32.714285714285715</v>
      </c>
      <c r="H30" s="12">
        <v>0</v>
      </c>
      <c r="I30" s="12">
        <v>170.55952380952382</v>
      </c>
      <c r="J30" s="12">
        <f t="shared" si="0"/>
        <v>248.81587301587302</v>
      </c>
      <c r="K30" s="12">
        <v>9</v>
      </c>
      <c r="L30" s="12">
        <v>7</v>
      </c>
      <c r="M30" s="12">
        <v>4</v>
      </c>
      <c r="N30" s="12">
        <v>3</v>
      </c>
      <c r="O30" s="12">
        <v>0</v>
      </c>
      <c r="P30" s="12">
        <v>3</v>
      </c>
      <c r="Q30" s="12">
        <f t="shared" si="1"/>
        <v>26</v>
      </c>
    </row>
    <row r="31" spans="1:17">
      <c r="A31" s="11" t="s">
        <v>52</v>
      </c>
      <c r="B31" s="11" t="s">
        <v>18</v>
      </c>
      <c r="C31" s="7" t="s">
        <v>350</v>
      </c>
      <c r="D31" s="12">
        <v>3.0681818181818183</v>
      </c>
      <c r="E31" s="12">
        <v>15.533928571428572</v>
      </c>
      <c r="F31" s="12">
        <v>21.389285714285712</v>
      </c>
      <c r="G31" s="12">
        <v>38.047619047619044</v>
      </c>
      <c r="H31" s="12">
        <v>47.5</v>
      </c>
      <c r="I31" s="12">
        <v>67.257142857142853</v>
      </c>
      <c r="J31" s="12">
        <f t="shared" si="0"/>
        <v>192.79615800865798</v>
      </c>
      <c r="K31" s="12">
        <v>22</v>
      </c>
      <c r="L31" s="12">
        <v>8</v>
      </c>
      <c r="M31" s="12">
        <v>2</v>
      </c>
      <c r="N31" s="12">
        <v>3</v>
      </c>
      <c r="O31" s="12">
        <v>1</v>
      </c>
      <c r="P31" s="12">
        <v>9</v>
      </c>
      <c r="Q31" s="12">
        <f t="shared" si="1"/>
        <v>45</v>
      </c>
    </row>
    <row r="32" spans="1:17">
      <c r="A32" s="11" t="s">
        <v>14</v>
      </c>
      <c r="B32" s="11" t="s">
        <v>18</v>
      </c>
      <c r="C32" s="7" t="s">
        <v>350</v>
      </c>
      <c r="D32" s="12">
        <v>3.8412698412698418</v>
      </c>
      <c r="E32" s="12">
        <v>13.959183673469386</v>
      </c>
      <c r="F32" s="12">
        <v>26.142857142857146</v>
      </c>
      <c r="G32" s="12">
        <v>35.535714285714285</v>
      </c>
      <c r="H32" s="12">
        <v>43.142857142857146</v>
      </c>
      <c r="I32" s="12">
        <v>85.208333333333329</v>
      </c>
      <c r="J32" s="12">
        <f t="shared" si="0"/>
        <v>207.83021541950114</v>
      </c>
      <c r="K32" s="12">
        <v>18</v>
      </c>
      <c r="L32" s="12">
        <v>7</v>
      </c>
      <c r="M32" s="12">
        <v>7</v>
      </c>
      <c r="N32" s="12">
        <v>2</v>
      </c>
      <c r="O32" s="12">
        <v>1</v>
      </c>
      <c r="P32" s="12">
        <v>6</v>
      </c>
      <c r="Q32" s="12">
        <f t="shared" si="1"/>
        <v>41</v>
      </c>
    </row>
    <row r="33" spans="1:17">
      <c r="A33" s="11" t="s">
        <v>18</v>
      </c>
      <c r="B33" s="11" t="s">
        <v>18</v>
      </c>
      <c r="C33" s="7" t="s">
        <v>350</v>
      </c>
      <c r="D33" s="12">
        <v>4.2173076923076929</v>
      </c>
      <c r="E33" s="12">
        <v>13.985714285714284</v>
      </c>
      <c r="F33" s="12">
        <v>25.005102040816325</v>
      </c>
      <c r="G33" s="12">
        <v>35.552142857142854</v>
      </c>
      <c r="H33" s="12">
        <v>46.428571428571431</v>
      </c>
      <c r="I33" s="12">
        <v>83.695238095238111</v>
      </c>
      <c r="J33" s="12">
        <f t="shared" si="0"/>
        <v>208.8840763997907</v>
      </c>
      <c r="K33" s="12">
        <v>26</v>
      </c>
      <c r="L33" s="12">
        <v>11</v>
      </c>
      <c r="M33" s="12">
        <v>7</v>
      </c>
      <c r="N33" s="12">
        <v>10</v>
      </c>
      <c r="O33" s="12">
        <v>1</v>
      </c>
      <c r="P33" s="12">
        <v>15</v>
      </c>
      <c r="Q33" s="12">
        <f t="shared" si="1"/>
        <v>70</v>
      </c>
    </row>
    <row r="34" spans="1:17">
      <c r="A34" s="11" t="s">
        <v>77</v>
      </c>
      <c r="B34" s="11" t="s">
        <v>75</v>
      </c>
      <c r="C34" s="7" t="s">
        <v>350</v>
      </c>
      <c r="D34" s="12">
        <v>4.803061224489797</v>
      </c>
      <c r="E34" s="12">
        <v>14.707142857142859</v>
      </c>
      <c r="F34" s="12">
        <v>23.440816326530612</v>
      </c>
      <c r="G34" s="12">
        <v>38.535714285714292</v>
      </c>
      <c r="H34" s="12">
        <v>45.667857142857137</v>
      </c>
      <c r="I34" s="12">
        <v>115.03766233766235</v>
      </c>
      <c r="J34" s="12">
        <f t="shared" si="0"/>
        <v>242.19225417439708</v>
      </c>
      <c r="K34" s="12">
        <v>21</v>
      </c>
      <c r="L34" s="12">
        <v>10</v>
      </c>
      <c r="M34" s="12">
        <v>7</v>
      </c>
      <c r="N34" s="12">
        <v>2</v>
      </c>
      <c r="O34" s="12">
        <v>4</v>
      </c>
      <c r="P34" s="12">
        <v>11</v>
      </c>
      <c r="Q34" s="12">
        <f t="shared" si="1"/>
        <v>55</v>
      </c>
    </row>
    <row r="35" spans="1:17">
      <c r="A35" s="11" t="s">
        <v>75</v>
      </c>
      <c r="B35" s="11" t="s">
        <v>75</v>
      </c>
      <c r="C35" s="7" t="s">
        <v>350</v>
      </c>
      <c r="D35" s="12">
        <v>4.818167701863354</v>
      </c>
      <c r="E35" s="12">
        <v>14.247959183673473</v>
      </c>
      <c r="F35" s="12">
        <v>25.279047619047621</v>
      </c>
      <c r="G35" s="12">
        <v>34.241326530612248</v>
      </c>
      <c r="H35" s="12">
        <v>44.293749999999989</v>
      </c>
      <c r="I35" s="12">
        <v>86.356534954407309</v>
      </c>
      <c r="J35" s="12">
        <f t="shared" si="0"/>
        <v>209.23678598960402</v>
      </c>
      <c r="K35" s="12">
        <v>46</v>
      </c>
      <c r="L35" s="12">
        <v>42</v>
      </c>
      <c r="M35" s="12">
        <v>30</v>
      </c>
      <c r="N35" s="12">
        <v>28</v>
      </c>
      <c r="O35" s="12">
        <v>16</v>
      </c>
      <c r="P35" s="12">
        <v>47</v>
      </c>
      <c r="Q35" s="12">
        <f t="shared" si="1"/>
        <v>209</v>
      </c>
    </row>
    <row r="36" spans="1:17" ht="15">
      <c r="A36" s="14"/>
      <c r="B36" s="14"/>
      <c r="C36" s="14"/>
      <c r="D36" s="15">
        <f t="shared" ref="D36" si="2">IFERROR(SUM(D3:D35)/COUNTIF(D3:D35,"&gt;0"),0)</f>
        <v>4.9778624814054471</v>
      </c>
      <c r="E36" s="15">
        <f t="shared" ref="E36" si="3">IFERROR(SUM(E3:E35)/COUNTIF(E3:E35,"&gt;0"),0)</f>
        <v>14.504287678660923</v>
      </c>
      <c r="F36" s="15">
        <f t="shared" ref="F36" si="4">IFERROR(SUM(F3:F35)/COUNTIF(F3:F35,"&gt;0"),0)</f>
        <v>24.549392908017914</v>
      </c>
      <c r="G36" s="15">
        <f t="shared" ref="G36" si="5">IFERROR(SUM(G3:G35)/COUNTIF(G3:G35,"&gt;0"),0)</f>
        <v>34.855359113109117</v>
      </c>
      <c r="H36" s="15">
        <f t="shared" ref="H36" si="6">IFERROR(SUM(H3:H35)/COUNTIF(H3:H35,"&gt;0"),0)</f>
        <v>45.473193964454474</v>
      </c>
      <c r="I36" s="15">
        <f t="shared" ref="I36:J36" si="7">IFERROR(SUM(I3:I35)/COUNTIF(I3:I35,"&gt;0"),0)</f>
        <v>90.365210429811043</v>
      </c>
      <c r="J36" s="15">
        <f t="shared" si="7"/>
        <v>201.86223995283399</v>
      </c>
      <c r="K36" s="13">
        <f t="shared" ref="K36:P36" si="8">SUM(K3:K35)</f>
        <v>541</v>
      </c>
      <c r="L36" s="13">
        <f t="shared" si="8"/>
        <v>360</v>
      </c>
      <c r="M36" s="13">
        <f t="shared" si="8"/>
        <v>290</v>
      </c>
      <c r="N36" s="13">
        <f t="shared" si="8"/>
        <v>221</v>
      </c>
      <c r="O36" s="13">
        <f t="shared" si="8"/>
        <v>179</v>
      </c>
      <c r="P36" s="13">
        <f t="shared" si="8"/>
        <v>492</v>
      </c>
      <c r="Q36" s="13">
        <f t="shared" si="1"/>
        <v>2083</v>
      </c>
    </row>
  </sheetData>
  <autoFilter ref="A2:J35">
    <sortState ref="A2:J34">
      <sortCondition ref="C1:C34"/>
    </sortState>
  </autoFilter>
  <mergeCells count="2">
    <mergeCell ref="D1:J1"/>
    <mergeCell ref="K1:Q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H38"/>
  <sheetViews>
    <sheetView topLeftCell="A14" workbookViewId="0">
      <selection activeCell="H3" sqref="H3"/>
    </sheetView>
  </sheetViews>
  <sheetFormatPr defaultRowHeight="12.75"/>
  <cols>
    <col min="1" max="1" width="22.140625" customWidth="1"/>
    <col min="2" max="2" width="17" bestFit="1" customWidth="1"/>
    <col min="3" max="6" width="8.85546875" customWidth="1"/>
    <col min="7" max="7" width="7.42578125" customWidth="1"/>
    <col min="8" max="8" width="11.7109375" bestFit="1" customWidth="1"/>
  </cols>
  <sheetData>
    <row r="3" spans="1:8">
      <c r="A3" s="2" t="s">
        <v>461</v>
      </c>
      <c r="B3" s="2" t="s">
        <v>444</v>
      </c>
    </row>
    <row r="4" spans="1:8">
      <c r="A4" s="2" t="s">
        <v>443</v>
      </c>
      <c r="B4" t="s">
        <v>438</v>
      </c>
      <c r="C4" t="s">
        <v>439</v>
      </c>
      <c r="D4" t="s">
        <v>460</v>
      </c>
      <c r="E4" t="s">
        <v>440</v>
      </c>
      <c r="F4" t="s">
        <v>441</v>
      </c>
      <c r="G4" t="s">
        <v>442</v>
      </c>
      <c r="H4" t="s">
        <v>342</v>
      </c>
    </row>
    <row r="5" spans="1:8">
      <c r="A5" s="3" t="s">
        <v>1</v>
      </c>
      <c r="B5" s="4">
        <v>28</v>
      </c>
      <c r="C5" s="4">
        <v>19</v>
      </c>
      <c r="D5" s="4">
        <v>13</v>
      </c>
      <c r="E5" s="4">
        <v>8</v>
      </c>
      <c r="F5" s="4">
        <v>8</v>
      </c>
      <c r="G5" s="4">
        <v>24</v>
      </c>
      <c r="H5" s="4">
        <v>100</v>
      </c>
    </row>
    <row r="6" spans="1:8">
      <c r="A6" s="3" t="s">
        <v>28</v>
      </c>
      <c r="B6" s="4">
        <v>14</v>
      </c>
      <c r="C6" s="4">
        <v>18</v>
      </c>
      <c r="D6" s="4">
        <v>13</v>
      </c>
      <c r="E6" s="4">
        <v>9</v>
      </c>
      <c r="F6" s="4">
        <v>3</v>
      </c>
      <c r="G6" s="4">
        <v>23</v>
      </c>
      <c r="H6" s="4">
        <v>80</v>
      </c>
    </row>
    <row r="7" spans="1:8">
      <c r="A7" s="3" t="s">
        <v>10</v>
      </c>
      <c r="B7" s="4">
        <v>19</v>
      </c>
      <c r="C7" s="4">
        <v>10</v>
      </c>
      <c r="D7" s="4">
        <v>6</v>
      </c>
      <c r="E7" s="4">
        <v>6</v>
      </c>
      <c r="F7" s="4">
        <v>4</v>
      </c>
      <c r="G7" s="4">
        <v>17</v>
      </c>
      <c r="H7" s="4">
        <v>62</v>
      </c>
    </row>
    <row r="8" spans="1:8">
      <c r="A8" s="3" t="s">
        <v>56</v>
      </c>
      <c r="B8" s="4">
        <v>9</v>
      </c>
      <c r="C8" s="4">
        <v>7</v>
      </c>
      <c r="D8" s="4">
        <v>4</v>
      </c>
      <c r="E8" s="4">
        <v>3</v>
      </c>
      <c r="F8" s="4"/>
      <c r="G8" s="4">
        <v>3</v>
      </c>
      <c r="H8" s="4">
        <v>26</v>
      </c>
    </row>
    <row r="9" spans="1:8">
      <c r="A9" s="3" t="s">
        <v>12</v>
      </c>
      <c r="B9" s="4">
        <v>13</v>
      </c>
      <c r="C9" s="4">
        <v>8</v>
      </c>
      <c r="D9" s="4">
        <v>1</v>
      </c>
      <c r="E9" s="4"/>
      <c r="F9" s="4">
        <v>5</v>
      </c>
      <c r="G9" s="4">
        <v>15</v>
      </c>
      <c r="H9" s="4">
        <v>42</v>
      </c>
    </row>
    <row r="10" spans="1:8">
      <c r="A10" s="3" t="s">
        <v>2</v>
      </c>
      <c r="B10" s="4">
        <v>9</v>
      </c>
      <c r="C10" s="4">
        <v>5</v>
      </c>
      <c r="D10" s="4">
        <v>2</v>
      </c>
      <c r="E10" s="4">
        <v>3</v>
      </c>
      <c r="F10" s="4">
        <v>6</v>
      </c>
      <c r="G10" s="4">
        <v>20</v>
      </c>
      <c r="H10" s="4">
        <v>45</v>
      </c>
    </row>
    <row r="11" spans="1:8">
      <c r="A11" s="3" t="s">
        <v>45</v>
      </c>
      <c r="B11" s="4">
        <v>37</v>
      </c>
      <c r="C11" s="4">
        <v>9</v>
      </c>
      <c r="D11" s="4">
        <v>11</v>
      </c>
      <c r="E11" s="4">
        <v>9</v>
      </c>
      <c r="F11" s="4">
        <v>7</v>
      </c>
      <c r="G11" s="4">
        <v>15</v>
      </c>
      <c r="H11" s="4">
        <v>88</v>
      </c>
    </row>
    <row r="12" spans="1:8">
      <c r="A12" s="3" t="s">
        <v>13</v>
      </c>
      <c r="B12" s="4">
        <v>32</v>
      </c>
      <c r="C12" s="4">
        <v>13</v>
      </c>
      <c r="D12" s="4">
        <v>22</v>
      </c>
      <c r="E12" s="4">
        <v>9</v>
      </c>
      <c r="F12" s="4">
        <v>11</v>
      </c>
      <c r="G12" s="4">
        <v>22</v>
      </c>
      <c r="H12" s="4">
        <v>109</v>
      </c>
    </row>
    <row r="13" spans="1:8">
      <c r="A13" s="3" t="s">
        <v>52</v>
      </c>
      <c r="B13" s="4">
        <v>22</v>
      </c>
      <c r="C13" s="4">
        <v>8</v>
      </c>
      <c r="D13" s="4">
        <v>2</v>
      </c>
      <c r="E13" s="4">
        <v>3</v>
      </c>
      <c r="F13" s="4">
        <v>1</v>
      </c>
      <c r="G13" s="4">
        <v>9</v>
      </c>
      <c r="H13" s="4">
        <v>45</v>
      </c>
    </row>
    <row r="14" spans="1:8">
      <c r="A14" s="3" t="s">
        <v>0</v>
      </c>
      <c r="B14" s="4">
        <v>23</v>
      </c>
      <c r="C14" s="4">
        <v>17</v>
      </c>
      <c r="D14" s="4">
        <v>12</v>
      </c>
      <c r="E14" s="4">
        <v>11</v>
      </c>
      <c r="F14" s="4">
        <v>7</v>
      </c>
      <c r="G14" s="4">
        <v>23</v>
      </c>
      <c r="H14" s="4">
        <v>93</v>
      </c>
    </row>
    <row r="15" spans="1:8">
      <c r="A15" s="3" t="s">
        <v>51</v>
      </c>
      <c r="B15" s="4">
        <v>11</v>
      </c>
      <c r="C15" s="4">
        <v>10</v>
      </c>
      <c r="D15" s="4">
        <v>6</v>
      </c>
      <c r="E15" s="4">
        <v>8</v>
      </c>
      <c r="F15" s="4">
        <v>2</v>
      </c>
      <c r="G15" s="4">
        <v>9</v>
      </c>
      <c r="H15" s="4">
        <v>46</v>
      </c>
    </row>
    <row r="16" spans="1:8">
      <c r="A16" s="3" t="s">
        <v>90</v>
      </c>
      <c r="B16" s="4">
        <v>9</v>
      </c>
      <c r="C16" s="4">
        <v>3</v>
      </c>
      <c r="D16" s="4">
        <v>2</v>
      </c>
      <c r="E16" s="4">
        <v>2</v>
      </c>
      <c r="F16" s="4">
        <v>1</v>
      </c>
      <c r="G16" s="4">
        <v>6</v>
      </c>
      <c r="H16" s="4">
        <v>23</v>
      </c>
    </row>
    <row r="17" spans="1:8">
      <c r="A17" s="3" t="s">
        <v>37</v>
      </c>
      <c r="B17" s="4">
        <v>3</v>
      </c>
      <c r="C17" s="4">
        <v>2</v>
      </c>
      <c r="D17" s="4"/>
      <c r="E17" s="4"/>
      <c r="F17" s="4">
        <v>2</v>
      </c>
      <c r="G17" s="4">
        <v>3</v>
      </c>
      <c r="H17" s="4">
        <v>10</v>
      </c>
    </row>
    <row r="18" spans="1:8">
      <c r="A18" s="3" t="s">
        <v>15</v>
      </c>
      <c r="B18" s="4">
        <v>28</v>
      </c>
      <c r="C18" s="4">
        <v>11</v>
      </c>
      <c r="D18" s="4">
        <v>18</v>
      </c>
      <c r="E18" s="4">
        <v>13</v>
      </c>
      <c r="F18" s="4">
        <v>7</v>
      </c>
      <c r="G18" s="4">
        <v>12</v>
      </c>
      <c r="H18" s="4">
        <v>89</v>
      </c>
    </row>
    <row r="19" spans="1:8">
      <c r="A19" s="3" t="s">
        <v>11</v>
      </c>
      <c r="B19" s="4">
        <v>13</v>
      </c>
      <c r="C19" s="4">
        <v>8</v>
      </c>
      <c r="D19" s="4">
        <v>11</v>
      </c>
      <c r="E19" s="4">
        <v>10</v>
      </c>
      <c r="F19" s="4">
        <v>12</v>
      </c>
      <c r="G19" s="4">
        <v>18</v>
      </c>
      <c r="H19" s="4">
        <v>72</v>
      </c>
    </row>
    <row r="20" spans="1:8">
      <c r="A20" s="3" t="s">
        <v>3</v>
      </c>
      <c r="B20" s="4">
        <v>30</v>
      </c>
      <c r="C20" s="4">
        <v>36</v>
      </c>
      <c r="D20" s="4">
        <v>24</v>
      </c>
      <c r="E20" s="4">
        <v>7</v>
      </c>
      <c r="F20" s="4">
        <v>17</v>
      </c>
      <c r="G20" s="4">
        <v>40</v>
      </c>
      <c r="H20" s="4">
        <v>154</v>
      </c>
    </row>
    <row r="21" spans="1:8">
      <c r="A21" s="3" t="s">
        <v>7</v>
      </c>
      <c r="B21" s="4"/>
      <c r="C21" s="4"/>
      <c r="D21" s="4"/>
      <c r="E21" s="4"/>
      <c r="F21" s="4">
        <v>1</v>
      </c>
      <c r="G21" s="4">
        <v>3</v>
      </c>
      <c r="H21" s="4">
        <v>4</v>
      </c>
    </row>
    <row r="22" spans="1:8">
      <c r="A22" s="3" t="s">
        <v>54</v>
      </c>
      <c r="B22" s="4">
        <v>6</v>
      </c>
      <c r="C22" s="4">
        <v>1</v>
      </c>
      <c r="D22" s="4"/>
      <c r="E22" s="4">
        <v>5</v>
      </c>
      <c r="F22" s="4"/>
      <c r="G22" s="4">
        <v>8</v>
      </c>
      <c r="H22" s="4">
        <v>20</v>
      </c>
    </row>
    <row r="23" spans="1:8">
      <c r="A23" s="3" t="s">
        <v>14</v>
      </c>
      <c r="B23" s="4">
        <v>18</v>
      </c>
      <c r="C23" s="4">
        <v>7</v>
      </c>
      <c r="D23" s="4">
        <v>7</v>
      </c>
      <c r="E23" s="4">
        <v>2</v>
      </c>
      <c r="F23" s="4">
        <v>1</v>
      </c>
      <c r="G23" s="4">
        <v>6</v>
      </c>
      <c r="H23" s="4">
        <v>41</v>
      </c>
    </row>
    <row r="24" spans="1:8">
      <c r="A24" s="3" t="s">
        <v>65</v>
      </c>
      <c r="B24" s="4">
        <v>2</v>
      </c>
      <c r="C24" s="4">
        <v>2</v>
      </c>
      <c r="D24" s="4">
        <v>2</v>
      </c>
      <c r="E24" s="4">
        <v>1</v>
      </c>
      <c r="F24" s="4"/>
      <c r="G24" s="4"/>
      <c r="H24" s="4">
        <v>7</v>
      </c>
    </row>
    <row r="25" spans="1:8">
      <c r="A25" s="3" t="s">
        <v>5</v>
      </c>
      <c r="B25" s="4">
        <v>31</v>
      </c>
      <c r="C25" s="4">
        <v>29</v>
      </c>
      <c r="D25" s="4">
        <v>42</v>
      </c>
      <c r="E25" s="4">
        <v>20</v>
      </c>
      <c r="F25" s="4">
        <v>15</v>
      </c>
      <c r="G25" s="4">
        <v>28</v>
      </c>
      <c r="H25" s="4">
        <v>165</v>
      </c>
    </row>
    <row r="26" spans="1:8">
      <c r="A26" s="3" t="s">
        <v>23</v>
      </c>
      <c r="B26" s="4">
        <v>4</v>
      </c>
      <c r="C26" s="4">
        <v>9</v>
      </c>
      <c r="D26" s="4">
        <v>1</v>
      </c>
      <c r="E26" s="4">
        <v>5</v>
      </c>
      <c r="F26" s="4">
        <v>3</v>
      </c>
      <c r="G26" s="4">
        <v>2</v>
      </c>
      <c r="H26" s="4">
        <v>24</v>
      </c>
    </row>
    <row r="27" spans="1:8">
      <c r="A27" s="3" t="s">
        <v>18</v>
      </c>
      <c r="B27" s="4">
        <v>26</v>
      </c>
      <c r="C27" s="4">
        <v>11</v>
      </c>
      <c r="D27" s="4">
        <v>7</v>
      </c>
      <c r="E27" s="4">
        <v>10</v>
      </c>
      <c r="F27" s="4">
        <v>1</v>
      </c>
      <c r="G27" s="4">
        <v>15</v>
      </c>
      <c r="H27" s="4">
        <v>70</v>
      </c>
    </row>
    <row r="28" spans="1:8">
      <c r="A28" s="3" t="s">
        <v>30</v>
      </c>
      <c r="B28" s="4">
        <v>12</v>
      </c>
      <c r="C28" s="4">
        <v>6</v>
      </c>
      <c r="D28" s="4">
        <v>4</v>
      </c>
      <c r="E28" s="4">
        <v>3</v>
      </c>
      <c r="F28" s="4">
        <v>4</v>
      </c>
      <c r="G28" s="4">
        <v>6</v>
      </c>
      <c r="H28" s="4">
        <v>35</v>
      </c>
    </row>
    <row r="29" spans="1:8">
      <c r="A29" s="3" t="s">
        <v>124</v>
      </c>
      <c r="B29" s="4">
        <v>5</v>
      </c>
      <c r="C29" s="4">
        <v>6</v>
      </c>
      <c r="D29" s="4">
        <v>4</v>
      </c>
      <c r="E29" s="4">
        <v>4</v>
      </c>
      <c r="F29" s="4">
        <v>4</v>
      </c>
      <c r="G29" s="4">
        <v>10</v>
      </c>
      <c r="H29" s="4">
        <v>33</v>
      </c>
    </row>
    <row r="30" spans="1:8">
      <c r="A30" s="3" t="s">
        <v>25</v>
      </c>
      <c r="B30" s="4">
        <v>7</v>
      </c>
      <c r="C30" s="4">
        <v>7</v>
      </c>
      <c r="D30" s="4">
        <v>3</v>
      </c>
      <c r="E30" s="4">
        <v>4</v>
      </c>
      <c r="F30" s="4">
        <v>7</v>
      </c>
      <c r="G30" s="4">
        <v>1</v>
      </c>
      <c r="H30" s="4">
        <v>29</v>
      </c>
    </row>
    <row r="31" spans="1:8">
      <c r="A31" s="3" t="s">
        <v>77</v>
      </c>
      <c r="B31" s="4">
        <v>21</v>
      </c>
      <c r="C31" s="4">
        <v>10</v>
      </c>
      <c r="D31" s="4">
        <v>7</v>
      </c>
      <c r="E31" s="4">
        <v>2</v>
      </c>
      <c r="F31" s="4">
        <v>4</v>
      </c>
      <c r="G31" s="4">
        <v>11</v>
      </c>
      <c r="H31" s="4">
        <v>55</v>
      </c>
    </row>
    <row r="32" spans="1:8">
      <c r="A32" s="3" t="s">
        <v>9</v>
      </c>
      <c r="B32" s="4">
        <v>21</v>
      </c>
      <c r="C32" s="4">
        <v>11</v>
      </c>
      <c r="D32" s="4">
        <v>9</v>
      </c>
      <c r="E32" s="4">
        <v>13</v>
      </c>
      <c r="F32" s="4">
        <v>11</v>
      </c>
      <c r="G32" s="4">
        <v>24</v>
      </c>
      <c r="H32" s="4">
        <v>89</v>
      </c>
    </row>
    <row r="33" spans="1:8">
      <c r="A33" s="3" t="s">
        <v>17</v>
      </c>
      <c r="B33" s="4">
        <v>20</v>
      </c>
      <c r="C33" s="4">
        <v>15</v>
      </c>
      <c r="D33" s="4">
        <v>7</v>
      </c>
      <c r="E33" s="4">
        <v>9</v>
      </c>
      <c r="F33" s="4">
        <v>7</v>
      </c>
      <c r="G33" s="4">
        <v>24</v>
      </c>
      <c r="H33" s="4">
        <v>82</v>
      </c>
    </row>
    <row r="34" spans="1:8">
      <c r="A34" s="3" t="s">
        <v>78</v>
      </c>
      <c r="B34" s="4">
        <v>1</v>
      </c>
      <c r="C34" s="4">
        <v>5</v>
      </c>
      <c r="D34" s="4">
        <v>5</v>
      </c>
      <c r="E34" s="4">
        <v>3</v>
      </c>
      <c r="F34" s="4">
        <v>1</v>
      </c>
      <c r="G34" s="4">
        <v>9</v>
      </c>
      <c r="H34" s="4">
        <v>24</v>
      </c>
    </row>
    <row r="35" spans="1:8">
      <c r="A35" s="3" t="s">
        <v>8</v>
      </c>
      <c r="B35" s="4">
        <v>8</v>
      </c>
      <c r="C35" s="4">
        <v>10</v>
      </c>
      <c r="D35" s="4">
        <v>8</v>
      </c>
      <c r="E35" s="4">
        <v>7</v>
      </c>
      <c r="F35" s="4">
        <v>9</v>
      </c>
      <c r="G35" s="4">
        <v>38</v>
      </c>
      <c r="H35" s="4">
        <v>80</v>
      </c>
    </row>
    <row r="36" spans="1:8">
      <c r="A36" s="3" t="s">
        <v>43</v>
      </c>
      <c r="B36" s="4">
        <v>13</v>
      </c>
      <c r="C36" s="4">
        <v>5</v>
      </c>
      <c r="D36" s="4">
        <v>7</v>
      </c>
      <c r="E36" s="4">
        <v>4</v>
      </c>
      <c r="F36" s="4">
        <v>2</v>
      </c>
      <c r="G36" s="4">
        <v>1</v>
      </c>
      <c r="H36" s="4">
        <v>32</v>
      </c>
    </row>
    <row r="37" spans="1:8">
      <c r="A37" s="3" t="s">
        <v>75</v>
      </c>
      <c r="B37" s="4">
        <v>46</v>
      </c>
      <c r="C37" s="4">
        <v>42</v>
      </c>
      <c r="D37" s="4">
        <v>30</v>
      </c>
      <c r="E37" s="4">
        <v>28</v>
      </c>
      <c r="F37" s="4">
        <v>16</v>
      </c>
      <c r="G37" s="4">
        <v>47</v>
      </c>
      <c r="H37" s="4">
        <v>209</v>
      </c>
    </row>
    <row r="38" spans="1:8">
      <c r="A38" s="3" t="s">
        <v>342</v>
      </c>
      <c r="B38" s="4">
        <v>541</v>
      </c>
      <c r="C38" s="4">
        <v>360</v>
      </c>
      <c r="D38" s="4">
        <v>290</v>
      </c>
      <c r="E38" s="4">
        <v>221</v>
      </c>
      <c r="F38" s="4">
        <v>179</v>
      </c>
      <c r="G38" s="4">
        <v>492</v>
      </c>
      <c r="H38" s="4">
        <v>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M2670"/>
  <sheetViews>
    <sheetView topLeftCell="A2" workbookViewId="0">
      <selection activeCell="A2" sqref="A2"/>
    </sheetView>
  </sheetViews>
  <sheetFormatPr defaultRowHeight="12.75"/>
  <cols>
    <col min="1" max="1" width="13.85546875" bestFit="1" customWidth="1"/>
    <col min="2" max="2" width="13.7109375" bestFit="1" customWidth="1"/>
    <col min="3" max="3" width="14.28515625" bestFit="1" customWidth="1"/>
    <col min="4" max="4" width="13.85546875" bestFit="1" customWidth="1"/>
    <col min="5" max="5" width="13.28515625" bestFit="1" customWidth="1"/>
    <col min="6" max="7" width="14.140625" bestFit="1" customWidth="1"/>
    <col min="8" max="8" width="13.5703125" bestFit="1" customWidth="1"/>
    <col min="9" max="10" width="14" bestFit="1" customWidth="1"/>
    <col min="11" max="11" width="13.85546875" bestFit="1" customWidth="1"/>
    <col min="12" max="13" width="14" bestFit="1" customWidth="1"/>
  </cols>
  <sheetData>
    <row r="3" spans="1:13">
      <c r="A3" s="2" t="s">
        <v>443</v>
      </c>
      <c r="B3" t="s">
        <v>3215</v>
      </c>
      <c r="C3" t="s">
        <v>3216</v>
      </c>
      <c r="D3" t="s">
        <v>3217</v>
      </c>
      <c r="E3" t="s">
        <v>3218</v>
      </c>
      <c r="F3" t="s">
        <v>3219</v>
      </c>
      <c r="G3" t="s">
        <v>3220</v>
      </c>
      <c r="H3" t="s">
        <v>3221</v>
      </c>
      <c r="I3" t="s">
        <v>3222</v>
      </c>
      <c r="J3" t="s">
        <v>3223</v>
      </c>
      <c r="K3" t="s">
        <v>3224</v>
      </c>
      <c r="L3" t="s">
        <v>3225</v>
      </c>
      <c r="M3" t="s">
        <v>3226</v>
      </c>
    </row>
    <row r="4" spans="1:13">
      <c r="A4" s="3" t="s">
        <v>549</v>
      </c>
      <c r="B4" s="4">
        <v>31</v>
      </c>
      <c r="C4" s="4">
        <v>62</v>
      </c>
      <c r="D4" s="4">
        <v>62</v>
      </c>
      <c r="E4" s="4">
        <v>83</v>
      </c>
      <c r="F4" s="4">
        <v>108</v>
      </c>
      <c r="G4" s="4">
        <v>62</v>
      </c>
      <c r="H4" s="4">
        <v>388</v>
      </c>
      <c r="I4" s="4">
        <v>124</v>
      </c>
      <c r="J4" s="4">
        <v>158</v>
      </c>
      <c r="K4" s="4">
        <v>31</v>
      </c>
      <c r="L4" s="4">
        <v>103</v>
      </c>
      <c r="M4" s="4">
        <v>62</v>
      </c>
    </row>
    <row r="5" spans="1:13">
      <c r="A5" s="3" t="s">
        <v>550</v>
      </c>
      <c r="B5" s="4">
        <v>70</v>
      </c>
      <c r="C5" s="4">
        <v>0</v>
      </c>
      <c r="D5" s="4">
        <v>179</v>
      </c>
      <c r="E5" s="4">
        <v>65</v>
      </c>
      <c r="F5" s="4">
        <v>2.5</v>
      </c>
      <c r="G5" s="4">
        <v>0</v>
      </c>
      <c r="H5" s="4">
        <v>0</v>
      </c>
      <c r="I5" s="4">
        <v>0</v>
      </c>
      <c r="J5" s="4">
        <v>65</v>
      </c>
      <c r="K5" s="4">
        <v>42</v>
      </c>
      <c r="L5" s="4">
        <v>60</v>
      </c>
      <c r="M5" s="4">
        <v>120</v>
      </c>
    </row>
    <row r="6" spans="1:13">
      <c r="A6" s="3" t="s">
        <v>551</v>
      </c>
      <c r="B6" s="4">
        <v>194</v>
      </c>
      <c r="C6" s="4">
        <v>174.5</v>
      </c>
      <c r="D6" s="4">
        <v>221.5</v>
      </c>
      <c r="E6" s="4">
        <v>175.3</v>
      </c>
      <c r="F6" s="4">
        <v>187</v>
      </c>
      <c r="G6" s="4">
        <v>139</v>
      </c>
      <c r="H6" s="4">
        <v>127</v>
      </c>
      <c r="I6" s="4">
        <v>121</v>
      </c>
      <c r="J6" s="4">
        <v>102.5</v>
      </c>
      <c r="K6" s="4">
        <v>156</v>
      </c>
      <c r="L6" s="4">
        <v>144</v>
      </c>
      <c r="M6" s="4">
        <v>149</v>
      </c>
    </row>
    <row r="7" spans="1:13">
      <c r="A7" s="3" t="s">
        <v>552</v>
      </c>
      <c r="B7" s="4">
        <v>41.5</v>
      </c>
      <c r="C7" s="4">
        <v>20</v>
      </c>
      <c r="D7" s="4">
        <v>35</v>
      </c>
      <c r="E7" s="4">
        <v>21.5</v>
      </c>
      <c r="F7" s="4">
        <v>27</v>
      </c>
      <c r="G7" s="4">
        <v>20</v>
      </c>
      <c r="H7" s="4">
        <v>77</v>
      </c>
      <c r="I7" s="4">
        <v>0</v>
      </c>
      <c r="J7" s="4">
        <v>0</v>
      </c>
      <c r="K7" s="4">
        <v>33</v>
      </c>
      <c r="L7" s="4">
        <v>40</v>
      </c>
      <c r="M7" s="4">
        <v>42</v>
      </c>
    </row>
    <row r="8" spans="1:13">
      <c r="A8" s="3" t="s">
        <v>553</v>
      </c>
      <c r="B8" s="4">
        <v>41.5</v>
      </c>
      <c r="C8" s="4">
        <v>41.5</v>
      </c>
      <c r="D8" s="4">
        <v>99.5</v>
      </c>
      <c r="E8" s="4">
        <v>72</v>
      </c>
      <c r="F8" s="4">
        <v>20</v>
      </c>
      <c r="G8" s="4">
        <v>42</v>
      </c>
      <c r="H8" s="4">
        <v>64</v>
      </c>
      <c r="I8" s="4">
        <v>47</v>
      </c>
      <c r="J8" s="4">
        <v>30</v>
      </c>
      <c r="K8" s="4">
        <v>71</v>
      </c>
      <c r="L8" s="4">
        <v>74</v>
      </c>
      <c r="M8" s="4">
        <v>47.5</v>
      </c>
    </row>
    <row r="9" spans="1:13">
      <c r="A9" s="3" t="s">
        <v>554</v>
      </c>
      <c r="B9" s="4">
        <v>84</v>
      </c>
      <c r="C9" s="4">
        <v>131</v>
      </c>
      <c r="D9" s="4">
        <v>110</v>
      </c>
      <c r="E9" s="4">
        <v>86.5</v>
      </c>
      <c r="F9" s="4">
        <v>83</v>
      </c>
      <c r="G9" s="4">
        <v>84</v>
      </c>
      <c r="H9" s="4">
        <v>22</v>
      </c>
      <c r="I9" s="4">
        <v>41</v>
      </c>
      <c r="J9" s="4">
        <v>104.5</v>
      </c>
      <c r="K9" s="4">
        <v>0</v>
      </c>
      <c r="L9" s="4">
        <v>42</v>
      </c>
      <c r="M9" s="4">
        <v>42</v>
      </c>
    </row>
    <row r="10" spans="1:13">
      <c r="A10" s="3" t="s">
        <v>555</v>
      </c>
      <c r="B10" s="4">
        <v>50</v>
      </c>
      <c r="C10" s="4">
        <v>50</v>
      </c>
      <c r="D10" s="4">
        <v>31</v>
      </c>
      <c r="E10" s="4">
        <v>83</v>
      </c>
      <c r="F10" s="4">
        <v>21</v>
      </c>
      <c r="G10" s="4">
        <v>1</v>
      </c>
      <c r="H10" s="4">
        <v>146</v>
      </c>
      <c r="I10" s="4">
        <v>201</v>
      </c>
      <c r="J10" s="4">
        <v>100</v>
      </c>
      <c r="K10" s="4">
        <v>105.75</v>
      </c>
      <c r="L10" s="4">
        <v>118</v>
      </c>
      <c r="M10" s="4">
        <v>150</v>
      </c>
    </row>
    <row r="11" spans="1:13">
      <c r="A11" s="3" t="s">
        <v>556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>
      <c r="A12" s="3" t="s">
        <v>557</v>
      </c>
      <c r="B12" s="4">
        <v>30</v>
      </c>
      <c r="C12" s="4">
        <v>0</v>
      </c>
      <c r="D12" s="4">
        <v>50</v>
      </c>
      <c r="E12" s="4">
        <v>22</v>
      </c>
      <c r="F12" s="4">
        <v>50</v>
      </c>
      <c r="G12" s="4">
        <v>0</v>
      </c>
      <c r="H12" s="4">
        <v>0</v>
      </c>
      <c r="I12" s="4">
        <v>50</v>
      </c>
      <c r="J12" s="4">
        <v>21</v>
      </c>
      <c r="K12" s="4">
        <v>0</v>
      </c>
      <c r="L12" s="4">
        <v>0</v>
      </c>
      <c r="M12" s="4">
        <v>0</v>
      </c>
    </row>
    <row r="13" spans="1:13">
      <c r="A13" s="3" t="s">
        <v>558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144.5</v>
      </c>
      <c r="H13" s="4">
        <v>120.5</v>
      </c>
      <c r="I13" s="4">
        <v>25</v>
      </c>
      <c r="J13" s="4">
        <v>25</v>
      </c>
      <c r="K13" s="4">
        <v>45</v>
      </c>
      <c r="L13" s="4">
        <v>0</v>
      </c>
      <c r="M13" s="4">
        <v>50.5</v>
      </c>
    </row>
    <row r="14" spans="1:13">
      <c r="A14" s="3" t="s">
        <v>559</v>
      </c>
      <c r="B14" s="4">
        <v>66</v>
      </c>
      <c r="C14" s="4">
        <v>97.5</v>
      </c>
      <c r="D14" s="4">
        <v>80</v>
      </c>
      <c r="E14" s="4">
        <v>65.5</v>
      </c>
      <c r="F14" s="4">
        <v>48.65</v>
      </c>
      <c r="G14" s="4">
        <v>43</v>
      </c>
      <c r="H14" s="4">
        <v>30</v>
      </c>
      <c r="I14" s="4">
        <v>13.15</v>
      </c>
      <c r="J14" s="4">
        <v>37.5</v>
      </c>
      <c r="K14" s="4">
        <v>88.5</v>
      </c>
      <c r="L14" s="4">
        <v>73.75</v>
      </c>
      <c r="M14" s="4">
        <v>111.75</v>
      </c>
    </row>
    <row r="15" spans="1:13">
      <c r="A15" s="3" t="s">
        <v>560</v>
      </c>
      <c r="B15" s="4">
        <v>31</v>
      </c>
      <c r="C15" s="4">
        <v>0</v>
      </c>
      <c r="D15" s="4">
        <v>155</v>
      </c>
      <c r="E15" s="4">
        <v>93</v>
      </c>
      <c r="F15" s="4">
        <v>47</v>
      </c>
      <c r="G15" s="4">
        <v>0</v>
      </c>
      <c r="H15" s="4">
        <v>0</v>
      </c>
      <c r="I15" s="4">
        <v>0</v>
      </c>
      <c r="J15" s="4">
        <v>36</v>
      </c>
      <c r="K15" s="4">
        <v>47</v>
      </c>
      <c r="L15" s="4">
        <v>25</v>
      </c>
      <c r="M15" s="4">
        <v>0</v>
      </c>
    </row>
    <row r="16" spans="1:13">
      <c r="A16" s="3" t="s">
        <v>561</v>
      </c>
      <c r="B16" s="4">
        <v>0</v>
      </c>
      <c r="C16" s="4">
        <v>0</v>
      </c>
      <c r="D16" s="4">
        <v>50</v>
      </c>
      <c r="E16" s="4">
        <v>0</v>
      </c>
      <c r="F16" s="4">
        <v>17</v>
      </c>
      <c r="G16" s="4">
        <v>0</v>
      </c>
      <c r="H16" s="4">
        <v>20</v>
      </c>
      <c r="I16" s="4">
        <v>0</v>
      </c>
      <c r="J16" s="4">
        <v>0</v>
      </c>
      <c r="K16" s="4">
        <v>27</v>
      </c>
      <c r="L16" s="4">
        <v>50</v>
      </c>
      <c r="M16" s="4">
        <v>0</v>
      </c>
    </row>
    <row r="17" spans="1:13">
      <c r="A17" s="3" t="s">
        <v>562</v>
      </c>
      <c r="B17" s="4">
        <v>35</v>
      </c>
      <c r="C17" s="4">
        <v>50</v>
      </c>
      <c r="D17" s="4">
        <v>35</v>
      </c>
      <c r="E17" s="4">
        <v>82.5</v>
      </c>
      <c r="F17" s="4">
        <v>22.5</v>
      </c>
      <c r="G17" s="4">
        <v>20</v>
      </c>
      <c r="H17" s="4">
        <v>89.5</v>
      </c>
      <c r="I17" s="4">
        <v>15</v>
      </c>
      <c r="J17" s="4">
        <v>40</v>
      </c>
      <c r="K17" s="4">
        <v>60</v>
      </c>
      <c r="L17" s="4">
        <v>100</v>
      </c>
      <c r="M17" s="4">
        <v>80</v>
      </c>
    </row>
    <row r="18" spans="1:13">
      <c r="A18" s="3" t="s">
        <v>563</v>
      </c>
      <c r="B18" s="4">
        <v>20</v>
      </c>
      <c r="C18" s="4">
        <v>60</v>
      </c>
      <c r="D18" s="4">
        <v>25</v>
      </c>
      <c r="E18" s="4">
        <v>35</v>
      </c>
      <c r="F18" s="4">
        <v>2.5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45</v>
      </c>
      <c r="M18" s="4">
        <v>125</v>
      </c>
    </row>
    <row r="19" spans="1:13">
      <c r="A19" s="3" t="s">
        <v>564</v>
      </c>
      <c r="B19" s="4">
        <v>130</v>
      </c>
      <c r="C19" s="4">
        <v>50</v>
      </c>
      <c r="D19" s="4">
        <v>140</v>
      </c>
      <c r="E19" s="4">
        <v>135</v>
      </c>
      <c r="F19" s="4">
        <v>17.5</v>
      </c>
      <c r="G19" s="4">
        <v>180</v>
      </c>
      <c r="H19" s="4">
        <v>121.5</v>
      </c>
      <c r="I19" s="4">
        <v>25</v>
      </c>
      <c r="J19" s="4">
        <v>240</v>
      </c>
      <c r="K19" s="4">
        <v>252</v>
      </c>
      <c r="L19" s="4">
        <v>160</v>
      </c>
      <c r="M19" s="4">
        <v>302</v>
      </c>
    </row>
    <row r="20" spans="1:13">
      <c r="A20" s="3" t="s">
        <v>565</v>
      </c>
      <c r="B20" s="4">
        <v>30</v>
      </c>
      <c r="C20" s="4">
        <v>10</v>
      </c>
      <c r="D20" s="4">
        <v>39</v>
      </c>
      <c r="E20" s="4">
        <v>10</v>
      </c>
      <c r="F20" s="4">
        <v>25</v>
      </c>
      <c r="G20" s="4">
        <v>20</v>
      </c>
      <c r="H20" s="4">
        <v>0</v>
      </c>
      <c r="I20" s="4">
        <v>10</v>
      </c>
      <c r="J20" s="4">
        <v>10</v>
      </c>
      <c r="K20" s="4">
        <v>0</v>
      </c>
      <c r="L20" s="4">
        <v>0</v>
      </c>
      <c r="M20" s="4">
        <v>0</v>
      </c>
    </row>
    <row r="21" spans="1:13">
      <c r="A21" s="3" t="s">
        <v>566</v>
      </c>
      <c r="B21" s="4">
        <v>30</v>
      </c>
      <c r="C21" s="4">
        <v>25</v>
      </c>
      <c r="D21" s="4">
        <v>30</v>
      </c>
      <c r="E21" s="4">
        <v>45</v>
      </c>
      <c r="F21" s="4">
        <v>40</v>
      </c>
      <c r="G21" s="4">
        <v>47.5</v>
      </c>
      <c r="H21" s="4">
        <v>35</v>
      </c>
      <c r="I21" s="4">
        <v>15</v>
      </c>
      <c r="J21" s="4">
        <v>29.5</v>
      </c>
      <c r="K21" s="4">
        <v>42.5</v>
      </c>
      <c r="L21" s="4">
        <v>30</v>
      </c>
      <c r="M21" s="4">
        <v>37.5</v>
      </c>
    </row>
    <row r="22" spans="1:13">
      <c r="A22" s="3" t="s">
        <v>567</v>
      </c>
      <c r="B22" s="4">
        <v>50</v>
      </c>
      <c r="C22" s="4">
        <v>37</v>
      </c>
      <c r="D22" s="4">
        <v>55</v>
      </c>
      <c r="E22" s="4">
        <v>45</v>
      </c>
      <c r="F22" s="4">
        <v>50</v>
      </c>
      <c r="G22" s="4">
        <v>50</v>
      </c>
      <c r="H22" s="4">
        <v>35</v>
      </c>
      <c r="I22" s="4">
        <v>30</v>
      </c>
      <c r="J22" s="4">
        <v>35</v>
      </c>
      <c r="K22" s="4">
        <v>42.5</v>
      </c>
      <c r="L22" s="4">
        <v>37.5</v>
      </c>
      <c r="M22" s="4">
        <v>0</v>
      </c>
    </row>
    <row r="23" spans="1:13">
      <c r="A23" s="3" t="s">
        <v>568</v>
      </c>
      <c r="B23" s="4">
        <v>0</v>
      </c>
      <c r="C23" s="4">
        <v>0</v>
      </c>
      <c r="D23" s="4">
        <v>0</v>
      </c>
      <c r="E23" s="4">
        <v>15</v>
      </c>
      <c r="F23" s="4">
        <v>25</v>
      </c>
      <c r="G23" s="4">
        <v>20</v>
      </c>
      <c r="H23" s="4">
        <v>10</v>
      </c>
      <c r="I23" s="4">
        <v>5</v>
      </c>
      <c r="J23" s="4">
        <v>0</v>
      </c>
      <c r="K23" s="4">
        <v>0</v>
      </c>
      <c r="L23" s="4">
        <v>0</v>
      </c>
      <c r="M23" s="4">
        <v>12.5</v>
      </c>
    </row>
    <row r="24" spans="1:13">
      <c r="A24" s="3" t="s">
        <v>569</v>
      </c>
      <c r="B24" s="4">
        <v>51</v>
      </c>
      <c r="C24" s="4">
        <v>0</v>
      </c>
      <c r="D24" s="4">
        <v>30</v>
      </c>
      <c r="E24" s="4">
        <v>22</v>
      </c>
      <c r="F24" s="4">
        <v>10</v>
      </c>
      <c r="G24" s="4">
        <v>0</v>
      </c>
      <c r="H24" s="4">
        <v>51</v>
      </c>
      <c r="I24" s="4">
        <v>20</v>
      </c>
      <c r="J24" s="4">
        <v>0</v>
      </c>
      <c r="K24" s="4">
        <v>50</v>
      </c>
      <c r="L24" s="4">
        <v>0</v>
      </c>
      <c r="M24" s="4">
        <v>0</v>
      </c>
    </row>
    <row r="25" spans="1:13">
      <c r="A25" s="3" t="s">
        <v>570</v>
      </c>
      <c r="B25" s="4">
        <v>70.5</v>
      </c>
      <c r="C25" s="4">
        <v>147.05000000000001</v>
      </c>
      <c r="D25" s="4">
        <v>136.5</v>
      </c>
      <c r="E25" s="4">
        <v>107.2</v>
      </c>
      <c r="F25" s="4">
        <v>84</v>
      </c>
      <c r="G25" s="4">
        <v>50.25</v>
      </c>
      <c r="H25" s="4">
        <v>50.85</v>
      </c>
      <c r="I25" s="4">
        <v>45.15</v>
      </c>
      <c r="J25" s="4">
        <v>107.5</v>
      </c>
      <c r="K25" s="4">
        <v>137.5</v>
      </c>
      <c r="L25" s="4">
        <v>103.55</v>
      </c>
      <c r="M25" s="4">
        <v>65</v>
      </c>
    </row>
    <row r="26" spans="1:13">
      <c r="A26" s="3" t="s">
        <v>571</v>
      </c>
      <c r="B26" s="4">
        <v>149</v>
      </c>
      <c r="C26" s="4">
        <v>186</v>
      </c>
      <c r="D26" s="4">
        <v>155</v>
      </c>
      <c r="E26" s="4">
        <v>165</v>
      </c>
      <c r="F26" s="4">
        <v>224.5</v>
      </c>
      <c r="G26" s="4">
        <v>266.5</v>
      </c>
      <c r="H26" s="4">
        <v>372</v>
      </c>
      <c r="I26" s="4">
        <v>93</v>
      </c>
      <c r="J26" s="4">
        <v>103</v>
      </c>
      <c r="K26" s="4">
        <v>155</v>
      </c>
      <c r="L26" s="4">
        <v>136.5</v>
      </c>
      <c r="M26" s="4">
        <v>496</v>
      </c>
    </row>
    <row r="27" spans="1:13">
      <c r="A27" s="3" t="s">
        <v>572</v>
      </c>
      <c r="B27" s="4">
        <v>90</v>
      </c>
      <c r="C27" s="4">
        <v>216.5</v>
      </c>
      <c r="D27" s="4">
        <v>246.5</v>
      </c>
      <c r="E27" s="4">
        <v>366.5</v>
      </c>
      <c r="F27" s="4">
        <v>328.25</v>
      </c>
      <c r="G27" s="4">
        <v>146.25</v>
      </c>
      <c r="H27" s="4">
        <v>233.1</v>
      </c>
      <c r="I27" s="4">
        <v>120.15</v>
      </c>
      <c r="J27" s="4">
        <v>367.85</v>
      </c>
      <c r="K27" s="4">
        <v>350.9</v>
      </c>
      <c r="L27" s="4">
        <v>226.05</v>
      </c>
      <c r="M27" s="4">
        <v>241.75</v>
      </c>
    </row>
    <row r="28" spans="1:13">
      <c r="A28" s="3" t="s">
        <v>573</v>
      </c>
      <c r="B28" s="4">
        <v>65</v>
      </c>
      <c r="C28" s="4">
        <v>50</v>
      </c>
      <c r="D28" s="4">
        <v>70</v>
      </c>
      <c r="E28" s="4">
        <v>100</v>
      </c>
      <c r="F28" s="4">
        <v>35</v>
      </c>
      <c r="G28" s="4">
        <v>0</v>
      </c>
      <c r="H28" s="4">
        <v>35</v>
      </c>
      <c r="I28" s="4">
        <v>0</v>
      </c>
      <c r="J28" s="4">
        <v>70</v>
      </c>
      <c r="K28" s="4">
        <v>0</v>
      </c>
      <c r="L28" s="4">
        <v>50</v>
      </c>
      <c r="M28" s="4">
        <v>30</v>
      </c>
    </row>
    <row r="29" spans="1:13">
      <c r="A29" s="3" t="s">
        <v>574</v>
      </c>
      <c r="B29" s="4">
        <v>20</v>
      </c>
      <c r="C29" s="4">
        <v>0</v>
      </c>
      <c r="D29" s="4">
        <v>10</v>
      </c>
      <c r="E29" s="4">
        <v>0</v>
      </c>
      <c r="F29" s="4">
        <v>0</v>
      </c>
      <c r="G29" s="4">
        <v>22.5</v>
      </c>
      <c r="H29" s="4">
        <v>5</v>
      </c>
      <c r="I29" s="4">
        <v>5</v>
      </c>
      <c r="J29" s="4">
        <v>0</v>
      </c>
      <c r="K29" s="4">
        <v>0</v>
      </c>
      <c r="L29" s="4">
        <v>15</v>
      </c>
      <c r="M29" s="4">
        <v>0</v>
      </c>
    </row>
    <row r="30" spans="1:13">
      <c r="A30" s="3" t="s">
        <v>575</v>
      </c>
      <c r="B30" s="4">
        <v>0</v>
      </c>
      <c r="C30" s="4">
        <v>70</v>
      </c>
      <c r="D30" s="4">
        <v>55</v>
      </c>
      <c r="E30" s="4">
        <v>30</v>
      </c>
      <c r="F30" s="4">
        <v>65</v>
      </c>
      <c r="G30" s="4">
        <v>40</v>
      </c>
      <c r="H30" s="4">
        <v>40</v>
      </c>
      <c r="I30" s="4">
        <v>45</v>
      </c>
      <c r="J30" s="4">
        <v>35</v>
      </c>
      <c r="K30" s="4">
        <v>45</v>
      </c>
      <c r="L30" s="4">
        <v>70</v>
      </c>
      <c r="M30" s="4">
        <v>110.5</v>
      </c>
    </row>
    <row r="31" spans="1:13">
      <c r="A31" s="3" t="s">
        <v>576</v>
      </c>
      <c r="B31" s="4">
        <v>0</v>
      </c>
      <c r="C31" s="4">
        <v>0</v>
      </c>
      <c r="D31" s="4">
        <v>62</v>
      </c>
      <c r="E31" s="4">
        <v>41</v>
      </c>
      <c r="F31" s="4">
        <v>31</v>
      </c>
      <c r="G31" s="4">
        <v>0</v>
      </c>
      <c r="H31" s="4">
        <v>0</v>
      </c>
      <c r="I31" s="4">
        <v>0</v>
      </c>
      <c r="J31" s="4">
        <v>16</v>
      </c>
      <c r="K31" s="4">
        <v>0</v>
      </c>
      <c r="L31" s="4">
        <v>0</v>
      </c>
      <c r="M31" s="4">
        <v>0</v>
      </c>
    </row>
    <row r="32" spans="1:13">
      <c r="A32" s="3" t="s">
        <v>577</v>
      </c>
      <c r="B32" s="4">
        <v>0</v>
      </c>
      <c r="C32" s="4">
        <v>0</v>
      </c>
      <c r="D32" s="4">
        <v>0</v>
      </c>
      <c r="E32" s="4">
        <v>50.75</v>
      </c>
      <c r="F32" s="4">
        <v>52.5</v>
      </c>
      <c r="G32" s="4">
        <v>21</v>
      </c>
      <c r="H32" s="4">
        <v>20</v>
      </c>
      <c r="I32" s="4">
        <v>0</v>
      </c>
      <c r="J32" s="4">
        <v>52</v>
      </c>
      <c r="K32" s="4">
        <v>50</v>
      </c>
      <c r="L32" s="4">
        <v>0</v>
      </c>
      <c r="M32" s="4">
        <v>30</v>
      </c>
    </row>
    <row r="33" spans="1:13">
      <c r="A33" s="3" t="s">
        <v>578</v>
      </c>
      <c r="B33" s="4">
        <v>0</v>
      </c>
      <c r="C33" s="4">
        <v>0</v>
      </c>
      <c r="D33" s="4">
        <v>0</v>
      </c>
      <c r="E33" s="4">
        <v>20</v>
      </c>
      <c r="F33" s="4">
        <v>12</v>
      </c>
      <c r="G33" s="4">
        <v>20.5</v>
      </c>
      <c r="H33" s="4">
        <v>30</v>
      </c>
      <c r="I33" s="4">
        <v>30</v>
      </c>
      <c r="J33" s="4">
        <v>21</v>
      </c>
      <c r="K33" s="4">
        <v>0</v>
      </c>
      <c r="L33" s="4">
        <v>0</v>
      </c>
      <c r="M33" s="4">
        <v>0</v>
      </c>
    </row>
    <row r="34" spans="1:13">
      <c r="A34" s="3" t="s">
        <v>579</v>
      </c>
      <c r="B34" s="4">
        <v>0</v>
      </c>
      <c r="C34" s="4">
        <v>0</v>
      </c>
      <c r="D34" s="4">
        <v>0</v>
      </c>
      <c r="E34" s="4">
        <v>32</v>
      </c>
      <c r="F34" s="4">
        <v>20.5</v>
      </c>
      <c r="G34" s="4">
        <v>0</v>
      </c>
      <c r="H34" s="4">
        <v>20</v>
      </c>
      <c r="I34" s="4">
        <v>10</v>
      </c>
      <c r="J34" s="4">
        <v>13.5</v>
      </c>
      <c r="K34" s="4">
        <v>0</v>
      </c>
      <c r="L34" s="4">
        <v>20</v>
      </c>
      <c r="M34" s="4">
        <v>0</v>
      </c>
    </row>
    <row r="35" spans="1:13">
      <c r="A35" s="3" t="s">
        <v>580</v>
      </c>
      <c r="B35" s="4">
        <v>138</v>
      </c>
      <c r="C35" s="4">
        <v>204.5</v>
      </c>
      <c r="D35" s="4">
        <v>199.05</v>
      </c>
      <c r="E35" s="4">
        <v>241.1</v>
      </c>
      <c r="F35" s="4">
        <v>179.5</v>
      </c>
      <c r="G35" s="4">
        <v>129.15</v>
      </c>
      <c r="H35" s="4">
        <v>165.65</v>
      </c>
      <c r="I35" s="4">
        <v>94.5</v>
      </c>
      <c r="J35" s="4">
        <v>156</v>
      </c>
      <c r="K35" s="4">
        <v>175.35</v>
      </c>
      <c r="L35" s="4">
        <v>76.75</v>
      </c>
      <c r="M35" s="4">
        <v>143.25</v>
      </c>
    </row>
    <row r="36" spans="1:13">
      <c r="A36" s="3" t="s">
        <v>581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31</v>
      </c>
      <c r="H36" s="4">
        <v>0</v>
      </c>
      <c r="I36" s="4">
        <v>16</v>
      </c>
      <c r="J36" s="4">
        <v>8</v>
      </c>
      <c r="K36" s="4">
        <v>0</v>
      </c>
      <c r="L36" s="4">
        <v>15</v>
      </c>
      <c r="M36" s="4">
        <v>0</v>
      </c>
    </row>
    <row r="37" spans="1:13">
      <c r="A37" s="3" t="s">
        <v>582</v>
      </c>
      <c r="B37" s="4">
        <v>50</v>
      </c>
      <c r="C37" s="4">
        <v>80</v>
      </c>
      <c r="D37" s="4">
        <v>91.5</v>
      </c>
      <c r="E37" s="4">
        <v>78</v>
      </c>
      <c r="F37" s="4">
        <v>42.5</v>
      </c>
      <c r="G37" s="4">
        <v>25</v>
      </c>
      <c r="H37" s="4">
        <v>72.5</v>
      </c>
      <c r="I37" s="4">
        <v>20</v>
      </c>
      <c r="J37" s="4">
        <v>90.5</v>
      </c>
      <c r="K37" s="4">
        <v>60</v>
      </c>
      <c r="L37" s="4">
        <v>60</v>
      </c>
      <c r="M37" s="4">
        <v>80</v>
      </c>
    </row>
    <row r="38" spans="1:13">
      <c r="A38" s="3" t="s">
        <v>583</v>
      </c>
      <c r="B38" s="4">
        <v>35</v>
      </c>
      <c r="C38" s="4">
        <v>40</v>
      </c>
      <c r="D38" s="4">
        <v>32</v>
      </c>
      <c r="E38" s="4">
        <v>33</v>
      </c>
      <c r="F38" s="4">
        <v>15</v>
      </c>
      <c r="G38" s="4">
        <v>30</v>
      </c>
      <c r="H38" s="4">
        <v>10</v>
      </c>
      <c r="I38" s="4">
        <v>5</v>
      </c>
      <c r="J38" s="4">
        <v>21.5</v>
      </c>
      <c r="K38" s="4">
        <v>25</v>
      </c>
      <c r="L38" s="4">
        <v>15</v>
      </c>
      <c r="M38" s="4">
        <v>15</v>
      </c>
    </row>
    <row r="39" spans="1:13">
      <c r="A39" s="3" t="s">
        <v>584</v>
      </c>
      <c r="B39" s="4">
        <v>30</v>
      </c>
      <c r="C39" s="4">
        <v>0</v>
      </c>
      <c r="D39" s="4">
        <v>30</v>
      </c>
      <c r="E39" s="4">
        <v>22</v>
      </c>
      <c r="F39" s="4">
        <v>0</v>
      </c>
      <c r="G39" s="4">
        <v>13.95</v>
      </c>
      <c r="H39" s="4">
        <v>20</v>
      </c>
      <c r="I39" s="4">
        <v>20</v>
      </c>
      <c r="J39" s="4">
        <v>13.5</v>
      </c>
      <c r="K39" s="4">
        <v>0</v>
      </c>
      <c r="L39" s="4">
        <v>0</v>
      </c>
      <c r="M39" s="4">
        <v>0</v>
      </c>
    </row>
    <row r="40" spans="1:13">
      <c r="A40" s="3" t="s">
        <v>585</v>
      </c>
      <c r="B40" s="4">
        <v>10</v>
      </c>
      <c r="C40" s="4">
        <v>0</v>
      </c>
      <c r="D40" s="4">
        <v>10</v>
      </c>
      <c r="E40" s="4">
        <v>10</v>
      </c>
      <c r="F40" s="4">
        <v>22</v>
      </c>
      <c r="G40" s="4">
        <v>22.5</v>
      </c>
      <c r="H40" s="4">
        <v>0</v>
      </c>
      <c r="I40" s="4">
        <v>0</v>
      </c>
      <c r="J40" s="4">
        <v>16.95</v>
      </c>
      <c r="K40" s="4">
        <v>7</v>
      </c>
      <c r="L40" s="4">
        <v>0</v>
      </c>
      <c r="M40" s="4">
        <v>0</v>
      </c>
    </row>
    <row r="41" spans="1:13">
      <c r="A41" s="3" t="s">
        <v>586</v>
      </c>
      <c r="B41" s="4">
        <v>103.9</v>
      </c>
      <c r="C41" s="4">
        <v>122.5</v>
      </c>
      <c r="D41" s="4">
        <v>103.5</v>
      </c>
      <c r="E41" s="4">
        <v>120</v>
      </c>
      <c r="F41" s="4">
        <v>135</v>
      </c>
      <c r="G41" s="4">
        <v>111.55</v>
      </c>
      <c r="H41" s="4">
        <v>131.5</v>
      </c>
      <c r="I41" s="4">
        <v>88</v>
      </c>
      <c r="J41" s="4">
        <v>200.65</v>
      </c>
      <c r="K41" s="4">
        <v>185.75</v>
      </c>
      <c r="L41" s="4">
        <v>190</v>
      </c>
      <c r="M41" s="4">
        <v>236.65</v>
      </c>
    </row>
    <row r="42" spans="1:13">
      <c r="A42" s="3" t="s">
        <v>587</v>
      </c>
      <c r="B42" s="4">
        <v>25.5</v>
      </c>
      <c r="C42" s="4">
        <v>30</v>
      </c>
      <c r="D42" s="4">
        <v>40</v>
      </c>
      <c r="E42" s="4">
        <v>41</v>
      </c>
      <c r="F42" s="4">
        <v>35</v>
      </c>
      <c r="G42" s="4">
        <v>16</v>
      </c>
      <c r="H42" s="4">
        <v>33</v>
      </c>
      <c r="I42" s="4">
        <v>18</v>
      </c>
      <c r="J42" s="4">
        <v>21</v>
      </c>
      <c r="K42" s="4">
        <v>25</v>
      </c>
      <c r="L42" s="4">
        <v>38</v>
      </c>
      <c r="M42" s="4">
        <v>79</v>
      </c>
    </row>
    <row r="43" spans="1:13">
      <c r="A43" s="3" t="s">
        <v>588</v>
      </c>
      <c r="B43" s="4">
        <v>30</v>
      </c>
      <c r="C43" s="4">
        <v>40</v>
      </c>
      <c r="D43" s="4">
        <v>48</v>
      </c>
      <c r="E43" s="4">
        <v>41</v>
      </c>
      <c r="F43" s="4">
        <v>36</v>
      </c>
      <c r="G43" s="4">
        <v>8.5</v>
      </c>
      <c r="H43" s="4">
        <v>36.75</v>
      </c>
      <c r="I43" s="4">
        <v>23</v>
      </c>
      <c r="J43" s="4">
        <v>46</v>
      </c>
      <c r="K43" s="4">
        <v>66</v>
      </c>
      <c r="L43" s="4">
        <v>47</v>
      </c>
      <c r="M43" s="4">
        <v>66</v>
      </c>
    </row>
    <row r="44" spans="1:13">
      <c r="A44" s="3" t="s">
        <v>589</v>
      </c>
      <c r="B44" s="4">
        <v>23</v>
      </c>
      <c r="C44" s="4">
        <v>25</v>
      </c>
      <c r="D44" s="4">
        <v>10</v>
      </c>
      <c r="E44" s="4">
        <v>37</v>
      </c>
      <c r="F44" s="4">
        <v>25.5</v>
      </c>
      <c r="G44" s="4">
        <v>8.5</v>
      </c>
      <c r="H44" s="4">
        <v>27</v>
      </c>
      <c r="I44" s="4">
        <v>15</v>
      </c>
      <c r="J44" s="4">
        <v>24</v>
      </c>
      <c r="K44" s="4">
        <v>27</v>
      </c>
      <c r="L44" s="4">
        <v>19</v>
      </c>
      <c r="M44" s="4">
        <v>26</v>
      </c>
    </row>
    <row r="45" spans="1:13">
      <c r="A45" s="3" t="s">
        <v>590</v>
      </c>
      <c r="B45" s="4">
        <v>0</v>
      </c>
      <c r="C45" s="4">
        <v>0</v>
      </c>
      <c r="D45" s="4">
        <v>0</v>
      </c>
      <c r="E45" s="4">
        <v>0</v>
      </c>
      <c r="F45" s="4">
        <v>30</v>
      </c>
      <c r="G45" s="4">
        <v>105</v>
      </c>
      <c r="H45" s="4">
        <v>65</v>
      </c>
      <c r="I45" s="4">
        <v>22.5</v>
      </c>
      <c r="J45" s="4">
        <v>60</v>
      </c>
      <c r="K45" s="4">
        <v>79.5</v>
      </c>
      <c r="L45" s="4">
        <v>105</v>
      </c>
      <c r="M45" s="4">
        <v>193.3</v>
      </c>
    </row>
    <row r="46" spans="1:13">
      <c r="A46" s="3" t="s">
        <v>591</v>
      </c>
      <c r="B46" s="4">
        <v>165</v>
      </c>
      <c r="C46" s="4">
        <v>215</v>
      </c>
      <c r="D46" s="4">
        <v>225</v>
      </c>
      <c r="E46" s="4">
        <v>277</v>
      </c>
      <c r="F46" s="4">
        <v>208.5</v>
      </c>
      <c r="G46" s="4">
        <v>175</v>
      </c>
      <c r="H46" s="4">
        <v>197.5</v>
      </c>
      <c r="I46" s="4">
        <v>137.5</v>
      </c>
      <c r="J46" s="4">
        <v>319.64999999999998</v>
      </c>
      <c r="K46" s="4">
        <v>254.15</v>
      </c>
      <c r="L46" s="4">
        <v>259.55</v>
      </c>
      <c r="M46" s="4">
        <v>334</v>
      </c>
    </row>
    <row r="47" spans="1:13">
      <c r="A47" s="3" t="s">
        <v>592</v>
      </c>
      <c r="B47" s="4">
        <v>54.5</v>
      </c>
      <c r="C47" s="4">
        <v>40</v>
      </c>
      <c r="D47" s="4">
        <v>50</v>
      </c>
      <c r="E47" s="4">
        <v>10</v>
      </c>
      <c r="F47" s="4">
        <v>23.5</v>
      </c>
      <c r="G47" s="4">
        <v>3</v>
      </c>
      <c r="H47" s="4">
        <v>56</v>
      </c>
      <c r="I47" s="4">
        <v>0</v>
      </c>
      <c r="J47" s="4">
        <v>110</v>
      </c>
      <c r="K47" s="4">
        <v>70</v>
      </c>
      <c r="L47" s="4">
        <v>35</v>
      </c>
      <c r="M47" s="4">
        <v>146.80000000000001</v>
      </c>
    </row>
    <row r="48" spans="1:13">
      <c r="A48" s="3" t="s">
        <v>593</v>
      </c>
      <c r="B48" s="4">
        <v>115</v>
      </c>
      <c r="C48" s="4">
        <v>147.6</v>
      </c>
      <c r="D48" s="4">
        <v>139.25</v>
      </c>
      <c r="E48" s="4">
        <v>123.75</v>
      </c>
      <c r="F48" s="4">
        <v>100</v>
      </c>
      <c r="G48" s="4">
        <v>106.75</v>
      </c>
      <c r="H48" s="4">
        <v>55</v>
      </c>
      <c r="I48" s="4">
        <v>105</v>
      </c>
      <c r="J48" s="4">
        <v>99</v>
      </c>
      <c r="K48" s="4">
        <v>76</v>
      </c>
      <c r="L48" s="4">
        <v>141</v>
      </c>
      <c r="M48" s="4">
        <v>50</v>
      </c>
    </row>
    <row r="49" spans="1:13">
      <c r="A49" s="3" t="s">
        <v>594</v>
      </c>
      <c r="B49" s="4">
        <v>42.5</v>
      </c>
      <c r="C49" s="4">
        <v>15</v>
      </c>
      <c r="D49" s="4">
        <v>47</v>
      </c>
      <c r="E49" s="4">
        <v>67.5</v>
      </c>
      <c r="F49" s="4">
        <v>67</v>
      </c>
      <c r="G49" s="4">
        <v>37</v>
      </c>
      <c r="H49" s="4">
        <v>90.5</v>
      </c>
      <c r="I49" s="4">
        <v>103.5</v>
      </c>
      <c r="J49" s="4">
        <v>47.5</v>
      </c>
      <c r="K49" s="4">
        <v>55</v>
      </c>
      <c r="L49" s="4">
        <v>25</v>
      </c>
      <c r="M49" s="4">
        <v>75</v>
      </c>
    </row>
    <row r="50" spans="1:13">
      <c r="A50" s="3" t="s">
        <v>595</v>
      </c>
      <c r="B50" s="4">
        <v>70</v>
      </c>
      <c r="C50" s="4">
        <v>98</v>
      </c>
      <c r="D50" s="4">
        <v>268</v>
      </c>
      <c r="E50" s="4">
        <v>275</v>
      </c>
      <c r="F50" s="4">
        <v>369</v>
      </c>
      <c r="G50" s="4">
        <v>277</v>
      </c>
      <c r="H50" s="4">
        <v>282</v>
      </c>
      <c r="I50" s="4">
        <v>213</v>
      </c>
      <c r="J50" s="4">
        <v>339</v>
      </c>
      <c r="K50" s="4">
        <v>265</v>
      </c>
      <c r="L50" s="4">
        <v>320</v>
      </c>
      <c r="M50" s="4">
        <v>212</v>
      </c>
    </row>
    <row r="51" spans="1:13">
      <c r="A51" s="3" t="s">
        <v>596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105</v>
      </c>
      <c r="L51" s="4">
        <v>0</v>
      </c>
      <c r="M51" s="4">
        <v>105</v>
      </c>
    </row>
    <row r="52" spans="1:13">
      <c r="A52" s="3" t="s">
        <v>597</v>
      </c>
      <c r="B52" s="4">
        <v>15</v>
      </c>
      <c r="C52" s="4">
        <v>18.5</v>
      </c>
      <c r="D52" s="4">
        <v>20</v>
      </c>
      <c r="E52" s="4">
        <v>25</v>
      </c>
      <c r="F52" s="4">
        <v>48.5</v>
      </c>
      <c r="G52" s="4">
        <v>27.5</v>
      </c>
      <c r="H52" s="4">
        <v>35.25</v>
      </c>
      <c r="I52" s="4">
        <v>28.5</v>
      </c>
      <c r="J52" s="4">
        <v>25.5</v>
      </c>
      <c r="K52" s="4">
        <v>20</v>
      </c>
      <c r="L52" s="4">
        <v>17.75</v>
      </c>
      <c r="M52" s="4">
        <v>10</v>
      </c>
    </row>
    <row r="53" spans="1:13">
      <c r="A53" s="3" t="s">
        <v>598</v>
      </c>
      <c r="B53" s="4">
        <v>95</v>
      </c>
      <c r="C53" s="4">
        <v>70</v>
      </c>
      <c r="D53" s="4">
        <v>114</v>
      </c>
      <c r="E53" s="4">
        <v>167</v>
      </c>
      <c r="F53" s="4">
        <v>0</v>
      </c>
      <c r="G53" s="4">
        <v>105</v>
      </c>
      <c r="H53" s="4">
        <v>0</v>
      </c>
      <c r="I53" s="4">
        <v>80</v>
      </c>
      <c r="J53" s="4">
        <v>35</v>
      </c>
      <c r="K53" s="4">
        <v>97</v>
      </c>
      <c r="L53" s="4">
        <v>0</v>
      </c>
      <c r="M53" s="4">
        <v>35</v>
      </c>
    </row>
    <row r="54" spans="1:13">
      <c r="A54" s="3" t="s">
        <v>599</v>
      </c>
      <c r="B54" s="4">
        <v>42</v>
      </c>
      <c r="C54" s="4">
        <v>61.5</v>
      </c>
      <c r="D54" s="4">
        <v>124.5</v>
      </c>
      <c r="E54" s="4">
        <v>42</v>
      </c>
      <c r="F54" s="4">
        <v>46.5</v>
      </c>
      <c r="G54" s="4">
        <v>12.5</v>
      </c>
      <c r="H54" s="4">
        <v>25</v>
      </c>
      <c r="I54" s="4">
        <v>25</v>
      </c>
      <c r="J54" s="4">
        <v>50</v>
      </c>
      <c r="K54" s="4">
        <v>41.5</v>
      </c>
      <c r="L54" s="4">
        <v>42</v>
      </c>
      <c r="M54" s="4">
        <v>12.5</v>
      </c>
    </row>
    <row r="55" spans="1:13">
      <c r="A55" s="3" t="s">
        <v>600</v>
      </c>
      <c r="B55" s="4">
        <v>32.5</v>
      </c>
      <c r="C55" s="4">
        <v>28</v>
      </c>
      <c r="D55" s="4">
        <v>27</v>
      </c>
      <c r="E55" s="4">
        <v>37</v>
      </c>
      <c r="F55" s="4">
        <v>25</v>
      </c>
      <c r="G55" s="4">
        <v>14.5</v>
      </c>
      <c r="H55" s="4">
        <v>15</v>
      </c>
      <c r="I55" s="4">
        <v>15</v>
      </c>
      <c r="J55" s="4">
        <v>30</v>
      </c>
      <c r="K55" s="4">
        <v>19</v>
      </c>
      <c r="L55" s="4">
        <v>18</v>
      </c>
      <c r="M55" s="4">
        <v>29</v>
      </c>
    </row>
    <row r="56" spans="1:13">
      <c r="A56" s="3" t="s">
        <v>601</v>
      </c>
      <c r="B56" s="4">
        <v>30</v>
      </c>
      <c r="C56" s="4">
        <v>10</v>
      </c>
      <c r="D56" s="4">
        <v>25</v>
      </c>
      <c r="E56" s="4">
        <v>67.5</v>
      </c>
      <c r="F56" s="4">
        <v>20</v>
      </c>
      <c r="G56" s="4">
        <v>0</v>
      </c>
      <c r="H56" s="4">
        <v>35</v>
      </c>
      <c r="I56" s="4">
        <v>10</v>
      </c>
      <c r="J56" s="4">
        <v>27.5</v>
      </c>
      <c r="K56" s="4">
        <v>12</v>
      </c>
      <c r="L56" s="4">
        <v>52.5</v>
      </c>
      <c r="M56" s="4">
        <v>73</v>
      </c>
    </row>
    <row r="57" spans="1:13">
      <c r="A57" s="3" t="s">
        <v>602</v>
      </c>
      <c r="B57" s="4">
        <v>10</v>
      </c>
      <c r="C57" s="4">
        <v>31</v>
      </c>
      <c r="D57" s="4">
        <v>62</v>
      </c>
      <c r="E57" s="4">
        <v>87</v>
      </c>
      <c r="F57" s="4">
        <v>33.5</v>
      </c>
      <c r="G57" s="4">
        <v>31</v>
      </c>
      <c r="H57" s="4">
        <v>62</v>
      </c>
      <c r="I57" s="4">
        <v>0</v>
      </c>
      <c r="J57" s="4">
        <v>57</v>
      </c>
      <c r="K57" s="4">
        <v>31</v>
      </c>
      <c r="L57" s="4">
        <v>41</v>
      </c>
      <c r="M57" s="4">
        <v>0</v>
      </c>
    </row>
    <row r="58" spans="1:13">
      <c r="A58" s="3" t="s">
        <v>603</v>
      </c>
      <c r="B58" s="4">
        <v>35</v>
      </c>
      <c r="C58" s="4">
        <v>10</v>
      </c>
      <c r="D58" s="4">
        <v>40</v>
      </c>
      <c r="E58" s="4">
        <v>32.5</v>
      </c>
      <c r="F58" s="4">
        <v>0</v>
      </c>
      <c r="G58" s="4">
        <v>0</v>
      </c>
      <c r="H58" s="4">
        <v>30</v>
      </c>
      <c r="I58" s="4">
        <v>0</v>
      </c>
      <c r="J58" s="4">
        <v>0</v>
      </c>
      <c r="K58" s="4">
        <v>106</v>
      </c>
      <c r="L58" s="4">
        <v>25</v>
      </c>
      <c r="M58" s="4">
        <v>0</v>
      </c>
    </row>
    <row r="59" spans="1:13">
      <c r="A59" s="3" t="s">
        <v>604</v>
      </c>
      <c r="B59" s="4">
        <v>2</v>
      </c>
      <c r="C59" s="4">
        <v>0</v>
      </c>
      <c r="D59" s="4">
        <v>10</v>
      </c>
      <c r="E59" s="4">
        <v>0</v>
      </c>
      <c r="F59" s="4">
        <v>0</v>
      </c>
      <c r="G59" s="4">
        <v>20</v>
      </c>
      <c r="H59" s="4">
        <v>15</v>
      </c>
      <c r="I59" s="4">
        <v>0</v>
      </c>
      <c r="J59" s="4">
        <v>10</v>
      </c>
      <c r="K59" s="4">
        <v>35</v>
      </c>
      <c r="L59" s="4">
        <v>0</v>
      </c>
      <c r="M59" s="4">
        <v>0</v>
      </c>
    </row>
    <row r="60" spans="1:13">
      <c r="A60" s="3" t="s">
        <v>605</v>
      </c>
      <c r="B60" s="4">
        <v>5</v>
      </c>
      <c r="C60" s="4">
        <v>0</v>
      </c>
      <c r="D60" s="4">
        <v>0</v>
      </c>
      <c r="E60" s="4">
        <v>0</v>
      </c>
      <c r="F60" s="4">
        <v>7.5</v>
      </c>
      <c r="G60" s="4">
        <v>20</v>
      </c>
      <c r="H60" s="4">
        <v>15</v>
      </c>
      <c r="I60" s="4">
        <v>0</v>
      </c>
      <c r="J60" s="4">
        <v>15</v>
      </c>
      <c r="K60" s="4">
        <v>0</v>
      </c>
      <c r="L60" s="4">
        <v>0</v>
      </c>
      <c r="M60" s="4">
        <v>0</v>
      </c>
    </row>
    <row r="61" spans="1:13">
      <c r="A61" s="3" t="s">
        <v>606</v>
      </c>
      <c r="B61" s="4">
        <v>0</v>
      </c>
      <c r="C61" s="4">
        <v>0</v>
      </c>
      <c r="D61" s="4">
        <v>0</v>
      </c>
      <c r="E61" s="4">
        <v>22.5</v>
      </c>
      <c r="F61" s="4">
        <v>30</v>
      </c>
      <c r="G61" s="4">
        <v>0</v>
      </c>
      <c r="H61" s="4">
        <v>20</v>
      </c>
      <c r="I61" s="4">
        <v>30</v>
      </c>
      <c r="J61" s="4">
        <v>0</v>
      </c>
      <c r="K61" s="4">
        <v>103.25</v>
      </c>
      <c r="L61" s="4">
        <v>27</v>
      </c>
      <c r="M61" s="4">
        <v>0</v>
      </c>
    </row>
    <row r="62" spans="1:13">
      <c r="A62" s="3" t="s">
        <v>607</v>
      </c>
      <c r="B62" s="4">
        <v>12</v>
      </c>
      <c r="C62" s="4">
        <v>15</v>
      </c>
      <c r="D62" s="4">
        <v>20</v>
      </c>
      <c r="E62" s="4">
        <v>56.5</v>
      </c>
      <c r="F62" s="4">
        <v>35</v>
      </c>
      <c r="G62" s="4">
        <v>7.5</v>
      </c>
      <c r="H62" s="4">
        <v>72.5</v>
      </c>
      <c r="I62" s="4">
        <v>20</v>
      </c>
      <c r="J62" s="4">
        <v>57</v>
      </c>
      <c r="K62" s="4">
        <v>95</v>
      </c>
      <c r="L62" s="4">
        <v>96</v>
      </c>
      <c r="M62" s="4">
        <v>40</v>
      </c>
    </row>
    <row r="63" spans="1:13">
      <c r="A63" s="3" t="s">
        <v>608</v>
      </c>
      <c r="B63" s="4">
        <v>125</v>
      </c>
      <c r="C63" s="4">
        <v>130</v>
      </c>
      <c r="D63" s="4">
        <v>30</v>
      </c>
      <c r="E63" s="4">
        <v>60</v>
      </c>
      <c r="F63" s="4">
        <v>10</v>
      </c>
      <c r="G63" s="4">
        <v>0</v>
      </c>
      <c r="H63" s="4">
        <v>55</v>
      </c>
      <c r="I63" s="4">
        <v>52</v>
      </c>
      <c r="J63" s="4">
        <v>60.5</v>
      </c>
      <c r="K63" s="4">
        <v>0</v>
      </c>
      <c r="L63" s="4">
        <v>0</v>
      </c>
      <c r="M63" s="4">
        <v>79</v>
      </c>
    </row>
    <row r="64" spans="1:13">
      <c r="A64" s="3" t="s">
        <v>609</v>
      </c>
      <c r="B64" s="4">
        <v>110</v>
      </c>
      <c r="C64" s="4">
        <v>120</v>
      </c>
      <c r="D64" s="4">
        <v>29.25</v>
      </c>
      <c r="E64" s="4">
        <v>221.7</v>
      </c>
      <c r="F64" s="4">
        <v>70</v>
      </c>
      <c r="G64" s="4">
        <v>80.25</v>
      </c>
      <c r="H64" s="4">
        <v>107</v>
      </c>
      <c r="I64" s="4">
        <v>70</v>
      </c>
      <c r="J64" s="4">
        <v>146.44999999999999</v>
      </c>
      <c r="K64" s="4">
        <v>83</v>
      </c>
      <c r="L64" s="4">
        <v>138</v>
      </c>
      <c r="M64" s="4">
        <v>35</v>
      </c>
    </row>
    <row r="65" spans="1:13">
      <c r="A65" s="3" t="s">
        <v>610</v>
      </c>
      <c r="B65" s="4">
        <v>20</v>
      </c>
      <c r="C65" s="4">
        <v>0</v>
      </c>
      <c r="D65" s="4">
        <v>34</v>
      </c>
      <c r="E65" s="4">
        <v>25</v>
      </c>
      <c r="F65" s="4">
        <v>16</v>
      </c>
      <c r="G65" s="4">
        <v>17.5</v>
      </c>
      <c r="H65" s="4">
        <v>5.5</v>
      </c>
      <c r="I65" s="4">
        <v>13</v>
      </c>
      <c r="J65" s="4">
        <v>15</v>
      </c>
      <c r="K65" s="4">
        <v>0</v>
      </c>
      <c r="L65" s="4">
        <v>10</v>
      </c>
      <c r="M65" s="4">
        <v>20</v>
      </c>
    </row>
    <row r="66" spans="1:13">
      <c r="A66" s="3" t="s">
        <v>611</v>
      </c>
      <c r="B66" s="4">
        <v>20</v>
      </c>
      <c r="C66" s="4">
        <v>20</v>
      </c>
      <c r="D66" s="4">
        <v>45</v>
      </c>
      <c r="E66" s="4">
        <v>47.85</v>
      </c>
      <c r="F66" s="4">
        <v>55</v>
      </c>
      <c r="G66" s="4">
        <v>65</v>
      </c>
      <c r="H66" s="4">
        <v>41</v>
      </c>
      <c r="I66" s="4">
        <v>30</v>
      </c>
      <c r="J66" s="4">
        <v>60</v>
      </c>
      <c r="K66" s="4">
        <v>32.5</v>
      </c>
      <c r="L66" s="4">
        <v>48</v>
      </c>
      <c r="M66" s="4">
        <v>61</v>
      </c>
    </row>
    <row r="67" spans="1:13">
      <c r="A67" s="3" t="s">
        <v>612</v>
      </c>
      <c r="B67" s="4">
        <v>7.5</v>
      </c>
      <c r="C67" s="4">
        <v>0</v>
      </c>
      <c r="D67" s="4">
        <v>0</v>
      </c>
      <c r="E67" s="4">
        <v>37.5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>
      <c r="A68" s="3" t="s">
        <v>613</v>
      </c>
      <c r="B68" s="4">
        <v>75</v>
      </c>
      <c r="C68" s="4">
        <v>0</v>
      </c>
      <c r="D68" s="4">
        <v>30</v>
      </c>
      <c r="E68" s="4">
        <v>24</v>
      </c>
      <c r="F68" s="4">
        <v>38.5</v>
      </c>
      <c r="G68" s="4">
        <v>25</v>
      </c>
      <c r="H68" s="4">
        <v>35</v>
      </c>
      <c r="I68" s="4">
        <v>20</v>
      </c>
      <c r="J68" s="4">
        <v>29.5</v>
      </c>
      <c r="K68" s="4">
        <v>10</v>
      </c>
      <c r="L68" s="4">
        <v>14</v>
      </c>
      <c r="M68" s="4">
        <v>100</v>
      </c>
    </row>
    <row r="69" spans="1:13">
      <c r="A69" s="3" t="s">
        <v>614</v>
      </c>
      <c r="B69" s="4">
        <v>30</v>
      </c>
      <c r="C69" s="4">
        <v>40</v>
      </c>
      <c r="D69" s="4">
        <v>77.5</v>
      </c>
      <c r="E69" s="4">
        <v>39.5</v>
      </c>
      <c r="F69" s="4">
        <v>65</v>
      </c>
      <c r="G69" s="4">
        <v>36.25</v>
      </c>
      <c r="H69" s="4">
        <v>25</v>
      </c>
      <c r="I69" s="4">
        <v>60</v>
      </c>
      <c r="J69" s="4">
        <v>37</v>
      </c>
      <c r="K69" s="4">
        <v>46.5</v>
      </c>
      <c r="L69" s="4">
        <v>30</v>
      </c>
      <c r="M69" s="4">
        <v>60</v>
      </c>
    </row>
    <row r="70" spans="1:13">
      <c r="A70" s="3" t="s">
        <v>615</v>
      </c>
      <c r="B70" s="4">
        <v>10</v>
      </c>
      <c r="C70" s="4">
        <v>50</v>
      </c>
      <c r="D70" s="4">
        <v>30</v>
      </c>
      <c r="E70" s="4">
        <v>42.5</v>
      </c>
      <c r="F70" s="4">
        <v>22.5</v>
      </c>
      <c r="G70" s="4">
        <v>20</v>
      </c>
      <c r="H70" s="4">
        <v>20</v>
      </c>
      <c r="I70" s="4">
        <v>0</v>
      </c>
      <c r="J70" s="4">
        <v>58.5</v>
      </c>
      <c r="K70" s="4">
        <v>75</v>
      </c>
      <c r="L70" s="4">
        <v>75</v>
      </c>
      <c r="M70" s="4">
        <v>62.25</v>
      </c>
    </row>
    <row r="71" spans="1:13">
      <c r="A71" s="3" t="s">
        <v>616</v>
      </c>
      <c r="B71" s="4">
        <v>75</v>
      </c>
      <c r="C71" s="4">
        <v>35</v>
      </c>
      <c r="D71" s="4">
        <v>130</v>
      </c>
      <c r="E71" s="4">
        <v>215</v>
      </c>
      <c r="F71" s="4">
        <v>43.25</v>
      </c>
      <c r="G71" s="4">
        <v>185</v>
      </c>
      <c r="H71" s="4">
        <v>142.5</v>
      </c>
      <c r="I71" s="4">
        <v>50</v>
      </c>
      <c r="J71" s="4">
        <v>12.5</v>
      </c>
      <c r="K71" s="4">
        <v>0</v>
      </c>
      <c r="L71" s="4">
        <v>0</v>
      </c>
      <c r="M71" s="4">
        <v>20</v>
      </c>
    </row>
    <row r="72" spans="1:13">
      <c r="A72" s="3" t="s">
        <v>617</v>
      </c>
      <c r="B72" s="4">
        <v>20</v>
      </c>
      <c r="C72" s="4">
        <v>30</v>
      </c>
      <c r="D72" s="4">
        <v>25</v>
      </c>
      <c r="E72" s="4">
        <v>32.5</v>
      </c>
      <c r="F72" s="4">
        <v>25</v>
      </c>
      <c r="G72" s="4">
        <v>0</v>
      </c>
      <c r="H72" s="4">
        <v>0</v>
      </c>
      <c r="I72" s="4">
        <v>0</v>
      </c>
      <c r="J72" s="4">
        <v>25</v>
      </c>
      <c r="K72" s="4">
        <v>0</v>
      </c>
      <c r="L72" s="4">
        <v>50</v>
      </c>
      <c r="M72" s="4">
        <v>207</v>
      </c>
    </row>
    <row r="73" spans="1:13">
      <c r="A73" s="3" t="s">
        <v>618</v>
      </c>
      <c r="B73" s="4">
        <v>39.9</v>
      </c>
      <c r="C73" s="4">
        <v>27.5</v>
      </c>
      <c r="D73" s="4">
        <v>60</v>
      </c>
      <c r="E73" s="4">
        <v>137.65</v>
      </c>
      <c r="F73" s="4">
        <v>105</v>
      </c>
      <c r="G73" s="4">
        <v>88.5</v>
      </c>
      <c r="H73" s="4">
        <v>56</v>
      </c>
      <c r="I73" s="4">
        <v>25</v>
      </c>
      <c r="J73" s="4">
        <v>33</v>
      </c>
      <c r="K73" s="4">
        <v>25</v>
      </c>
      <c r="L73" s="4">
        <v>25</v>
      </c>
      <c r="M73" s="4">
        <v>12.5</v>
      </c>
    </row>
    <row r="74" spans="1:13">
      <c r="A74" s="3" t="s">
        <v>619</v>
      </c>
      <c r="B74" s="4">
        <v>15</v>
      </c>
      <c r="C74" s="4">
        <v>20</v>
      </c>
      <c r="D74" s="4">
        <v>38</v>
      </c>
      <c r="E74" s="4">
        <v>20.5</v>
      </c>
      <c r="F74" s="4">
        <v>15</v>
      </c>
      <c r="G74" s="4">
        <v>0</v>
      </c>
      <c r="H74" s="4">
        <v>0</v>
      </c>
      <c r="I74" s="4">
        <v>12.5</v>
      </c>
      <c r="J74" s="4">
        <v>0</v>
      </c>
      <c r="K74" s="4">
        <v>13</v>
      </c>
      <c r="L74" s="4">
        <v>0</v>
      </c>
      <c r="M74" s="4">
        <v>13</v>
      </c>
    </row>
    <row r="75" spans="1:13">
      <c r="A75" s="3" t="s">
        <v>620</v>
      </c>
      <c r="B75" s="4">
        <v>0</v>
      </c>
      <c r="C75" s="4">
        <v>9</v>
      </c>
      <c r="D75" s="4">
        <v>0</v>
      </c>
      <c r="E75" s="4">
        <v>40</v>
      </c>
      <c r="F75" s="4">
        <v>0</v>
      </c>
      <c r="G75" s="4">
        <v>14</v>
      </c>
      <c r="H75" s="4">
        <v>0</v>
      </c>
      <c r="I75" s="4">
        <v>30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3" t="s">
        <v>621</v>
      </c>
      <c r="B76" s="4">
        <v>30</v>
      </c>
      <c r="C76" s="4">
        <v>39.25</v>
      </c>
      <c r="D76" s="4">
        <v>10</v>
      </c>
      <c r="E76" s="4">
        <v>17.5</v>
      </c>
      <c r="F76" s="4">
        <v>35</v>
      </c>
      <c r="G76" s="4">
        <v>20</v>
      </c>
      <c r="H76" s="4">
        <v>31.5</v>
      </c>
      <c r="I76" s="4">
        <v>0</v>
      </c>
      <c r="J76" s="4">
        <v>30</v>
      </c>
      <c r="K76" s="4">
        <v>27.5</v>
      </c>
      <c r="L76" s="4">
        <v>15</v>
      </c>
      <c r="M76" s="4">
        <v>30</v>
      </c>
    </row>
    <row r="77" spans="1:13">
      <c r="A77" s="3" t="s">
        <v>622</v>
      </c>
      <c r="B77" s="4">
        <v>10</v>
      </c>
      <c r="C77" s="4">
        <v>35</v>
      </c>
      <c r="D77" s="4">
        <v>30</v>
      </c>
      <c r="E77" s="4">
        <v>35</v>
      </c>
      <c r="F77" s="4">
        <v>10</v>
      </c>
      <c r="G77" s="4">
        <v>30</v>
      </c>
      <c r="H77" s="4">
        <v>10</v>
      </c>
      <c r="I77" s="4">
        <v>0</v>
      </c>
      <c r="J77" s="4">
        <v>30</v>
      </c>
      <c r="K77" s="4">
        <v>50</v>
      </c>
      <c r="L77" s="4">
        <v>30</v>
      </c>
      <c r="M77" s="4">
        <v>20</v>
      </c>
    </row>
    <row r="78" spans="1:13">
      <c r="A78" s="3" t="s">
        <v>623</v>
      </c>
      <c r="B78" s="4">
        <v>0</v>
      </c>
      <c r="C78" s="4">
        <v>0</v>
      </c>
      <c r="D78" s="4">
        <v>10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1:13">
      <c r="A79" s="3" t="s">
        <v>624</v>
      </c>
      <c r="B79" s="4">
        <v>51</v>
      </c>
      <c r="C79" s="4">
        <v>0</v>
      </c>
      <c r="D79" s="4">
        <v>102</v>
      </c>
      <c r="E79" s="4">
        <v>59.5</v>
      </c>
      <c r="F79" s="4">
        <v>31</v>
      </c>
      <c r="G79" s="4">
        <v>52.5</v>
      </c>
      <c r="H79" s="4">
        <v>0</v>
      </c>
      <c r="I79" s="4">
        <v>52</v>
      </c>
      <c r="J79" s="4">
        <v>50</v>
      </c>
      <c r="K79" s="4">
        <v>80</v>
      </c>
      <c r="L79" s="4">
        <v>50</v>
      </c>
      <c r="M79" s="4">
        <v>0</v>
      </c>
    </row>
    <row r="80" spans="1:13">
      <c r="A80" s="3" t="s">
        <v>625</v>
      </c>
      <c r="B80" s="4">
        <v>210</v>
      </c>
      <c r="C80" s="4">
        <v>40</v>
      </c>
      <c r="D80" s="4">
        <v>64</v>
      </c>
      <c r="E80" s="4">
        <v>153.5</v>
      </c>
      <c r="F80" s="4">
        <v>130.5</v>
      </c>
      <c r="G80" s="4">
        <v>121</v>
      </c>
      <c r="H80" s="4">
        <v>33.5</v>
      </c>
      <c r="I80" s="4">
        <v>60</v>
      </c>
      <c r="J80" s="4">
        <v>35</v>
      </c>
      <c r="K80" s="4">
        <v>37</v>
      </c>
      <c r="L80" s="4">
        <v>30</v>
      </c>
      <c r="M80" s="4">
        <v>0</v>
      </c>
    </row>
    <row r="81" spans="1:13">
      <c r="A81" s="3" t="s">
        <v>626</v>
      </c>
      <c r="B81" s="4">
        <v>0</v>
      </c>
      <c r="C81" s="4">
        <v>0</v>
      </c>
      <c r="D81" s="4">
        <v>0</v>
      </c>
      <c r="E81" s="4">
        <v>0</v>
      </c>
      <c r="F81" s="4">
        <v>20</v>
      </c>
      <c r="G81" s="4">
        <v>10</v>
      </c>
      <c r="H81" s="4">
        <v>20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>
      <c r="A82" s="3" t="s">
        <v>627</v>
      </c>
      <c r="B82" s="4">
        <v>15</v>
      </c>
      <c r="C82" s="4">
        <v>22.5</v>
      </c>
      <c r="D82" s="4">
        <v>40</v>
      </c>
      <c r="E82" s="4">
        <v>32.5</v>
      </c>
      <c r="F82" s="4">
        <v>15</v>
      </c>
      <c r="G82" s="4">
        <v>23.5</v>
      </c>
      <c r="H82" s="4">
        <v>40</v>
      </c>
      <c r="I82" s="4">
        <v>26</v>
      </c>
      <c r="J82" s="4">
        <v>29.5</v>
      </c>
      <c r="K82" s="4">
        <v>52.5</v>
      </c>
      <c r="L82" s="4">
        <v>57</v>
      </c>
      <c r="M82" s="4">
        <v>62.5</v>
      </c>
    </row>
    <row r="83" spans="1:13">
      <c r="A83" s="3" t="s">
        <v>628</v>
      </c>
      <c r="B83" s="4">
        <v>0</v>
      </c>
      <c r="C83" s="4">
        <v>0</v>
      </c>
      <c r="D83" s="4">
        <v>10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>
      <c r="A84" s="3" t="s">
        <v>629</v>
      </c>
      <c r="B84" s="4">
        <v>0</v>
      </c>
      <c r="C84" s="4">
        <v>17</v>
      </c>
      <c r="D84" s="4">
        <v>15</v>
      </c>
      <c r="E84" s="4">
        <v>17.5</v>
      </c>
      <c r="F84" s="4">
        <v>16</v>
      </c>
      <c r="G84" s="4">
        <v>10</v>
      </c>
      <c r="H84" s="4">
        <v>10</v>
      </c>
      <c r="I84" s="4">
        <v>20</v>
      </c>
      <c r="J84" s="4">
        <v>7.5</v>
      </c>
      <c r="K84" s="4">
        <v>0</v>
      </c>
      <c r="L84" s="4">
        <v>0</v>
      </c>
      <c r="M84" s="4">
        <v>0</v>
      </c>
    </row>
    <row r="85" spans="1:13">
      <c r="A85" s="3" t="s">
        <v>630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35</v>
      </c>
      <c r="L85" s="4">
        <v>35</v>
      </c>
      <c r="M85" s="4">
        <v>35</v>
      </c>
    </row>
    <row r="86" spans="1:13">
      <c r="A86" s="3" t="s">
        <v>631</v>
      </c>
      <c r="B86" s="4">
        <v>74</v>
      </c>
      <c r="C86" s="4">
        <v>44</v>
      </c>
      <c r="D86" s="4">
        <v>86.5</v>
      </c>
      <c r="E86" s="4">
        <v>83.65</v>
      </c>
      <c r="F86" s="4">
        <v>55.5</v>
      </c>
      <c r="G86" s="4">
        <v>52.8</v>
      </c>
      <c r="H86" s="4">
        <v>40.5</v>
      </c>
      <c r="I86" s="4">
        <v>38.5</v>
      </c>
      <c r="J86" s="4">
        <v>123</v>
      </c>
      <c r="K86" s="4">
        <v>85.7</v>
      </c>
      <c r="L86" s="4">
        <v>62</v>
      </c>
      <c r="M86" s="4">
        <v>142.5</v>
      </c>
    </row>
    <row r="87" spans="1:13">
      <c r="A87" s="3" t="s">
        <v>632</v>
      </c>
      <c r="B87" s="4">
        <v>81</v>
      </c>
      <c r="C87" s="4">
        <v>91</v>
      </c>
      <c r="D87" s="4">
        <v>96</v>
      </c>
      <c r="E87" s="4">
        <v>47</v>
      </c>
      <c r="F87" s="4">
        <v>75</v>
      </c>
      <c r="G87" s="4">
        <v>96</v>
      </c>
      <c r="H87" s="4">
        <v>105</v>
      </c>
      <c r="I87" s="4">
        <v>60</v>
      </c>
      <c r="J87" s="4">
        <v>0</v>
      </c>
      <c r="K87" s="4">
        <v>125</v>
      </c>
      <c r="L87" s="4">
        <v>132</v>
      </c>
      <c r="M87" s="4">
        <v>89</v>
      </c>
    </row>
    <row r="88" spans="1:13">
      <c r="A88" s="3" t="s">
        <v>633</v>
      </c>
      <c r="B88" s="4">
        <v>25</v>
      </c>
      <c r="C88" s="4">
        <v>10</v>
      </c>
      <c r="D88" s="4">
        <v>5</v>
      </c>
      <c r="E88" s="4">
        <v>17.5</v>
      </c>
      <c r="F88" s="4">
        <v>10</v>
      </c>
      <c r="G88" s="4">
        <v>5</v>
      </c>
      <c r="H88" s="4">
        <v>5</v>
      </c>
      <c r="I88" s="4">
        <v>15</v>
      </c>
      <c r="J88" s="4">
        <v>15</v>
      </c>
      <c r="K88" s="4">
        <v>17.5</v>
      </c>
      <c r="L88" s="4">
        <v>17.5</v>
      </c>
      <c r="M88" s="4">
        <v>13.8</v>
      </c>
    </row>
    <row r="89" spans="1:13">
      <c r="A89" s="3" t="s">
        <v>634</v>
      </c>
      <c r="B89" s="4">
        <v>20</v>
      </c>
      <c r="C89" s="4">
        <v>30</v>
      </c>
      <c r="D89" s="4">
        <v>45</v>
      </c>
      <c r="E89" s="4">
        <v>25</v>
      </c>
      <c r="F89" s="4">
        <v>20</v>
      </c>
      <c r="G89" s="4">
        <v>10</v>
      </c>
      <c r="H89" s="4">
        <v>0</v>
      </c>
      <c r="I89" s="4">
        <v>0</v>
      </c>
      <c r="J89" s="4">
        <v>7.5</v>
      </c>
      <c r="K89" s="4">
        <v>27.5</v>
      </c>
      <c r="L89" s="4">
        <v>10</v>
      </c>
      <c r="M89" s="4">
        <v>25</v>
      </c>
    </row>
    <row r="90" spans="1:13">
      <c r="A90" s="3" t="s">
        <v>635</v>
      </c>
      <c r="B90" s="4">
        <v>50</v>
      </c>
      <c r="C90" s="4">
        <v>40</v>
      </c>
      <c r="D90" s="4">
        <v>60</v>
      </c>
      <c r="E90" s="4">
        <v>30</v>
      </c>
      <c r="F90" s="4">
        <v>44</v>
      </c>
      <c r="G90" s="4">
        <v>22.5</v>
      </c>
      <c r="H90" s="4">
        <v>35</v>
      </c>
      <c r="I90" s="4">
        <v>0</v>
      </c>
      <c r="J90" s="4">
        <v>32.5</v>
      </c>
      <c r="K90" s="4">
        <v>35</v>
      </c>
      <c r="L90" s="4">
        <v>22</v>
      </c>
      <c r="M90" s="4">
        <v>45</v>
      </c>
    </row>
    <row r="91" spans="1:13">
      <c r="A91" s="3" t="s">
        <v>636</v>
      </c>
      <c r="B91" s="4">
        <v>10</v>
      </c>
      <c r="C91" s="4">
        <v>10</v>
      </c>
      <c r="D91" s="4">
        <v>30</v>
      </c>
      <c r="E91" s="4">
        <v>25</v>
      </c>
      <c r="F91" s="4">
        <v>0</v>
      </c>
      <c r="G91" s="4">
        <v>0</v>
      </c>
      <c r="H91" s="4">
        <v>0</v>
      </c>
      <c r="I91" s="4">
        <v>0</v>
      </c>
      <c r="J91" s="4">
        <v>25</v>
      </c>
      <c r="K91" s="4">
        <v>20</v>
      </c>
      <c r="L91" s="4">
        <v>60</v>
      </c>
      <c r="M91" s="4">
        <v>40</v>
      </c>
    </row>
    <row r="92" spans="1:13">
      <c r="A92" s="3" t="s">
        <v>637</v>
      </c>
      <c r="B92" s="4">
        <v>45</v>
      </c>
      <c r="C92" s="4">
        <v>20</v>
      </c>
      <c r="D92" s="4">
        <v>40</v>
      </c>
      <c r="E92" s="4">
        <v>27.5</v>
      </c>
      <c r="F92" s="4">
        <v>30</v>
      </c>
      <c r="G92" s="4">
        <v>20</v>
      </c>
      <c r="H92" s="4">
        <v>37.5</v>
      </c>
      <c r="I92" s="4">
        <v>0</v>
      </c>
      <c r="J92" s="4">
        <v>42.5</v>
      </c>
      <c r="K92" s="4">
        <v>40</v>
      </c>
      <c r="L92" s="4">
        <v>20</v>
      </c>
      <c r="M92" s="4">
        <v>15</v>
      </c>
    </row>
    <row r="93" spans="1:13">
      <c r="A93" s="3" t="s">
        <v>638</v>
      </c>
      <c r="B93" s="4">
        <v>30</v>
      </c>
      <c r="C93" s="4">
        <v>10</v>
      </c>
      <c r="D93" s="4">
        <v>30</v>
      </c>
      <c r="E93" s="4">
        <v>52.5</v>
      </c>
      <c r="F93" s="4">
        <v>30</v>
      </c>
      <c r="G93" s="4">
        <v>15</v>
      </c>
      <c r="H93" s="4">
        <v>20</v>
      </c>
      <c r="I93" s="4">
        <v>5</v>
      </c>
      <c r="J93" s="4">
        <v>52.5</v>
      </c>
      <c r="K93" s="4">
        <v>45</v>
      </c>
      <c r="L93" s="4">
        <v>80</v>
      </c>
      <c r="M93" s="4">
        <v>55</v>
      </c>
    </row>
    <row r="94" spans="1:13">
      <c r="A94" s="3" t="s">
        <v>639</v>
      </c>
      <c r="B94" s="4">
        <v>10</v>
      </c>
      <c r="C94" s="4">
        <v>20</v>
      </c>
      <c r="D94" s="4">
        <v>24</v>
      </c>
      <c r="E94" s="4">
        <v>20</v>
      </c>
      <c r="F94" s="4">
        <v>25</v>
      </c>
      <c r="G94" s="4">
        <v>10</v>
      </c>
      <c r="H94" s="4">
        <v>0</v>
      </c>
      <c r="I94" s="4">
        <v>15</v>
      </c>
      <c r="J94" s="4">
        <v>20</v>
      </c>
      <c r="K94" s="4">
        <v>15</v>
      </c>
      <c r="L94" s="4">
        <v>0</v>
      </c>
      <c r="M94" s="4">
        <v>0</v>
      </c>
    </row>
    <row r="95" spans="1:13">
      <c r="A95" s="3" t="s">
        <v>640</v>
      </c>
      <c r="B95" s="4">
        <v>116</v>
      </c>
      <c r="C95" s="4">
        <v>168</v>
      </c>
      <c r="D95" s="4">
        <v>217.5</v>
      </c>
      <c r="E95" s="4">
        <v>150</v>
      </c>
      <c r="F95" s="4">
        <v>100</v>
      </c>
      <c r="G95" s="4">
        <v>65</v>
      </c>
      <c r="H95" s="4">
        <v>107.25</v>
      </c>
      <c r="I95" s="4">
        <v>143.5</v>
      </c>
      <c r="J95" s="4">
        <v>130.25</v>
      </c>
      <c r="K95" s="4">
        <v>122.5</v>
      </c>
      <c r="L95" s="4">
        <v>135</v>
      </c>
      <c r="M95" s="4">
        <v>60</v>
      </c>
    </row>
    <row r="96" spans="1:13">
      <c r="A96" s="3" t="s">
        <v>641</v>
      </c>
      <c r="B96" s="4">
        <v>0</v>
      </c>
      <c r="C96" s="4">
        <v>0</v>
      </c>
      <c r="D96" s="4">
        <v>0</v>
      </c>
      <c r="E96" s="4">
        <v>7.5</v>
      </c>
      <c r="F96" s="4">
        <v>10</v>
      </c>
      <c r="G96" s="4">
        <v>0</v>
      </c>
      <c r="H96" s="4">
        <v>0</v>
      </c>
      <c r="I96" s="4">
        <v>0</v>
      </c>
      <c r="J96" s="4">
        <v>25</v>
      </c>
      <c r="K96" s="4">
        <v>0</v>
      </c>
      <c r="L96" s="4">
        <v>0</v>
      </c>
      <c r="M96" s="4">
        <v>0</v>
      </c>
    </row>
    <row r="97" spans="1:13">
      <c r="A97" s="3" t="s">
        <v>642</v>
      </c>
      <c r="B97" s="4">
        <v>39</v>
      </c>
      <c r="C97" s="4">
        <v>30</v>
      </c>
      <c r="D97" s="4">
        <v>51.5</v>
      </c>
      <c r="E97" s="4">
        <v>50</v>
      </c>
      <c r="F97" s="4">
        <v>20</v>
      </c>
      <c r="G97" s="4">
        <v>20</v>
      </c>
      <c r="H97" s="4">
        <v>20</v>
      </c>
      <c r="I97" s="4">
        <v>30</v>
      </c>
      <c r="J97" s="4">
        <v>49</v>
      </c>
      <c r="K97" s="4">
        <v>35</v>
      </c>
      <c r="L97" s="4">
        <v>20</v>
      </c>
      <c r="M97" s="4">
        <v>79</v>
      </c>
    </row>
    <row r="98" spans="1:13">
      <c r="A98" s="3" t="s">
        <v>643</v>
      </c>
      <c r="B98" s="4">
        <v>10</v>
      </c>
      <c r="C98" s="4">
        <v>40</v>
      </c>
      <c r="D98" s="4">
        <v>32.5</v>
      </c>
      <c r="E98" s="4">
        <v>92</v>
      </c>
      <c r="F98" s="4">
        <v>51</v>
      </c>
      <c r="G98" s="4">
        <v>38</v>
      </c>
      <c r="H98" s="4">
        <v>40</v>
      </c>
      <c r="I98" s="4">
        <v>15</v>
      </c>
      <c r="J98" s="4">
        <v>46</v>
      </c>
      <c r="K98" s="4">
        <v>35</v>
      </c>
      <c r="L98" s="4">
        <v>50</v>
      </c>
      <c r="M98" s="4">
        <v>25</v>
      </c>
    </row>
    <row r="99" spans="1:13">
      <c r="A99" s="3" t="s">
        <v>644</v>
      </c>
      <c r="B99" s="4">
        <v>112</v>
      </c>
      <c r="C99" s="4">
        <v>183</v>
      </c>
      <c r="D99" s="4">
        <v>308</v>
      </c>
      <c r="E99" s="4">
        <v>59</v>
      </c>
      <c r="F99" s="4">
        <v>87</v>
      </c>
      <c r="G99" s="4">
        <v>0</v>
      </c>
      <c r="H99" s="4">
        <v>85</v>
      </c>
      <c r="I99" s="4">
        <v>0</v>
      </c>
      <c r="J99" s="4">
        <v>85</v>
      </c>
      <c r="K99" s="4">
        <v>30</v>
      </c>
      <c r="L99" s="4">
        <v>119</v>
      </c>
      <c r="M99" s="4">
        <v>259</v>
      </c>
    </row>
    <row r="100" spans="1:13">
      <c r="A100" s="3" t="s">
        <v>645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10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</row>
    <row r="101" spans="1:13">
      <c r="A101" s="3" t="s">
        <v>646</v>
      </c>
      <c r="B101" s="4">
        <v>0</v>
      </c>
      <c r="C101" s="4">
        <v>25</v>
      </c>
      <c r="D101" s="4">
        <v>40</v>
      </c>
      <c r="E101" s="4">
        <v>67.5</v>
      </c>
      <c r="F101" s="4">
        <v>34</v>
      </c>
      <c r="G101" s="4">
        <v>55</v>
      </c>
      <c r="H101" s="4">
        <v>25</v>
      </c>
      <c r="I101" s="4">
        <v>25</v>
      </c>
      <c r="J101" s="4">
        <v>25</v>
      </c>
      <c r="K101" s="4">
        <v>12.5</v>
      </c>
      <c r="L101" s="4">
        <v>22.5</v>
      </c>
      <c r="M101" s="4">
        <v>20</v>
      </c>
    </row>
    <row r="102" spans="1:13">
      <c r="A102" s="3" t="s">
        <v>647</v>
      </c>
      <c r="B102" s="4">
        <v>37.5</v>
      </c>
      <c r="C102" s="4">
        <v>25</v>
      </c>
      <c r="D102" s="4">
        <v>26</v>
      </c>
      <c r="E102" s="4">
        <v>35.75</v>
      </c>
      <c r="F102" s="4">
        <v>29.25</v>
      </c>
      <c r="G102" s="4">
        <v>6.25</v>
      </c>
      <c r="H102" s="4">
        <v>12.5</v>
      </c>
      <c r="I102" s="4">
        <v>29</v>
      </c>
      <c r="J102" s="4">
        <v>35.5</v>
      </c>
      <c r="K102" s="4">
        <v>11.25</v>
      </c>
      <c r="L102" s="4">
        <v>47.5</v>
      </c>
      <c r="M102" s="4">
        <v>17.5</v>
      </c>
    </row>
    <row r="103" spans="1:13">
      <c r="A103" s="3" t="s">
        <v>648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15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3" t="s">
        <v>649</v>
      </c>
      <c r="B104" s="4">
        <v>20</v>
      </c>
      <c r="C104" s="4">
        <v>20</v>
      </c>
      <c r="D104" s="4">
        <v>86</v>
      </c>
      <c r="E104" s="4">
        <v>10</v>
      </c>
      <c r="F104" s="4">
        <v>14</v>
      </c>
      <c r="G104" s="4">
        <v>10</v>
      </c>
      <c r="H104" s="4">
        <v>0</v>
      </c>
      <c r="I104" s="4">
        <v>0</v>
      </c>
      <c r="J104" s="4">
        <v>47</v>
      </c>
      <c r="K104" s="4">
        <v>10</v>
      </c>
      <c r="L104" s="4">
        <v>34</v>
      </c>
      <c r="M104" s="4">
        <v>20</v>
      </c>
    </row>
    <row r="105" spans="1:13">
      <c r="A105" s="3" t="s">
        <v>650</v>
      </c>
      <c r="B105" s="4">
        <v>51</v>
      </c>
      <c r="C105" s="4">
        <v>10</v>
      </c>
      <c r="D105" s="4">
        <v>50.5</v>
      </c>
      <c r="E105" s="4">
        <v>48.5</v>
      </c>
      <c r="F105" s="4">
        <v>10</v>
      </c>
      <c r="G105" s="4">
        <v>47</v>
      </c>
      <c r="H105" s="4">
        <v>53</v>
      </c>
      <c r="I105" s="4">
        <v>21</v>
      </c>
      <c r="J105" s="4">
        <v>24.5</v>
      </c>
      <c r="K105" s="4">
        <v>0</v>
      </c>
      <c r="L105" s="4">
        <v>54</v>
      </c>
      <c r="M105" s="4">
        <v>46</v>
      </c>
    </row>
    <row r="106" spans="1:13">
      <c r="A106" s="3" t="s">
        <v>651</v>
      </c>
      <c r="B106" s="4">
        <v>15</v>
      </c>
      <c r="C106" s="4">
        <v>20</v>
      </c>
      <c r="D106" s="4">
        <v>15</v>
      </c>
      <c r="E106" s="4">
        <v>20</v>
      </c>
      <c r="F106" s="4">
        <v>10</v>
      </c>
      <c r="G106" s="4">
        <v>10</v>
      </c>
      <c r="H106" s="4">
        <v>0</v>
      </c>
      <c r="I106" s="4">
        <v>17</v>
      </c>
      <c r="J106" s="4">
        <v>0</v>
      </c>
      <c r="K106" s="4">
        <v>28</v>
      </c>
      <c r="L106" s="4">
        <v>15</v>
      </c>
      <c r="M106" s="4">
        <v>15</v>
      </c>
    </row>
    <row r="107" spans="1:13">
      <c r="A107" s="3" t="s">
        <v>652</v>
      </c>
      <c r="B107" s="4">
        <v>423.5</v>
      </c>
      <c r="C107" s="4">
        <v>124.5</v>
      </c>
      <c r="D107" s="4">
        <v>368</v>
      </c>
      <c r="E107" s="4">
        <v>182</v>
      </c>
      <c r="F107" s="4">
        <v>20</v>
      </c>
      <c r="G107" s="4">
        <v>252</v>
      </c>
      <c r="H107" s="4">
        <v>219</v>
      </c>
      <c r="I107" s="4">
        <v>84</v>
      </c>
      <c r="J107" s="4">
        <v>274</v>
      </c>
      <c r="K107" s="4">
        <v>126</v>
      </c>
      <c r="L107" s="4">
        <v>182</v>
      </c>
      <c r="M107" s="4">
        <v>147</v>
      </c>
    </row>
    <row r="108" spans="1:13">
      <c r="A108" s="3" t="s">
        <v>653</v>
      </c>
      <c r="B108" s="4">
        <v>25</v>
      </c>
      <c r="C108" s="4">
        <v>5</v>
      </c>
      <c r="D108" s="4">
        <v>20</v>
      </c>
      <c r="E108" s="4">
        <v>21</v>
      </c>
      <c r="F108" s="4">
        <v>10</v>
      </c>
      <c r="G108" s="4">
        <v>0</v>
      </c>
      <c r="H108" s="4">
        <v>0</v>
      </c>
      <c r="I108" s="4">
        <v>0</v>
      </c>
      <c r="J108" s="4">
        <v>30</v>
      </c>
      <c r="K108" s="4">
        <v>10</v>
      </c>
      <c r="L108" s="4">
        <v>25</v>
      </c>
      <c r="M108" s="4">
        <v>30</v>
      </c>
    </row>
    <row r="109" spans="1:13">
      <c r="A109" s="3" t="s">
        <v>654</v>
      </c>
      <c r="B109" s="4">
        <v>20</v>
      </c>
      <c r="C109" s="4">
        <v>40</v>
      </c>
      <c r="D109" s="4">
        <v>0</v>
      </c>
      <c r="E109" s="4">
        <v>25.5</v>
      </c>
      <c r="F109" s="4">
        <v>28</v>
      </c>
      <c r="G109" s="4">
        <v>0</v>
      </c>
      <c r="H109" s="4">
        <v>0</v>
      </c>
      <c r="I109" s="4">
        <v>0</v>
      </c>
      <c r="J109" s="4">
        <v>20</v>
      </c>
      <c r="K109" s="4">
        <v>25</v>
      </c>
      <c r="L109" s="4">
        <v>33</v>
      </c>
      <c r="M109" s="4">
        <v>30</v>
      </c>
    </row>
    <row r="110" spans="1:13">
      <c r="A110" s="3" t="s">
        <v>655</v>
      </c>
      <c r="B110" s="4">
        <v>139</v>
      </c>
      <c r="C110" s="4">
        <v>114</v>
      </c>
      <c r="D110" s="4">
        <v>155</v>
      </c>
      <c r="E110" s="4">
        <v>196</v>
      </c>
      <c r="F110" s="4">
        <v>109</v>
      </c>
      <c r="G110" s="4">
        <v>31</v>
      </c>
      <c r="H110" s="4">
        <v>124</v>
      </c>
      <c r="I110" s="4">
        <v>114</v>
      </c>
      <c r="J110" s="4">
        <v>91</v>
      </c>
      <c r="K110" s="4">
        <v>124</v>
      </c>
      <c r="L110" s="4">
        <v>47</v>
      </c>
      <c r="M110" s="4">
        <v>124</v>
      </c>
    </row>
    <row r="111" spans="1:13">
      <c r="A111" s="3" t="s">
        <v>656</v>
      </c>
      <c r="B111" s="4">
        <v>10</v>
      </c>
      <c r="C111" s="4">
        <v>44.5</v>
      </c>
      <c r="D111" s="4">
        <v>27</v>
      </c>
      <c r="E111" s="4">
        <v>27</v>
      </c>
      <c r="F111" s="4">
        <v>50.75</v>
      </c>
      <c r="G111" s="4">
        <v>33</v>
      </c>
      <c r="H111" s="4">
        <v>0</v>
      </c>
      <c r="I111" s="4">
        <v>23</v>
      </c>
      <c r="J111" s="4">
        <v>22</v>
      </c>
      <c r="K111" s="4">
        <v>0</v>
      </c>
      <c r="L111" s="4">
        <v>20.5</v>
      </c>
      <c r="M111" s="4">
        <v>26</v>
      </c>
    </row>
    <row r="112" spans="1:13">
      <c r="A112" s="3" t="s">
        <v>657</v>
      </c>
      <c r="B112" s="4">
        <v>0</v>
      </c>
      <c r="C112" s="4">
        <v>15</v>
      </c>
      <c r="D112" s="4">
        <v>26</v>
      </c>
      <c r="E112" s="4">
        <v>17.5</v>
      </c>
      <c r="F112" s="4">
        <v>0</v>
      </c>
      <c r="G112" s="4">
        <v>0</v>
      </c>
      <c r="H112" s="4">
        <v>10</v>
      </c>
      <c r="I112" s="4">
        <v>0</v>
      </c>
      <c r="J112" s="4">
        <v>0</v>
      </c>
      <c r="K112" s="4">
        <v>0</v>
      </c>
      <c r="L112" s="4">
        <v>10</v>
      </c>
      <c r="M112" s="4">
        <v>0</v>
      </c>
    </row>
    <row r="113" spans="1:13">
      <c r="A113" s="3" t="s">
        <v>658</v>
      </c>
      <c r="B113" s="4">
        <v>0</v>
      </c>
      <c r="C113" s="4">
        <v>0</v>
      </c>
      <c r="D113" s="4">
        <v>0</v>
      </c>
      <c r="E113" s="4">
        <v>0</v>
      </c>
      <c r="F113" s="4">
        <v>11</v>
      </c>
      <c r="G113" s="4">
        <v>59</v>
      </c>
      <c r="H113" s="4">
        <v>34.5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>
      <c r="A114" s="3" t="s">
        <v>659</v>
      </c>
      <c r="B114" s="4">
        <v>0</v>
      </c>
      <c r="C114" s="4">
        <v>0</v>
      </c>
      <c r="D114" s="4">
        <v>0</v>
      </c>
      <c r="E114" s="4">
        <v>47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49</v>
      </c>
      <c r="M114" s="4">
        <v>10</v>
      </c>
    </row>
    <row r="115" spans="1:13">
      <c r="A115" s="3" t="s">
        <v>660</v>
      </c>
      <c r="B115" s="4">
        <v>20</v>
      </c>
      <c r="C115" s="4">
        <v>30</v>
      </c>
      <c r="D115" s="4">
        <v>110</v>
      </c>
      <c r="E115" s="4">
        <v>0</v>
      </c>
      <c r="F115" s="4">
        <v>25</v>
      </c>
      <c r="G115" s="4">
        <v>33</v>
      </c>
      <c r="H115" s="4">
        <v>25</v>
      </c>
      <c r="I115" s="4">
        <v>21.5</v>
      </c>
      <c r="J115" s="4">
        <v>80</v>
      </c>
      <c r="K115" s="4">
        <v>45</v>
      </c>
      <c r="L115" s="4">
        <v>0</v>
      </c>
      <c r="M115" s="4">
        <v>15</v>
      </c>
    </row>
    <row r="116" spans="1:13">
      <c r="A116" s="3" t="s">
        <v>661</v>
      </c>
      <c r="B116" s="4">
        <v>15</v>
      </c>
      <c r="C116" s="4">
        <v>15</v>
      </c>
      <c r="D116" s="4">
        <v>0</v>
      </c>
      <c r="E116" s="4">
        <v>10</v>
      </c>
      <c r="F116" s="4">
        <v>0</v>
      </c>
      <c r="G116" s="4">
        <v>0</v>
      </c>
      <c r="H116" s="4">
        <v>7.5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>
      <c r="A117" s="3" t="s">
        <v>662</v>
      </c>
      <c r="B117" s="4">
        <v>138.55000000000001</v>
      </c>
      <c r="C117" s="4">
        <v>60</v>
      </c>
      <c r="D117" s="4">
        <v>125</v>
      </c>
      <c r="E117" s="4">
        <v>157</v>
      </c>
      <c r="F117" s="4">
        <v>101.5</v>
      </c>
      <c r="G117" s="4">
        <v>116.5</v>
      </c>
      <c r="H117" s="4">
        <v>65</v>
      </c>
      <c r="I117" s="4">
        <v>84</v>
      </c>
      <c r="J117" s="4">
        <v>129.94999999999999</v>
      </c>
      <c r="K117" s="4">
        <v>101.25</v>
      </c>
      <c r="L117" s="4">
        <v>140.75</v>
      </c>
      <c r="M117" s="4">
        <v>80</v>
      </c>
    </row>
    <row r="118" spans="1:13">
      <c r="A118" s="3" t="s">
        <v>663</v>
      </c>
      <c r="B118" s="4">
        <v>10</v>
      </c>
      <c r="C118" s="4">
        <v>0</v>
      </c>
      <c r="D118" s="4">
        <v>10</v>
      </c>
      <c r="E118" s="4">
        <v>10</v>
      </c>
      <c r="F118" s="4">
        <v>10</v>
      </c>
      <c r="G118" s="4">
        <v>15</v>
      </c>
      <c r="H118" s="4">
        <v>0</v>
      </c>
      <c r="I118" s="4">
        <v>10</v>
      </c>
      <c r="J118" s="4">
        <v>25</v>
      </c>
      <c r="K118" s="4">
        <v>4.5</v>
      </c>
      <c r="L118" s="4">
        <v>25</v>
      </c>
      <c r="M118" s="4">
        <v>0</v>
      </c>
    </row>
    <row r="119" spans="1:13">
      <c r="A119" s="3" t="s">
        <v>664</v>
      </c>
      <c r="B119" s="4">
        <v>70</v>
      </c>
      <c r="C119" s="4">
        <v>60</v>
      </c>
      <c r="D119" s="4">
        <v>99</v>
      </c>
      <c r="E119" s="4">
        <v>85</v>
      </c>
      <c r="F119" s="4">
        <v>20</v>
      </c>
      <c r="G119" s="4">
        <v>35</v>
      </c>
      <c r="H119" s="4">
        <v>63</v>
      </c>
      <c r="I119" s="4">
        <v>50</v>
      </c>
      <c r="J119" s="4">
        <v>74.5</v>
      </c>
      <c r="K119" s="4">
        <v>102</v>
      </c>
      <c r="L119" s="4">
        <v>101.5</v>
      </c>
      <c r="M119" s="4">
        <v>140</v>
      </c>
    </row>
    <row r="120" spans="1:13">
      <c r="A120" s="3" t="s">
        <v>665</v>
      </c>
      <c r="B120" s="4">
        <v>16.600000000000001</v>
      </c>
      <c r="C120" s="4">
        <v>42.5</v>
      </c>
      <c r="D120" s="4">
        <v>73</v>
      </c>
      <c r="E120" s="4">
        <v>25</v>
      </c>
      <c r="F120" s="4">
        <v>32</v>
      </c>
      <c r="G120" s="4">
        <v>35</v>
      </c>
      <c r="H120" s="4">
        <v>57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 spans="1:13">
      <c r="A121" s="3" t="s">
        <v>666</v>
      </c>
      <c r="B121" s="4">
        <v>0</v>
      </c>
      <c r="C121" s="4">
        <v>62</v>
      </c>
      <c r="D121" s="4">
        <v>31</v>
      </c>
      <c r="E121" s="4">
        <v>150</v>
      </c>
      <c r="F121" s="4">
        <v>93</v>
      </c>
      <c r="G121" s="4">
        <v>0</v>
      </c>
      <c r="H121" s="4">
        <v>31</v>
      </c>
      <c r="I121" s="4">
        <v>31</v>
      </c>
      <c r="J121" s="4">
        <v>186</v>
      </c>
      <c r="K121" s="4">
        <v>310</v>
      </c>
      <c r="L121" s="4">
        <v>248</v>
      </c>
      <c r="M121" s="4">
        <v>155</v>
      </c>
    </row>
    <row r="122" spans="1:13">
      <c r="A122" s="3" t="s">
        <v>667</v>
      </c>
      <c r="B122" s="4">
        <v>158</v>
      </c>
      <c r="C122" s="4">
        <v>196</v>
      </c>
      <c r="D122" s="4">
        <v>248</v>
      </c>
      <c r="E122" s="4">
        <v>170</v>
      </c>
      <c r="F122" s="4">
        <v>115.25</v>
      </c>
      <c r="G122" s="4">
        <v>62</v>
      </c>
      <c r="H122" s="4">
        <v>77</v>
      </c>
      <c r="I122" s="4">
        <v>93</v>
      </c>
      <c r="J122" s="4">
        <v>105</v>
      </c>
      <c r="K122" s="4">
        <v>392</v>
      </c>
      <c r="L122" s="4">
        <v>238</v>
      </c>
      <c r="M122" s="4">
        <v>93</v>
      </c>
    </row>
    <row r="123" spans="1:13">
      <c r="A123" s="3" t="s">
        <v>668</v>
      </c>
      <c r="B123" s="4">
        <v>0</v>
      </c>
      <c r="C123" s="4">
        <v>5</v>
      </c>
      <c r="D123" s="4">
        <v>21</v>
      </c>
      <c r="E123" s="4">
        <v>17.5</v>
      </c>
      <c r="F123" s="4">
        <v>53</v>
      </c>
      <c r="G123" s="4">
        <v>1</v>
      </c>
      <c r="H123" s="4">
        <v>32.5</v>
      </c>
      <c r="I123" s="4">
        <v>10</v>
      </c>
      <c r="J123" s="4">
        <v>32.5</v>
      </c>
      <c r="K123" s="4">
        <v>42</v>
      </c>
      <c r="L123" s="4">
        <v>35.5</v>
      </c>
      <c r="M123" s="4">
        <v>20</v>
      </c>
    </row>
    <row r="124" spans="1:13">
      <c r="A124" s="3" t="s">
        <v>669</v>
      </c>
      <c r="B124" s="4">
        <v>131</v>
      </c>
      <c r="C124" s="4">
        <v>81</v>
      </c>
      <c r="D124" s="4">
        <v>116</v>
      </c>
      <c r="E124" s="4">
        <v>100</v>
      </c>
      <c r="F124" s="4">
        <v>10</v>
      </c>
      <c r="G124" s="4">
        <v>40</v>
      </c>
      <c r="H124" s="4">
        <v>65</v>
      </c>
      <c r="I124" s="4">
        <v>75</v>
      </c>
      <c r="J124" s="4">
        <v>55</v>
      </c>
      <c r="K124" s="4">
        <v>60</v>
      </c>
      <c r="L124" s="4">
        <v>60</v>
      </c>
      <c r="M124" s="4">
        <v>104.5</v>
      </c>
    </row>
    <row r="125" spans="1:13">
      <c r="A125" s="3" t="s">
        <v>670</v>
      </c>
      <c r="B125" s="4">
        <v>5</v>
      </c>
      <c r="C125" s="4">
        <v>0</v>
      </c>
      <c r="D125" s="4">
        <v>0</v>
      </c>
      <c r="E125" s="4">
        <v>0</v>
      </c>
      <c r="F125" s="4">
        <v>15</v>
      </c>
      <c r="G125" s="4">
        <v>5</v>
      </c>
      <c r="H125" s="4">
        <v>10</v>
      </c>
      <c r="I125" s="4">
        <v>0</v>
      </c>
      <c r="J125" s="4">
        <v>0</v>
      </c>
      <c r="K125" s="4">
        <v>0</v>
      </c>
      <c r="L125" s="4">
        <v>0</v>
      </c>
      <c r="M125" s="4">
        <v>20</v>
      </c>
    </row>
    <row r="126" spans="1:13">
      <c r="A126" s="3" t="s">
        <v>671</v>
      </c>
      <c r="B126" s="4">
        <v>0</v>
      </c>
      <c r="C126" s="4">
        <v>0</v>
      </c>
      <c r="D126" s="4">
        <v>0</v>
      </c>
      <c r="E126" s="4">
        <v>0</v>
      </c>
      <c r="F126" s="4">
        <v>13</v>
      </c>
      <c r="G126" s="4">
        <v>65</v>
      </c>
      <c r="H126" s="4">
        <v>20</v>
      </c>
      <c r="I126" s="4">
        <v>15</v>
      </c>
      <c r="J126" s="4">
        <v>0</v>
      </c>
      <c r="K126" s="4">
        <v>65</v>
      </c>
      <c r="L126" s="4">
        <v>71</v>
      </c>
      <c r="M126" s="4">
        <v>31</v>
      </c>
    </row>
    <row r="127" spans="1:13">
      <c r="A127" s="3" t="s">
        <v>672</v>
      </c>
      <c r="B127" s="4">
        <v>250</v>
      </c>
      <c r="C127" s="4">
        <v>121</v>
      </c>
      <c r="D127" s="4">
        <v>72</v>
      </c>
      <c r="E127" s="4">
        <v>146</v>
      </c>
      <c r="F127" s="4">
        <v>121</v>
      </c>
      <c r="G127" s="4">
        <v>121</v>
      </c>
      <c r="H127" s="4">
        <v>165</v>
      </c>
      <c r="I127" s="4">
        <v>120</v>
      </c>
      <c r="J127" s="4">
        <v>120</v>
      </c>
      <c r="K127" s="4">
        <v>62.5</v>
      </c>
      <c r="L127" s="4">
        <v>98.5</v>
      </c>
      <c r="M127" s="4">
        <v>50</v>
      </c>
    </row>
    <row r="128" spans="1:13">
      <c r="A128" s="3" t="s">
        <v>673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10</v>
      </c>
      <c r="M128" s="4">
        <v>25</v>
      </c>
    </row>
    <row r="129" spans="1:13">
      <c r="A129" s="3" t="s">
        <v>674</v>
      </c>
      <c r="B129" s="4">
        <v>0</v>
      </c>
      <c r="C129" s="4">
        <v>10</v>
      </c>
      <c r="D129" s="4">
        <v>0</v>
      </c>
      <c r="E129" s="4">
        <v>1</v>
      </c>
      <c r="F129" s="4">
        <v>26</v>
      </c>
      <c r="G129" s="4">
        <v>10</v>
      </c>
      <c r="H129" s="4">
        <v>0</v>
      </c>
      <c r="I129" s="4">
        <v>10</v>
      </c>
      <c r="J129" s="4">
        <v>30</v>
      </c>
      <c r="K129" s="4">
        <v>31</v>
      </c>
      <c r="L129" s="4">
        <v>24.5</v>
      </c>
      <c r="M129" s="4">
        <v>62</v>
      </c>
    </row>
    <row r="130" spans="1:13">
      <c r="A130" s="3" t="s">
        <v>675</v>
      </c>
      <c r="B130" s="4">
        <v>0</v>
      </c>
      <c r="C130" s="4">
        <v>20</v>
      </c>
      <c r="D130" s="4">
        <v>15</v>
      </c>
      <c r="E130" s="4">
        <v>73.5</v>
      </c>
      <c r="F130" s="4">
        <v>60</v>
      </c>
      <c r="G130" s="4">
        <v>110</v>
      </c>
      <c r="H130" s="4">
        <v>93</v>
      </c>
      <c r="I130" s="4">
        <v>47</v>
      </c>
      <c r="J130" s="4">
        <v>50</v>
      </c>
      <c r="K130" s="4">
        <v>50</v>
      </c>
      <c r="L130" s="4">
        <v>92.5</v>
      </c>
      <c r="M130" s="4">
        <v>25.25</v>
      </c>
    </row>
    <row r="131" spans="1:13">
      <c r="A131" s="3" t="s">
        <v>676</v>
      </c>
      <c r="B131" s="4">
        <v>20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>
      <c r="A132" s="3" t="s">
        <v>677</v>
      </c>
      <c r="B132" s="4">
        <v>65</v>
      </c>
      <c r="C132" s="4">
        <v>80</v>
      </c>
      <c r="D132" s="4">
        <v>133</v>
      </c>
      <c r="E132" s="4">
        <v>16</v>
      </c>
      <c r="F132" s="4">
        <v>35</v>
      </c>
      <c r="G132" s="4">
        <v>80</v>
      </c>
      <c r="H132" s="4">
        <v>55.5</v>
      </c>
      <c r="I132" s="4">
        <v>30</v>
      </c>
      <c r="J132" s="4">
        <v>12.5</v>
      </c>
      <c r="K132" s="4">
        <v>127.5</v>
      </c>
      <c r="L132" s="4">
        <v>94</v>
      </c>
      <c r="M132" s="4">
        <v>115</v>
      </c>
    </row>
    <row r="133" spans="1:13">
      <c r="A133" s="3" t="s">
        <v>678</v>
      </c>
      <c r="B133" s="4">
        <v>41.5</v>
      </c>
      <c r="C133" s="4">
        <v>50</v>
      </c>
      <c r="D133" s="4">
        <v>62</v>
      </c>
      <c r="E133" s="4">
        <v>42</v>
      </c>
      <c r="F133" s="4">
        <v>39.75</v>
      </c>
      <c r="G133" s="4">
        <v>56.5</v>
      </c>
      <c r="H133" s="4">
        <v>66.25</v>
      </c>
      <c r="I133" s="4">
        <v>26</v>
      </c>
      <c r="J133" s="4">
        <v>52</v>
      </c>
      <c r="K133" s="4">
        <v>45</v>
      </c>
      <c r="L133" s="4">
        <v>63.5</v>
      </c>
      <c r="M133" s="4">
        <v>66.5</v>
      </c>
    </row>
    <row r="134" spans="1:13">
      <c r="A134" s="3" t="s">
        <v>679</v>
      </c>
      <c r="B134" s="4">
        <v>86.35</v>
      </c>
      <c r="C134" s="4">
        <v>49</v>
      </c>
      <c r="D134" s="4">
        <v>199.5</v>
      </c>
      <c r="E134" s="4">
        <v>61.5</v>
      </c>
      <c r="F134" s="4">
        <v>91</v>
      </c>
      <c r="G134" s="4">
        <v>111</v>
      </c>
      <c r="H134" s="4">
        <v>147</v>
      </c>
      <c r="I134" s="4">
        <v>51</v>
      </c>
      <c r="J134" s="4">
        <v>54</v>
      </c>
      <c r="K134" s="4">
        <v>151.85</v>
      </c>
      <c r="L134" s="4">
        <v>125</v>
      </c>
      <c r="M134" s="4">
        <v>80.95</v>
      </c>
    </row>
    <row r="135" spans="1:13">
      <c r="A135" s="3" t="s">
        <v>680</v>
      </c>
      <c r="B135" s="4">
        <v>31</v>
      </c>
      <c r="C135" s="4">
        <v>0</v>
      </c>
      <c r="D135" s="4">
        <v>40</v>
      </c>
      <c r="E135" s="4">
        <v>59.5</v>
      </c>
      <c r="F135" s="4">
        <v>30</v>
      </c>
      <c r="G135" s="4">
        <v>35.5</v>
      </c>
      <c r="H135" s="4">
        <v>30</v>
      </c>
      <c r="I135" s="4">
        <v>30</v>
      </c>
      <c r="J135" s="4">
        <v>37.5</v>
      </c>
      <c r="K135" s="4">
        <v>40</v>
      </c>
      <c r="L135" s="4">
        <v>40</v>
      </c>
      <c r="M135" s="4">
        <v>50</v>
      </c>
    </row>
    <row r="136" spans="1:13">
      <c r="A136" s="3" t="s">
        <v>681</v>
      </c>
      <c r="B136" s="4">
        <v>10</v>
      </c>
      <c r="C136" s="4">
        <v>20</v>
      </c>
      <c r="D136" s="4">
        <v>10</v>
      </c>
      <c r="E136" s="4">
        <v>30</v>
      </c>
      <c r="F136" s="4">
        <v>45</v>
      </c>
      <c r="G136" s="4">
        <v>28</v>
      </c>
      <c r="H136" s="4">
        <v>29</v>
      </c>
      <c r="I136" s="4">
        <v>24.5</v>
      </c>
      <c r="J136" s="4">
        <v>35</v>
      </c>
      <c r="K136" s="4">
        <v>40</v>
      </c>
      <c r="L136" s="4">
        <v>50</v>
      </c>
      <c r="M136" s="4">
        <v>80</v>
      </c>
    </row>
    <row r="137" spans="1:13">
      <c r="A137" s="3" t="s">
        <v>682</v>
      </c>
      <c r="B137" s="4">
        <v>5</v>
      </c>
      <c r="C137" s="4">
        <v>6.75</v>
      </c>
      <c r="D137" s="4">
        <v>12.25</v>
      </c>
      <c r="E137" s="4">
        <v>22.5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26.25</v>
      </c>
      <c r="L137" s="4">
        <v>0</v>
      </c>
      <c r="M137" s="4">
        <v>0</v>
      </c>
    </row>
    <row r="138" spans="1:13">
      <c r="A138" s="3" t="s">
        <v>683</v>
      </c>
      <c r="B138" s="4">
        <v>33</v>
      </c>
      <c r="C138" s="4">
        <v>33</v>
      </c>
      <c r="D138" s="4">
        <v>70</v>
      </c>
      <c r="E138" s="4">
        <v>41</v>
      </c>
      <c r="F138" s="4">
        <v>43.5</v>
      </c>
      <c r="G138" s="4">
        <v>67.599999999999994</v>
      </c>
      <c r="H138" s="4">
        <v>50.4</v>
      </c>
      <c r="I138" s="4">
        <v>0</v>
      </c>
      <c r="J138" s="4">
        <v>25.5</v>
      </c>
      <c r="K138" s="4">
        <v>14.5</v>
      </c>
      <c r="L138" s="4">
        <v>15</v>
      </c>
      <c r="M138" s="4">
        <v>54</v>
      </c>
    </row>
    <row r="139" spans="1:13">
      <c r="A139" s="3" t="s">
        <v>684</v>
      </c>
      <c r="B139" s="4">
        <v>105</v>
      </c>
      <c r="C139" s="4">
        <v>140</v>
      </c>
      <c r="D139" s="4">
        <v>192</v>
      </c>
      <c r="E139" s="4">
        <v>53</v>
      </c>
      <c r="F139" s="4">
        <v>103</v>
      </c>
      <c r="G139" s="4">
        <v>37</v>
      </c>
      <c r="H139" s="4">
        <v>86</v>
      </c>
      <c r="I139" s="4">
        <v>35</v>
      </c>
      <c r="J139" s="4">
        <v>110.5</v>
      </c>
      <c r="K139" s="4">
        <v>115</v>
      </c>
      <c r="L139" s="4">
        <v>90</v>
      </c>
      <c r="M139" s="4">
        <v>134.5</v>
      </c>
    </row>
    <row r="140" spans="1:13">
      <c r="A140" s="3" t="s">
        <v>685</v>
      </c>
      <c r="B140" s="4">
        <v>60</v>
      </c>
      <c r="C140" s="4">
        <v>50</v>
      </c>
      <c r="D140" s="4">
        <v>95</v>
      </c>
      <c r="E140" s="4">
        <v>37.5</v>
      </c>
      <c r="F140" s="4">
        <v>30</v>
      </c>
      <c r="G140" s="4">
        <v>20</v>
      </c>
      <c r="H140" s="4">
        <v>20</v>
      </c>
      <c r="I140" s="4">
        <v>30</v>
      </c>
      <c r="J140" s="4">
        <v>77.5</v>
      </c>
      <c r="K140" s="4">
        <v>10</v>
      </c>
      <c r="L140" s="4">
        <v>0</v>
      </c>
      <c r="M140" s="4">
        <v>10</v>
      </c>
    </row>
    <row r="141" spans="1:13">
      <c r="A141" s="3" t="s">
        <v>686</v>
      </c>
      <c r="B141" s="4">
        <v>102.5</v>
      </c>
      <c r="C141" s="4">
        <v>30</v>
      </c>
      <c r="D141" s="4">
        <v>197</v>
      </c>
      <c r="E141" s="4">
        <v>100</v>
      </c>
      <c r="F141" s="4">
        <v>144.5</v>
      </c>
      <c r="G141" s="4">
        <v>105</v>
      </c>
      <c r="H141" s="4">
        <v>70</v>
      </c>
      <c r="I141" s="4">
        <v>90</v>
      </c>
      <c r="J141" s="4">
        <v>0</v>
      </c>
      <c r="K141" s="4">
        <v>20</v>
      </c>
      <c r="L141" s="4">
        <v>80</v>
      </c>
      <c r="M141" s="4">
        <v>170</v>
      </c>
    </row>
    <row r="142" spans="1:13">
      <c r="A142" s="3" t="s">
        <v>687</v>
      </c>
      <c r="B142" s="4">
        <v>0</v>
      </c>
      <c r="C142" s="4">
        <v>10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</v>
      </c>
      <c r="K142" s="4">
        <v>20</v>
      </c>
      <c r="L142" s="4">
        <v>0</v>
      </c>
      <c r="M142" s="4">
        <v>0</v>
      </c>
    </row>
    <row r="143" spans="1:13">
      <c r="A143" s="3" t="s">
        <v>688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10</v>
      </c>
      <c r="J143" s="4">
        <v>0</v>
      </c>
      <c r="K143" s="4">
        <v>0</v>
      </c>
      <c r="L143" s="4">
        <v>0</v>
      </c>
      <c r="M143" s="4">
        <v>8.5</v>
      </c>
    </row>
    <row r="144" spans="1:13">
      <c r="A144" s="3" t="s">
        <v>689</v>
      </c>
      <c r="B144" s="4">
        <v>60</v>
      </c>
      <c r="C144" s="4">
        <v>30</v>
      </c>
      <c r="D144" s="4">
        <v>67.5</v>
      </c>
      <c r="E144" s="4">
        <v>51.5</v>
      </c>
      <c r="F144" s="4">
        <v>20</v>
      </c>
      <c r="G144" s="4">
        <v>10</v>
      </c>
      <c r="H144" s="4">
        <v>32.5</v>
      </c>
      <c r="I144" s="4">
        <v>30</v>
      </c>
      <c r="J144" s="4">
        <v>22.5</v>
      </c>
      <c r="K144" s="4">
        <v>60</v>
      </c>
      <c r="L144" s="4">
        <v>40</v>
      </c>
      <c r="M144" s="4">
        <v>70</v>
      </c>
    </row>
    <row r="145" spans="1:13">
      <c r="A145" s="3" t="s">
        <v>690</v>
      </c>
      <c r="B145" s="4">
        <v>40</v>
      </c>
      <c r="C145" s="4">
        <v>10</v>
      </c>
      <c r="D145" s="4">
        <v>75</v>
      </c>
      <c r="E145" s="4">
        <v>60</v>
      </c>
      <c r="F145" s="4">
        <v>10</v>
      </c>
      <c r="G145" s="4">
        <v>17.5</v>
      </c>
      <c r="H145" s="4">
        <v>14</v>
      </c>
      <c r="I145" s="4">
        <v>20</v>
      </c>
      <c r="J145" s="4">
        <v>0</v>
      </c>
      <c r="K145" s="4">
        <v>21</v>
      </c>
      <c r="L145" s="4">
        <v>57.5</v>
      </c>
      <c r="M145" s="4">
        <v>34.5</v>
      </c>
    </row>
    <row r="146" spans="1:13">
      <c r="A146" s="3" t="s">
        <v>691</v>
      </c>
      <c r="B146" s="4">
        <v>60</v>
      </c>
      <c r="C146" s="4">
        <v>30</v>
      </c>
      <c r="D146" s="4">
        <v>65</v>
      </c>
      <c r="E146" s="4">
        <v>40</v>
      </c>
      <c r="F146" s="4">
        <v>60</v>
      </c>
      <c r="G146" s="4">
        <v>52.5</v>
      </c>
      <c r="H146" s="4">
        <v>45</v>
      </c>
      <c r="I146" s="4">
        <v>66.25</v>
      </c>
      <c r="J146" s="4">
        <v>95</v>
      </c>
      <c r="K146" s="4">
        <v>50</v>
      </c>
      <c r="L146" s="4">
        <v>10</v>
      </c>
      <c r="M146" s="4">
        <v>45</v>
      </c>
    </row>
    <row r="147" spans="1:13">
      <c r="A147" s="3" t="s">
        <v>692</v>
      </c>
      <c r="B147" s="4">
        <v>10</v>
      </c>
      <c r="C147" s="4">
        <v>20</v>
      </c>
      <c r="D147" s="4">
        <v>40</v>
      </c>
      <c r="E147" s="4">
        <v>42.5</v>
      </c>
      <c r="F147" s="4">
        <v>25</v>
      </c>
      <c r="G147" s="4">
        <v>20</v>
      </c>
      <c r="H147" s="4">
        <v>20</v>
      </c>
      <c r="I147" s="4">
        <v>10</v>
      </c>
      <c r="J147" s="4">
        <v>27.5</v>
      </c>
      <c r="K147" s="4">
        <v>10</v>
      </c>
      <c r="L147" s="4">
        <v>50</v>
      </c>
      <c r="M147" s="4">
        <v>85</v>
      </c>
    </row>
    <row r="148" spans="1:13">
      <c r="A148" s="3" t="s">
        <v>693</v>
      </c>
      <c r="B148" s="4">
        <v>30</v>
      </c>
      <c r="C148" s="4">
        <v>20</v>
      </c>
      <c r="D148" s="4">
        <v>90</v>
      </c>
      <c r="E148" s="4">
        <v>45</v>
      </c>
      <c r="F148" s="4">
        <v>60</v>
      </c>
      <c r="G148" s="4">
        <v>40</v>
      </c>
      <c r="H148" s="4">
        <v>40</v>
      </c>
      <c r="I148" s="4">
        <v>20</v>
      </c>
      <c r="J148" s="4">
        <v>40</v>
      </c>
      <c r="K148" s="4">
        <v>12</v>
      </c>
      <c r="L148" s="4">
        <v>5</v>
      </c>
      <c r="M148" s="4">
        <v>50</v>
      </c>
    </row>
    <row r="149" spans="1:13">
      <c r="A149" s="3" t="s">
        <v>694</v>
      </c>
      <c r="B149" s="4">
        <v>20</v>
      </c>
      <c r="C149" s="4">
        <v>0</v>
      </c>
      <c r="D149" s="4">
        <v>0</v>
      </c>
      <c r="E149" s="4">
        <v>5</v>
      </c>
      <c r="F149" s="4">
        <v>0</v>
      </c>
      <c r="G149" s="4">
        <v>0</v>
      </c>
      <c r="H149" s="4">
        <v>0</v>
      </c>
      <c r="I149" s="4">
        <v>0</v>
      </c>
      <c r="J149" s="4">
        <v>10</v>
      </c>
      <c r="K149" s="4">
        <v>5</v>
      </c>
      <c r="L149" s="4">
        <v>0</v>
      </c>
      <c r="M149" s="4">
        <v>12.5</v>
      </c>
    </row>
    <row r="150" spans="1:13">
      <c r="A150" s="3" t="s">
        <v>695</v>
      </c>
      <c r="B150" s="4">
        <v>20</v>
      </c>
      <c r="C150" s="4">
        <v>20</v>
      </c>
      <c r="D150" s="4">
        <v>13.5</v>
      </c>
      <c r="E150" s="4">
        <v>0</v>
      </c>
      <c r="F150" s="4">
        <v>20</v>
      </c>
      <c r="G150" s="4">
        <v>13.5</v>
      </c>
      <c r="H150" s="4">
        <v>0</v>
      </c>
      <c r="I150" s="4">
        <v>25</v>
      </c>
      <c r="J150" s="4">
        <v>0</v>
      </c>
      <c r="K150" s="4">
        <v>37.5</v>
      </c>
      <c r="L150" s="4">
        <v>15</v>
      </c>
      <c r="M150" s="4">
        <v>20</v>
      </c>
    </row>
    <row r="151" spans="1:13">
      <c r="A151" s="3" t="s">
        <v>696</v>
      </c>
      <c r="B151" s="4">
        <v>10</v>
      </c>
      <c r="C151" s="4">
        <v>10</v>
      </c>
      <c r="D151" s="4">
        <v>40</v>
      </c>
      <c r="E151" s="4">
        <v>0</v>
      </c>
      <c r="F151" s="4">
        <v>10</v>
      </c>
      <c r="G151" s="4">
        <v>10</v>
      </c>
      <c r="H151" s="4">
        <v>5</v>
      </c>
      <c r="I151" s="4">
        <v>10</v>
      </c>
      <c r="J151" s="4">
        <v>17.5</v>
      </c>
      <c r="K151" s="4">
        <v>7.5</v>
      </c>
      <c r="L151" s="4">
        <v>39.5</v>
      </c>
      <c r="M151" s="4">
        <v>0</v>
      </c>
    </row>
    <row r="152" spans="1:13">
      <c r="A152" s="3" t="s">
        <v>697</v>
      </c>
      <c r="B152" s="4">
        <v>30</v>
      </c>
      <c r="C152" s="4">
        <v>34.5</v>
      </c>
      <c r="D152" s="4">
        <v>45</v>
      </c>
      <c r="E152" s="4">
        <v>70</v>
      </c>
      <c r="F152" s="4">
        <v>15</v>
      </c>
      <c r="G152" s="4">
        <v>13</v>
      </c>
      <c r="H152" s="4">
        <v>35</v>
      </c>
      <c r="I152" s="4">
        <v>0</v>
      </c>
      <c r="J152" s="4">
        <v>37.5</v>
      </c>
      <c r="K152" s="4">
        <v>72</v>
      </c>
      <c r="L152" s="4">
        <v>40</v>
      </c>
      <c r="M152" s="4">
        <v>55</v>
      </c>
    </row>
    <row r="153" spans="1:13">
      <c r="A153" s="3" t="s">
        <v>698</v>
      </c>
      <c r="B153" s="4">
        <v>0</v>
      </c>
      <c r="C153" s="4">
        <v>67</v>
      </c>
      <c r="D153" s="4">
        <v>50</v>
      </c>
      <c r="E153" s="4">
        <v>120</v>
      </c>
      <c r="F153" s="4">
        <v>35</v>
      </c>
      <c r="G153" s="4">
        <v>29</v>
      </c>
      <c r="H153" s="4">
        <v>0</v>
      </c>
      <c r="I153" s="4">
        <v>20</v>
      </c>
      <c r="J153" s="4">
        <v>47.5</v>
      </c>
      <c r="K153" s="4">
        <v>0</v>
      </c>
      <c r="L153" s="4">
        <v>0</v>
      </c>
      <c r="M153" s="4">
        <v>33</v>
      </c>
    </row>
    <row r="154" spans="1:13">
      <c r="A154" s="3" t="s">
        <v>699</v>
      </c>
      <c r="B154" s="4">
        <v>152</v>
      </c>
      <c r="C154" s="4">
        <v>62.5</v>
      </c>
      <c r="D154" s="4">
        <v>220.05</v>
      </c>
      <c r="E154" s="4">
        <v>229.75</v>
      </c>
      <c r="F154" s="4">
        <v>200.25</v>
      </c>
      <c r="G154" s="4">
        <v>210.9</v>
      </c>
      <c r="H154" s="4">
        <v>189.5</v>
      </c>
      <c r="I154" s="4">
        <v>116.25</v>
      </c>
      <c r="J154" s="4">
        <v>211.25</v>
      </c>
      <c r="K154" s="4">
        <v>210</v>
      </c>
      <c r="L154" s="4">
        <v>142</v>
      </c>
      <c r="M154" s="4">
        <v>146.94999999999999</v>
      </c>
    </row>
    <row r="155" spans="1:13">
      <c r="A155" s="3" t="s">
        <v>700</v>
      </c>
      <c r="B155" s="4">
        <v>10</v>
      </c>
      <c r="C155" s="4">
        <v>10</v>
      </c>
      <c r="D155" s="4">
        <v>0</v>
      </c>
      <c r="E155" s="4">
        <v>41</v>
      </c>
      <c r="F155" s="4">
        <v>10</v>
      </c>
      <c r="G155" s="4">
        <v>2</v>
      </c>
      <c r="H155" s="4">
        <v>5</v>
      </c>
      <c r="I155" s="4">
        <v>0</v>
      </c>
      <c r="J155" s="4">
        <v>7.5</v>
      </c>
      <c r="K155" s="4">
        <v>10</v>
      </c>
      <c r="L155" s="4">
        <v>4</v>
      </c>
      <c r="M155" s="4">
        <v>6</v>
      </c>
    </row>
    <row r="156" spans="1:13">
      <c r="A156" s="3" t="s">
        <v>701</v>
      </c>
      <c r="B156" s="4">
        <v>50</v>
      </c>
      <c r="C156" s="4">
        <v>112</v>
      </c>
      <c r="D156" s="4">
        <v>131.5</v>
      </c>
      <c r="E156" s="4">
        <v>65</v>
      </c>
      <c r="F156" s="4">
        <v>60</v>
      </c>
      <c r="G156" s="4">
        <v>96.5</v>
      </c>
      <c r="H156" s="4">
        <v>90</v>
      </c>
      <c r="I156" s="4">
        <v>30</v>
      </c>
      <c r="J156" s="4">
        <v>50</v>
      </c>
      <c r="K156" s="4">
        <v>46</v>
      </c>
      <c r="L156" s="4">
        <v>91.5</v>
      </c>
      <c r="M156" s="4">
        <v>80</v>
      </c>
    </row>
    <row r="157" spans="1:13">
      <c r="A157" s="3" t="s">
        <v>702</v>
      </c>
      <c r="B157" s="4">
        <v>28.5</v>
      </c>
      <c r="C157" s="4">
        <v>17.5</v>
      </c>
      <c r="D157" s="4">
        <v>57.5</v>
      </c>
      <c r="E157" s="4">
        <v>42.5</v>
      </c>
      <c r="F157" s="4">
        <v>27.5</v>
      </c>
      <c r="G157" s="4">
        <v>22.5</v>
      </c>
      <c r="H157" s="4">
        <v>20</v>
      </c>
      <c r="I157" s="4">
        <v>6.75</v>
      </c>
      <c r="J157" s="4">
        <v>12.5</v>
      </c>
      <c r="K157" s="4">
        <v>19.5</v>
      </c>
      <c r="L157" s="4">
        <v>25</v>
      </c>
      <c r="M157" s="4">
        <v>60</v>
      </c>
    </row>
    <row r="158" spans="1:13">
      <c r="A158" s="3" t="s">
        <v>703</v>
      </c>
      <c r="B158" s="4">
        <v>128</v>
      </c>
      <c r="C158" s="4">
        <v>94.5</v>
      </c>
      <c r="D158" s="4">
        <v>69.5</v>
      </c>
      <c r="E158" s="4">
        <v>62.5</v>
      </c>
      <c r="F158" s="4">
        <v>78.75</v>
      </c>
      <c r="G158" s="4">
        <v>85</v>
      </c>
      <c r="H158" s="4">
        <v>49</v>
      </c>
      <c r="I158" s="4">
        <v>42</v>
      </c>
      <c r="J158" s="4">
        <v>128.5</v>
      </c>
      <c r="K158" s="4">
        <v>84</v>
      </c>
      <c r="L158" s="4">
        <v>100</v>
      </c>
      <c r="M158" s="4">
        <v>74</v>
      </c>
    </row>
    <row r="159" spans="1:13">
      <c r="A159" s="3" t="s">
        <v>704</v>
      </c>
      <c r="B159" s="4">
        <v>17.5</v>
      </c>
      <c r="C159" s="4">
        <v>10</v>
      </c>
      <c r="D159" s="4">
        <v>4</v>
      </c>
      <c r="E159" s="4">
        <v>15</v>
      </c>
      <c r="F159" s="4">
        <v>2</v>
      </c>
      <c r="G159" s="4">
        <v>57.5</v>
      </c>
      <c r="H159" s="4">
        <v>80</v>
      </c>
      <c r="I159" s="4">
        <v>0</v>
      </c>
      <c r="J159" s="4">
        <v>30</v>
      </c>
      <c r="K159" s="4">
        <v>30</v>
      </c>
      <c r="L159" s="4">
        <v>22.5</v>
      </c>
      <c r="M159" s="4">
        <v>58.5</v>
      </c>
    </row>
    <row r="160" spans="1:13">
      <c r="A160" s="3" t="s">
        <v>705</v>
      </c>
      <c r="B160" s="4">
        <v>107</v>
      </c>
      <c r="C160" s="4">
        <v>35</v>
      </c>
      <c r="D160" s="4">
        <v>28.5</v>
      </c>
      <c r="E160" s="4">
        <v>84</v>
      </c>
      <c r="F160" s="4">
        <v>54</v>
      </c>
      <c r="G160" s="4">
        <v>40</v>
      </c>
      <c r="H160" s="4">
        <v>0</v>
      </c>
      <c r="I160" s="4">
        <v>64.5</v>
      </c>
      <c r="J160" s="4">
        <v>104</v>
      </c>
      <c r="K160" s="4">
        <v>70</v>
      </c>
      <c r="L160" s="4">
        <v>0</v>
      </c>
      <c r="M160" s="4">
        <v>15</v>
      </c>
    </row>
    <row r="161" spans="1:13">
      <c r="A161" s="3" t="s">
        <v>706</v>
      </c>
      <c r="B161" s="4">
        <v>210</v>
      </c>
      <c r="C161" s="4">
        <v>159</v>
      </c>
      <c r="D161" s="4">
        <v>259</v>
      </c>
      <c r="E161" s="4">
        <v>110</v>
      </c>
      <c r="F161" s="4">
        <v>85</v>
      </c>
      <c r="G161" s="4">
        <v>297.5</v>
      </c>
      <c r="H161" s="4">
        <v>231.5</v>
      </c>
      <c r="I161" s="4">
        <v>107.5</v>
      </c>
      <c r="J161" s="4">
        <v>49</v>
      </c>
      <c r="K161" s="4">
        <v>145</v>
      </c>
      <c r="L161" s="4">
        <v>118.5</v>
      </c>
      <c r="M161" s="4">
        <v>47.5</v>
      </c>
    </row>
    <row r="162" spans="1:13">
      <c r="A162" s="3" t="s">
        <v>707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20</v>
      </c>
      <c r="I162" s="4">
        <v>50</v>
      </c>
      <c r="J162" s="4">
        <v>27.5</v>
      </c>
      <c r="K162" s="4">
        <v>35</v>
      </c>
      <c r="L162" s="4">
        <v>23.25</v>
      </c>
      <c r="M162" s="4">
        <v>27</v>
      </c>
    </row>
    <row r="163" spans="1:13">
      <c r="A163" s="3" t="s">
        <v>708</v>
      </c>
      <c r="B163" s="4">
        <v>0</v>
      </c>
      <c r="C163" s="4">
        <v>0</v>
      </c>
      <c r="D163" s="4">
        <v>12.5</v>
      </c>
      <c r="E163" s="4">
        <v>5</v>
      </c>
      <c r="F163" s="4">
        <v>32</v>
      </c>
      <c r="G163" s="4">
        <v>26.25</v>
      </c>
      <c r="H163" s="4">
        <v>26</v>
      </c>
      <c r="I163" s="4">
        <v>35</v>
      </c>
      <c r="J163" s="4">
        <v>42.5</v>
      </c>
      <c r="K163" s="4">
        <v>30</v>
      </c>
      <c r="L163" s="4">
        <v>94</v>
      </c>
      <c r="M163" s="4">
        <v>97.5</v>
      </c>
    </row>
    <row r="164" spans="1:13">
      <c r="A164" s="3" t="s">
        <v>709</v>
      </c>
      <c r="B164" s="4">
        <v>15</v>
      </c>
      <c r="C164" s="4">
        <v>45</v>
      </c>
      <c r="D164" s="4">
        <v>32</v>
      </c>
      <c r="E164" s="4">
        <v>15</v>
      </c>
      <c r="F164" s="4">
        <v>36</v>
      </c>
      <c r="G164" s="4">
        <v>20</v>
      </c>
      <c r="H164" s="4">
        <v>60</v>
      </c>
      <c r="I164" s="4">
        <v>30</v>
      </c>
      <c r="J164" s="4">
        <v>15</v>
      </c>
      <c r="K164" s="4">
        <v>72.5</v>
      </c>
      <c r="L164" s="4">
        <v>99</v>
      </c>
      <c r="M164" s="4">
        <v>161.5</v>
      </c>
    </row>
    <row r="165" spans="1:13">
      <c r="A165" s="3" t="s">
        <v>710</v>
      </c>
      <c r="B165" s="4">
        <v>31</v>
      </c>
      <c r="C165" s="4">
        <v>31</v>
      </c>
      <c r="D165" s="4">
        <v>93</v>
      </c>
      <c r="E165" s="4">
        <v>88</v>
      </c>
      <c r="F165" s="4">
        <v>31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>
      <c r="A166" s="3" t="s">
        <v>711</v>
      </c>
      <c r="B166" s="4">
        <v>87.4</v>
      </c>
      <c r="C166" s="4">
        <v>70.5</v>
      </c>
      <c r="D166" s="4">
        <v>94.65</v>
      </c>
      <c r="E166" s="4">
        <v>99.35</v>
      </c>
      <c r="F166" s="4">
        <v>44.2</v>
      </c>
      <c r="G166" s="4">
        <v>102</v>
      </c>
      <c r="H166" s="4">
        <v>122.5</v>
      </c>
      <c r="I166" s="4">
        <v>56.5</v>
      </c>
      <c r="J166" s="4">
        <v>105.25</v>
      </c>
      <c r="K166" s="4">
        <v>118.9</v>
      </c>
      <c r="L166" s="4">
        <v>32</v>
      </c>
      <c r="M166" s="4">
        <v>115</v>
      </c>
    </row>
    <row r="167" spans="1:13">
      <c r="A167" s="3" t="s">
        <v>712</v>
      </c>
      <c r="B167" s="4">
        <v>0</v>
      </c>
      <c r="C167" s="4">
        <v>10</v>
      </c>
      <c r="D167" s="4">
        <v>25</v>
      </c>
      <c r="E167" s="4">
        <v>0</v>
      </c>
      <c r="F167" s="4">
        <v>40</v>
      </c>
      <c r="G167" s="4">
        <v>0</v>
      </c>
      <c r="H167" s="4">
        <v>20</v>
      </c>
      <c r="I167" s="4">
        <v>20</v>
      </c>
      <c r="J167" s="4">
        <v>10</v>
      </c>
      <c r="K167" s="4">
        <v>0</v>
      </c>
      <c r="L167" s="4">
        <v>0</v>
      </c>
      <c r="M167" s="4">
        <v>0</v>
      </c>
    </row>
    <row r="168" spans="1:13">
      <c r="A168" s="3" t="s">
        <v>713</v>
      </c>
      <c r="B168" s="4">
        <v>95</v>
      </c>
      <c r="C168" s="4">
        <v>85</v>
      </c>
      <c r="D168" s="4">
        <v>80</v>
      </c>
      <c r="E168" s="4">
        <v>70</v>
      </c>
      <c r="F168" s="4">
        <v>117</v>
      </c>
      <c r="G168" s="4">
        <v>70</v>
      </c>
      <c r="H168" s="4">
        <v>70</v>
      </c>
      <c r="I168" s="4">
        <v>40</v>
      </c>
      <c r="J168" s="4">
        <v>135</v>
      </c>
      <c r="K168" s="4">
        <v>80</v>
      </c>
      <c r="L168" s="4">
        <v>50</v>
      </c>
      <c r="M168" s="4">
        <v>330</v>
      </c>
    </row>
    <row r="169" spans="1:13">
      <c r="A169" s="3" t="s">
        <v>714</v>
      </c>
      <c r="B169" s="4">
        <v>64</v>
      </c>
      <c r="C169" s="4">
        <v>0</v>
      </c>
      <c r="D169" s="4">
        <v>20</v>
      </c>
      <c r="E169" s="4">
        <v>0</v>
      </c>
      <c r="F169" s="4">
        <v>15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20</v>
      </c>
      <c r="M169" s="4">
        <v>35</v>
      </c>
    </row>
    <row r="170" spans="1:13">
      <c r="A170" s="3" t="s">
        <v>715</v>
      </c>
      <c r="B170" s="4">
        <v>80</v>
      </c>
      <c r="C170" s="4">
        <v>191.65</v>
      </c>
      <c r="D170" s="4">
        <v>197.5</v>
      </c>
      <c r="E170" s="4">
        <v>170</v>
      </c>
      <c r="F170" s="4">
        <v>130</v>
      </c>
      <c r="G170" s="4">
        <v>105</v>
      </c>
      <c r="H170" s="4">
        <v>111</v>
      </c>
      <c r="I170" s="4">
        <v>78</v>
      </c>
      <c r="J170" s="4">
        <v>110.5</v>
      </c>
      <c r="K170" s="4">
        <v>152.5</v>
      </c>
      <c r="L170" s="4">
        <v>128.5</v>
      </c>
      <c r="M170" s="4">
        <v>77</v>
      </c>
    </row>
    <row r="171" spans="1:13">
      <c r="A171" s="3" t="s">
        <v>716</v>
      </c>
      <c r="B171" s="4">
        <v>54</v>
      </c>
      <c r="C171" s="4">
        <v>89.5</v>
      </c>
      <c r="D171" s="4">
        <v>70</v>
      </c>
      <c r="E171" s="4">
        <v>50</v>
      </c>
      <c r="F171" s="4">
        <v>42</v>
      </c>
      <c r="G171" s="4">
        <v>20</v>
      </c>
      <c r="H171" s="4">
        <v>17.5</v>
      </c>
      <c r="I171" s="4">
        <v>0</v>
      </c>
      <c r="J171" s="4">
        <v>45</v>
      </c>
      <c r="K171" s="4">
        <v>35</v>
      </c>
      <c r="L171" s="4">
        <v>35</v>
      </c>
      <c r="M171" s="4">
        <v>40</v>
      </c>
    </row>
    <row r="172" spans="1:13">
      <c r="A172" s="3" t="s">
        <v>717</v>
      </c>
      <c r="B172" s="4">
        <v>52</v>
      </c>
      <c r="C172" s="4">
        <v>72</v>
      </c>
      <c r="D172" s="4">
        <v>86.5</v>
      </c>
      <c r="E172" s="4">
        <v>106</v>
      </c>
      <c r="F172" s="4">
        <v>65</v>
      </c>
      <c r="G172" s="4">
        <v>94.5</v>
      </c>
      <c r="H172" s="4">
        <v>70</v>
      </c>
      <c r="I172" s="4">
        <v>45</v>
      </c>
      <c r="J172" s="4">
        <v>64</v>
      </c>
      <c r="K172" s="4">
        <v>50</v>
      </c>
      <c r="L172" s="4">
        <v>40</v>
      </c>
      <c r="M172" s="4">
        <v>106.5</v>
      </c>
    </row>
    <row r="173" spans="1:13">
      <c r="A173" s="3" t="s">
        <v>718</v>
      </c>
      <c r="B173" s="4">
        <v>176</v>
      </c>
      <c r="C173" s="4">
        <v>217</v>
      </c>
      <c r="D173" s="4">
        <v>310</v>
      </c>
      <c r="E173" s="4">
        <v>196</v>
      </c>
      <c r="F173" s="4">
        <v>465</v>
      </c>
      <c r="G173" s="4">
        <v>562.65</v>
      </c>
      <c r="H173" s="4">
        <v>217</v>
      </c>
      <c r="I173" s="4">
        <v>155</v>
      </c>
      <c r="J173" s="4">
        <v>403</v>
      </c>
      <c r="K173" s="4">
        <v>605</v>
      </c>
      <c r="L173" s="4">
        <v>243</v>
      </c>
      <c r="M173" s="4">
        <v>620</v>
      </c>
    </row>
    <row r="174" spans="1:13">
      <c r="A174" s="3" t="s">
        <v>719</v>
      </c>
      <c r="B174" s="4">
        <v>125</v>
      </c>
      <c r="C174" s="4">
        <v>195</v>
      </c>
      <c r="D174" s="4">
        <v>234</v>
      </c>
      <c r="E174" s="4">
        <v>105</v>
      </c>
      <c r="F174" s="4">
        <v>140</v>
      </c>
      <c r="G174" s="4">
        <v>85</v>
      </c>
      <c r="H174" s="4">
        <v>140</v>
      </c>
      <c r="I174" s="4">
        <v>131</v>
      </c>
      <c r="J174" s="4">
        <v>288.5</v>
      </c>
      <c r="K174" s="4">
        <v>150</v>
      </c>
      <c r="L174" s="4">
        <v>150</v>
      </c>
      <c r="M174" s="4">
        <v>207.5</v>
      </c>
    </row>
    <row r="175" spans="1:13">
      <c r="A175" s="3" t="s">
        <v>720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20</v>
      </c>
      <c r="H175" s="4">
        <v>0</v>
      </c>
      <c r="I175" s="4">
        <v>20</v>
      </c>
      <c r="J175" s="4">
        <v>0</v>
      </c>
      <c r="K175" s="4">
        <v>0</v>
      </c>
      <c r="L175" s="4">
        <v>0</v>
      </c>
      <c r="M175" s="4">
        <v>0</v>
      </c>
    </row>
    <row r="176" spans="1:13">
      <c r="A176" s="3" t="s">
        <v>721</v>
      </c>
      <c r="B176" s="4">
        <v>15</v>
      </c>
      <c r="C176" s="4">
        <v>20</v>
      </c>
      <c r="D176" s="4">
        <v>35</v>
      </c>
      <c r="E176" s="4">
        <v>45</v>
      </c>
      <c r="F176" s="4">
        <v>0</v>
      </c>
      <c r="G176" s="4">
        <v>0</v>
      </c>
      <c r="H176" s="4">
        <v>20</v>
      </c>
      <c r="I176" s="4">
        <v>0</v>
      </c>
      <c r="J176" s="4">
        <v>15</v>
      </c>
      <c r="K176" s="4">
        <v>10</v>
      </c>
      <c r="L176" s="4">
        <v>15</v>
      </c>
      <c r="M176" s="4">
        <v>55</v>
      </c>
    </row>
    <row r="177" spans="1:13">
      <c r="A177" s="3" t="s">
        <v>722</v>
      </c>
      <c r="B177" s="4">
        <v>0</v>
      </c>
      <c r="C177" s="4">
        <v>0</v>
      </c>
      <c r="D177" s="4">
        <v>8</v>
      </c>
      <c r="E177" s="4">
        <v>37</v>
      </c>
      <c r="F177" s="4">
        <v>15</v>
      </c>
      <c r="G177" s="4">
        <v>15</v>
      </c>
      <c r="H177" s="4">
        <v>0</v>
      </c>
      <c r="I177" s="4">
        <v>5</v>
      </c>
      <c r="J177" s="4">
        <v>23.45</v>
      </c>
      <c r="K177" s="4">
        <v>38</v>
      </c>
      <c r="L177" s="4">
        <v>18</v>
      </c>
      <c r="M177" s="4">
        <v>34</v>
      </c>
    </row>
    <row r="178" spans="1:13">
      <c r="A178" s="3" t="s">
        <v>723</v>
      </c>
      <c r="B178" s="4">
        <v>0</v>
      </c>
      <c r="C178" s="4">
        <v>83</v>
      </c>
      <c r="D178" s="4">
        <v>10</v>
      </c>
      <c r="E178" s="4">
        <v>15</v>
      </c>
      <c r="F178" s="4">
        <v>17</v>
      </c>
      <c r="G178" s="4">
        <v>17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</row>
    <row r="179" spans="1:13">
      <c r="A179" s="3" t="s">
        <v>724</v>
      </c>
      <c r="B179" s="4">
        <v>375.6</v>
      </c>
      <c r="C179" s="4">
        <v>250.75</v>
      </c>
      <c r="D179" s="4">
        <v>266</v>
      </c>
      <c r="E179" s="4">
        <v>378.5</v>
      </c>
      <c r="F179" s="4">
        <v>300.5</v>
      </c>
      <c r="G179" s="4">
        <v>294.25</v>
      </c>
      <c r="H179" s="4">
        <v>255.2</v>
      </c>
      <c r="I179" s="4">
        <v>225.55</v>
      </c>
      <c r="J179" s="4">
        <v>324</v>
      </c>
      <c r="K179" s="4">
        <v>208</v>
      </c>
      <c r="L179" s="4">
        <v>260.14999999999998</v>
      </c>
      <c r="M179" s="4">
        <v>380</v>
      </c>
    </row>
    <row r="180" spans="1:13">
      <c r="A180" s="3" t="s">
        <v>725</v>
      </c>
      <c r="B180" s="4">
        <v>93.5</v>
      </c>
      <c r="C180" s="4">
        <v>118.45</v>
      </c>
      <c r="D180" s="4">
        <v>128.25</v>
      </c>
      <c r="E180" s="4">
        <v>119.5</v>
      </c>
      <c r="F180" s="4">
        <v>99.5</v>
      </c>
      <c r="G180" s="4">
        <v>134.75</v>
      </c>
      <c r="H180" s="4">
        <v>94.25</v>
      </c>
      <c r="I180" s="4">
        <v>124.5</v>
      </c>
      <c r="J180" s="4">
        <v>113.25</v>
      </c>
      <c r="K180" s="4">
        <v>98.5</v>
      </c>
      <c r="L180" s="4">
        <v>108.5</v>
      </c>
      <c r="M180" s="4">
        <v>104.25</v>
      </c>
    </row>
    <row r="181" spans="1:13">
      <c r="A181" s="3" t="s">
        <v>726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11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3" t="s">
        <v>727</v>
      </c>
      <c r="B182" s="4">
        <v>122.5</v>
      </c>
      <c r="C182" s="4">
        <v>0</v>
      </c>
      <c r="D182" s="4">
        <v>10</v>
      </c>
      <c r="E182" s="4">
        <v>70</v>
      </c>
      <c r="F182" s="4">
        <v>35</v>
      </c>
      <c r="G182" s="4">
        <v>50</v>
      </c>
      <c r="H182" s="4">
        <v>46</v>
      </c>
      <c r="I182" s="4">
        <v>26</v>
      </c>
      <c r="J182" s="4">
        <v>25</v>
      </c>
      <c r="K182" s="4">
        <v>0</v>
      </c>
      <c r="L182" s="4">
        <v>70</v>
      </c>
      <c r="M182" s="4">
        <v>35</v>
      </c>
    </row>
    <row r="183" spans="1:13">
      <c r="A183" s="3" t="s">
        <v>728</v>
      </c>
      <c r="B183" s="4">
        <v>80</v>
      </c>
      <c r="C183" s="4">
        <v>50</v>
      </c>
      <c r="D183" s="4">
        <v>100</v>
      </c>
      <c r="E183" s="4">
        <v>89.5</v>
      </c>
      <c r="F183" s="4">
        <v>68.5</v>
      </c>
      <c r="G183" s="4">
        <v>82.5</v>
      </c>
      <c r="H183" s="4">
        <v>65</v>
      </c>
      <c r="I183" s="4">
        <v>49.5</v>
      </c>
      <c r="J183" s="4">
        <v>135</v>
      </c>
      <c r="K183" s="4">
        <v>170</v>
      </c>
      <c r="L183" s="4">
        <v>146</v>
      </c>
      <c r="M183" s="4">
        <v>177.5</v>
      </c>
    </row>
    <row r="184" spans="1:13">
      <c r="A184" s="3" t="s">
        <v>729</v>
      </c>
      <c r="B184" s="4">
        <v>24</v>
      </c>
      <c r="C184" s="4">
        <v>0</v>
      </c>
      <c r="D184" s="4">
        <v>0</v>
      </c>
      <c r="E184" s="4">
        <v>15</v>
      </c>
      <c r="F184" s="4">
        <v>60</v>
      </c>
      <c r="G184" s="4">
        <v>78.75</v>
      </c>
      <c r="H184" s="4">
        <v>60</v>
      </c>
      <c r="I184" s="4">
        <v>0</v>
      </c>
      <c r="J184" s="4">
        <v>55</v>
      </c>
      <c r="K184" s="4">
        <v>15</v>
      </c>
      <c r="L184" s="4">
        <v>29</v>
      </c>
      <c r="M184" s="4">
        <v>0</v>
      </c>
    </row>
    <row r="185" spans="1:13">
      <c r="A185" s="3" t="s">
        <v>730</v>
      </c>
      <c r="B185" s="4">
        <v>45</v>
      </c>
      <c r="C185" s="4">
        <v>10</v>
      </c>
      <c r="D185" s="4">
        <v>20</v>
      </c>
      <c r="E185" s="4">
        <v>13.5</v>
      </c>
      <c r="F185" s="4">
        <v>20</v>
      </c>
      <c r="G185" s="4">
        <v>5</v>
      </c>
      <c r="H185" s="4">
        <v>13.4</v>
      </c>
      <c r="I185" s="4">
        <v>0</v>
      </c>
      <c r="J185" s="4">
        <v>88.5</v>
      </c>
      <c r="K185" s="4">
        <v>35</v>
      </c>
      <c r="L185" s="4">
        <v>7.85</v>
      </c>
      <c r="M185" s="4">
        <v>0</v>
      </c>
    </row>
    <row r="186" spans="1:13">
      <c r="A186" s="3" t="s">
        <v>731</v>
      </c>
      <c r="B186" s="4">
        <v>10</v>
      </c>
      <c r="C186" s="4">
        <v>0</v>
      </c>
      <c r="D186" s="4">
        <v>15</v>
      </c>
      <c r="E186" s="4">
        <v>10</v>
      </c>
      <c r="F186" s="4">
        <v>0</v>
      </c>
      <c r="G186" s="4">
        <v>0</v>
      </c>
      <c r="H186" s="4">
        <v>0</v>
      </c>
      <c r="I186" s="4">
        <v>0</v>
      </c>
      <c r="J186" s="4">
        <v>7.5</v>
      </c>
      <c r="K186" s="4">
        <v>0</v>
      </c>
      <c r="L186" s="4">
        <v>0</v>
      </c>
      <c r="M186" s="4">
        <v>0</v>
      </c>
    </row>
    <row r="187" spans="1:13">
      <c r="A187" s="3" t="s">
        <v>732</v>
      </c>
      <c r="B187" s="4">
        <v>28</v>
      </c>
      <c r="C187" s="4">
        <v>0</v>
      </c>
      <c r="D187" s="4">
        <v>15</v>
      </c>
      <c r="E187" s="4">
        <v>35</v>
      </c>
      <c r="F187" s="4">
        <v>17</v>
      </c>
      <c r="G187" s="4">
        <v>22.5</v>
      </c>
      <c r="H187" s="4">
        <v>37.5</v>
      </c>
      <c r="I187" s="4">
        <v>5</v>
      </c>
      <c r="J187" s="4">
        <v>32.5</v>
      </c>
      <c r="K187" s="4">
        <v>32.5</v>
      </c>
      <c r="L187" s="4">
        <v>27.5</v>
      </c>
      <c r="M187" s="4">
        <v>12.5</v>
      </c>
    </row>
    <row r="188" spans="1:13">
      <c r="A188" s="3" t="s">
        <v>733</v>
      </c>
      <c r="B188" s="4">
        <v>50</v>
      </c>
      <c r="C188" s="4">
        <v>0</v>
      </c>
      <c r="D188" s="4">
        <v>103</v>
      </c>
      <c r="E188" s="4">
        <v>53</v>
      </c>
      <c r="F188" s="4">
        <v>22</v>
      </c>
      <c r="G188" s="4">
        <v>100</v>
      </c>
      <c r="H188" s="4">
        <v>53</v>
      </c>
      <c r="I188" s="4">
        <v>50</v>
      </c>
      <c r="J188" s="4">
        <v>51</v>
      </c>
      <c r="K188" s="4">
        <v>75.5</v>
      </c>
      <c r="L188" s="4">
        <v>0</v>
      </c>
      <c r="M188" s="4">
        <v>50</v>
      </c>
    </row>
    <row r="189" spans="1:13">
      <c r="A189" s="3" t="s">
        <v>734</v>
      </c>
      <c r="B189" s="4">
        <v>10</v>
      </c>
      <c r="C189" s="4">
        <v>0</v>
      </c>
      <c r="D189" s="4">
        <v>10</v>
      </c>
      <c r="E189" s="4">
        <v>12.5</v>
      </c>
      <c r="F189" s="4">
        <v>10</v>
      </c>
      <c r="G189" s="4">
        <v>0</v>
      </c>
      <c r="H189" s="4">
        <v>10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>
      <c r="A190" s="3" t="s">
        <v>735</v>
      </c>
      <c r="B190" s="4">
        <v>43</v>
      </c>
      <c r="C190" s="4">
        <v>62</v>
      </c>
      <c r="D190" s="4">
        <v>25</v>
      </c>
      <c r="E190" s="4">
        <v>33</v>
      </c>
      <c r="F190" s="4">
        <v>19.5</v>
      </c>
      <c r="G190" s="4">
        <v>91.5</v>
      </c>
      <c r="H190" s="4">
        <v>39</v>
      </c>
      <c r="I190" s="4">
        <v>67.5</v>
      </c>
      <c r="J190" s="4">
        <v>92</v>
      </c>
      <c r="K190" s="4">
        <v>15.5</v>
      </c>
      <c r="L190" s="4">
        <v>76.5</v>
      </c>
      <c r="M190" s="4">
        <v>36.5</v>
      </c>
    </row>
    <row r="191" spans="1:13">
      <c r="A191" s="3" t="s">
        <v>736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109</v>
      </c>
      <c r="M191" s="4">
        <v>0</v>
      </c>
    </row>
    <row r="192" spans="1:13">
      <c r="A192" s="3" t="s">
        <v>737</v>
      </c>
      <c r="B192" s="4">
        <v>0</v>
      </c>
      <c r="C192" s="4">
        <v>0</v>
      </c>
      <c r="D192" s="4">
        <v>0</v>
      </c>
      <c r="E192" s="4">
        <v>0</v>
      </c>
      <c r="F192" s="4">
        <v>20</v>
      </c>
      <c r="G192" s="4">
        <v>105</v>
      </c>
      <c r="H192" s="4">
        <v>30</v>
      </c>
      <c r="I192" s="4">
        <v>35</v>
      </c>
      <c r="J192" s="4">
        <v>38.5</v>
      </c>
      <c r="K192" s="4">
        <v>65.5</v>
      </c>
      <c r="L192" s="4">
        <v>0</v>
      </c>
      <c r="M192" s="4">
        <v>42</v>
      </c>
    </row>
    <row r="193" spans="1:13">
      <c r="A193" s="3" t="s">
        <v>738</v>
      </c>
      <c r="B193" s="4">
        <v>43</v>
      </c>
      <c r="C193" s="4">
        <v>105</v>
      </c>
      <c r="D193" s="4">
        <v>95</v>
      </c>
      <c r="E193" s="4">
        <v>136</v>
      </c>
      <c r="F193" s="4">
        <v>152</v>
      </c>
      <c r="G193" s="4">
        <v>158</v>
      </c>
      <c r="H193" s="4">
        <v>154</v>
      </c>
      <c r="I193" s="4">
        <v>92.5</v>
      </c>
      <c r="J193" s="4">
        <v>108</v>
      </c>
      <c r="K193" s="4">
        <v>135</v>
      </c>
      <c r="L193" s="4">
        <v>140</v>
      </c>
      <c r="M193" s="4">
        <v>186</v>
      </c>
    </row>
    <row r="194" spans="1:13">
      <c r="A194" s="3" t="s">
        <v>739</v>
      </c>
      <c r="B194" s="4">
        <v>10</v>
      </c>
      <c r="C194" s="4">
        <v>18.25</v>
      </c>
      <c r="D194" s="4">
        <v>85</v>
      </c>
      <c r="E194" s="4">
        <v>37.5</v>
      </c>
      <c r="F194" s="4">
        <v>80</v>
      </c>
      <c r="G194" s="4">
        <v>30</v>
      </c>
      <c r="H194" s="4">
        <v>30</v>
      </c>
      <c r="I194" s="4">
        <v>5</v>
      </c>
      <c r="J194" s="4">
        <v>56.5</v>
      </c>
      <c r="K194" s="4">
        <v>34.5</v>
      </c>
      <c r="L194" s="4">
        <v>70</v>
      </c>
      <c r="M194" s="4">
        <v>74.5</v>
      </c>
    </row>
    <row r="195" spans="1:13">
      <c r="A195" s="3" t="s">
        <v>740</v>
      </c>
      <c r="B195" s="4">
        <v>41</v>
      </c>
      <c r="C195" s="4">
        <v>0</v>
      </c>
      <c r="D195" s="4">
        <v>25</v>
      </c>
      <c r="E195" s="4">
        <v>22.5</v>
      </c>
      <c r="F195" s="4">
        <v>15</v>
      </c>
      <c r="G195" s="4">
        <v>7.5</v>
      </c>
      <c r="H195" s="4">
        <v>11</v>
      </c>
      <c r="I195" s="4">
        <v>20</v>
      </c>
      <c r="J195" s="4">
        <v>10</v>
      </c>
      <c r="K195" s="4">
        <v>40</v>
      </c>
      <c r="L195" s="4">
        <v>0</v>
      </c>
      <c r="M195" s="4">
        <v>20</v>
      </c>
    </row>
    <row r="196" spans="1:13">
      <c r="A196" s="3" t="s">
        <v>741</v>
      </c>
      <c r="B196" s="4">
        <v>10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</row>
    <row r="197" spans="1:13">
      <c r="A197" s="3" t="s">
        <v>742</v>
      </c>
      <c r="B197" s="4">
        <v>10</v>
      </c>
      <c r="C197" s="4">
        <v>40</v>
      </c>
      <c r="D197" s="4">
        <v>65</v>
      </c>
      <c r="E197" s="4">
        <v>70</v>
      </c>
      <c r="F197" s="4">
        <v>100</v>
      </c>
      <c r="G197" s="4">
        <v>123.5</v>
      </c>
      <c r="H197" s="4">
        <v>95</v>
      </c>
      <c r="I197" s="4">
        <v>55</v>
      </c>
      <c r="J197" s="4">
        <v>84</v>
      </c>
      <c r="K197" s="4">
        <v>95</v>
      </c>
      <c r="L197" s="4">
        <v>138</v>
      </c>
      <c r="M197" s="4">
        <v>325</v>
      </c>
    </row>
    <row r="198" spans="1:13">
      <c r="A198" s="3" t="s">
        <v>743</v>
      </c>
      <c r="B198" s="4">
        <v>0</v>
      </c>
      <c r="C198" s="4">
        <v>0</v>
      </c>
      <c r="D198" s="4">
        <v>0</v>
      </c>
      <c r="E198" s="4">
        <v>0</v>
      </c>
      <c r="F198" s="4">
        <v>120.75</v>
      </c>
      <c r="G198" s="4">
        <v>156</v>
      </c>
      <c r="H198" s="4">
        <v>82.5</v>
      </c>
      <c r="I198" s="4">
        <v>95</v>
      </c>
      <c r="J198" s="4">
        <v>190</v>
      </c>
      <c r="K198" s="4">
        <v>150</v>
      </c>
      <c r="L198" s="4">
        <v>95</v>
      </c>
      <c r="M198" s="4">
        <v>119.5</v>
      </c>
    </row>
    <row r="199" spans="1:13">
      <c r="A199" s="3" t="s">
        <v>744</v>
      </c>
      <c r="B199" s="4">
        <v>38.450000000000003</v>
      </c>
      <c r="C199" s="4">
        <v>5</v>
      </c>
      <c r="D199" s="4">
        <v>56.25</v>
      </c>
      <c r="E199" s="4">
        <v>84.75</v>
      </c>
      <c r="F199" s="4">
        <v>137.5</v>
      </c>
      <c r="G199" s="4">
        <v>85.25</v>
      </c>
      <c r="H199" s="4">
        <v>94</v>
      </c>
      <c r="I199" s="4">
        <v>74.25</v>
      </c>
      <c r="J199" s="4">
        <v>121.5</v>
      </c>
      <c r="K199" s="4">
        <v>68.5</v>
      </c>
      <c r="L199" s="4">
        <v>50</v>
      </c>
      <c r="M199" s="4">
        <v>77.5</v>
      </c>
    </row>
    <row r="200" spans="1:13">
      <c r="A200" s="3" t="s">
        <v>745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</v>
      </c>
      <c r="K200" s="4">
        <v>0</v>
      </c>
      <c r="L200" s="4">
        <v>0</v>
      </c>
      <c r="M200" s="4">
        <v>0</v>
      </c>
    </row>
    <row r="201" spans="1:13">
      <c r="A201" s="3" t="s">
        <v>746</v>
      </c>
      <c r="B201" s="4">
        <v>70</v>
      </c>
      <c r="C201" s="4">
        <v>25</v>
      </c>
      <c r="D201" s="4">
        <v>40</v>
      </c>
      <c r="E201" s="4">
        <v>35</v>
      </c>
      <c r="F201" s="4">
        <v>0</v>
      </c>
      <c r="G201" s="4">
        <v>30</v>
      </c>
      <c r="H201" s="4">
        <v>15</v>
      </c>
      <c r="I201" s="4">
        <v>0</v>
      </c>
      <c r="J201" s="4">
        <v>15</v>
      </c>
      <c r="K201" s="4">
        <v>0</v>
      </c>
      <c r="L201" s="4">
        <v>34.5</v>
      </c>
      <c r="M201" s="4">
        <v>49</v>
      </c>
    </row>
    <row r="202" spans="1:13">
      <c r="A202" s="3" t="s">
        <v>747</v>
      </c>
      <c r="B202" s="4">
        <v>30</v>
      </c>
      <c r="C202" s="4">
        <v>40</v>
      </c>
      <c r="D202" s="4">
        <v>55</v>
      </c>
      <c r="E202" s="4">
        <v>50</v>
      </c>
      <c r="F202" s="4">
        <v>10</v>
      </c>
      <c r="G202" s="4">
        <v>20</v>
      </c>
      <c r="H202" s="4">
        <v>20</v>
      </c>
      <c r="I202" s="4">
        <v>25</v>
      </c>
      <c r="J202" s="4">
        <v>12.5</v>
      </c>
      <c r="K202" s="4">
        <v>20</v>
      </c>
      <c r="L202" s="4">
        <v>20</v>
      </c>
      <c r="M202" s="4">
        <v>55</v>
      </c>
    </row>
    <row r="203" spans="1:13">
      <c r="A203" s="3" t="s">
        <v>748</v>
      </c>
      <c r="B203" s="4">
        <v>31</v>
      </c>
      <c r="C203" s="4">
        <v>45</v>
      </c>
      <c r="D203" s="4">
        <v>32.5</v>
      </c>
      <c r="E203" s="4">
        <v>22.5</v>
      </c>
      <c r="F203" s="4">
        <v>43</v>
      </c>
      <c r="G203" s="4">
        <v>27</v>
      </c>
      <c r="H203" s="4">
        <v>6</v>
      </c>
      <c r="I203" s="4">
        <v>20</v>
      </c>
      <c r="J203" s="4">
        <v>27.75</v>
      </c>
      <c r="K203" s="4">
        <v>0</v>
      </c>
      <c r="L203" s="4">
        <v>0</v>
      </c>
      <c r="M203" s="4">
        <v>0</v>
      </c>
    </row>
    <row r="204" spans="1:13">
      <c r="A204" s="3" t="s">
        <v>749</v>
      </c>
      <c r="B204" s="4">
        <v>55</v>
      </c>
      <c r="C204" s="4">
        <v>20</v>
      </c>
      <c r="D204" s="4">
        <v>30</v>
      </c>
      <c r="E204" s="4">
        <v>42.5</v>
      </c>
      <c r="F204" s="4">
        <v>30</v>
      </c>
      <c r="G204" s="4">
        <v>45</v>
      </c>
      <c r="H204" s="4">
        <v>30</v>
      </c>
      <c r="I204" s="4">
        <v>30</v>
      </c>
      <c r="J204" s="4">
        <v>65</v>
      </c>
      <c r="K204" s="4">
        <v>20</v>
      </c>
      <c r="L204" s="4">
        <v>35</v>
      </c>
      <c r="M204" s="4">
        <v>80</v>
      </c>
    </row>
    <row r="205" spans="1:13">
      <c r="A205" s="3" t="s">
        <v>750</v>
      </c>
      <c r="B205" s="4">
        <v>62</v>
      </c>
      <c r="C205" s="4">
        <v>62</v>
      </c>
      <c r="D205" s="4">
        <v>217</v>
      </c>
      <c r="E205" s="4">
        <v>93</v>
      </c>
      <c r="F205" s="4">
        <v>31</v>
      </c>
      <c r="G205" s="4">
        <v>31</v>
      </c>
      <c r="H205" s="4">
        <v>93</v>
      </c>
      <c r="I205" s="4">
        <v>93</v>
      </c>
      <c r="J205" s="4">
        <v>0</v>
      </c>
      <c r="K205" s="4">
        <v>31</v>
      </c>
      <c r="L205" s="4">
        <v>0</v>
      </c>
      <c r="M205" s="4">
        <v>0</v>
      </c>
    </row>
    <row r="206" spans="1:13">
      <c r="A206" s="3" t="s">
        <v>751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30</v>
      </c>
      <c r="J206" s="4">
        <v>32.5</v>
      </c>
      <c r="K206" s="4">
        <v>0</v>
      </c>
      <c r="L206" s="4">
        <v>0</v>
      </c>
      <c r="M206" s="4">
        <v>0</v>
      </c>
    </row>
    <row r="207" spans="1:13">
      <c r="A207" s="3" t="s">
        <v>752</v>
      </c>
      <c r="B207" s="4">
        <v>70</v>
      </c>
      <c r="C207" s="4">
        <v>120</v>
      </c>
      <c r="D207" s="4">
        <v>170</v>
      </c>
      <c r="E207" s="4">
        <v>170</v>
      </c>
      <c r="F207" s="4">
        <v>120.5</v>
      </c>
      <c r="G207" s="4">
        <v>150</v>
      </c>
      <c r="H207" s="4">
        <v>272</v>
      </c>
      <c r="I207" s="4">
        <v>17.75</v>
      </c>
      <c r="J207" s="4">
        <v>0</v>
      </c>
      <c r="K207" s="4">
        <v>0</v>
      </c>
      <c r="L207" s="4">
        <v>0</v>
      </c>
      <c r="M207" s="4">
        <v>0</v>
      </c>
    </row>
    <row r="208" spans="1:13">
      <c r="A208" s="3" t="s">
        <v>753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60</v>
      </c>
      <c r="K208" s="4">
        <v>10</v>
      </c>
      <c r="L208" s="4">
        <v>0</v>
      </c>
      <c r="M208" s="4">
        <v>0</v>
      </c>
    </row>
    <row r="209" spans="1:13">
      <c r="A209" s="3" t="s">
        <v>754</v>
      </c>
      <c r="B209" s="4">
        <v>0</v>
      </c>
      <c r="C209" s="4">
        <v>15</v>
      </c>
      <c r="D209" s="4">
        <v>0</v>
      </c>
      <c r="E209" s="4">
        <v>12.75</v>
      </c>
      <c r="F209" s="4">
        <v>5</v>
      </c>
      <c r="G209" s="4">
        <v>13</v>
      </c>
      <c r="H209" s="4">
        <v>0</v>
      </c>
      <c r="I209" s="4">
        <v>0</v>
      </c>
      <c r="J209" s="4">
        <v>20</v>
      </c>
      <c r="K209" s="4">
        <v>10</v>
      </c>
      <c r="L209" s="4">
        <v>0</v>
      </c>
      <c r="M209" s="4">
        <v>0</v>
      </c>
    </row>
    <row r="210" spans="1:13">
      <c r="A210" s="3" t="s">
        <v>755</v>
      </c>
      <c r="B210" s="4">
        <v>52</v>
      </c>
      <c r="C210" s="4">
        <v>32.5</v>
      </c>
      <c r="D210" s="4">
        <v>40</v>
      </c>
      <c r="E210" s="4">
        <v>73.099999999999994</v>
      </c>
      <c r="F210" s="4">
        <v>58.25</v>
      </c>
      <c r="G210" s="4">
        <v>44.45</v>
      </c>
      <c r="H210" s="4">
        <v>44</v>
      </c>
      <c r="I210" s="4">
        <v>23.75</v>
      </c>
      <c r="J210" s="4">
        <v>25</v>
      </c>
      <c r="K210" s="4">
        <v>23.75</v>
      </c>
      <c r="L210" s="4">
        <v>23.25</v>
      </c>
      <c r="M210" s="4">
        <v>33.5</v>
      </c>
    </row>
    <row r="211" spans="1:13">
      <c r="A211" s="3" t="s">
        <v>756</v>
      </c>
      <c r="B211" s="4">
        <v>25</v>
      </c>
      <c r="C211" s="4">
        <v>0</v>
      </c>
      <c r="D211" s="4">
        <v>101</v>
      </c>
      <c r="E211" s="4">
        <v>53</v>
      </c>
      <c r="F211" s="4">
        <v>22</v>
      </c>
      <c r="G211" s="4">
        <v>0</v>
      </c>
      <c r="H211" s="4">
        <v>105</v>
      </c>
      <c r="I211" s="4">
        <v>101.5</v>
      </c>
      <c r="J211" s="4">
        <v>100</v>
      </c>
      <c r="K211" s="4">
        <v>51.3</v>
      </c>
      <c r="L211" s="4">
        <v>106</v>
      </c>
      <c r="M211" s="4">
        <v>0</v>
      </c>
    </row>
    <row r="212" spans="1:13">
      <c r="A212" s="3" t="s">
        <v>757</v>
      </c>
      <c r="B212" s="4">
        <v>44</v>
      </c>
      <c r="C212" s="4">
        <v>0</v>
      </c>
      <c r="D212" s="4">
        <v>112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115</v>
      </c>
      <c r="K212" s="4">
        <v>0</v>
      </c>
      <c r="L212" s="4">
        <v>0</v>
      </c>
      <c r="M212" s="4">
        <v>358.5</v>
      </c>
    </row>
    <row r="213" spans="1:13">
      <c r="A213" s="3" t="s">
        <v>758</v>
      </c>
      <c r="B213" s="4">
        <v>105.5</v>
      </c>
      <c r="C213" s="4">
        <v>165.5</v>
      </c>
      <c r="D213" s="4">
        <v>335.5</v>
      </c>
      <c r="E213" s="4">
        <v>217</v>
      </c>
      <c r="F213" s="4">
        <v>148.5</v>
      </c>
      <c r="G213" s="4">
        <v>137.5</v>
      </c>
      <c r="H213" s="4">
        <v>61</v>
      </c>
      <c r="I213" s="4">
        <v>145.5</v>
      </c>
      <c r="J213" s="4">
        <v>233.5</v>
      </c>
      <c r="K213" s="4">
        <v>92.5</v>
      </c>
      <c r="L213" s="4">
        <v>127.5</v>
      </c>
      <c r="M213" s="4">
        <v>178.5</v>
      </c>
    </row>
    <row r="214" spans="1:13">
      <c r="A214" s="3" t="s">
        <v>759</v>
      </c>
      <c r="B214" s="4">
        <v>54.5</v>
      </c>
      <c r="C214" s="4">
        <v>41.5</v>
      </c>
      <c r="D214" s="4">
        <v>126</v>
      </c>
      <c r="E214" s="4">
        <v>81.5</v>
      </c>
      <c r="F214" s="4">
        <v>97</v>
      </c>
      <c r="G214" s="4">
        <v>32.5</v>
      </c>
      <c r="H214" s="4">
        <v>70</v>
      </c>
      <c r="I214" s="4">
        <v>98.5</v>
      </c>
      <c r="J214" s="4">
        <v>94</v>
      </c>
      <c r="K214" s="4">
        <v>57</v>
      </c>
      <c r="L214" s="4">
        <v>77.5</v>
      </c>
      <c r="M214" s="4">
        <v>71</v>
      </c>
    </row>
    <row r="215" spans="1:13">
      <c r="A215" s="3" t="s">
        <v>760</v>
      </c>
      <c r="B215" s="4">
        <v>155</v>
      </c>
      <c r="C215" s="4">
        <v>113.5</v>
      </c>
      <c r="D215" s="4">
        <v>165</v>
      </c>
      <c r="E215" s="4">
        <v>170</v>
      </c>
      <c r="F215" s="4">
        <v>135</v>
      </c>
      <c r="G215" s="4">
        <v>135</v>
      </c>
      <c r="H215" s="4">
        <v>145</v>
      </c>
      <c r="I215" s="4">
        <v>113.5</v>
      </c>
      <c r="J215" s="4">
        <v>265.75</v>
      </c>
      <c r="K215" s="4">
        <v>175</v>
      </c>
      <c r="L215" s="4">
        <v>214</v>
      </c>
      <c r="M215" s="4">
        <v>222.5</v>
      </c>
    </row>
    <row r="216" spans="1:13">
      <c r="A216" s="3" t="s">
        <v>761</v>
      </c>
      <c r="B216" s="4">
        <v>0</v>
      </c>
      <c r="C216" s="4">
        <v>0</v>
      </c>
      <c r="D216" s="4">
        <v>0</v>
      </c>
      <c r="E216" s="4">
        <v>0</v>
      </c>
      <c r="F216" s="4">
        <v>10</v>
      </c>
      <c r="G216" s="4">
        <v>0</v>
      </c>
      <c r="H216" s="4">
        <v>0</v>
      </c>
      <c r="I216" s="4">
        <v>0</v>
      </c>
      <c r="J216" s="4">
        <v>0</v>
      </c>
      <c r="K216" s="4">
        <v>20</v>
      </c>
      <c r="L216" s="4">
        <v>0</v>
      </c>
      <c r="M216" s="4">
        <v>0</v>
      </c>
    </row>
    <row r="217" spans="1:13">
      <c r="A217" s="3" t="s">
        <v>762</v>
      </c>
      <c r="B217" s="4">
        <v>10</v>
      </c>
      <c r="C217" s="4">
        <v>67</v>
      </c>
      <c r="D217" s="4">
        <v>64</v>
      </c>
      <c r="E217" s="4">
        <v>45</v>
      </c>
      <c r="F217" s="4">
        <v>60</v>
      </c>
      <c r="G217" s="4">
        <v>51</v>
      </c>
      <c r="H217" s="4">
        <v>57</v>
      </c>
      <c r="I217" s="4">
        <v>56</v>
      </c>
      <c r="J217" s="4">
        <v>55</v>
      </c>
      <c r="K217" s="4">
        <v>20</v>
      </c>
      <c r="L217" s="4">
        <v>39.75</v>
      </c>
      <c r="M217" s="4">
        <v>10</v>
      </c>
    </row>
    <row r="218" spans="1:13">
      <c r="A218" s="3" t="s">
        <v>763</v>
      </c>
      <c r="B218" s="4">
        <v>0</v>
      </c>
      <c r="C218" s="4">
        <v>0</v>
      </c>
      <c r="D218" s="4">
        <v>0</v>
      </c>
      <c r="E218" s="4">
        <v>7.5</v>
      </c>
      <c r="F218" s="4">
        <v>0</v>
      </c>
      <c r="G218" s="4">
        <v>15</v>
      </c>
      <c r="H218" s="4">
        <v>0</v>
      </c>
      <c r="I218" s="4">
        <v>15</v>
      </c>
      <c r="J218" s="4">
        <v>10</v>
      </c>
      <c r="K218" s="4">
        <v>0</v>
      </c>
      <c r="L218" s="4">
        <v>20</v>
      </c>
      <c r="M218" s="4">
        <v>93</v>
      </c>
    </row>
    <row r="219" spans="1:13">
      <c r="A219" s="3" t="s">
        <v>764</v>
      </c>
      <c r="B219" s="4">
        <v>0</v>
      </c>
      <c r="C219" s="4">
        <v>0</v>
      </c>
      <c r="D219" s="4">
        <v>0</v>
      </c>
      <c r="E219" s="4">
        <v>35</v>
      </c>
      <c r="F219" s="4">
        <v>31</v>
      </c>
      <c r="G219" s="4">
        <v>31</v>
      </c>
      <c r="H219" s="4">
        <v>31</v>
      </c>
      <c r="I219" s="4">
        <v>93</v>
      </c>
      <c r="J219" s="4">
        <v>41</v>
      </c>
      <c r="K219" s="4">
        <v>0</v>
      </c>
      <c r="L219" s="4">
        <v>11</v>
      </c>
      <c r="M219" s="4">
        <v>31</v>
      </c>
    </row>
    <row r="220" spans="1:13">
      <c r="A220" s="3" t="s">
        <v>765</v>
      </c>
      <c r="B220" s="4">
        <v>0</v>
      </c>
      <c r="C220" s="4">
        <v>85</v>
      </c>
      <c r="D220" s="4">
        <v>131</v>
      </c>
      <c r="E220" s="4">
        <v>29.5</v>
      </c>
      <c r="F220" s="4">
        <v>53</v>
      </c>
      <c r="G220" s="4">
        <v>64</v>
      </c>
      <c r="H220" s="4">
        <v>81</v>
      </c>
      <c r="I220" s="4">
        <v>42</v>
      </c>
      <c r="J220" s="4">
        <v>69.5</v>
      </c>
      <c r="K220" s="4">
        <v>67.5</v>
      </c>
      <c r="L220" s="4">
        <v>75</v>
      </c>
      <c r="M220" s="4">
        <v>202.5</v>
      </c>
    </row>
    <row r="221" spans="1:13">
      <c r="A221" s="3" t="s">
        <v>766</v>
      </c>
      <c r="B221" s="4">
        <v>16</v>
      </c>
      <c r="C221" s="4">
        <v>0</v>
      </c>
      <c r="D221" s="4">
        <v>93</v>
      </c>
      <c r="E221" s="4">
        <v>84</v>
      </c>
      <c r="F221" s="4">
        <v>31</v>
      </c>
      <c r="G221" s="4">
        <v>93</v>
      </c>
      <c r="H221" s="4">
        <v>0</v>
      </c>
      <c r="I221" s="4">
        <v>31</v>
      </c>
      <c r="J221" s="4">
        <v>63</v>
      </c>
      <c r="K221" s="4">
        <v>92</v>
      </c>
      <c r="L221" s="4">
        <v>62</v>
      </c>
      <c r="M221" s="4">
        <v>40</v>
      </c>
    </row>
    <row r="222" spans="1:13">
      <c r="A222" s="3" t="s">
        <v>767</v>
      </c>
      <c r="B222" s="4">
        <v>30</v>
      </c>
      <c r="C222" s="4">
        <v>0</v>
      </c>
      <c r="D222" s="4">
        <v>51</v>
      </c>
      <c r="E222" s="4">
        <v>1</v>
      </c>
      <c r="F222" s="4">
        <v>50</v>
      </c>
      <c r="G222" s="4">
        <v>23</v>
      </c>
      <c r="H222" s="4">
        <v>50.5</v>
      </c>
      <c r="I222" s="4">
        <v>0</v>
      </c>
      <c r="J222" s="4">
        <v>0</v>
      </c>
      <c r="K222" s="4">
        <v>90</v>
      </c>
      <c r="L222" s="4">
        <v>0</v>
      </c>
      <c r="M222" s="4">
        <v>0</v>
      </c>
    </row>
    <row r="223" spans="1:13">
      <c r="A223" s="3" t="s">
        <v>768</v>
      </c>
      <c r="B223" s="4">
        <v>0</v>
      </c>
      <c r="C223" s="4">
        <v>0</v>
      </c>
      <c r="D223" s="4">
        <v>76</v>
      </c>
      <c r="E223" s="4">
        <v>89.75</v>
      </c>
      <c r="F223" s="4">
        <v>30.5</v>
      </c>
      <c r="G223" s="4">
        <v>51.3</v>
      </c>
      <c r="H223" s="4">
        <v>51</v>
      </c>
      <c r="I223" s="4">
        <v>20</v>
      </c>
      <c r="J223" s="4">
        <v>21</v>
      </c>
      <c r="K223" s="4">
        <v>80.5</v>
      </c>
      <c r="L223" s="4">
        <v>0</v>
      </c>
      <c r="M223" s="4">
        <v>181</v>
      </c>
    </row>
    <row r="224" spans="1:13">
      <c r="A224" s="3" t="s">
        <v>769</v>
      </c>
      <c r="B224" s="4">
        <v>47.5</v>
      </c>
      <c r="C224" s="4">
        <v>50</v>
      </c>
      <c r="D224" s="4">
        <v>66</v>
      </c>
      <c r="E224" s="4">
        <v>80.5</v>
      </c>
      <c r="F224" s="4">
        <v>100</v>
      </c>
      <c r="G224" s="4">
        <v>100</v>
      </c>
      <c r="H224" s="4">
        <v>83</v>
      </c>
      <c r="I224" s="4">
        <v>51</v>
      </c>
      <c r="J224" s="4">
        <v>215.7</v>
      </c>
      <c r="K224" s="4">
        <v>148</v>
      </c>
      <c r="L224" s="4">
        <v>157</v>
      </c>
      <c r="M224" s="4">
        <v>181.2</v>
      </c>
    </row>
    <row r="225" spans="1:13">
      <c r="A225" s="3" t="s">
        <v>770</v>
      </c>
      <c r="B225" s="4">
        <v>115</v>
      </c>
      <c r="C225" s="4">
        <v>0</v>
      </c>
      <c r="D225" s="4">
        <v>100.5</v>
      </c>
      <c r="E225" s="4">
        <v>14</v>
      </c>
      <c r="F225" s="4">
        <v>12.5</v>
      </c>
      <c r="G225" s="4">
        <v>25</v>
      </c>
      <c r="H225" s="4">
        <v>20</v>
      </c>
      <c r="I225" s="4">
        <v>35</v>
      </c>
      <c r="J225" s="4">
        <v>24.5</v>
      </c>
      <c r="K225" s="4">
        <v>16</v>
      </c>
      <c r="L225" s="4">
        <v>0</v>
      </c>
      <c r="M225" s="4">
        <v>35</v>
      </c>
    </row>
    <row r="226" spans="1:13">
      <c r="A226" s="3" t="s">
        <v>771</v>
      </c>
      <c r="B226" s="4">
        <v>0</v>
      </c>
      <c r="C226" s="4">
        <v>0</v>
      </c>
      <c r="D226" s="4">
        <v>3.5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</row>
    <row r="227" spans="1:13">
      <c r="A227" s="3" t="s">
        <v>772</v>
      </c>
      <c r="B227" s="4">
        <v>20</v>
      </c>
      <c r="C227" s="4">
        <v>20</v>
      </c>
      <c r="D227" s="4">
        <v>30</v>
      </c>
      <c r="E227" s="4">
        <v>40</v>
      </c>
      <c r="F227" s="4">
        <v>2</v>
      </c>
      <c r="G227" s="4">
        <v>0</v>
      </c>
      <c r="H227" s="4">
        <v>150</v>
      </c>
      <c r="I227" s="4">
        <v>95</v>
      </c>
      <c r="J227" s="4">
        <v>35</v>
      </c>
      <c r="K227" s="4">
        <v>40</v>
      </c>
      <c r="L227" s="4">
        <v>0</v>
      </c>
      <c r="M227" s="4">
        <v>0</v>
      </c>
    </row>
    <row r="228" spans="1:13">
      <c r="A228" s="3" t="s">
        <v>773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15</v>
      </c>
      <c r="M228" s="4">
        <v>0</v>
      </c>
    </row>
    <row r="229" spans="1:13">
      <c r="A229" s="3" t="s">
        <v>774</v>
      </c>
      <c r="B229" s="4">
        <v>35</v>
      </c>
      <c r="C229" s="4">
        <v>20</v>
      </c>
      <c r="D229" s="4">
        <v>20</v>
      </c>
      <c r="E229" s="4">
        <v>35</v>
      </c>
      <c r="F229" s="4">
        <v>0</v>
      </c>
      <c r="G229" s="4">
        <v>30</v>
      </c>
      <c r="H229" s="4">
        <v>20</v>
      </c>
      <c r="I229" s="4">
        <v>15</v>
      </c>
      <c r="J229" s="4">
        <v>20</v>
      </c>
      <c r="K229" s="4">
        <v>50</v>
      </c>
      <c r="L229" s="4">
        <v>55</v>
      </c>
      <c r="M229" s="4">
        <v>0</v>
      </c>
    </row>
    <row r="230" spans="1:13">
      <c r="A230" s="3" t="s">
        <v>775</v>
      </c>
      <c r="B230" s="4">
        <v>0</v>
      </c>
      <c r="C230" s="4">
        <v>0</v>
      </c>
      <c r="D230" s="4">
        <v>0</v>
      </c>
      <c r="E230" s="4">
        <v>0</v>
      </c>
      <c r="F230" s="4">
        <v>10</v>
      </c>
      <c r="G230" s="4">
        <v>0</v>
      </c>
      <c r="H230" s="4">
        <v>31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</row>
    <row r="231" spans="1:13">
      <c r="A231" s="3" t="s">
        <v>776</v>
      </c>
      <c r="B231" s="4">
        <v>0</v>
      </c>
      <c r="C231" s="4">
        <v>0</v>
      </c>
      <c r="D231" s="4">
        <v>100.5</v>
      </c>
      <c r="E231" s="4">
        <v>56</v>
      </c>
      <c r="F231" s="4">
        <v>30</v>
      </c>
      <c r="G231" s="4">
        <v>40</v>
      </c>
      <c r="H231" s="4">
        <v>76</v>
      </c>
      <c r="I231" s="4">
        <v>101</v>
      </c>
      <c r="J231" s="4">
        <v>40</v>
      </c>
      <c r="K231" s="4">
        <v>50</v>
      </c>
      <c r="L231" s="4">
        <v>0</v>
      </c>
      <c r="M231" s="4">
        <v>110</v>
      </c>
    </row>
    <row r="232" spans="1:13">
      <c r="A232" s="3" t="s">
        <v>777</v>
      </c>
      <c r="B232" s="4">
        <v>15</v>
      </c>
      <c r="C232" s="4">
        <v>0</v>
      </c>
      <c r="D232" s="4">
        <v>69.5</v>
      </c>
      <c r="E232" s="4">
        <v>63.5</v>
      </c>
      <c r="F232" s="4">
        <v>21.5</v>
      </c>
      <c r="G232" s="4">
        <v>20.5</v>
      </c>
      <c r="H232" s="4">
        <v>15</v>
      </c>
      <c r="I232" s="4">
        <v>10</v>
      </c>
      <c r="J232" s="4">
        <v>20</v>
      </c>
      <c r="K232" s="4">
        <v>30</v>
      </c>
      <c r="L232" s="4">
        <v>20</v>
      </c>
      <c r="M232" s="4">
        <v>20</v>
      </c>
    </row>
    <row r="233" spans="1:13">
      <c r="A233" s="3" t="s">
        <v>778</v>
      </c>
      <c r="B233" s="4">
        <v>0</v>
      </c>
      <c r="C233" s="4">
        <v>30</v>
      </c>
      <c r="D233" s="4">
        <v>15</v>
      </c>
      <c r="E233" s="4">
        <v>47.75</v>
      </c>
      <c r="F233" s="4">
        <v>5</v>
      </c>
      <c r="G233" s="4">
        <v>72.5</v>
      </c>
      <c r="H233" s="4">
        <v>50</v>
      </c>
      <c r="I233" s="4">
        <v>54.25</v>
      </c>
      <c r="J233" s="4">
        <v>25</v>
      </c>
      <c r="K233" s="4">
        <v>50</v>
      </c>
      <c r="L233" s="4">
        <v>27.5</v>
      </c>
      <c r="M233" s="4">
        <v>32.5</v>
      </c>
    </row>
    <row r="234" spans="1:13">
      <c r="A234" s="3" t="s">
        <v>779</v>
      </c>
      <c r="B234" s="4">
        <v>70</v>
      </c>
      <c r="C234" s="4">
        <v>67.5</v>
      </c>
      <c r="D234" s="4">
        <v>157.5</v>
      </c>
      <c r="E234" s="4">
        <v>55</v>
      </c>
      <c r="F234" s="4">
        <v>64</v>
      </c>
      <c r="G234" s="4">
        <v>98.5</v>
      </c>
      <c r="H234" s="4">
        <v>95</v>
      </c>
      <c r="I234" s="4">
        <v>54.5</v>
      </c>
      <c r="J234" s="4">
        <v>144.5</v>
      </c>
      <c r="K234" s="4">
        <v>54.5</v>
      </c>
      <c r="L234" s="4">
        <v>104.5</v>
      </c>
      <c r="M234" s="4">
        <v>237</v>
      </c>
    </row>
    <row r="235" spans="1:13">
      <c r="A235" s="3" t="s">
        <v>780</v>
      </c>
      <c r="B235" s="4">
        <v>100</v>
      </c>
      <c r="C235" s="4">
        <v>0</v>
      </c>
      <c r="D235" s="4">
        <v>102</v>
      </c>
      <c r="E235" s="4">
        <v>105.95</v>
      </c>
      <c r="F235" s="4">
        <v>2</v>
      </c>
      <c r="G235" s="4">
        <v>100</v>
      </c>
      <c r="H235" s="4">
        <v>76</v>
      </c>
      <c r="I235" s="4">
        <v>76.45</v>
      </c>
      <c r="J235" s="4">
        <v>0</v>
      </c>
      <c r="K235" s="4">
        <v>57.5</v>
      </c>
      <c r="L235" s="4">
        <v>106</v>
      </c>
      <c r="M235" s="4">
        <v>0</v>
      </c>
    </row>
    <row r="236" spans="1:13">
      <c r="A236" s="3" t="s">
        <v>781</v>
      </c>
      <c r="B236" s="4">
        <v>0</v>
      </c>
      <c r="C236" s="4">
        <v>30</v>
      </c>
      <c r="D236" s="4">
        <v>0</v>
      </c>
      <c r="E236" s="4">
        <v>30</v>
      </c>
      <c r="F236" s="4">
        <v>20</v>
      </c>
      <c r="G236" s="4">
        <v>30</v>
      </c>
      <c r="H236" s="4">
        <v>30</v>
      </c>
      <c r="I236" s="4">
        <v>60</v>
      </c>
      <c r="J236" s="4">
        <v>0</v>
      </c>
      <c r="K236" s="4">
        <v>50</v>
      </c>
      <c r="L236" s="4">
        <v>10</v>
      </c>
      <c r="M236" s="4">
        <v>150</v>
      </c>
    </row>
    <row r="237" spans="1:13">
      <c r="A237" s="3" t="s">
        <v>782</v>
      </c>
      <c r="B237" s="4">
        <v>20</v>
      </c>
      <c r="C237" s="4">
        <v>35</v>
      </c>
      <c r="D237" s="4">
        <v>40</v>
      </c>
      <c r="E237" s="4">
        <v>90</v>
      </c>
      <c r="F237" s="4">
        <v>15</v>
      </c>
      <c r="G237" s="4">
        <v>15</v>
      </c>
      <c r="H237" s="4">
        <v>52</v>
      </c>
      <c r="I237" s="4">
        <v>25</v>
      </c>
      <c r="J237" s="4">
        <v>10</v>
      </c>
      <c r="K237" s="4">
        <v>42</v>
      </c>
      <c r="L237" s="4">
        <v>15</v>
      </c>
      <c r="M237" s="4">
        <v>20</v>
      </c>
    </row>
    <row r="238" spans="1:13">
      <c r="A238" s="3" t="s">
        <v>783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10</v>
      </c>
    </row>
    <row r="239" spans="1:13">
      <c r="A239" s="3" t="s">
        <v>784</v>
      </c>
      <c r="B239" s="4">
        <v>0</v>
      </c>
      <c r="C239" s="4">
        <v>69</v>
      </c>
      <c r="D239" s="4">
        <v>114</v>
      </c>
      <c r="E239" s="4">
        <v>60</v>
      </c>
      <c r="F239" s="4">
        <v>75</v>
      </c>
      <c r="G239" s="4">
        <v>53.5</v>
      </c>
      <c r="H239" s="4">
        <v>30</v>
      </c>
      <c r="I239" s="4">
        <v>103.5</v>
      </c>
      <c r="J239" s="4">
        <v>88</v>
      </c>
      <c r="K239" s="4">
        <v>56</v>
      </c>
      <c r="L239" s="4">
        <v>120</v>
      </c>
      <c r="M239" s="4">
        <v>134</v>
      </c>
    </row>
    <row r="240" spans="1:13">
      <c r="A240" s="3" t="s">
        <v>785</v>
      </c>
      <c r="B240" s="4">
        <v>126.5</v>
      </c>
      <c r="C240" s="4">
        <v>93</v>
      </c>
      <c r="D240" s="4">
        <v>70</v>
      </c>
      <c r="E240" s="4">
        <v>134</v>
      </c>
      <c r="F240" s="4">
        <v>92</v>
      </c>
      <c r="G240" s="4">
        <v>86.5</v>
      </c>
      <c r="H240" s="4">
        <v>150</v>
      </c>
      <c r="I240" s="4">
        <v>30</v>
      </c>
      <c r="J240" s="4">
        <v>127.5</v>
      </c>
      <c r="K240" s="4">
        <v>75</v>
      </c>
      <c r="L240" s="4">
        <v>110</v>
      </c>
      <c r="M240" s="4">
        <v>115</v>
      </c>
    </row>
    <row r="241" spans="1:13">
      <c r="A241" s="3" t="s">
        <v>786</v>
      </c>
      <c r="B241" s="4">
        <v>56.5</v>
      </c>
      <c r="C241" s="4">
        <v>40</v>
      </c>
      <c r="D241" s="4">
        <v>43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>
      <c r="A242" s="3" t="s">
        <v>787</v>
      </c>
      <c r="B242" s="4">
        <v>288.5</v>
      </c>
      <c r="C242" s="4">
        <v>163.5</v>
      </c>
      <c r="D242" s="4">
        <v>229</v>
      </c>
      <c r="E242" s="4">
        <v>50</v>
      </c>
      <c r="F242" s="4">
        <v>42</v>
      </c>
      <c r="G242" s="4">
        <v>258.5</v>
      </c>
      <c r="H242" s="4">
        <v>158</v>
      </c>
      <c r="I242" s="4">
        <v>84</v>
      </c>
      <c r="J242" s="4">
        <v>259</v>
      </c>
      <c r="K242" s="4">
        <v>126</v>
      </c>
      <c r="L242" s="4">
        <v>222</v>
      </c>
      <c r="M242" s="4">
        <v>215</v>
      </c>
    </row>
    <row r="243" spans="1:13">
      <c r="A243" s="3" t="s">
        <v>788</v>
      </c>
      <c r="B243" s="4">
        <v>93</v>
      </c>
      <c r="C243" s="4">
        <v>32</v>
      </c>
      <c r="D243" s="4">
        <v>27.5</v>
      </c>
      <c r="E243" s="4">
        <v>64.05</v>
      </c>
      <c r="F243" s="4">
        <v>22.5</v>
      </c>
      <c r="G243" s="4">
        <v>62</v>
      </c>
      <c r="H243" s="4">
        <v>27</v>
      </c>
      <c r="I243" s="4">
        <v>0</v>
      </c>
      <c r="J243" s="4">
        <v>43.05</v>
      </c>
      <c r="K243" s="4">
        <v>63.5</v>
      </c>
      <c r="L243" s="4">
        <v>30</v>
      </c>
      <c r="M243" s="4">
        <v>50</v>
      </c>
    </row>
    <row r="244" spans="1:13">
      <c r="A244" s="3" t="s">
        <v>789</v>
      </c>
      <c r="B244" s="4">
        <v>29</v>
      </c>
      <c r="C244" s="4">
        <v>30</v>
      </c>
      <c r="D244" s="4">
        <v>15</v>
      </c>
      <c r="E244" s="4">
        <v>20</v>
      </c>
      <c r="F244" s="4">
        <v>28.5</v>
      </c>
      <c r="G244" s="4">
        <v>29.5</v>
      </c>
      <c r="H244" s="4">
        <v>10</v>
      </c>
      <c r="I244" s="4">
        <v>20</v>
      </c>
      <c r="J244" s="4">
        <v>55</v>
      </c>
      <c r="K244" s="4">
        <v>40</v>
      </c>
      <c r="L244" s="4">
        <v>0</v>
      </c>
      <c r="M244" s="4">
        <v>124.5</v>
      </c>
    </row>
    <row r="245" spans="1:13">
      <c r="A245" s="3" t="s">
        <v>790</v>
      </c>
      <c r="B245" s="4">
        <v>0</v>
      </c>
      <c r="C245" s="4">
        <v>0</v>
      </c>
      <c r="D245" s="4">
        <v>0</v>
      </c>
      <c r="E245" s="4">
        <v>53</v>
      </c>
      <c r="F245" s="4">
        <v>15</v>
      </c>
      <c r="G245" s="4">
        <v>31</v>
      </c>
      <c r="H245" s="4">
        <v>0</v>
      </c>
      <c r="I245" s="4">
        <v>124</v>
      </c>
      <c r="J245" s="4">
        <v>41</v>
      </c>
      <c r="K245" s="4">
        <v>0</v>
      </c>
      <c r="L245" s="4">
        <v>108</v>
      </c>
      <c r="M245" s="4">
        <v>124</v>
      </c>
    </row>
    <row r="246" spans="1:13">
      <c r="A246" s="3" t="s">
        <v>791</v>
      </c>
      <c r="B246" s="4">
        <v>0</v>
      </c>
      <c r="C246" s="4">
        <v>0</v>
      </c>
      <c r="D246" s="4">
        <v>0</v>
      </c>
      <c r="E246" s="4">
        <v>44.5</v>
      </c>
      <c r="F246" s="4">
        <v>53</v>
      </c>
      <c r="G246" s="4">
        <v>37.5</v>
      </c>
      <c r="H246" s="4">
        <v>0</v>
      </c>
      <c r="I246" s="4">
        <v>17.5</v>
      </c>
      <c r="J246" s="4">
        <v>50.5</v>
      </c>
      <c r="K246" s="4">
        <v>28.75</v>
      </c>
      <c r="L246" s="4">
        <v>59.75</v>
      </c>
      <c r="M246" s="4">
        <v>119</v>
      </c>
    </row>
    <row r="247" spans="1:13">
      <c r="A247" s="3" t="s">
        <v>792</v>
      </c>
      <c r="B247" s="4">
        <v>45</v>
      </c>
      <c r="C247" s="4">
        <v>0</v>
      </c>
      <c r="D247" s="4">
        <v>0</v>
      </c>
      <c r="E247" s="4">
        <v>10</v>
      </c>
      <c r="F247" s="4">
        <v>0</v>
      </c>
      <c r="G247" s="4">
        <v>15</v>
      </c>
      <c r="H247" s="4">
        <v>29.5</v>
      </c>
      <c r="I247" s="4">
        <v>0</v>
      </c>
      <c r="J247" s="4">
        <v>15</v>
      </c>
      <c r="K247" s="4">
        <v>55</v>
      </c>
      <c r="L247" s="4">
        <v>34.5</v>
      </c>
      <c r="M247" s="4">
        <v>0</v>
      </c>
    </row>
    <row r="248" spans="1:13">
      <c r="A248" s="3" t="s">
        <v>793</v>
      </c>
      <c r="B248" s="4">
        <v>30</v>
      </c>
      <c r="C248" s="4">
        <v>0</v>
      </c>
      <c r="D248" s="4">
        <v>0</v>
      </c>
      <c r="E248" s="4">
        <v>0</v>
      </c>
      <c r="F248" s="4">
        <v>10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</row>
    <row r="249" spans="1:13">
      <c r="A249" s="3" t="s">
        <v>794</v>
      </c>
      <c r="B249" s="4">
        <v>30</v>
      </c>
      <c r="C249" s="4">
        <v>10</v>
      </c>
      <c r="D249" s="4">
        <v>80</v>
      </c>
      <c r="E249" s="4">
        <v>50</v>
      </c>
      <c r="F249" s="4">
        <v>25</v>
      </c>
      <c r="G249" s="4">
        <v>22.5</v>
      </c>
      <c r="H249" s="4">
        <v>32</v>
      </c>
      <c r="I249" s="4">
        <v>10</v>
      </c>
      <c r="J249" s="4">
        <v>11</v>
      </c>
      <c r="K249" s="4">
        <v>20</v>
      </c>
      <c r="L249" s="4">
        <v>19.5</v>
      </c>
      <c r="M249" s="4">
        <v>20</v>
      </c>
    </row>
    <row r="250" spans="1:13">
      <c r="A250" s="3" t="s">
        <v>795</v>
      </c>
      <c r="B250" s="4">
        <v>15</v>
      </c>
      <c r="C250" s="4">
        <v>26.5</v>
      </c>
      <c r="D250" s="4">
        <v>45.5</v>
      </c>
      <c r="E250" s="4">
        <v>25.3</v>
      </c>
      <c r="F250" s="4">
        <v>21</v>
      </c>
      <c r="G250" s="4">
        <v>47</v>
      </c>
      <c r="H250" s="4">
        <v>10</v>
      </c>
      <c r="I250" s="4">
        <v>30</v>
      </c>
      <c r="J250" s="4">
        <v>32.5</v>
      </c>
      <c r="K250" s="4">
        <v>48</v>
      </c>
      <c r="L250" s="4">
        <v>0</v>
      </c>
      <c r="M250" s="4">
        <v>55</v>
      </c>
    </row>
    <row r="251" spans="1:13">
      <c r="A251" s="3" t="s">
        <v>796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50.5</v>
      </c>
      <c r="I251" s="4">
        <v>0</v>
      </c>
      <c r="J251" s="4">
        <v>55</v>
      </c>
      <c r="K251" s="4">
        <v>10</v>
      </c>
      <c r="L251" s="4">
        <v>34.5</v>
      </c>
      <c r="M251" s="4">
        <v>0</v>
      </c>
    </row>
    <row r="252" spans="1:13">
      <c r="A252" s="3" t="s">
        <v>797</v>
      </c>
      <c r="B252" s="4">
        <v>37.5</v>
      </c>
      <c r="C252" s="4">
        <v>52.5</v>
      </c>
      <c r="D252" s="4">
        <v>91</v>
      </c>
      <c r="E252" s="4">
        <v>45</v>
      </c>
      <c r="F252" s="4">
        <v>29.5</v>
      </c>
      <c r="G252" s="4">
        <v>25</v>
      </c>
      <c r="H252" s="4">
        <v>59.5</v>
      </c>
      <c r="I252" s="4">
        <v>10</v>
      </c>
      <c r="J252" s="4">
        <v>22.5</v>
      </c>
      <c r="K252" s="4">
        <v>67.5</v>
      </c>
      <c r="L252" s="4">
        <v>42</v>
      </c>
      <c r="M252" s="4">
        <v>57.5</v>
      </c>
    </row>
    <row r="253" spans="1:13">
      <c r="A253" s="3" t="s">
        <v>798</v>
      </c>
      <c r="B253" s="4">
        <v>40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18</v>
      </c>
      <c r="K253" s="4">
        <v>10</v>
      </c>
      <c r="L253" s="4">
        <v>0</v>
      </c>
      <c r="M253" s="4">
        <v>0</v>
      </c>
    </row>
    <row r="254" spans="1:13">
      <c r="A254" s="3" t="s">
        <v>799</v>
      </c>
      <c r="B254" s="4">
        <v>30</v>
      </c>
      <c r="C254" s="4">
        <v>94</v>
      </c>
      <c r="D254" s="4">
        <v>207.5</v>
      </c>
      <c r="E254" s="4">
        <v>181.5</v>
      </c>
      <c r="F254" s="4">
        <v>116</v>
      </c>
      <c r="G254" s="4">
        <v>192</v>
      </c>
      <c r="H254" s="4">
        <v>104</v>
      </c>
      <c r="I254" s="4">
        <v>142</v>
      </c>
      <c r="J254" s="4">
        <v>276.5</v>
      </c>
      <c r="K254" s="4">
        <v>143</v>
      </c>
      <c r="L254" s="4">
        <v>100.5</v>
      </c>
      <c r="M254" s="4">
        <v>141</v>
      </c>
    </row>
    <row r="255" spans="1:13">
      <c r="A255" s="3" t="s">
        <v>800</v>
      </c>
      <c r="B255" s="4">
        <v>69.5</v>
      </c>
      <c r="C255" s="4">
        <v>65</v>
      </c>
      <c r="D255" s="4">
        <v>30</v>
      </c>
      <c r="E255" s="4">
        <v>20</v>
      </c>
      <c r="F255" s="4">
        <v>59</v>
      </c>
      <c r="G255" s="4">
        <v>32</v>
      </c>
      <c r="H255" s="4">
        <v>32.5</v>
      </c>
      <c r="I255" s="4">
        <v>23</v>
      </c>
      <c r="J255" s="4">
        <v>34</v>
      </c>
      <c r="K255" s="4">
        <v>10</v>
      </c>
      <c r="L255" s="4">
        <v>40</v>
      </c>
      <c r="M255" s="4">
        <v>0</v>
      </c>
    </row>
    <row r="256" spans="1:13">
      <c r="A256" s="3" t="s">
        <v>801</v>
      </c>
      <c r="B256" s="4">
        <v>0</v>
      </c>
      <c r="C256" s="4">
        <v>0</v>
      </c>
      <c r="D256" s="4">
        <v>0</v>
      </c>
      <c r="E256" s="4">
        <v>0</v>
      </c>
      <c r="F256" s="4">
        <v>10</v>
      </c>
      <c r="G256" s="4">
        <v>10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</row>
    <row r="257" spans="1:13">
      <c r="A257" s="3" t="s">
        <v>802</v>
      </c>
      <c r="B257" s="4">
        <v>10</v>
      </c>
      <c r="C257" s="4">
        <v>25</v>
      </c>
      <c r="D257" s="4">
        <v>60</v>
      </c>
      <c r="E257" s="4">
        <v>50</v>
      </c>
      <c r="F257" s="4">
        <v>34</v>
      </c>
      <c r="G257" s="4">
        <v>44</v>
      </c>
      <c r="H257" s="4">
        <v>53.5</v>
      </c>
      <c r="I257" s="4">
        <v>55</v>
      </c>
      <c r="J257" s="4">
        <v>101.95</v>
      </c>
      <c r="K257" s="4">
        <v>83</v>
      </c>
      <c r="L257" s="4">
        <v>80</v>
      </c>
      <c r="M257" s="4">
        <v>65</v>
      </c>
    </row>
    <row r="258" spans="1:13">
      <c r="A258" s="3" t="s">
        <v>803</v>
      </c>
      <c r="B258" s="4">
        <v>15</v>
      </c>
      <c r="C258" s="4">
        <v>25</v>
      </c>
      <c r="D258" s="4">
        <v>21</v>
      </c>
      <c r="E258" s="4">
        <v>22.5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20</v>
      </c>
    </row>
    <row r="259" spans="1:13">
      <c r="A259" s="3" t="s">
        <v>804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2.5</v>
      </c>
      <c r="M259" s="4">
        <v>2.5</v>
      </c>
    </row>
    <row r="260" spans="1:13">
      <c r="A260" s="3" t="s">
        <v>805</v>
      </c>
      <c r="B260" s="4">
        <v>40</v>
      </c>
      <c r="C260" s="4">
        <v>20</v>
      </c>
      <c r="D260" s="4">
        <v>67</v>
      </c>
      <c r="E260" s="4">
        <v>60</v>
      </c>
      <c r="F260" s="4">
        <v>90</v>
      </c>
      <c r="G260" s="4">
        <v>59</v>
      </c>
      <c r="H260" s="4">
        <v>70</v>
      </c>
      <c r="I260" s="4">
        <v>50</v>
      </c>
      <c r="J260" s="4">
        <v>90</v>
      </c>
      <c r="K260" s="4">
        <v>70</v>
      </c>
      <c r="L260" s="4">
        <v>42.5</v>
      </c>
      <c r="M260" s="4">
        <v>120</v>
      </c>
    </row>
    <row r="261" spans="1:13">
      <c r="A261" s="3" t="s">
        <v>806</v>
      </c>
      <c r="B261" s="4">
        <v>32.5</v>
      </c>
      <c r="C261" s="4">
        <v>35</v>
      </c>
      <c r="D261" s="4">
        <v>60</v>
      </c>
      <c r="E261" s="4">
        <v>37.5</v>
      </c>
      <c r="F261" s="4">
        <v>50.25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>
      <c r="A262" s="3" t="s">
        <v>807</v>
      </c>
      <c r="B262" s="4">
        <v>35</v>
      </c>
      <c r="C262" s="4">
        <v>35</v>
      </c>
      <c r="D262" s="4">
        <v>35</v>
      </c>
      <c r="E262" s="4">
        <v>35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35</v>
      </c>
      <c r="L262" s="4">
        <v>35</v>
      </c>
      <c r="M262" s="4">
        <v>0</v>
      </c>
    </row>
    <row r="263" spans="1:13">
      <c r="A263" s="3" t="s">
        <v>808</v>
      </c>
      <c r="B263" s="4">
        <v>65</v>
      </c>
      <c r="C263" s="4">
        <v>65</v>
      </c>
      <c r="D263" s="4">
        <v>10</v>
      </c>
      <c r="E263" s="4">
        <v>38</v>
      </c>
      <c r="F263" s="4">
        <v>79</v>
      </c>
      <c r="G263" s="4">
        <v>55</v>
      </c>
      <c r="H263" s="4">
        <v>75</v>
      </c>
      <c r="I263" s="4">
        <v>15</v>
      </c>
      <c r="J263" s="4">
        <v>115</v>
      </c>
      <c r="K263" s="4">
        <v>25</v>
      </c>
      <c r="L263" s="4">
        <v>60</v>
      </c>
      <c r="M263" s="4">
        <v>30</v>
      </c>
    </row>
    <row r="264" spans="1:13">
      <c r="A264" s="3" t="s">
        <v>809</v>
      </c>
      <c r="B264" s="4">
        <v>10</v>
      </c>
      <c r="C264" s="4">
        <v>0</v>
      </c>
      <c r="D264" s="4">
        <v>93</v>
      </c>
      <c r="E264" s="4">
        <v>88</v>
      </c>
      <c r="F264" s="4">
        <v>93</v>
      </c>
      <c r="G264" s="4">
        <v>62</v>
      </c>
      <c r="H264" s="4">
        <v>62</v>
      </c>
      <c r="I264" s="4">
        <v>31</v>
      </c>
      <c r="J264" s="4">
        <v>62</v>
      </c>
      <c r="K264" s="4">
        <v>163</v>
      </c>
      <c r="L264" s="4">
        <v>92</v>
      </c>
      <c r="M264" s="4">
        <v>0</v>
      </c>
    </row>
    <row r="265" spans="1:13">
      <c r="A265" s="3" t="s">
        <v>810</v>
      </c>
      <c r="B265" s="4">
        <v>20</v>
      </c>
      <c r="C265" s="4">
        <v>0</v>
      </c>
      <c r="D265" s="4">
        <v>32.5</v>
      </c>
      <c r="E265" s="4">
        <v>10</v>
      </c>
      <c r="F265" s="4">
        <v>10</v>
      </c>
      <c r="G265" s="4">
        <v>15</v>
      </c>
      <c r="H265" s="4">
        <v>40</v>
      </c>
      <c r="I265" s="4">
        <v>10</v>
      </c>
      <c r="J265" s="4">
        <v>33</v>
      </c>
      <c r="K265" s="4">
        <v>10</v>
      </c>
      <c r="L265" s="4">
        <v>0</v>
      </c>
      <c r="M265" s="4">
        <v>0</v>
      </c>
    </row>
    <row r="266" spans="1:13">
      <c r="A266" s="3" t="s">
        <v>811</v>
      </c>
      <c r="B266" s="4">
        <v>1</v>
      </c>
      <c r="C266" s="4">
        <v>15</v>
      </c>
      <c r="D266" s="4">
        <v>37</v>
      </c>
      <c r="E266" s="4">
        <v>28.75</v>
      </c>
      <c r="F266" s="4">
        <v>27</v>
      </c>
      <c r="G266" s="4">
        <v>18.5</v>
      </c>
      <c r="H266" s="4">
        <v>35</v>
      </c>
      <c r="I266" s="4">
        <v>35</v>
      </c>
      <c r="J266" s="4">
        <v>26</v>
      </c>
      <c r="K266" s="4">
        <v>58.75</v>
      </c>
      <c r="L266" s="4">
        <v>15.5</v>
      </c>
      <c r="M266" s="4">
        <v>22.75</v>
      </c>
    </row>
    <row r="267" spans="1:13">
      <c r="A267" s="3" t="s">
        <v>812</v>
      </c>
      <c r="B267" s="4">
        <v>15</v>
      </c>
      <c r="C267" s="4">
        <v>20</v>
      </c>
      <c r="D267" s="4">
        <v>10</v>
      </c>
      <c r="E267" s="4">
        <v>0</v>
      </c>
      <c r="F267" s="4">
        <v>17</v>
      </c>
      <c r="G267" s="4">
        <v>0</v>
      </c>
      <c r="H267" s="4">
        <v>58.7</v>
      </c>
      <c r="I267" s="4">
        <v>34</v>
      </c>
      <c r="J267" s="4">
        <v>0</v>
      </c>
      <c r="K267" s="4">
        <v>40.200000000000003</v>
      </c>
      <c r="L267" s="4">
        <v>110.5</v>
      </c>
      <c r="M267" s="4">
        <v>42</v>
      </c>
    </row>
    <row r="268" spans="1:13">
      <c r="A268" s="3" t="s">
        <v>813</v>
      </c>
      <c r="B268" s="4">
        <v>30</v>
      </c>
      <c r="C268" s="4">
        <v>66.5</v>
      </c>
      <c r="D268" s="4">
        <v>59</v>
      </c>
      <c r="E268" s="4">
        <v>30</v>
      </c>
      <c r="F268" s="4">
        <v>44</v>
      </c>
      <c r="G268" s="4">
        <v>28</v>
      </c>
      <c r="H268" s="4">
        <v>54</v>
      </c>
      <c r="I268" s="4">
        <v>81</v>
      </c>
      <c r="J268" s="4">
        <v>25</v>
      </c>
      <c r="K268" s="4">
        <v>54</v>
      </c>
      <c r="L268" s="4">
        <v>49.5</v>
      </c>
      <c r="M268" s="4">
        <v>20</v>
      </c>
    </row>
    <row r="269" spans="1:13">
      <c r="A269" s="3" t="s">
        <v>814</v>
      </c>
      <c r="B269" s="4">
        <v>22</v>
      </c>
      <c r="C269" s="4">
        <v>10</v>
      </c>
      <c r="D269" s="4">
        <v>15</v>
      </c>
      <c r="E269" s="4">
        <v>60</v>
      </c>
      <c r="F269" s="4">
        <v>12</v>
      </c>
      <c r="G269" s="4">
        <v>15</v>
      </c>
      <c r="H269" s="4">
        <v>0</v>
      </c>
      <c r="I269" s="4">
        <v>0</v>
      </c>
      <c r="J269" s="4">
        <v>10</v>
      </c>
      <c r="K269" s="4">
        <v>30</v>
      </c>
      <c r="L269" s="4">
        <v>22.5</v>
      </c>
      <c r="M269" s="4">
        <v>22</v>
      </c>
    </row>
    <row r="270" spans="1:13">
      <c r="A270" s="3" t="s">
        <v>815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11</v>
      </c>
      <c r="M270" s="4">
        <v>0</v>
      </c>
    </row>
    <row r="271" spans="1:13">
      <c r="A271" s="3" t="s">
        <v>816</v>
      </c>
      <c r="B271" s="4">
        <v>0</v>
      </c>
      <c r="C271" s="4">
        <v>10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20</v>
      </c>
      <c r="M271" s="4">
        <v>0</v>
      </c>
    </row>
    <row r="272" spans="1:13">
      <c r="A272" s="3" t="s">
        <v>817</v>
      </c>
      <c r="B272" s="4">
        <v>133</v>
      </c>
      <c r="C272" s="4">
        <v>52.5</v>
      </c>
      <c r="D272" s="4">
        <v>230</v>
      </c>
      <c r="E272" s="4">
        <v>75</v>
      </c>
      <c r="F272" s="4">
        <v>22</v>
      </c>
      <c r="G272" s="4">
        <v>92</v>
      </c>
      <c r="H272" s="4">
        <v>157</v>
      </c>
      <c r="I272" s="4">
        <v>84</v>
      </c>
      <c r="J272" s="4">
        <v>72</v>
      </c>
      <c r="K272" s="4">
        <v>57</v>
      </c>
      <c r="L272" s="4">
        <v>56</v>
      </c>
      <c r="M272" s="4">
        <v>209</v>
      </c>
    </row>
    <row r="273" spans="1:13">
      <c r="A273" s="3" t="s">
        <v>818</v>
      </c>
      <c r="B273" s="4">
        <v>17.5</v>
      </c>
      <c r="C273" s="4">
        <v>35</v>
      </c>
      <c r="D273" s="4">
        <v>25</v>
      </c>
      <c r="E273" s="4">
        <v>15</v>
      </c>
      <c r="F273" s="4">
        <v>0</v>
      </c>
      <c r="G273" s="4">
        <v>55</v>
      </c>
      <c r="H273" s="4">
        <v>0</v>
      </c>
      <c r="I273" s="4">
        <v>15</v>
      </c>
      <c r="J273" s="4">
        <v>75</v>
      </c>
      <c r="K273" s="4">
        <v>40</v>
      </c>
      <c r="L273" s="4">
        <v>55</v>
      </c>
      <c r="M273" s="4">
        <v>119</v>
      </c>
    </row>
    <row r="274" spans="1:13">
      <c r="A274" s="3" t="s">
        <v>819</v>
      </c>
      <c r="B274" s="4">
        <v>60</v>
      </c>
      <c r="C274" s="4">
        <v>40</v>
      </c>
      <c r="D274" s="4">
        <v>155</v>
      </c>
      <c r="E274" s="4">
        <v>125</v>
      </c>
      <c r="F274" s="4">
        <v>101</v>
      </c>
      <c r="G274" s="4">
        <v>37.5</v>
      </c>
      <c r="H274" s="4">
        <v>138.75</v>
      </c>
      <c r="I274" s="4">
        <v>5</v>
      </c>
      <c r="J274" s="4">
        <v>110</v>
      </c>
      <c r="K274" s="4">
        <v>90</v>
      </c>
      <c r="L274" s="4">
        <v>160</v>
      </c>
      <c r="M274" s="4">
        <v>119</v>
      </c>
    </row>
    <row r="275" spans="1:13">
      <c r="A275" s="3" t="s">
        <v>820</v>
      </c>
      <c r="B275" s="4">
        <v>90</v>
      </c>
      <c r="C275" s="4">
        <v>185</v>
      </c>
      <c r="D275" s="4">
        <v>185</v>
      </c>
      <c r="E275" s="4">
        <v>172.5</v>
      </c>
      <c r="F275" s="4">
        <v>110</v>
      </c>
      <c r="G275" s="4">
        <v>75</v>
      </c>
      <c r="H275" s="4">
        <v>110</v>
      </c>
      <c r="I275" s="4">
        <v>18</v>
      </c>
      <c r="J275" s="4">
        <v>130</v>
      </c>
      <c r="K275" s="4">
        <v>300</v>
      </c>
      <c r="L275" s="4">
        <v>10</v>
      </c>
      <c r="M275" s="4">
        <v>13</v>
      </c>
    </row>
    <row r="276" spans="1:13">
      <c r="A276" s="3" t="s">
        <v>821</v>
      </c>
      <c r="B276" s="4">
        <v>40</v>
      </c>
      <c r="C276" s="4">
        <v>55</v>
      </c>
      <c r="D276" s="4">
        <v>30</v>
      </c>
      <c r="E276" s="4">
        <v>40</v>
      </c>
      <c r="F276" s="4">
        <v>35</v>
      </c>
      <c r="G276" s="4">
        <v>25</v>
      </c>
      <c r="H276" s="4">
        <v>25</v>
      </c>
      <c r="I276" s="4">
        <v>15</v>
      </c>
      <c r="J276" s="4">
        <v>40</v>
      </c>
      <c r="K276" s="4">
        <v>32.5</v>
      </c>
      <c r="L276" s="4">
        <v>70</v>
      </c>
      <c r="M276" s="4">
        <v>20</v>
      </c>
    </row>
    <row r="277" spans="1:13">
      <c r="A277" s="3" t="s">
        <v>822</v>
      </c>
      <c r="B277" s="4">
        <v>70</v>
      </c>
      <c r="C277" s="4">
        <v>57</v>
      </c>
      <c r="D277" s="4">
        <v>10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>
      <c r="A278" s="3" t="s">
        <v>823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55</v>
      </c>
      <c r="L278" s="4">
        <v>50</v>
      </c>
      <c r="M278" s="4">
        <v>77</v>
      </c>
    </row>
    <row r="279" spans="1:13">
      <c r="A279" s="3" t="s">
        <v>824</v>
      </c>
      <c r="B279" s="4">
        <v>30</v>
      </c>
      <c r="C279" s="4">
        <v>8.5</v>
      </c>
      <c r="D279" s="4">
        <v>30</v>
      </c>
      <c r="E279" s="4">
        <v>25</v>
      </c>
      <c r="F279" s="4">
        <v>20</v>
      </c>
      <c r="G279" s="4">
        <v>10</v>
      </c>
      <c r="H279" s="4">
        <v>20</v>
      </c>
      <c r="I279" s="4">
        <v>12.5</v>
      </c>
      <c r="J279" s="4">
        <v>29.75</v>
      </c>
      <c r="K279" s="4">
        <v>20</v>
      </c>
      <c r="L279" s="4">
        <v>9.25</v>
      </c>
      <c r="M279" s="4">
        <v>20</v>
      </c>
    </row>
    <row r="280" spans="1:13">
      <c r="A280" s="3" t="s">
        <v>825</v>
      </c>
      <c r="B280" s="4">
        <v>75</v>
      </c>
      <c r="C280" s="4">
        <v>10</v>
      </c>
      <c r="D280" s="4">
        <v>48.5</v>
      </c>
      <c r="E280" s="4">
        <v>95.5</v>
      </c>
      <c r="F280" s="4">
        <v>60.5</v>
      </c>
      <c r="G280" s="4">
        <v>35</v>
      </c>
      <c r="H280" s="4">
        <v>59</v>
      </c>
      <c r="I280" s="4">
        <v>49.5</v>
      </c>
      <c r="J280" s="4">
        <v>103.5</v>
      </c>
      <c r="K280" s="4">
        <v>124</v>
      </c>
      <c r="L280" s="4">
        <v>67</v>
      </c>
      <c r="M280" s="4">
        <v>191.25</v>
      </c>
    </row>
    <row r="281" spans="1:13">
      <c r="A281" s="3" t="s">
        <v>826</v>
      </c>
      <c r="B281" s="4">
        <v>13.5</v>
      </c>
      <c r="C281" s="4">
        <v>20</v>
      </c>
      <c r="D281" s="4">
        <v>65</v>
      </c>
      <c r="E281" s="4">
        <v>0</v>
      </c>
      <c r="F281" s="4">
        <v>55</v>
      </c>
      <c r="G281" s="4">
        <v>0</v>
      </c>
      <c r="H281" s="4">
        <v>60</v>
      </c>
      <c r="I281" s="4">
        <v>0</v>
      </c>
      <c r="J281" s="4">
        <v>20</v>
      </c>
      <c r="K281" s="4">
        <v>0</v>
      </c>
      <c r="L281" s="4">
        <v>34.5</v>
      </c>
      <c r="M281" s="4">
        <v>132.5</v>
      </c>
    </row>
    <row r="282" spans="1:13">
      <c r="A282" s="3" t="s">
        <v>827</v>
      </c>
      <c r="B282" s="4">
        <v>82.75</v>
      </c>
      <c r="C282" s="4">
        <v>80</v>
      </c>
      <c r="D282" s="4">
        <v>128</v>
      </c>
      <c r="E282" s="4">
        <v>147.5</v>
      </c>
      <c r="F282" s="4">
        <v>31</v>
      </c>
      <c r="G282" s="4">
        <v>83.5</v>
      </c>
      <c r="H282" s="4">
        <v>95</v>
      </c>
      <c r="I282" s="4">
        <v>81</v>
      </c>
      <c r="J282" s="4">
        <v>107.5</v>
      </c>
      <c r="K282" s="4">
        <v>41</v>
      </c>
      <c r="L282" s="4">
        <v>50</v>
      </c>
      <c r="M282" s="4">
        <v>45</v>
      </c>
    </row>
    <row r="283" spans="1:13">
      <c r="A283" s="3" t="s">
        <v>828</v>
      </c>
      <c r="B283" s="4">
        <v>5</v>
      </c>
      <c r="C283" s="4">
        <v>10</v>
      </c>
      <c r="D283" s="4">
        <v>0</v>
      </c>
      <c r="E283" s="4">
        <v>5</v>
      </c>
      <c r="F283" s="4">
        <v>24.5</v>
      </c>
      <c r="G283" s="4">
        <v>17.5</v>
      </c>
      <c r="H283" s="4">
        <v>7.5</v>
      </c>
      <c r="I283" s="4">
        <v>15</v>
      </c>
      <c r="J283" s="4">
        <v>22.5</v>
      </c>
      <c r="K283" s="4">
        <v>17.5</v>
      </c>
      <c r="L283" s="4">
        <v>15</v>
      </c>
      <c r="M283" s="4">
        <v>12.5</v>
      </c>
    </row>
    <row r="284" spans="1:13">
      <c r="A284" s="3" t="s">
        <v>829</v>
      </c>
      <c r="B284" s="4">
        <v>10</v>
      </c>
      <c r="C284" s="4">
        <v>0</v>
      </c>
      <c r="D284" s="4">
        <v>5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</row>
    <row r="285" spans="1:13">
      <c r="A285" s="3" t="s">
        <v>830</v>
      </c>
      <c r="B285" s="4">
        <v>34</v>
      </c>
      <c r="C285" s="4">
        <v>70</v>
      </c>
      <c r="D285" s="4">
        <v>40</v>
      </c>
      <c r="E285" s="4">
        <v>60</v>
      </c>
      <c r="F285" s="4">
        <v>50</v>
      </c>
      <c r="G285" s="4">
        <v>60</v>
      </c>
      <c r="H285" s="4">
        <v>35</v>
      </c>
      <c r="I285" s="4">
        <v>44.5</v>
      </c>
      <c r="J285" s="4">
        <v>20</v>
      </c>
      <c r="K285" s="4">
        <v>30</v>
      </c>
      <c r="L285" s="4">
        <v>45</v>
      </c>
      <c r="M285" s="4">
        <v>20</v>
      </c>
    </row>
    <row r="286" spans="1:13">
      <c r="A286" s="3" t="s">
        <v>831</v>
      </c>
      <c r="B286" s="4">
        <v>0</v>
      </c>
      <c r="C286" s="4">
        <v>0</v>
      </c>
      <c r="D286" s="4">
        <v>0</v>
      </c>
      <c r="E286" s="4">
        <v>10</v>
      </c>
      <c r="F286" s="4">
        <v>20</v>
      </c>
      <c r="G286" s="4">
        <v>30</v>
      </c>
      <c r="H286" s="4">
        <v>10</v>
      </c>
      <c r="I286" s="4">
        <v>0</v>
      </c>
      <c r="J286" s="4">
        <v>10</v>
      </c>
      <c r="K286" s="4">
        <v>0</v>
      </c>
      <c r="L286" s="4">
        <v>0</v>
      </c>
      <c r="M286" s="4">
        <v>0</v>
      </c>
    </row>
    <row r="287" spans="1:13">
      <c r="A287" s="3" t="s">
        <v>832</v>
      </c>
      <c r="B287" s="4">
        <v>55</v>
      </c>
      <c r="C287" s="4">
        <v>30</v>
      </c>
      <c r="D287" s="4">
        <v>77</v>
      </c>
      <c r="E287" s="4">
        <v>20</v>
      </c>
      <c r="F287" s="4">
        <v>105</v>
      </c>
      <c r="G287" s="4">
        <v>65</v>
      </c>
      <c r="H287" s="4">
        <v>34.5</v>
      </c>
      <c r="I287" s="4">
        <v>45</v>
      </c>
      <c r="J287" s="4">
        <v>99</v>
      </c>
      <c r="K287" s="4">
        <v>93</v>
      </c>
      <c r="L287" s="4">
        <v>30</v>
      </c>
      <c r="M287" s="4">
        <v>49.5</v>
      </c>
    </row>
    <row r="288" spans="1:13">
      <c r="A288" s="3" t="s">
        <v>833</v>
      </c>
      <c r="B288" s="4">
        <v>60</v>
      </c>
      <c r="C288" s="4">
        <v>25</v>
      </c>
      <c r="D288" s="4">
        <v>0</v>
      </c>
      <c r="E288" s="4">
        <v>0</v>
      </c>
      <c r="F288" s="4">
        <v>35</v>
      </c>
      <c r="G288" s="4">
        <v>70</v>
      </c>
      <c r="H288" s="4">
        <v>35</v>
      </c>
      <c r="I288" s="4">
        <v>20</v>
      </c>
      <c r="J288" s="4">
        <v>20</v>
      </c>
      <c r="K288" s="4">
        <v>84.5</v>
      </c>
      <c r="L288" s="4">
        <v>20</v>
      </c>
      <c r="M288" s="4">
        <v>32</v>
      </c>
    </row>
    <row r="289" spans="1:13">
      <c r="A289" s="3" t="s">
        <v>834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10</v>
      </c>
      <c r="H289" s="4">
        <v>10</v>
      </c>
      <c r="I289" s="4">
        <v>45</v>
      </c>
      <c r="J289" s="4">
        <v>10</v>
      </c>
      <c r="K289" s="4">
        <v>55</v>
      </c>
      <c r="L289" s="4">
        <v>83.5</v>
      </c>
      <c r="M289" s="4">
        <v>50</v>
      </c>
    </row>
    <row r="290" spans="1:13">
      <c r="A290" s="3" t="s">
        <v>835</v>
      </c>
      <c r="B290" s="4">
        <v>90</v>
      </c>
      <c r="C290" s="4">
        <v>37.5</v>
      </c>
      <c r="D290" s="4">
        <v>65</v>
      </c>
      <c r="E290" s="4">
        <v>118.25</v>
      </c>
      <c r="F290" s="4">
        <v>70</v>
      </c>
      <c r="G290" s="4">
        <v>81.5</v>
      </c>
      <c r="H290" s="4">
        <v>102.4</v>
      </c>
      <c r="I290" s="4">
        <v>62.5</v>
      </c>
      <c r="J290" s="4">
        <v>117.5</v>
      </c>
      <c r="K290" s="4">
        <v>115</v>
      </c>
      <c r="L290" s="4">
        <v>80</v>
      </c>
      <c r="M290" s="4">
        <v>104</v>
      </c>
    </row>
    <row r="291" spans="1:13">
      <c r="A291" s="3" t="s">
        <v>836</v>
      </c>
      <c r="B291" s="4">
        <v>3.5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10</v>
      </c>
    </row>
    <row r="292" spans="1:13">
      <c r="A292" s="3" t="s">
        <v>837</v>
      </c>
      <c r="B292" s="4">
        <v>0</v>
      </c>
      <c r="C292" s="4">
        <v>0</v>
      </c>
      <c r="D292" s="4">
        <v>15</v>
      </c>
      <c r="E292" s="4">
        <v>0</v>
      </c>
      <c r="F292" s="4">
        <v>15</v>
      </c>
      <c r="G292" s="4">
        <v>35</v>
      </c>
      <c r="H292" s="4">
        <v>65</v>
      </c>
      <c r="I292" s="4">
        <v>10</v>
      </c>
      <c r="J292" s="4">
        <v>10</v>
      </c>
      <c r="K292" s="4">
        <v>60</v>
      </c>
      <c r="L292" s="4">
        <v>20</v>
      </c>
      <c r="M292" s="4">
        <v>50</v>
      </c>
    </row>
    <row r="293" spans="1:13">
      <c r="A293" s="3" t="s">
        <v>838</v>
      </c>
      <c r="B293" s="4">
        <v>0</v>
      </c>
      <c r="C293" s="4">
        <v>35</v>
      </c>
      <c r="D293" s="4">
        <v>30</v>
      </c>
      <c r="E293" s="4">
        <v>0</v>
      </c>
      <c r="F293" s="4">
        <v>2</v>
      </c>
      <c r="G293" s="4">
        <v>0</v>
      </c>
      <c r="H293" s="4">
        <v>0</v>
      </c>
      <c r="I293" s="4">
        <v>0</v>
      </c>
      <c r="J293" s="4">
        <v>2.5</v>
      </c>
      <c r="K293" s="4">
        <v>0</v>
      </c>
      <c r="L293" s="4">
        <v>0</v>
      </c>
      <c r="M293" s="4">
        <v>0</v>
      </c>
    </row>
    <row r="294" spans="1:13">
      <c r="A294" s="3" t="s">
        <v>839</v>
      </c>
      <c r="B294" s="4">
        <v>75</v>
      </c>
      <c r="C294" s="4">
        <v>65</v>
      </c>
      <c r="D294" s="4">
        <v>80</v>
      </c>
      <c r="E294" s="4">
        <v>110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</row>
    <row r="295" spans="1:13">
      <c r="A295" s="3" t="s">
        <v>840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20</v>
      </c>
      <c r="L295" s="4">
        <v>0</v>
      </c>
      <c r="M295" s="4">
        <v>0</v>
      </c>
    </row>
    <row r="296" spans="1:13">
      <c r="A296" s="3" t="s">
        <v>841</v>
      </c>
      <c r="B296" s="4">
        <v>0</v>
      </c>
      <c r="C296" s="4">
        <v>10</v>
      </c>
      <c r="D296" s="4">
        <v>10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</row>
    <row r="297" spans="1:13">
      <c r="A297" s="3" t="s">
        <v>842</v>
      </c>
      <c r="B297" s="4">
        <v>42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115.5</v>
      </c>
      <c r="K297" s="4">
        <v>87</v>
      </c>
      <c r="L297" s="4">
        <v>45</v>
      </c>
      <c r="M297" s="4">
        <v>111</v>
      </c>
    </row>
    <row r="298" spans="1:13">
      <c r="A298" s="3" t="s">
        <v>843</v>
      </c>
      <c r="B298" s="4">
        <v>52</v>
      </c>
      <c r="C298" s="4">
        <v>0</v>
      </c>
      <c r="D298" s="4">
        <v>35</v>
      </c>
      <c r="E298" s="4">
        <v>45</v>
      </c>
      <c r="F298" s="4">
        <v>27.5</v>
      </c>
      <c r="G298" s="4">
        <v>25</v>
      </c>
      <c r="H298" s="4">
        <v>35</v>
      </c>
      <c r="I298" s="4">
        <v>35</v>
      </c>
      <c r="J298" s="4">
        <v>50.5</v>
      </c>
      <c r="K298" s="4">
        <v>60</v>
      </c>
      <c r="L298" s="4">
        <v>35</v>
      </c>
      <c r="M298" s="4">
        <v>90</v>
      </c>
    </row>
    <row r="299" spans="1:13">
      <c r="A299" s="3" t="s">
        <v>844</v>
      </c>
      <c r="B299" s="4">
        <v>15</v>
      </c>
      <c r="C299" s="4">
        <v>0</v>
      </c>
      <c r="D299" s="4">
        <v>20</v>
      </c>
      <c r="E299" s="4">
        <v>0</v>
      </c>
      <c r="F299" s="4">
        <v>20</v>
      </c>
      <c r="G299" s="4">
        <v>15</v>
      </c>
      <c r="H299" s="4">
        <v>0</v>
      </c>
      <c r="I299" s="4">
        <v>0</v>
      </c>
      <c r="J299" s="4">
        <v>0</v>
      </c>
      <c r="K299" s="4">
        <v>40</v>
      </c>
      <c r="L299" s="4">
        <v>0</v>
      </c>
      <c r="M299" s="4">
        <v>35</v>
      </c>
    </row>
    <row r="300" spans="1:13">
      <c r="A300" s="3" t="s">
        <v>845</v>
      </c>
      <c r="B300" s="4">
        <v>0</v>
      </c>
      <c r="C300" s="4">
        <v>0</v>
      </c>
      <c r="D300" s="4">
        <v>0</v>
      </c>
      <c r="E300" s="4">
        <v>65</v>
      </c>
      <c r="F300" s="4">
        <v>34</v>
      </c>
      <c r="G300" s="4">
        <v>85</v>
      </c>
      <c r="H300" s="4">
        <v>35</v>
      </c>
      <c r="I300" s="4">
        <v>45</v>
      </c>
      <c r="J300" s="4">
        <v>67.5</v>
      </c>
      <c r="K300" s="4">
        <v>20</v>
      </c>
      <c r="L300" s="4">
        <v>108</v>
      </c>
      <c r="M300" s="4">
        <v>0</v>
      </c>
    </row>
    <row r="301" spans="1:13">
      <c r="A301" s="3" t="s">
        <v>846</v>
      </c>
      <c r="B301" s="4">
        <v>62.5</v>
      </c>
      <c r="C301" s="4">
        <v>30</v>
      </c>
      <c r="D301" s="4">
        <v>61.5</v>
      </c>
      <c r="E301" s="4">
        <v>33</v>
      </c>
      <c r="F301" s="4">
        <v>48.25</v>
      </c>
      <c r="G301" s="4">
        <v>30</v>
      </c>
      <c r="H301" s="4">
        <v>46</v>
      </c>
      <c r="I301" s="4">
        <v>22</v>
      </c>
      <c r="J301" s="4">
        <v>16.75</v>
      </c>
      <c r="K301" s="4">
        <v>56.25</v>
      </c>
      <c r="L301" s="4">
        <v>61</v>
      </c>
      <c r="M301" s="4">
        <v>66</v>
      </c>
    </row>
    <row r="302" spans="1:13">
      <c r="A302" s="3" t="s">
        <v>847</v>
      </c>
      <c r="B302" s="4">
        <v>25</v>
      </c>
      <c r="C302" s="4">
        <v>23.95</v>
      </c>
      <c r="D302" s="4">
        <v>27</v>
      </c>
      <c r="E302" s="4">
        <v>20</v>
      </c>
      <c r="F302" s="4">
        <v>32</v>
      </c>
      <c r="G302" s="4">
        <v>1</v>
      </c>
      <c r="H302" s="4">
        <v>27.5</v>
      </c>
      <c r="I302" s="4">
        <v>25</v>
      </c>
      <c r="J302" s="4">
        <v>57.5</v>
      </c>
      <c r="K302" s="4">
        <v>29</v>
      </c>
      <c r="L302" s="4">
        <v>32</v>
      </c>
      <c r="M302" s="4">
        <v>36</v>
      </c>
    </row>
    <row r="303" spans="1:13">
      <c r="A303" s="3" t="s">
        <v>848</v>
      </c>
      <c r="B303" s="4">
        <v>42.5</v>
      </c>
      <c r="C303" s="4">
        <v>45</v>
      </c>
      <c r="D303" s="4">
        <v>51</v>
      </c>
      <c r="E303" s="4">
        <v>0</v>
      </c>
      <c r="F303" s="4">
        <v>15</v>
      </c>
      <c r="G303" s="4">
        <v>26.5</v>
      </c>
      <c r="H303" s="4">
        <v>33</v>
      </c>
      <c r="I303" s="4">
        <v>22.5</v>
      </c>
      <c r="J303" s="4">
        <v>7.5</v>
      </c>
      <c r="K303" s="4">
        <v>35</v>
      </c>
      <c r="L303" s="4">
        <v>60</v>
      </c>
      <c r="M303" s="4">
        <v>75</v>
      </c>
    </row>
    <row r="304" spans="1:13">
      <c r="A304" s="3" t="s">
        <v>849</v>
      </c>
      <c r="B304" s="4">
        <v>107</v>
      </c>
      <c r="C304" s="4">
        <v>77</v>
      </c>
      <c r="D304" s="4">
        <v>202.5</v>
      </c>
      <c r="E304" s="4">
        <v>15</v>
      </c>
      <c r="F304" s="4">
        <v>20</v>
      </c>
      <c r="G304" s="4">
        <v>94</v>
      </c>
      <c r="H304" s="4">
        <v>84</v>
      </c>
      <c r="I304" s="4">
        <v>27</v>
      </c>
      <c r="J304" s="4">
        <v>0</v>
      </c>
      <c r="K304" s="4">
        <v>0</v>
      </c>
      <c r="L304" s="4">
        <v>0</v>
      </c>
      <c r="M304" s="4">
        <v>10</v>
      </c>
    </row>
    <row r="305" spans="1:13">
      <c r="A305" s="3" t="s">
        <v>850</v>
      </c>
      <c r="B305" s="4">
        <v>93.5</v>
      </c>
      <c r="C305" s="4">
        <v>46</v>
      </c>
      <c r="D305" s="4">
        <v>52.5</v>
      </c>
      <c r="E305" s="4">
        <v>89</v>
      </c>
      <c r="F305" s="4">
        <v>15</v>
      </c>
      <c r="G305" s="4">
        <v>37</v>
      </c>
      <c r="H305" s="4">
        <v>42</v>
      </c>
      <c r="I305" s="4">
        <v>15</v>
      </c>
      <c r="J305" s="4">
        <v>70</v>
      </c>
      <c r="K305" s="4">
        <v>25</v>
      </c>
      <c r="L305" s="4">
        <v>42</v>
      </c>
      <c r="M305" s="4">
        <v>75</v>
      </c>
    </row>
    <row r="306" spans="1:13">
      <c r="A306" s="3" t="s">
        <v>851</v>
      </c>
      <c r="B306" s="4">
        <v>51</v>
      </c>
      <c r="C306" s="4">
        <v>59.5</v>
      </c>
      <c r="D306" s="4">
        <v>192.5</v>
      </c>
      <c r="E306" s="4">
        <v>20</v>
      </c>
      <c r="F306" s="4">
        <v>15</v>
      </c>
      <c r="G306" s="4">
        <v>120</v>
      </c>
      <c r="H306" s="4">
        <v>132</v>
      </c>
      <c r="I306" s="4">
        <v>70</v>
      </c>
      <c r="J306" s="4">
        <v>0</v>
      </c>
      <c r="K306" s="4">
        <v>0</v>
      </c>
      <c r="L306" s="4">
        <v>0</v>
      </c>
      <c r="M306" s="4">
        <v>0</v>
      </c>
    </row>
    <row r="307" spans="1:13">
      <c r="A307" s="3" t="s">
        <v>852</v>
      </c>
      <c r="B307" s="4">
        <v>80</v>
      </c>
      <c r="C307" s="4">
        <v>67.5</v>
      </c>
      <c r="D307" s="4">
        <v>27</v>
      </c>
      <c r="E307" s="4">
        <v>89.5</v>
      </c>
      <c r="F307" s="4">
        <v>50</v>
      </c>
      <c r="G307" s="4">
        <v>20</v>
      </c>
      <c r="H307" s="4">
        <v>43</v>
      </c>
      <c r="I307" s="4">
        <v>83.5</v>
      </c>
      <c r="J307" s="4">
        <v>55</v>
      </c>
      <c r="K307" s="4">
        <v>88.5</v>
      </c>
      <c r="L307" s="4">
        <v>38.75</v>
      </c>
      <c r="M307" s="4">
        <v>92.5</v>
      </c>
    </row>
    <row r="308" spans="1:13">
      <c r="A308" s="3" t="s">
        <v>853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10</v>
      </c>
    </row>
    <row r="309" spans="1:13">
      <c r="A309" s="3" t="s">
        <v>854</v>
      </c>
      <c r="B309" s="4">
        <v>14</v>
      </c>
      <c r="C309" s="4">
        <v>52.75</v>
      </c>
      <c r="D309" s="4">
        <v>29</v>
      </c>
      <c r="E309" s="4">
        <v>40</v>
      </c>
      <c r="F309" s="4">
        <v>51</v>
      </c>
      <c r="G309" s="4">
        <v>28</v>
      </c>
      <c r="H309" s="4">
        <v>40</v>
      </c>
      <c r="I309" s="4">
        <v>18.5</v>
      </c>
      <c r="J309" s="4">
        <v>66.5</v>
      </c>
      <c r="K309" s="4">
        <v>80</v>
      </c>
      <c r="L309" s="4">
        <v>66</v>
      </c>
      <c r="M309" s="4">
        <v>31</v>
      </c>
    </row>
    <row r="310" spans="1:13">
      <c r="A310" s="3" t="s">
        <v>855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5</v>
      </c>
      <c r="L310" s="4">
        <v>0</v>
      </c>
      <c r="M310" s="4">
        <v>0</v>
      </c>
    </row>
    <row r="311" spans="1:13">
      <c r="A311" s="3" t="s">
        <v>856</v>
      </c>
      <c r="B311" s="4">
        <v>105</v>
      </c>
      <c r="C311" s="4">
        <v>52.5</v>
      </c>
      <c r="D311" s="4">
        <v>231.75</v>
      </c>
      <c r="E311" s="4">
        <v>146.5</v>
      </c>
      <c r="F311" s="4">
        <v>0</v>
      </c>
      <c r="G311" s="4">
        <v>96.5</v>
      </c>
      <c r="H311" s="4">
        <v>42</v>
      </c>
      <c r="I311" s="4">
        <v>20</v>
      </c>
      <c r="J311" s="4">
        <v>35</v>
      </c>
      <c r="K311" s="4">
        <v>55</v>
      </c>
      <c r="L311" s="4">
        <v>130</v>
      </c>
      <c r="M311" s="4">
        <v>137</v>
      </c>
    </row>
    <row r="312" spans="1:13">
      <c r="A312" s="3" t="s">
        <v>857</v>
      </c>
      <c r="B312" s="4">
        <v>15</v>
      </c>
      <c r="C312" s="4">
        <v>0</v>
      </c>
      <c r="D312" s="4">
        <v>15</v>
      </c>
      <c r="E312" s="4">
        <v>0</v>
      </c>
      <c r="F312" s="4">
        <v>0</v>
      </c>
      <c r="G312" s="4">
        <v>0</v>
      </c>
      <c r="H312" s="4">
        <v>0</v>
      </c>
      <c r="I312" s="4">
        <v>10</v>
      </c>
      <c r="J312" s="4">
        <v>0</v>
      </c>
      <c r="K312" s="4">
        <v>0</v>
      </c>
      <c r="L312" s="4">
        <v>0</v>
      </c>
      <c r="M312" s="4">
        <v>15</v>
      </c>
    </row>
    <row r="313" spans="1:13">
      <c r="A313" s="3" t="s">
        <v>858</v>
      </c>
      <c r="B313" s="4">
        <v>85</v>
      </c>
      <c r="C313" s="4">
        <v>80</v>
      </c>
      <c r="D313" s="4">
        <v>65</v>
      </c>
      <c r="E313" s="4">
        <v>72</v>
      </c>
      <c r="F313" s="4">
        <v>35</v>
      </c>
      <c r="G313" s="4">
        <v>15</v>
      </c>
      <c r="H313" s="4">
        <v>67</v>
      </c>
      <c r="I313" s="4">
        <v>35</v>
      </c>
      <c r="J313" s="4">
        <v>30</v>
      </c>
      <c r="K313" s="4">
        <v>35</v>
      </c>
      <c r="L313" s="4">
        <v>80</v>
      </c>
      <c r="M313" s="4">
        <v>50</v>
      </c>
    </row>
    <row r="314" spans="1:13">
      <c r="A314" s="3" t="s">
        <v>859</v>
      </c>
      <c r="B314" s="4">
        <v>62</v>
      </c>
      <c r="C314" s="4">
        <v>124</v>
      </c>
      <c r="D314" s="4">
        <v>124</v>
      </c>
      <c r="E314" s="4">
        <v>88</v>
      </c>
      <c r="F314" s="4">
        <v>93</v>
      </c>
      <c r="G314" s="4">
        <v>62</v>
      </c>
      <c r="H314" s="4">
        <v>0</v>
      </c>
      <c r="I314" s="4">
        <v>0</v>
      </c>
      <c r="J314" s="4">
        <v>87</v>
      </c>
      <c r="K314" s="4">
        <v>93</v>
      </c>
      <c r="L314" s="4">
        <v>93</v>
      </c>
      <c r="M314" s="4">
        <v>217</v>
      </c>
    </row>
    <row r="315" spans="1:13">
      <c r="A315" s="3" t="s">
        <v>860</v>
      </c>
      <c r="B315" s="4">
        <v>0</v>
      </c>
      <c r="C315" s="4">
        <v>15</v>
      </c>
      <c r="D315" s="4">
        <v>33.5</v>
      </c>
      <c r="E315" s="4">
        <v>22.5</v>
      </c>
      <c r="F315" s="4">
        <v>10</v>
      </c>
      <c r="G315" s="4">
        <v>30</v>
      </c>
      <c r="H315" s="4">
        <v>0</v>
      </c>
      <c r="I315" s="4">
        <v>53</v>
      </c>
      <c r="J315" s="4">
        <v>62.5</v>
      </c>
      <c r="K315" s="4">
        <v>67.5</v>
      </c>
      <c r="L315" s="4">
        <v>18.5</v>
      </c>
      <c r="M315" s="4">
        <v>65</v>
      </c>
    </row>
    <row r="316" spans="1:13">
      <c r="A316" s="3" t="s">
        <v>861</v>
      </c>
      <c r="B316" s="4">
        <v>0</v>
      </c>
      <c r="C316" s="4">
        <v>15</v>
      </c>
      <c r="D316" s="4">
        <v>50</v>
      </c>
      <c r="E316" s="4">
        <v>30</v>
      </c>
      <c r="F316" s="4">
        <v>20</v>
      </c>
      <c r="G316" s="4">
        <v>0</v>
      </c>
      <c r="H316" s="4">
        <v>0</v>
      </c>
      <c r="I316" s="4">
        <v>37.5</v>
      </c>
      <c r="J316" s="4">
        <v>42.5</v>
      </c>
      <c r="K316" s="4">
        <v>34</v>
      </c>
      <c r="L316" s="4">
        <v>91</v>
      </c>
      <c r="M316" s="4">
        <v>80.5</v>
      </c>
    </row>
    <row r="317" spans="1:13">
      <c r="A317" s="3" t="s">
        <v>862</v>
      </c>
      <c r="B317" s="4">
        <v>10</v>
      </c>
      <c r="C317" s="4">
        <v>82.5</v>
      </c>
      <c r="D317" s="4">
        <v>37.5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20</v>
      </c>
      <c r="K317" s="4">
        <v>40</v>
      </c>
      <c r="L317" s="4">
        <v>20</v>
      </c>
      <c r="M317" s="4">
        <v>22.5</v>
      </c>
    </row>
    <row r="318" spans="1:13">
      <c r="A318" s="3" t="s">
        <v>863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32</v>
      </c>
      <c r="K318" s="4">
        <v>0</v>
      </c>
      <c r="L318" s="4">
        <v>0</v>
      </c>
      <c r="M318" s="4">
        <v>10</v>
      </c>
    </row>
    <row r="319" spans="1:13">
      <c r="A319" s="3" t="s">
        <v>864</v>
      </c>
      <c r="B319" s="4">
        <v>35</v>
      </c>
      <c r="C319" s="4">
        <v>0</v>
      </c>
      <c r="D319" s="4">
        <v>50</v>
      </c>
      <c r="E319" s="4">
        <v>15</v>
      </c>
      <c r="F319" s="4">
        <v>15</v>
      </c>
      <c r="G319" s="4">
        <v>10</v>
      </c>
      <c r="H319" s="4">
        <v>0</v>
      </c>
      <c r="I319" s="4">
        <v>10</v>
      </c>
      <c r="J319" s="4">
        <v>31</v>
      </c>
      <c r="K319" s="4">
        <v>65</v>
      </c>
      <c r="L319" s="4">
        <v>0</v>
      </c>
      <c r="M319" s="4">
        <v>5</v>
      </c>
    </row>
    <row r="320" spans="1:13">
      <c r="A320" s="3" t="s">
        <v>865</v>
      </c>
      <c r="B320" s="4">
        <v>50</v>
      </c>
      <c r="C320" s="4">
        <v>120</v>
      </c>
      <c r="D320" s="4">
        <v>95</v>
      </c>
      <c r="E320" s="4">
        <v>96</v>
      </c>
      <c r="F320" s="4">
        <v>54</v>
      </c>
      <c r="G320" s="4">
        <v>63</v>
      </c>
      <c r="H320" s="4">
        <v>70</v>
      </c>
      <c r="I320" s="4">
        <v>34.5</v>
      </c>
      <c r="J320" s="4">
        <v>110</v>
      </c>
      <c r="K320" s="4">
        <v>116.5</v>
      </c>
      <c r="L320" s="4">
        <v>37.5</v>
      </c>
      <c r="M320" s="4">
        <v>373.5</v>
      </c>
    </row>
    <row r="321" spans="1:13">
      <c r="A321" s="3" t="s">
        <v>866</v>
      </c>
      <c r="B321" s="4">
        <v>10</v>
      </c>
      <c r="C321" s="4">
        <v>10</v>
      </c>
      <c r="D321" s="4">
        <v>20</v>
      </c>
      <c r="E321" s="4">
        <v>47</v>
      </c>
      <c r="F321" s="4">
        <v>30</v>
      </c>
      <c r="G321" s="4">
        <v>20</v>
      </c>
      <c r="H321" s="4">
        <v>59.050000000000004</v>
      </c>
      <c r="I321" s="4">
        <v>14.9</v>
      </c>
      <c r="J321" s="4">
        <v>0</v>
      </c>
      <c r="K321" s="4">
        <v>0</v>
      </c>
      <c r="L321" s="4">
        <v>0</v>
      </c>
      <c r="M321" s="4">
        <v>0</v>
      </c>
    </row>
    <row r="322" spans="1:13">
      <c r="A322" s="3" t="s">
        <v>867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45</v>
      </c>
      <c r="K322" s="4">
        <v>55</v>
      </c>
      <c r="L322" s="4">
        <v>47</v>
      </c>
      <c r="M322" s="4">
        <v>60</v>
      </c>
    </row>
    <row r="323" spans="1:13">
      <c r="A323" s="3" t="s">
        <v>868</v>
      </c>
      <c r="B323" s="4">
        <v>40</v>
      </c>
      <c r="C323" s="4">
        <v>45</v>
      </c>
      <c r="D323" s="4">
        <v>40</v>
      </c>
      <c r="E323" s="4">
        <v>0</v>
      </c>
      <c r="F323" s="4">
        <v>20</v>
      </c>
      <c r="G323" s="4">
        <v>30</v>
      </c>
      <c r="H323" s="4">
        <v>0</v>
      </c>
      <c r="I323" s="4">
        <v>10</v>
      </c>
      <c r="J323" s="4">
        <v>20</v>
      </c>
      <c r="K323" s="4">
        <v>20</v>
      </c>
      <c r="L323" s="4">
        <v>20</v>
      </c>
      <c r="M323" s="4">
        <v>20</v>
      </c>
    </row>
    <row r="324" spans="1:13">
      <c r="A324" s="3" t="s">
        <v>869</v>
      </c>
      <c r="B324" s="4">
        <v>508.75</v>
      </c>
      <c r="C324" s="4">
        <v>197.95</v>
      </c>
      <c r="D324" s="4">
        <v>517.75</v>
      </c>
      <c r="E324" s="4">
        <v>511.55</v>
      </c>
      <c r="F324" s="4">
        <v>554.15</v>
      </c>
      <c r="G324" s="4">
        <v>634.25</v>
      </c>
      <c r="H324" s="4">
        <v>381.5</v>
      </c>
      <c r="I324" s="4">
        <v>482.55</v>
      </c>
      <c r="J324" s="4">
        <v>905</v>
      </c>
      <c r="K324" s="4">
        <v>579</v>
      </c>
      <c r="L324" s="4">
        <v>446.5</v>
      </c>
      <c r="M324" s="4">
        <v>521.15000000000009</v>
      </c>
    </row>
    <row r="325" spans="1:13">
      <c r="A325" s="3" t="s">
        <v>870</v>
      </c>
      <c r="B325" s="4">
        <v>101</v>
      </c>
      <c r="C325" s="4">
        <v>41.5</v>
      </c>
      <c r="D325" s="4">
        <v>170.5</v>
      </c>
      <c r="E325" s="4">
        <v>103</v>
      </c>
      <c r="F325" s="4">
        <v>0</v>
      </c>
      <c r="G325" s="4">
        <v>162</v>
      </c>
      <c r="H325" s="4">
        <v>172</v>
      </c>
      <c r="I325" s="4">
        <v>205.5</v>
      </c>
      <c r="J325" s="4">
        <v>161</v>
      </c>
      <c r="K325" s="4">
        <v>106</v>
      </c>
      <c r="L325" s="4">
        <v>146</v>
      </c>
      <c r="M325" s="4">
        <v>159</v>
      </c>
    </row>
    <row r="326" spans="1:13">
      <c r="A326" s="3" t="s">
        <v>871</v>
      </c>
      <c r="B326" s="4">
        <v>101</v>
      </c>
      <c r="C326" s="4">
        <v>115.5</v>
      </c>
      <c r="D326" s="4">
        <v>211</v>
      </c>
      <c r="E326" s="4">
        <v>241</v>
      </c>
      <c r="F326" s="4">
        <v>0</v>
      </c>
      <c r="G326" s="4">
        <v>200.5</v>
      </c>
      <c r="H326" s="4">
        <v>129</v>
      </c>
      <c r="I326" s="4">
        <v>0</v>
      </c>
      <c r="J326" s="4">
        <v>160</v>
      </c>
      <c r="K326" s="4">
        <v>56</v>
      </c>
      <c r="L326" s="4">
        <v>112</v>
      </c>
      <c r="M326" s="4">
        <v>219</v>
      </c>
    </row>
    <row r="327" spans="1:13">
      <c r="A327" s="3" t="s">
        <v>872</v>
      </c>
      <c r="B327" s="4">
        <v>0</v>
      </c>
      <c r="C327" s="4">
        <v>0</v>
      </c>
      <c r="D327" s="4">
        <v>23</v>
      </c>
      <c r="E327" s="4">
        <v>0</v>
      </c>
      <c r="F327" s="4">
        <v>0</v>
      </c>
      <c r="G327" s="4">
        <v>51.5</v>
      </c>
      <c r="H327" s="4">
        <v>43</v>
      </c>
      <c r="I327" s="4">
        <v>0</v>
      </c>
      <c r="J327" s="4">
        <v>0</v>
      </c>
      <c r="K327" s="4">
        <v>51</v>
      </c>
      <c r="L327" s="4">
        <v>0</v>
      </c>
      <c r="M327" s="4">
        <v>0</v>
      </c>
    </row>
    <row r="328" spans="1:13">
      <c r="A328" s="3" t="s">
        <v>873</v>
      </c>
      <c r="B328" s="4">
        <v>10</v>
      </c>
      <c r="C328" s="4">
        <v>30</v>
      </c>
      <c r="D328" s="4">
        <v>10</v>
      </c>
      <c r="E328" s="4">
        <v>7</v>
      </c>
      <c r="F328" s="4">
        <v>0</v>
      </c>
      <c r="G328" s="4">
        <v>0</v>
      </c>
      <c r="H328" s="4">
        <v>10</v>
      </c>
      <c r="I328" s="4">
        <v>0</v>
      </c>
      <c r="J328" s="4">
        <v>10</v>
      </c>
      <c r="K328" s="4">
        <v>5</v>
      </c>
      <c r="L328" s="4">
        <v>11</v>
      </c>
      <c r="M328" s="4">
        <v>8</v>
      </c>
    </row>
    <row r="329" spans="1:13">
      <c r="A329" s="3" t="s">
        <v>874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5</v>
      </c>
      <c r="L329" s="4">
        <v>0</v>
      </c>
      <c r="M329" s="4">
        <v>0</v>
      </c>
    </row>
    <row r="330" spans="1:13">
      <c r="A330" s="3" t="s">
        <v>875</v>
      </c>
      <c r="B330" s="4">
        <v>30</v>
      </c>
      <c r="C330" s="4">
        <v>80</v>
      </c>
      <c r="D330" s="4">
        <v>30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100</v>
      </c>
    </row>
    <row r="331" spans="1:13">
      <c r="A331" s="3" t="s">
        <v>876</v>
      </c>
      <c r="B331" s="4">
        <v>5</v>
      </c>
      <c r="C331" s="4">
        <v>30</v>
      </c>
      <c r="D331" s="4">
        <v>35</v>
      </c>
      <c r="E331" s="4">
        <v>0</v>
      </c>
      <c r="F331" s="4">
        <v>90</v>
      </c>
      <c r="G331" s="4">
        <v>0</v>
      </c>
      <c r="H331" s="4">
        <v>20</v>
      </c>
      <c r="I331" s="4">
        <v>13</v>
      </c>
      <c r="J331" s="4">
        <v>43</v>
      </c>
      <c r="K331" s="4">
        <v>15</v>
      </c>
      <c r="L331" s="4">
        <v>40</v>
      </c>
      <c r="M331" s="4">
        <v>20</v>
      </c>
    </row>
    <row r="332" spans="1:13">
      <c r="A332" s="3" t="s">
        <v>877</v>
      </c>
      <c r="B332" s="4">
        <v>0</v>
      </c>
      <c r="C332" s="4">
        <v>12.5</v>
      </c>
      <c r="D332" s="4">
        <v>44.5</v>
      </c>
      <c r="E332" s="4">
        <v>53.75</v>
      </c>
      <c r="F332" s="4">
        <v>35.25</v>
      </c>
      <c r="G332" s="4">
        <v>0</v>
      </c>
      <c r="H332" s="4">
        <v>0</v>
      </c>
      <c r="I332" s="4">
        <v>0</v>
      </c>
      <c r="J332" s="4">
        <v>13</v>
      </c>
      <c r="K332" s="4">
        <v>22</v>
      </c>
      <c r="L332" s="4">
        <v>10</v>
      </c>
      <c r="M332" s="4">
        <v>35.5</v>
      </c>
    </row>
    <row r="333" spans="1:13">
      <c r="A333" s="3" t="s">
        <v>878</v>
      </c>
      <c r="B333" s="4">
        <v>50</v>
      </c>
      <c r="C333" s="4">
        <v>99</v>
      </c>
      <c r="D333" s="4">
        <v>140</v>
      </c>
      <c r="E333" s="4">
        <v>100</v>
      </c>
      <c r="F333" s="4">
        <v>51</v>
      </c>
      <c r="G333" s="4">
        <v>33</v>
      </c>
      <c r="H333" s="4">
        <v>51.55</v>
      </c>
      <c r="I333" s="4">
        <v>51.25</v>
      </c>
      <c r="J333" s="4">
        <v>82</v>
      </c>
      <c r="K333" s="4">
        <v>60</v>
      </c>
      <c r="L333" s="4">
        <v>106.25</v>
      </c>
      <c r="M333" s="4">
        <v>77.5</v>
      </c>
    </row>
    <row r="334" spans="1:13">
      <c r="A334" s="3" t="s">
        <v>879</v>
      </c>
      <c r="B334" s="4">
        <v>0</v>
      </c>
      <c r="C334" s="4">
        <v>0</v>
      </c>
      <c r="D334" s="4">
        <v>25</v>
      </c>
      <c r="E334" s="4">
        <v>60</v>
      </c>
      <c r="F334" s="4">
        <v>35</v>
      </c>
      <c r="G334" s="4">
        <v>31.25</v>
      </c>
      <c r="H334" s="4">
        <v>0</v>
      </c>
      <c r="I334" s="4">
        <v>35</v>
      </c>
      <c r="J334" s="4">
        <v>20</v>
      </c>
      <c r="K334" s="4">
        <v>12</v>
      </c>
      <c r="L334" s="4">
        <v>30</v>
      </c>
      <c r="M334" s="4">
        <v>153</v>
      </c>
    </row>
    <row r="335" spans="1:13">
      <c r="A335" s="3" t="s">
        <v>880</v>
      </c>
      <c r="B335" s="4">
        <v>35</v>
      </c>
      <c r="C335" s="4">
        <v>40</v>
      </c>
      <c r="D335" s="4">
        <v>60</v>
      </c>
      <c r="E335" s="4">
        <v>89.1</v>
      </c>
      <c r="F335" s="4">
        <v>80</v>
      </c>
      <c r="G335" s="4">
        <v>60</v>
      </c>
      <c r="H335" s="4">
        <v>50</v>
      </c>
      <c r="I335" s="4">
        <v>60</v>
      </c>
      <c r="J335" s="4">
        <v>71</v>
      </c>
      <c r="K335" s="4">
        <v>59</v>
      </c>
      <c r="L335" s="4">
        <v>76</v>
      </c>
      <c r="M335" s="4">
        <v>72</v>
      </c>
    </row>
    <row r="336" spans="1:13">
      <c r="A336" s="3" t="s">
        <v>881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50</v>
      </c>
      <c r="K336" s="4">
        <v>30</v>
      </c>
      <c r="L336" s="4">
        <v>85</v>
      </c>
      <c r="M336" s="4">
        <v>40</v>
      </c>
    </row>
    <row r="337" spans="1:13">
      <c r="A337" s="3" t="s">
        <v>882</v>
      </c>
      <c r="B337" s="4">
        <v>43</v>
      </c>
      <c r="C337" s="4">
        <v>75</v>
      </c>
      <c r="D337" s="4">
        <v>80</v>
      </c>
      <c r="E337" s="4">
        <v>60</v>
      </c>
      <c r="F337" s="4">
        <v>65</v>
      </c>
      <c r="G337" s="4">
        <v>50</v>
      </c>
      <c r="H337" s="4">
        <v>70</v>
      </c>
      <c r="I337" s="4">
        <v>25</v>
      </c>
      <c r="J337" s="4">
        <v>0</v>
      </c>
      <c r="K337" s="4">
        <v>0</v>
      </c>
      <c r="L337" s="4">
        <v>0</v>
      </c>
      <c r="M337" s="4">
        <v>0</v>
      </c>
    </row>
    <row r="338" spans="1:13">
      <c r="A338" s="3" t="s">
        <v>883</v>
      </c>
      <c r="B338" s="4">
        <v>0</v>
      </c>
      <c r="C338" s="4">
        <v>0</v>
      </c>
      <c r="D338" s="4">
        <v>30</v>
      </c>
      <c r="E338" s="4">
        <v>53</v>
      </c>
      <c r="F338" s="4">
        <v>21</v>
      </c>
      <c r="G338" s="4">
        <v>0</v>
      </c>
      <c r="H338" s="4">
        <v>0</v>
      </c>
      <c r="I338" s="4">
        <v>20</v>
      </c>
      <c r="J338" s="4">
        <v>31</v>
      </c>
      <c r="K338" s="4">
        <v>0</v>
      </c>
      <c r="L338" s="4">
        <v>0</v>
      </c>
      <c r="M338" s="4">
        <v>0</v>
      </c>
    </row>
    <row r="339" spans="1:13">
      <c r="A339" s="3" t="s">
        <v>884</v>
      </c>
      <c r="B339" s="4">
        <v>26.5</v>
      </c>
      <c r="C339" s="4">
        <v>30</v>
      </c>
      <c r="D339" s="4">
        <v>28.75</v>
      </c>
      <c r="E339" s="4">
        <v>26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>
      <c r="A340" s="3" t="s">
        <v>885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28.5</v>
      </c>
      <c r="I340" s="4">
        <v>13</v>
      </c>
      <c r="J340" s="4">
        <v>50</v>
      </c>
      <c r="K340" s="4">
        <v>10</v>
      </c>
      <c r="L340" s="4">
        <v>42.5</v>
      </c>
      <c r="M340" s="4">
        <v>5</v>
      </c>
    </row>
    <row r="341" spans="1:13">
      <c r="A341" s="3" t="s">
        <v>886</v>
      </c>
      <c r="B341" s="4">
        <v>80</v>
      </c>
      <c r="C341" s="4">
        <v>50</v>
      </c>
      <c r="D341" s="4">
        <v>80</v>
      </c>
      <c r="E341" s="4">
        <v>77.5</v>
      </c>
      <c r="F341" s="4">
        <v>25.5</v>
      </c>
      <c r="G341" s="4">
        <v>50</v>
      </c>
      <c r="H341" s="4">
        <v>61</v>
      </c>
      <c r="I341" s="4">
        <v>12.5</v>
      </c>
      <c r="J341" s="4">
        <v>64.5</v>
      </c>
      <c r="K341" s="4">
        <v>66</v>
      </c>
      <c r="L341" s="4">
        <v>15</v>
      </c>
      <c r="M341" s="4">
        <v>80</v>
      </c>
    </row>
    <row r="342" spans="1:13">
      <c r="A342" s="3" t="s">
        <v>887</v>
      </c>
      <c r="B342" s="4">
        <v>7.5</v>
      </c>
      <c r="C342" s="4">
        <v>25</v>
      </c>
      <c r="D342" s="4">
        <v>22.5</v>
      </c>
      <c r="E342" s="4">
        <v>40</v>
      </c>
      <c r="F342" s="4">
        <v>11</v>
      </c>
      <c r="G342" s="4">
        <v>0</v>
      </c>
      <c r="H342" s="4">
        <v>20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</row>
    <row r="343" spans="1:13">
      <c r="A343" s="3" t="s">
        <v>888</v>
      </c>
      <c r="B343" s="4">
        <v>42.5</v>
      </c>
      <c r="C343" s="4">
        <v>13</v>
      </c>
      <c r="D343" s="4">
        <v>20</v>
      </c>
      <c r="E343" s="4">
        <v>50</v>
      </c>
      <c r="F343" s="4">
        <v>31</v>
      </c>
      <c r="G343" s="4">
        <v>19.5</v>
      </c>
      <c r="H343" s="4">
        <v>20</v>
      </c>
      <c r="I343" s="4">
        <v>0</v>
      </c>
      <c r="J343" s="4">
        <v>40</v>
      </c>
      <c r="K343" s="4">
        <v>37</v>
      </c>
      <c r="L343" s="4">
        <v>0</v>
      </c>
      <c r="M343" s="4">
        <v>127</v>
      </c>
    </row>
    <row r="344" spans="1:13">
      <c r="A344" s="3" t="s">
        <v>889</v>
      </c>
      <c r="B344" s="4">
        <v>30</v>
      </c>
      <c r="C344" s="4">
        <v>35</v>
      </c>
      <c r="D344" s="4">
        <v>15</v>
      </c>
      <c r="E344" s="4">
        <v>40</v>
      </c>
      <c r="F344" s="4">
        <v>24.5</v>
      </c>
      <c r="G344" s="4">
        <v>32</v>
      </c>
      <c r="H344" s="4">
        <v>52.5</v>
      </c>
      <c r="I344" s="4">
        <v>14</v>
      </c>
      <c r="J344" s="4">
        <v>25</v>
      </c>
      <c r="K344" s="4">
        <v>0</v>
      </c>
      <c r="L344" s="4">
        <v>50</v>
      </c>
      <c r="M344" s="4">
        <v>90.75</v>
      </c>
    </row>
    <row r="345" spans="1:13">
      <c r="A345" s="3" t="s">
        <v>890</v>
      </c>
      <c r="B345" s="4">
        <v>103</v>
      </c>
      <c r="C345" s="4">
        <v>36.75</v>
      </c>
      <c r="D345" s="4">
        <v>85</v>
      </c>
      <c r="E345" s="4">
        <v>42.5</v>
      </c>
      <c r="F345" s="4">
        <v>7.5</v>
      </c>
      <c r="G345" s="4">
        <v>97.5</v>
      </c>
      <c r="H345" s="4">
        <v>108.5</v>
      </c>
      <c r="I345" s="4">
        <v>84.5</v>
      </c>
      <c r="J345" s="4">
        <v>37.5</v>
      </c>
      <c r="K345" s="4">
        <v>67.5</v>
      </c>
      <c r="L345" s="4">
        <v>95</v>
      </c>
      <c r="M345" s="4">
        <v>196</v>
      </c>
    </row>
    <row r="346" spans="1:13">
      <c r="A346" s="3" t="s">
        <v>891</v>
      </c>
      <c r="B346" s="4">
        <v>10</v>
      </c>
      <c r="C346" s="4">
        <v>10</v>
      </c>
      <c r="D346" s="4">
        <v>10</v>
      </c>
      <c r="E346" s="4">
        <v>0</v>
      </c>
      <c r="F346" s="4">
        <v>20</v>
      </c>
      <c r="G346" s="4">
        <v>40</v>
      </c>
      <c r="H346" s="4">
        <v>34</v>
      </c>
      <c r="I346" s="4">
        <v>30</v>
      </c>
      <c r="J346" s="4">
        <v>30</v>
      </c>
      <c r="K346" s="4">
        <v>10</v>
      </c>
      <c r="L346" s="4">
        <v>31</v>
      </c>
      <c r="M346" s="4">
        <v>20</v>
      </c>
    </row>
    <row r="347" spans="1:13">
      <c r="A347" s="3" t="s">
        <v>892</v>
      </c>
      <c r="B347" s="4">
        <v>28.5</v>
      </c>
      <c r="C347" s="4">
        <v>74.5</v>
      </c>
      <c r="D347" s="4">
        <v>101</v>
      </c>
      <c r="E347" s="4">
        <v>58.55</v>
      </c>
      <c r="F347" s="4">
        <v>103.5</v>
      </c>
      <c r="G347" s="4">
        <v>30</v>
      </c>
      <c r="H347" s="4">
        <v>57.5</v>
      </c>
      <c r="I347" s="4">
        <v>50.25</v>
      </c>
      <c r="J347" s="4">
        <v>85.45</v>
      </c>
      <c r="K347" s="4">
        <v>20.85</v>
      </c>
      <c r="L347" s="4">
        <v>52.5</v>
      </c>
      <c r="M347" s="4">
        <v>43</v>
      </c>
    </row>
    <row r="348" spans="1:13">
      <c r="A348" s="3" t="s">
        <v>893</v>
      </c>
      <c r="B348" s="4">
        <v>10</v>
      </c>
      <c r="C348" s="4">
        <v>29.5</v>
      </c>
      <c r="D348" s="4">
        <v>10</v>
      </c>
      <c r="E348" s="4">
        <v>30</v>
      </c>
      <c r="F348" s="4">
        <v>74</v>
      </c>
      <c r="G348" s="4">
        <v>67.5</v>
      </c>
      <c r="H348" s="4">
        <v>29</v>
      </c>
      <c r="I348" s="4">
        <v>5</v>
      </c>
      <c r="J348" s="4">
        <v>24</v>
      </c>
      <c r="K348" s="4">
        <v>0</v>
      </c>
      <c r="L348" s="4">
        <v>0</v>
      </c>
      <c r="M348" s="4">
        <v>35</v>
      </c>
    </row>
    <row r="349" spans="1:13">
      <c r="A349" s="3" t="s">
        <v>894</v>
      </c>
      <c r="B349" s="4">
        <v>0</v>
      </c>
      <c r="C349" s="4">
        <v>40</v>
      </c>
      <c r="D349" s="4">
        <v>85</v>
      </c>
      <c r="E349" s="4">
        <v>40</v>
      </c>
      <c r="F349" s="4">
        <v>45</v>
      </c>
      <c r="G349" s="4">
        <v>22</v>
      </c>
      <c r="H349" s="4">
        <v>35</v>
      </c>
      <c r="I349" s="4">
        <v>10</v>
      </c>
      <c r="J349" s="4">
        <v>30</v>
      </c>
      <c r="K349" s="4">
        <v>55</v>
      </c>
      <c r="L349" s="4">
        <v>62.5</v>
      </c>
      <c r="M349" s="4">
        <v>60</v>
      </c>
    </row>
    <row r="350" spans="1:13">
      <c r="A350" s="3" t="s">
        <v>895</v>
      </c>
      <c r="B350" s="4">
        <v>20</v>
      </c>
      <c r="C350" s="4">
        <v>10</v>
      </c>
      <c r="D350" s="4">
        <v>35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</row>
    <row r="351" spans="1:13">
      <c r="A351" s="3" t="s">
        <v>896</v>
      </c>
      <c r="B351" s="4">
        <v>54.6</v>
      </c>
      <c r="C351" s="4">
        <v>80</v>
      </c>
      <c r="D351" s="4">
        <v>83.5</v>
      </c>
      <c r="E351" s="4">
        <v>15</v>
      </c>
      <c r="F351" s="4">
        <v>0</v>
      </c>
      <c r="G351" s="4">
        <v>35.25</v>
      </c>
      <c r="H351" s="4">
        <v>15</v>
      </c>
      <c r="I351" s="4">
        <v>10</v>
      </c>
      <c r="J351" s="4">
        <v>10</v>
      </c>
      <c r="K351" s="4">
        <v>22.5</v>
      </c>
      <c r="L351" s="4">
        <v>72.5</v>
      </c>
      <c r="M351" s="4">
        <v>79</v>
      </c>
    </row>
    <row r="352" spans="1:13">
      <c r="A352" s="3" t="s">
        <v>897</v>
      </c>
      <c r="B352" s="4">
        <v>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</row>
    <row r="353" spans="1:13">
      <c r="A353" s="3" t="s">
        <v>898</v>
      </c>
      <c r="B353" s="4">
        <v>55</v>
      </c>
      <c r="C353" s="4">
        <v>10</v>
      </c>
      <c r="D353" s="4">
        <v>43</v>
      </c>
      <c r="E353" s="4">
        <v>39.5</v>
      </c>
      <c r="F353" s="4">
        <v>17.75</v>
      </c>
      <c r="G353" s="4">
        <v>60</v>
      </c>
      <c r="H353" s="4">
        <v>26</v>
      </c>
      <c r="I353" s="4">
        <v>0</v>
      </c>
      <c r="J353" s="4">
        <v>47.5</v>
      </c>
      <c r="K353" s="4">
        <v>7.5</v>
      </c>
      <c r="L353" s="4">
        <v>34.5</v>
      </c>
      <c r="M353" s="4">
        <v>66.5</v>
      </c>
    </row>
    <row r="354" spans="1:13">
      <c r="A354" s="3" t="s">
        <v>899</v>
      </c>
      <c r="B354" s="4">
        <v>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</row>
    <row r="355" spans="1:13">
      <c r="A355" s="3" t="s">
        <v>900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25</v>
      </c>
      <c r="K355" s="4">
        <v>0</v>
      </c>
      <c r="L355" s="4">
        <v>0</v>
      </c>
      <c r="M355" s="4">
        <v>0</v>
      </c>
    </row>
    <row r="356" spans="1:13">
      <c r="A356" s="3" t="s">
        <v>901</v>
      </c>
      <c r="B356" s="4">
        <v>20</v>
      </c>
      <c r="C356" s="4">
        <v>35</v>
      </c>
      <c r="D356" s="4">
        <v>10</v>
      </c>
      <c r="E356" s="4">
        <v>44</v>
      </c>
      <c r="F356" s="4">
        <v>11</v>
      </c>
      <c r="G356" s="4">
        <v>20</v>
      </c>
      <c r="H356" s="4">
        <v>32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</row>
    <row r="357" spans="1:13">
      <c r="A357" s="3" t="s">
        <v>902</v>
      </c>
      <c r="B357" s="4">
        <v>10</v>
      </c>
      <c r="C357" s="4">
        <v>23.5</v>
      </c>
      <c r="D357" s="4">
        <v>15</v>
      </c>
      <c r="E357" s="4">
        <v>68.55</v>
      </c>
      <c r="F357" s="4">
        <v>50</v>
      </c>
      <c r="G357" s="4">
        <v>24</v>
      </c>
      <c r="H357" s="4">
        <v>34</v>
      </c>
      <c r="I357" s="4">
        <v>30</v>
      </c>
      <c r="J357" s="4">
        <v>62.5</v>
      </c>
      <c r="K357" s="4">
        <v>16</v>
      </c>
      <c r="L357" s="4">
        <v>54</v>
      </c>
      <c r="M357" s="4">
        <v>42.5</v>
      </c>
    </row>
    <row r="358" spans="1:13">
      <c r="A358" s="3" t="s">
        <v>903</v>
      </c>
      <c r="B358" s="4">
        <v>30</v>
      </c>
      <c r="C358" s="4">
        <v>0</v>
      </c>
      <c r="D358" s="4">
        <v>0</v>
      </c>
      <c r="E358" s="4">
        <v>23</v>
      </c>
      <c r="F358" s="4">
        <v>10</v>
      </c>
      <c r="G358" s="4">
        <v>34.5</v>
      </c>
      <c r="H358" s="4">
        <v>50</v>
      </c>
      <c r="I358" s="4">
        <v>101</v>
      </c>
      <c r="J358" s="4">
        <v>110</v>
      </c>
      <c r="K358" s="4">
        <v>50</v>
      </c>
      <c r="L358" s="4">
        <v>100</v>
      </c>
      <c r="M358" s="4">
        <v>0</v>
      </c>
    </row>
    <row r="359" spans="1:13">
      <c r="A359" s="3" t="s">
        <v>904</v>
      </c>
      <c r="B359" s="4">
        <v>50</v>
      </c>
      <c r="C359" s="4">
        <v>0</v>
      </c>
      <c r="D359" s="4">
        <v>53.5</v>
      </c>
      <c r="E359" s="4">
        <v>53.5</v>
      </c>
      <c r="F359" s="4">
        <v>51</v>
      </c>
      <c r="G359" s="4">
        <v>51</v>
      </c>
      <c r="H359" s="4">
        <v>101</v>
      </c>
      <c r="I359" s="4">
        <v>52</v>
      </c>
      <c r="J359" s="4">
        <v>31.5</v>
      </c>
      <c r="K359" s="4">
        <v>150</v>
      </c>
      <c r="L359" s="4">
        <v>0</v>
      </c>
      <c r="M359" s="4">
        <v>50</v>
      </c>
    </row>
    <row r="360" spans="1:13">
      <c r="A360" s="3" t="s">
        <v>905</v>
      </c>
      <c r="B360" s="4">
        <v>35</v>
      </c>
      <c r="C360" s="4">
        <v>46</v>
      </c>
      <c r="D360" s="4">
        <v>87.5</v>
      </c>
      <c r="E360" s="4">
        <v>35</v>
      </c>
      <c r="F360" s="4">
        <v>15</v>
      </c>
      <c r="G360" s="4">
        <v>13</v>
      </c>
      <c r="H360" s="4">
        <v>42</v>
      </c>
      <c r="I360" s="4">
        <v>7</v>
      </c>
      <c r="J360" s="4">
        <v>35</v>
      </c>
      <c r="K360" s="4">
        <v>87</v>
      </c>
      <c r="L360" s="4">
        <v>36</v>
      </c>
      <c r="M360" s="4">
        <v>87</v>
      </c>
    </row>
    <row r="361" spans="1:13">
      <c r="A361" s="3" t="s">
        <v>906</v>
      </c>
      <c r="B361" s="4">
        <v>60</v>
      </c>
      <c r="C361" s="4">
        <v>5</v>
      </c>
      <c r="D361" s="4">
        <v>22.599999999999998</v>
      </c>
      <c r="E361" s="4">
        <v>50</v>
      </c>
      <c r="F361" s="4">
        <v>65.75</v>
      </c>
      <c r="G361" s="4">
        <v>28</v>
      </c>
      <c r="H361" s="4">
        <v>30</v>
      </c>
      <c r="I361" s="4">
        <v>10</v>
      </c>
      <c r="J361" s="4">
        <v>57</v>
      </c>
      <c r="K361" s="4">
        <v>10</v>
      </c>
      <c r="L361" s="4">
        <v>35</v>
      </c>
      <c r="M361" s="4">
        <v>35</v>
      </c>
    </row>
    <row r="362" spans="1:13">
      <c r="A362" s="3" t="s">
        <v>907</v>
      </c>
      <c r="B362" s="4">
        <v>45</v>
      </c>
      <c r="C362" s="4">
        <v>134</v>
      </c>
      <c r="D362" s="4">
        <v>20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42</v>
      </c>
    </row>
    <row r="363" spans="1:13">
      <c r="A363" s="3" t="s">
        <v>908</v>
      </c>
      <c r="B363" s="4">
        <v>92</v>
      </c>
      <c r="C363" s="4">
        <v>95</v>
      </c>
      <c r="D363" s="4">
        <v>85</v>
      </c>
      <c r="E363" s="4">
        <v>67</v>
      </c>
      <c r="F363" s="4">
        <v>60</v>
      </c>
      <c r="G363" s="4">
        <v>45</v>
      </c>
      <c r="H363" s="4">
        <v>125</v>
      </c>
      <c r="I363" s="4">
        <v>42.5</v>
      </c>
      <c r="J363" s="4">
        <v>102.25</v>
      </c>
      <c r="K363" s="4">
        <v>90</v>
      </c>
      <c r="L363" s="4">
        <v>137</v>
      </c>
      <c r="M363" s="4">
        <v>262</v>
      </c>
    </row>
    <row r="364" spans="1:13">
      <c r="A364" s="3" t="s">
        <v>909</v>
      </c>
      <c r="B364" s="4">
        <v>44</v>
      </c>
      <c r="C364" s="4">
        <v>59</v>
      </c>
      <c r="D364" s="4">
        <v>56.5</v>
      </c>
      <c r="E364" s="4">
        <v>99</v>
      </c>
      <c r="F364" s="4">
        <v>58</v>
      </c>
      <c r="G364" s="4">
        <v>40</v>
      </c>
      <c r="H364" s="4">
        <v>40</v>
      </c>
      <c r="I364" s="4">
        <v>20</v>
      </c>
      <c r="J364" s="4">
        <v>45</v>
      </c>
      <c r="K364" s="4">
        <v>75</v>
      </c>
      <c r="L364" s="4">
        <v>60</v>
      </c>
      <c r="M364" s="4">
        <v>30</v>
      </c>
    </row>
    <row r="365" spans="1:13">
      <c r="A365" s="3" t="s">
        <v>910</v>
      </c>
      <c r="B365" s="4">
        <v>0</v>
      </c>
      <c r="C365" s="4">
        <v>0</v>
      </c>
      <c r="D365" s="4">
        <v>30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>
      <c r="A366" s="3" t="s">
        <v>911</v>
      </c>
      <c r="B366" s="4">
        <v>25</v>
      </c>
      <c r="C366" s="4">
        <v>30</v>
      </c>
      <c r="D366" s="4">
        <v>45</v>
      </c>
      <c r="E366" s="4">
        <v>22.5</v>
      </c>
      <c r="F366" s="4">
        <v>36.5</v>
      </c>
      <c r="G366" s="4">
        <v>20</v>
      </c>
      <c r="H366" s="4">
        <v>15</v>
      </c>
      <c r="I366" s="4">
        <v>20</v>
      </c>
      <c r="J366" s="4">
        <v>40</v>
      </c>
      <c r="K366" s="4">
        <v>50</v>
      </c>
      <c r="L366" s="4">
        <v>35</v>
      </c>
      <c r="M366" s="4">
        <v>73.5</v>
      </c>
    </row>
    <row r="367" spans="1:13">
      <c r="A367" s="3" t="s">
        <v>912</v>
      </c>
      <c r="B367" s="4">
        <v>23.5</v>
      </c>
      <c r="C367" s="4">
        <v>7.5</v>
      </c>
      <c r="D367" s="4">
        <v>0</v>
      </c>
      <c r="E367" s="4">
        <v>0</v>
      </c>
      <c r="F367" s="4">
        <v>10</v>
      </c>
      <c r="G367" s="4">
        <v>7.5</v>
      </c>
      <c r="H367" s="4">
        <v>0</v>
      </c>
      <c r="I367" s="4">
        <v>10</v>
      </c>
      <c r="J367" s="4">
        <v>57.5</v>
      </c>
      <c r="K367" s="4">
        <v>25</v>
      </c>
      <c r="L367" s="4">
        <v>10</v>
      </c>
      <c r="M367" s="4">
        <v>58.5</v>
      </c>
    </row>
    <row r="368" spans="1:13">
      <c r="A368" s="3" t="s">
        <v>913</v>
      </c>
      <c r="B368" s="4">
        <v>0</v>
      </c>
      <c r="C368" s="4">
        <v>0</v>
      </c>
      <c r="D368" s="4">
        <v>0</v>
      </c>
      <c r="E368" s="4">
        <v>20</v>
      </c>
      <c r="F368" s="4">
        <v>0</v>
      </c>
      <c r="G368" s="4">
        <v>0</v>
      </c>
      <c r="H368" s="4">
        <v>0</v>
      </c>
      <c r="I368" s="4">
        <v>0</v>
      </c>
      <c r="J368" s="4">
        <v>20</v>
      </c>
      <c r="K368" s="4">
        <v>25</v>
      </c>
      <c r="L368" s="4">
        <v>0</v>
      </c>
      <c r="M368" s="4">
        <v>15</v>
      </c>
    </row>
    <row r="369" spans="1:13">
      <c r="A369" s="3" t="s">
        <v>914</v>
      </c>
      <c r="B369" s="4">
        <v>23</v>
      </c>
      <c r="C369" s="4">
        <v>65</v>
      </c>
      <c r="D369" s="4">
        <v>62</v>
      </c>
      <c r="E369" s="4">
        <v>78</v>
      </c>
      <c r="F369" s="4">
        <v>4.5</v>
      </c>
      <c r="G369" s="4">
        <v>63.5</v>
      </c>
      <c r="H369" s="4">
        <v>50</v>
      </c>
      <c r="I369" s="4">
        <v>0</v>
      </c>
      <c r="J369" s="4">
        <v>67</v>
      </c>
      <c r="K369" s="4">
        <v>44</v>
      </c>
      <c r="L369" s="4">
        <v>51.5</v>
      </c>
      <c r="M369" s="4">
        <v>92</v>
      </c>
    </row>
    <row r="370" spans="1:13">
      <c r="A370" s="3" t="s">
        <v>915</v>
      </c>
      <c r="B370" s="4">
        <v>30</v>
      </c>
      <c r="C370" s="4">
        <v>34</v>
      </c>
      <c r="D370" s="4">
        <v>57</v>
      </c>
      <c r="E370" s="4">
        <v>40</v>
      </c>
      <c r="F370" s="4">
        <v>20</v>
      </c>
      <c r="G370" s="4">
        <v>28.5</v>
      </c>
      <c r="H370" s="4">
        <v>0</v>
      </c>
      <c r="I370" s="4">
        <v>20</v>
      </c>
      <c r="J370" s="4">
        <v>39.5</v>
      </c>
      <c r="K370" s="4">
        <v>29.5</v>
      </c>
      <c r="L370" s="4">
        <v>30</v>
      </c>
      <c r="M370" s="4">
        <v>80</v>
      </c>
    </row>
    <row r="371" spans="1:13">
      <c r="A371" s="3" t="s">
        <v>916</v>
      </c>
      <c r="B371" s="4">
        <v>20</v>
      </c>
      <c r="C371" s="4">
        <v>67</v>
      </c>
      <c r="D371" s="4">
        <v>126</v>
      </c>
      <c r="E371" s="4">
        <v>25</v>
      </c>
      <c r="F371" s="4">
        <v>0</v>
      </c>
      <c r="G371" s="4">
        <v>25</v>
      </c>
      <c r="H371" s="4">
        <v>0</v>
      </c>
      <c r="I371" s="4">
        <v>20</v>
      </c>
      <c r="J371" s="4">
        <v>104</v>
      </c>
      <c r="K371" s="4">
        <v>52</v>
      </c>
      <c r="L371" s="4">
        <v>35</v>
      </c>
      <c r="M371" s="4">
        <v>35</v>
      </c>
    </row>
    <row r="372" spans="1:13">
      <c r="A372" s="3" t="s">
        <v>917</v>
      </c>
      <c r="B372" s="4">
        <v>10</v>
      </c>
      <c r="C372" s="4">
        <v>81</v>
      </c>
      <c r="D372" s="4">
        <v>14.8</v>
      </c>
      <c r="E372" s="4">
        <v>52</v>
      </c>
      <c r="F372" s="4">
        <v>4.5</v>
      </c>
      <c r="G372" s="4">
        <v>110.5</v>
      </c>
      <c r="H372" s="4">
        <v>95</v>
      </c>
      <c r="I372" s="4">
        <v>30</v>
      </c>
      <c r="J372" s="4">
        <v>123</v>
      </c>
      <c r="K372" s="4">
        <v>36</v>
      </c>
      <c r="L372" s="4">
        <v>0</v>
      </c>
      <c r="M372" s="4">
        <v>44</v>
      </c>
    </row>
    <row r="373" spans="1:13">
      <c r="A373" s="3" t="s">
        <v>918</v>
      </c>
      <c r="B373" s="4">
        <v>45</v>
      </c>
      <c r="C373" s="4">
        <v>75</v>
      </c>
      <c r="D373" s="4">
        <v>100</v>
      </c>
      <c r="E373" s="4">
        <v>126</v>
      </c>
      <c r="F373" s="4">
        <v>14.5</v>
      </c>
      <c r="G373" s="4">
        <v>100</v>
      </c>
      <c r="H373" s="4">
        <v>70</v>
      </c>
      <c r="I373" s="4">
        <v>70</v>
      </c>
      <c r="J373" s="4">
        <v>173</v>
      </c>
      <c r="K373" s="4">
        <v>70</v>
      </c>
      <c r="L373" s="4">
        <v>30</v>
      </c>
      <c r="M373" s="4">
        <v>41</v>
      </c>
    </row>
    <row r="374" spans="1:13">
      <c r="A374" s="3" t="s">
        <v>919</v>
      </c>
      <c r="B374" s="4">
        <v>22</v>
      </c>
      <c r="C374" s="4">
        <v>25</v>
      </c>
      <c r="D374" s="4">
        <v>145</v>
      </c>
      <c r="E374" s="4">
        <v>117</v>
      </c>
      <c r="F374" s="4">
        <v>60</v>
      </c>
      <c r="G374" s="4">
        <v>120</v>
      </c>
      <c r="H374" s="4">
        <v>145</v>
      </c>
      <c r="I374" s="4">
        <v>195</v>
      </c>
      <c r="J374" s="4">
        <v>265</v>
      </c>
      <c r="K374" s="4">
        <v>90.5</v>
      </c>
      <c r="L374" s="4">
        <v>169</v>
      </c>
      <c r="M374" s="4">
        <v>0</v>
      </c>
    </row>
    <row r="375" spans="1:13">
      <c r="A375" s="3" t="s">
        <v>920</v>
      </c>
      <c r="B375" s="4">
        <v>30</v>
      </c>
      <c r="C375" s="4">
        <v>27</v>
      </c>
      <c r="D375" s="4">
        <v>15</v>
      </c>
      <c r="E375" s="4">
        <v>72</v>
      </c>
      <c r="F375" s="4">
        <v>110</v>
      </c>
      <c r="G375" s="4">
        <v>120</v>
      </c>
      <c r="H375" s="4">
        <v>171</v>
      </c>
      <c r="I375" s="4">
        <v>85</v>
      </c>
      <c r="J375" s="4">
        <v>116</v>
      </c>
      <c r="K375" s="4">
        <v>137</v>
      </c>
      <c r="L375" s="4">
        <v>125</v>
      </c>
      <c r="M375" s="4">
        <v>65</v>
      </c>
    </row>
    <row r="376" spans="1:13">
      <c r="A376" s="3" t="s">
        <v>921</v>
      </c>
      <c r="B376" s="4">
        <v>10</v>
      </c>
      <c r="C376" s="4">
        <v>51.5</v>
      </c>
      <c r="D376" s="4">
        <v>81.5</v>
      </c>
      <c r="E376" s="4">
        <v>50</v>
      </c>
      <c r="F376" s="4">
        <v>62</v>
      </c>
      <c r="G376" s="4">
        <v>20</v>
      </c>
      <c r="H376" s="4">
        <v>0</v>
      </c>
      <c r="I376" s="4">
        <v>42</v>
      </c>
      <c r="J376" s="4">
        <v>0</v>
      </c>
      <c r="K376" s="4">
        <v>0</v>
      </c>
      <c r="L376" s="4">
        <v>51.5</v>
      </c>
      <c r="M376" s="4">
        <v>45</v>
      </c>
    </row>
    <row r="377" spans="1:13">
      <c r="A377" s="3" t="s">
        <v>922</v>
      </c>
      <c r="B377" s="4">
        <v>20</v>
      </c>
      <c r="C377" s="4">
        <v>10</v>
      </c>
      <c r="D377" s="4">
        <v>10</v>
      </c>
      <c r="E377" s="4">
        <v>35</v>
      </c>
      <c r="F377" s="4">
        <v>0</v>
      </c>
      <c r="G377" s="4">
        <v>0</v>
      </c>
      <c r="H377" s="4">
        <v>10</v>
      </c>
      <c r="I377" s="4">
        <v>0</v>
      </c>
      <c r="J377" s="4">
        <v>35</v>
      </c>
      <c r="K377" s="4">
        <v>15</v>
      </c>
      <c r="L377" s="4">
        <v>10</v>
      </c>
      <c r="M377" s="4">
        <v>5</v>
      </c>
    </row>
    <row r="378" spans="1:13">
      <c r="A378" s="3" t="s">
        <v>923</v>
      </c>
      <c r="B378" s="4">
        <v>104</v>
      </c>
      <c r="C378" s="4">
        <v>115</v>
      </c>
      <c r="D378" s="4">
        <v>215</v>
      </c>
      <c r="E378" s="4">
        <v>225</v>
      </c>
      <c r="F378" s="4">
        <v>88.5</v>
      </c>
      <c r="G378" s="4">
        <v>220</v>
      </c>
      <c r="H378" s="4">
        <v>129</v>
      </c>
      <c r="I378" s="4">
        <v>0</v>
      </c>
      <c r="J378" s="4">
        <v>113</v>
      </c>
      <c r="K378" s="4">
        <v>53</v>
      </c>
      <c r="L378" s="4">
        <v>107</v>
      </c>
      <c r="M378" s="4">
        <v>149</v>
      </c>
    </row>
    <row r="379" spans="1:13">
      <c r="A379" s="3" t="s">
        <v>924</v>
      </c>
      <c r="B379" s="4">
        <v>112.5</v>
      </c>
      <c r="C379" s="4">
        <v>13.5</v>
      </c>
      <c r="D379" s="4">
        <v>118.5</v>
      </c>
      <c r="E379" s="4">
        <v>25</v>
      </c>
      <c r="F379" s="4">
        <v>45</v>
      </c>
      <c r="G379" s="4">
        <v>67.5</v>
      </c>
      <c r="H379" s="4">
        <v>77.95</v>
      </c>
      <c r="I379" s="4">
        <v>35</v>
      </c>
      <c r="J379" s="4">
        <v>22.5</v>
      </c>
      <c r="K379" s="4">
        <v>170.75</v>
      </c>
      <c r="L379" s="4">
        <v>10</v>
      </c>
      <c r="M379" s="4">
        <v>120</v>
      </c>
    </row>
    <row r="380" spans="1:13">
      <c r="A380" s="3" t="s">
        <v>925</v>
      </c>
      <c r="B380" s="4">
        <v>0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14</v>
      </c>
      <c r="I380" s="4">
        <v>62.5</v>
      </c>
      <c r="J380" s="4">
        <v>60</v>
      </c>
      <c r="K380" s="4">
        <v>30</v>
      </c>
      <c r="L380" s="4">
        <v>15</v>
      </c>
      <c r="M380" s="4">
        <v>30</v>
      </c>
    </row>
    <row r="381" spans="1:13">
      <c r="A381" s="3" t="s">
        <v>926</v>
      </c>
      <c r="B381" s="4">
        <v>50</v>
      </c>
      <c r="C381" s="4">
        <v>76.5</v>
      </c>
      <c r="D381" s="4">
        <v>163.80000000000001</v>
      </c>
      <c r="E381" s="4">
        <v>104.25</v>
      </c>
      <c r="F381" s="4">
        <v>92.5</v>
      </c>
      <c r="G381" s="4">
        <v>103.75</v>
      </c>
      <c r="H381" s="4">
        <v>70</v>
      </c>
      <c r="I381" s="4">
        <v>46</v>
      </c>
      <c r="J381" s="4">
        <v>201.85</v>
      </c>
      <c r="K381" s="4">
        <v>40.25</v>
      </c>
      <c r="L381" s="4">
        <v>101.5</v>
      </c>
      <c r="M381" s="4">
        <v>60</v>
      </c>
    </row>
    <row r="382" spans="1:13">
      <c r="A382" s="3" t="s">
        <v>927</v>
      </c>
      <c r="B382" s="4">
        <v>81.5</v>
      </c>
      <c r="C382" s="4">
        <v>131.44999999999999</v>
      </c>
      <c r="D382" s="4">
        <v>153</v>
      </c>
      <c r="E382" s="4">
        <v>118</v>
      </c>
      <c r="F382" s="4">
        <v>50.75</v>
      </c>
      <c r="G382" s="4">
        <v>20</v>
      </c>
      <c r="H382" s="4">
        <v>54.55</v>
      </c>
      <c r="I382" s="4">
        <v>59.75</v>
      </c>
      <c r="J382" s="4">
        <v>59.5</v>
      </c>
      <c r="K382" s="4">
        <v>20</v>
      </c>
      <c r="L382" s="4">
        <v>60.5</v>
      </c>
      <c r="M382" s="4">
        <v>108</v>
      </c>
    </row>
    <row r="383" spans="1:13">
      <c r="A383" s="3" t="s">
        <v>928</v>
      </c>
      <c r="B383" s="4">
        <v>31</v>
      </c>
      <c r="C383" s="4">
        <v>0</v>
      </c>
      <c r="D383" s="4">
        <v>0</v>
      </c>
      <c r="E383" s="4">
        <v>51</v>
      </c>
      <c r="F383" s="4">
        <v>26</v>
      </c>
      <c r="G383" s="4">
        <v>62</v>
      </c>
      <c r="H383" s="4">
        <v>0</v>
      </c>
      <c r="I383" s="4">
        <v>0</v>
      </c>
      <c r="J383" s="4">
        <v>15</v>
      </c>
      <c r="K383" s="4">
        <v>10</v>
      </c>
      <c r="L383" s="4">
        <v>26</v>
      </c>
      <c r="M383" s="4">
        <v>62</v>
      </c>
    </row>
    <row r="384" spans="1:13">
      <c r="A384" s="3" t="s">
        <v>929</v>
      </c>
      <c r="B384" s="4">
        <v>22</v>
      </c>
      <c r="C384" s="4">
        <v>15</v>
      </c>
      <c r="D384" s="4">
        <v>10</v>
      </c>
      <c r="E384" s="4">
        <v>35</v>
      </c>
      <c r="F384" s="4">
        <v>0</v>
      </c>
      <c r="G384" s="4">
        <v>26</v>
      </c>
      <c r="H384" s="4">
        <v>36</v>
      </c>
      <c r="I384" s="4">
        <v>0</v>
      </c>
      <c r="J384" s="4">
        <v>46</v>
      </c>
      <c r="K384" s="4">
        <v>54.5</v>
      </c>
      <c r="L384" s="4">
        <v>47</v>
      </c>
      <c r="M384" s="4">
        <v>45</v>
      </c>
    </row>
    <row r="385" spans="1:13">
      <c r="A385" s="3" t="s">
        <v>930</v>
      </c>
      <c r="B385" s="4">
        <v>11</v>
      </c>
      <c r="C385" s="4">
        <v>3.8</v>
      </c>
      <c r="D385" s="4">
        <v>30</v>
      </c>
      <c r="E385" s="4">
        <v>24</v>
      </c>
      <c r="F385" s="4">
        <v>40</v>
      </c>
      <c r="G385" s="4">
        <v>10</v>
      </c>
      <c r="H385" s="4">
        <v>20</v>
      </c>
      <c r="I385" s="4">
        <v>0</v>
      </c>
      <c r="J385" s="4">
        <v>37.5</v>
      </c>
      <c r="K385" s="4">
        <v>0</v>
      </c>
      <c r="L385" s="4">
        <v>16</v>
      </c>
      <c r="M385" s="4">
        <v>42</v>
      </c>
    </row>
    <row r="386" spans="1:13">
      <c r="A386" s="3" t="s">
        <v>931</v>
      </c>
      <c r="B386" s="4">
        <v>34</v>
      </c>
      <c r="C386" s="4">
        <v>33.5</v>
      </c>
      <c r="D386" s="4">
        <v>21.5</v>
      </c>
      <c r="E386" s="4">
        <v>91.5</v>
      </c>
      <c r="F386" s="4">
        <v>42</v>
      </c>
      <c r="G386" s="4">
        <v>57</v>
      </c>
      <c r="H386" s="4">
        <v>20</v>
      </c>
      <c r="I386" s="4">
        <v>50</v>
      </c>
      <c r="J386" s="4">
        <v>50</v>
      </c>
      <c r="K386" s="4">
        <v>42.5</v>
      </c>
      <c r="L386" s="4">
        <v>0</v>
      </c>
      <c r="M386" s="4">
        <v>48</v>
      </c>
    </row>
    <row r="387" spans="1:13">
      <c r="A387" s="3" t="s">
        <v>932</v>
      </c>
      <c r="B387" s="4">
        <v>98.5</v>
      </c>
      <c r="C387" s="4">
        <v>109.5</v>
      </c>
      <c r="D387" s="4">
        <v>111</v>
      </c>
      <c r="E387" s="4">
        <v>86.5</v>
      </c>
      <c r="F387" s="4">
        <v>61</v>
      </c>
      <c r="G387" s="4">
        <v>84.5</v>
      </c>
      <c r="H387" s="4">
        <v>60</v>
      </c>
      <c r="I387" s="4">
        <v>15</v>
      </c>
      <c r="J387" s="4">
        <v>65</v>
      </c>
      <c r="K387" s="4">
        <v>46.5</v>
      </c>
      <c r="L387" s="4">
        <v>60</v>
      </c>
      <c r="M387" s="4">
        <v>142.5</v>
      </c>
    </row>
    <row r="388" spans="1:13">
      <c r="A388" s="3" t="s">
        <v>933</v>
      </c>
      <c r="B388" s="4">
        <v>0</v>
      </c>
      <c r="C388" s="4">
        <v>0</v>
      </c>
      <c r="D388" s="4">
        <v>0</v>
      </c>
      <c r="E388" s="4">
        <v>0</v>
      </c>
      <c r="F388" s="4">
        <v>30</v>
      </c>
      <c r="G388" s="4">
        <v>31</v>
      </c>
      <c r="H388" s="4">
        <v>0</v>
      </c>
      <c r="I388" s="4">
        <v>0</v>
      </c>
      <c r="J388" s="4">
        <v>10</v>
      </c>
      <c r="K388" s="4">
        <v>0</v>
      </c>
      <c r="L388" s="4">
        <v>0</v>
      </c>
      <c r="M388" s="4">
        <v>93</v>
      </c>
    </row>
    <row r="389" spans="1:13">
      <c r="A389" s="3" t="s">
        <v>934</v>
      </c>
      <c r="B389" s="4">
        <v>35</v>
      </c>
      <c r="C389" s="4">
        <v>0</v>
      </c>
      <c r="D389" s="4">
        <v>102.5</v>
      </c>
      <c r="E389" s="4">
        <v>0</v>
      </c>
      <c r="F389" s="4">
        <v>20</v>
      </c>
      <c r="G389" s="4">
        <v>25</v>
      </c>
      <c r="H389" s="4">
        <v>15</v>
      </c>
      <c r="I389" s="4">
        <v>70</v>
      </c>
      <c r="J389" s="4">
        <v>0</v>
      </c>
      <c r="K389" s="4">
        <v>15</v>
      </c>
      <c r="L389" s="4">
        <v>0</v>
      </c>
      <c r="M389" s="4">
        <v>0</v>
      </c>
    </row>
    <row r="390" spans="1:13">
      <c r="A390" s="3" t="s">
        <v>935</v>
      </c>
      <c r="B390" s="4">
        <v>15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</row>
    <row r="391" spans="1:13">
      <c r="A391" s="3" t="s">
        <v>936</v>
      </c>
      <c r="B391" s="4">
        <v>0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10</v>
      </c>
      <c r="M391" s="4">
        <v>0</v>
      </c>
    </row>
    <row r="392" spans="1:13">
      <c r="A392" s="3" t="s">
        <v>937</v>
      </c>
      <c r="B392" s="4">
        <v>0</v>
      </c>
      <c r="C392" s="4">
        <v>0</v>
      </c>
      <c r="D392" s="4">
        <v>0</v>
      </c>
      <c r="E392" s="4">
        <v>0</v>
      </c>
      <c r="F392" s="4">
        <v>0</v>
      </c>
      <c r="G392" s="4">
        <v>30</v>
      </c>
      <c r="H392" s="4">
        <v>10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</row>
    <row r="393" spans="1:13">
      <c r="A393" s="3" t="s">
        <v>938</v>
      </c>
      <c r="B393" s="4">
        <v>0</v>
      </c>
      <c r="C393" s="4">
        <v>0</v>
      </c>
      <c r="D393" s="4">
        <v>108</v>
      </c>
      <c r="E393" s="4">
        <v>0</v>
      </c>
      <c r="F393" s="4">
        <v>32.5</v>
      </c>
      <c r="G393" s="4">
        <v>33.5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</row>
    <row r="394" spans="1:13">
      <c r="A394" s="3" t="s">
        <v>939</v>
      </c>
      <c r="B394" s="4">
        <v>60</v>
      </c>
      <c r="C394" s="4">
        <v>61.25</v>
      </c>
      <c r="D394" s="4">
        <v>49</v>
      </c>
      <c r="E394" s="4">
        <v>52.5</v>
      </c>
      <c r="F394" s="4">
        <v>58.75</v>
      </c>
      <c r="G394" s="4">
        <v>62</v>
      </c>
      <c r="H394" s="4">
        <v>60</v>
      </c>
      <c r="I394" s="4">
        <v>25</v>
      </c>
      <c r="J394" s="4">
        <v>101</v>
      </c>
      <c r="K394" s="4">
        <v>74</v>
      </c>
      <c r="L394" s="4">
        <v>62</v>
      </c>
      <c r="M394" s="4">
        <v>80.25</v>
      </c>
    </row>
    <row r="395" spans="1:13">
      <c r="A395" s="3" t="s">
        <v>940</v>
      </c>
      <c r="B395" s="4">
        <v>8.5</v>
      </c>
      <c r="C395" s="4">
        <v>10</v>
      </c>
      <c r="D395" s="4">
        <v>10</v>
      </c>
      <c r="E395" s="4">
        <v>15</v>
      </c>
      <c r="F395" s="4">
        <v>40</v>
      </c>
      <c r="G395" s="4">
        <v>47.5</v>
      </c>
      <c r="H395" s="4">
        <v>55</v>
      </c>
      <c r="I395" s="4">
        <v>25</v>
      </c>
      <c r="J395" s="4">
        <v>30</v>
      </c>
      <c r="K395" s="4">
        <v>20</v>
      </c>
      <c r="L395" s="4">
        <v>10</v>
      </c>
      <c r="M395" s="4">
        <v>20</v>
      </c>
    </row>
    <row r="396" spans="1:13">
      <c r="A396" s="3" t="s">
        <v>941</v>
      </c>
      <c r="B396" s="4">
        <v>25</v>
      </c>
      <c r="C396" s="4">
        <v>10</v>
      </c>
      <c r="D396" s="4">
        <v>35</v>
      </c>
      <c r="E396" s="4">
        <v>70</v>
      </c>
      <c r="F396" s="4">
        <v>37.5</v>
      </c>
      <c r="G396" s="4">
        <v>40</v>
      </c>
      <c r="H396" s="4">
        <v>5</v>
      </c>
      <c r="I396" s="4">
        <v>20</v>
      </c>
      <c r="J396" s="4">
        <v>113</v>
      </c>
      <c r="K396" s="4">
        <v>52.5</v>
      </c>
      <c r="L396" s="4">
        <v>95.1</v>
      </c>
      <c r="M396" s="4">
        <v>107.45</v>
      </c>
    </row>
    <row r="397" spans="1:13">
      <c r="A397" s="3" t="s">
        <v>942</v>
      </c>
      <c r="B397" s="4">
        <v>113</v>
      </c>
      <c r="C397" s="4">
        <v>116.6</v>
      </c>
      <c r="D397" s="4">
        <v>99</v>
      </c>
      <c r="E397" s="4">
        <v>167.5</v>
      </c>
      <c r="F397" s="4">
        <v>171.5</v>
      </c>
      <c r="G397" s="4">
        <v>153</v>
      </c>
      <c r="H397" s="4">
        <v>141</v>
      </c>
      <c r="I397" s="4">
        <v>34.5</v>
      </c>
      <c r="J397" s="4">
        <v>149.5</v>
      </c>
      <c r="K397" s="4">
        <v>25</v>
      </c>
      <c r="L397" s="4">
        <v>10</v>
      </c>
      <c r="M397" s="4">
        <v>107.5</v>
      </c>
    </row>
    <row r="398" spans="1:13">
      <c r="A398" s="3" t="s">
        <v>943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68</v>
      </c>
      <c r="I398" s="4">
        <v>0</v>
      </c>
      <c r="J398" s="4">
        <v>7.5</v>
      </c>
      <c r="K398" s="4">
        <v>70</v>
      </c>
      <c r="L398" s="4">
        <v>0</v>
      </c>
      <c r="M398" s="4">
        <v>10</v>
      </c>
    </row>
    <row r="399" spans="1:13">
      <c r="A399" s="3" t="s">
        <v>944</v>
      </c>
      <c r="B399" s="4">
        <v>70</v>
      </c>
      <c r="C399" s="4">
        <v>94</v>
      </c>
      <c r="D399" s="4">
        <v>65</v>
      </c>
      <c r="E399" s="4">
        <v>35</v>
      </c>
      <c r="F399" s="4">
        <v>10</v>
      </c>
      <c r="G399" s="4">
        <v>37.5</v>
      </c>
      <c r="H399" s="4">
        <v>80</v>
      </c>
      <c r="I399" s="4">
        <v>15</v>
      </c>
      <c r="J399" s="4">
        <v>55</v>
      </c>
      <c r="K399" s="4">
        <v>20</v>
      </c>
      <c r="L399" s="4">
        <v>20</v>
      </c>
      <c r="M399" s="4">
        <v>134</v>
      </c>
    </row>
    <row r="400" spans="1:13">
      <c r="A400" s="3" t="s">
        <v>945</v>
      </c>
      <c r="B400" s="4">
        <v>114</v>
      </c>
      <c r="C400" s="4">
        <v>104.25</v>
      </c>
      <c r="D400" s="4">
        <v>108.5</v>
      </c>
      <c r="E400" s="4">
        <v>83.25</v>
      </c>
      <c r="F400" s="4">
        <v>50</v>
      </c>
      <c r="G400" s="4">
        <v>77.75</v>
      </c>
      <c r="H400" s="4">
        <v>71.75</v>
      </c>
      <c r="I400" s="4">
        <v>50</v>
      </c>
      <c r="J400" s="4">
        <v>95</v>
      </c>
      <c r="K400" s="4">
        <v>100</v>
      </c>
      <c r="L400" s="4">
        <v>73</v>
      </c>
      <c r="M400" s="4">
        <v>79</v>
      </c>
    </row>
    <row r="401" spans="1:13">
      <c r="A401" s="3" t="s">
        <v>946</v>
      </c>
      <c r="B401" s="4">
        <v>43.5</v>
      </c>
      <c r="C401" s="4">
        <v>40.75</v>
      </c>
      <c r="D401" s="4">
        <v>78.25</v>
      </c>
      <c r="E401" s="4">
        <v>58.5</v>
      </c>
      <c r="F401" s="4">
        <v>78.25</v>
      </c>
      <c r="G401" s="4">
        <v>13</v>
      </c>
      <c r="H401" s="4">
        <v>26.5</v>
      </c>
      <c r="I401" s="4">
        <v>5</v>
      </c>
      <c r="J401" s="4">
        <v>0</v>
      </c>
      <c r="K401" s="4">
        <v>0</v>
      </c>
      <c r="L401" s="4">
        <v>0</v>
      </c>
      <c r="M401" s="4">
        <v>5</v>
      </c>
    </row>
    <row r="402" spans="1:13">
      <c r="A402" s="3" t="s">
        <v>947</v>
      </c>
      <c r="B402" s="4">
        <v>0</v>
      </c>
      <c r="C402" s="4">
        <v>0</v>
      </c>
      <c r="D402" s="4">
        <v>0</v>
      </c>
      <c r="E402" s="4">
        <v>0</v>
      </c>
      <c r="F402" s="4">
        <v>10</v>
      </c>
      <c r="G402" s="4">
        <v>2.5</v>
      </c>
      <c r="H402" s="4">
        <v>7.5</v>
      </c>
      <c r="I402" s="4">
        <v>0</v>
      </c>
      <c r="J402" s="4">
        <v>0</v>
      </c>
      <c r="K402" s="4">
        <v>10</v>
      </c>
      <c r="L402" s="4">
        <v>0</v>
      </c>
      <c r="M402" s="4">
        <v>0</v>
      </c>
    </row>
    <row r="403" spans="1:13">
      <c r="A403" s="3" t="s">
        <v>948</v>
      </c>
      <c r="B403" s="4">
        <v>30.5</v>
      </c>
      <c r="C403" s="4">
        <v>0</v>
      </c>
      <c r="D403" s="4">
        <v>10</v>
      </c>
      <c r="E403" s="4">
        <v>47</v>
      </c>
      <c r="F403" s="4">
        <v>10</v>
      </c>
      <c r="G403" s="4">
        <v>17.5</v>
      </c>
      <c r="H403" s="4">
        <v>7.5</v>
      </c>
      <c r="I403" s="4">
        <v>0</v>
      </c>
      <c r="J403" s="4">
        <v>7.5</v>
      </c>
      <c r="K403" s="4">
        <v>0</v>
      </c>
      <c r="L403" s="4">
        <v>15</v>
      </c>
      <c r="M403" s="4">
        <v>0</v>
      </c>
    </row>
    <row r="404" spans="1:13">
      <c r="A404" s="3" t="s">
        <v>949</v>
      </c>
      <c r="B404" s="4">
        <v>70.5</v>
      </c>
      <c r="C404" s="4">
        <v>14.5</v>
      </c>
      <c r="D404" s="4">
        <v>2.5</v>
      </c>
      <c r="E404" s="4">
        <v>40</v>
      </c>
      <c r="F404" s="4">
        <v>17.5</v>
      </c>
      <c r="G404" s="4">
        <v>0</v>
      </c>
      <c r="H404" s="4">
        <v>30.35</v>
      </c>
      <c r="I404" s="4">
        <v>0</v>
      </c>
      <c r="J404" s="4">
        <v>15</v>
      </c>
      <c r="K404" s="4">
        <v>0</v>
      </c>
      <c r="L404" s="4">
        <v>0</v>
      </c>
      <c r="M404" s="4">
        <v>0</v>
      </c>
    </row>
    <row r="405" spans="1:13">
      <c r="A405" s="3" t="s">
        <v>950</v>
      </c>
      <c r="B405" s="4">
        <v>0</v>
      </c>
      <c r="C405" s="4">
        <v>15</v>
      </c>
      <c r="D405" s="4">
        <v>0</v>
      </c>
      <c r="E405" s="4">
        <v>15</v>
      </c>
      <c r="F405" s="4">
        <v>17.2</v>
      </c>
      <c r="G405" s="4">
        <v>0</v>
      </c>
      <c r="H405" s="4">
        <v>7.5</v>
      </c>
      <c r="I405" s="4">
        <v>0</v>
      </c>
      <c r="J405" s="4">
        <v>27.5</v>
      </c>
      <c r="K405" s="4">
        <v>0</v>
      </c>
      <c r="L405" s="4">
        <v>12.5</v>
      </c>
      <c r="M405" s="4">
        <v>0</v>
      </c>
    </row>
    <row r="406" spans="1:13">
      <c r="A406" s="3" t="s">
        <v>951</v>
      </c>
      <c r="B406" s="4">
        <v>51.95</v>
      </c>
      <c r="C406" s="4">
        <v>0</v>
      </c>
      <c r="D406" s="4">
        <v>75.349999999999994</v>
      </c>
      <c r="E406" s="4">
        <v>64.5</v>
      </c>
      <c r="F406" s="4">
        <v>10</v>
      </c>
      <c r="G406" s="4">
        <v>84.5</v>
      </c>
      <c r="H406" s="4">
        <v>37.5</v>
      </c>
      <c r="I406" s="4">
        <v>20</v>
      </c>
      <c r="J406" s="4">
        <v>0</v>
      </c>
      <c r="K406" s="4">
        <v>0</v>
      </c>
      <c r="L406" s="4">
        <v>0</v>
      </c>
      <c r="M406" s="4">
        <v>0</v>
      </c>
    </row>
    <row r="407" spans="1:13">
      <c r="A407" s="3" t="s">
        <v>952</v>
      </c>
      <c r="B407" s="4">
        <v>15</v>
      </c>
      <c r="C407" s="4">
        <v>0</v>
      </c>
      <c r="D407" s="4">
        <v>25</v>
      </c>
      <c r="E407" s="4">
        <v>35</v>
      </c>
      <c r="F407" s="4">
        <v>35</v>
      </c>
      <c r="G407" s="4">
        <v>44</v>
      </c>
      <c r="H407" s="4">
        <v>19.5</v>
      </c>
      <c r="I407" s="4">
        <v>5</v>
      </c>
      <c r="J407" s="4">
        <v>47</v>
      </c>
      <c r="K407" s="4">
        <v>32</v>
      </c>
      <c r="L407" s="4">
        <v>35</v>
      </c>
      <c r="M407" s="4">
        <v>108</v>
      </c>
    </row>
    <row r="408" spans="1:13">
      <c r="A408" s="3" t="s">
        <v>953</v>
      </c>
      <c r="B408" s="4">
        <v>0</v>
      </c>
      <c r="C408" s="4">
        <v>0</v>
      </c>
      <c r="D408" s="4">
        <v>0</v>
      </c>
      <c r="E408" s="4">
        <v>10</v>
      </c>
      <c r="F408" s="4">
        <v>0</v>
      </c>
      <c r="G408" s="4">
        <v>11</v>
      </c>
      <c r="H408" s="4">
        <v>15</v>
      </c>
      <c r="I408" s="4">
        <v>0</v>
      </c>
      <c r="J408" s="4">
        <v>22.5</v>
      </c>
      <c r="K408" s="4">
        <v>20</v>
      </c>
      <c r="L408" s="4">
        <v>20</v>
      </c>
      <c r="M408" s="4">
        <v>0</v>
      </c>
    </row>
    <row r="409" spans="1:13">
      <c r="A409" s="3" t="s">
        <v>954</v>
      </c>
      <c r="B409" s="4">
        <v>20</v>
      </c>
      <c r="C409" s="4">
        <v>0</v>
      </c>
      <c r="D409" s="4">
        <v>0</v>
      </c>
      <c r="E409" s="4">
        <v>21</v>
      </c>
      <c r="F409" s="4">
        <v>8</v>
      </c>
      <c r="G409" s="4">
        <v>115</v>
      </c>
      <c r="H409" s="4">
        <v>115</v>
      </c>
      <c r="I409" s="4">
        <v>25</v>
      </c>
      <c r="J409" s="4">
        <v>120</v>
      </c>
      <c r="K409" s="4">
        <v>20</v>
      </c>
      <c r="L409" s="4">
        <v>10</v>
      </c>
      <c r="M409" s="4">
        <v>30</v>
      </c>
    </row>
    <row r="410" spans="1:13">
      <c r="A410" s="3" t="s">
        <v>955</v>
      </c>
      <c r="B410" s="4">
        <v>60</v>
      </c>
      <c r="C410" s="4">
        <v>40</v>
      </c>
      <c r="D410" s="4">
        <v>30</v>
      </c>
      <c r="E410" s="4">
        <v>30</v>
      </c>
      <c r="F410" s="4">
        <v>10</v>
      </c>
      <c r="G410" s="4">
        <v>25</v>
      </c>
      <c r="H410" s="4">
        <v>10</v>
      </c>
      <c r="I410" s="4">
        <v>10</v>
      </c>
      <c r="J410" s="4">
        <v>30</v>
      </c>
      <c r="K410" s="4">
        <v>32.5</v>
      </c>
      <c r="L410" s="4">
        <v>22.5</v>
      </c>
      <c r="M410" s="4">
        <v>107</v>
      </c>
    </row>
    <row r="411" spans="1:13">
      <c r="A411" s="3" t="s">
        <v>956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10</v>
      </c>
      <c r="M411" s="4">
        <v>0</v>
      </c>
    </row>
    <row r="412" spans="1:13">
      <c r="A412" s="3" t="s">
        <v>957</v>
      </c>
      <c r="B412" s="4">
        <v>0</v>
      </c>
      <c r="C412" s="4">
        <v>69.5</v>
      </c>
      <c r="D412" s="4">
        <v>29.5</v>
      </c>
      <c r="E412" s="4">
        <v>40</v>
      </c>
      <c r="F412" s="4">
        <v>93.5</v>
      </c>
      <c r="G412" s="4">
        <v>46.5</v>
      </c>
      <c r="H412" s="4">
        <v>34</v>
      </c>
      <c r="I412" s="4">
        <v>20</v>
      </c>
      <c r="J412" s="4">
        <v>0</v>
      </c>
      <c r="K412" s="4">
        <v>20</v>
      </c>
      <c r="L412" s="4">
        <v>26.5</v>
      </c>
      <c r="M412" s="4">
        <v>95</v>
      </c>
    </row>
    <row r="413" spans="1:13">
      <c r="A413" s="3" t="s">
        <v>958</v>
      </c>
      <c r="B413" s="4">
        <v>100.75</v>
      </c>
      <c r="C413" s="4">
        <v>0</v>
      </c>
      <c r="D413" s="4">
        <v>0</v>
      </c>
      <c r="E413" s="4">
        <v>107</v>
      </c>
      <c r="F413" s="4">
        <v>100</v>
      </c>
      <c r="G413" s="4">
        <v>102</v>
      </c>
      <c r="H413" s="4">
        <v>157.80000000000001</v>
      </c>
      <c r="I413" s="4">
        <v>298.7</v>
      </c>
      <c r="J413" s="4">
        <v>375.4</v>
      </c>
      <c r="K413" s="4">
        <v>301.5</v>
      </c>
      <c r="L413" s="4">
        <v>301.89999999999998</v>
      </c>
      <c r="M413" s="4">
        <v>589</v>
      </c>
    </row>
    <row r="414" spans="1:13">
      <c r="A414" s="3" t="s">
        <v>959</v>
      </c>
      <c r="B414" s="4">
        <v>98</v>
      </c>
      <c r="C414" s="4">
        <v>107.25</v>
      </c>
      <c r="D414" s="4">
        <v>138.5</v>
      </c>
      <c r="E414" s="4">
        <v>82.4</v>
      </c>
      <c r="F414" s="4">
        <v>77.05</v>
      </c>
      <c r="G414" s="4">
        <v>92.75</v>
      </c>
      <c r="H414" s="4">
        <v>57.5</v>
      </c>
      <c r="I414" s="4">
        <v>45.25</v>
      </c>
      <c r="J414" s="4">
        <v>75</v>
      </c>
      <c r="K414" s="4">
        <v>80.25</v>
      </c>
      <c r="L414" s="4">
        <v>65.75</v>
      </c>
      <c r="M414" s="4">
        <v>75.25</v>
      </c>
    </row>
    <row r="415" spans="1:13">
      <c r="A415" s="3" t="s">
        <v>960</v>
      </c>
      <c r="B415" s="4">
        <v>13.5</v>
      </c>
      <c r="C415" s="4">
        <v>20</v>
      </c>
      <c r="D415" s="4">
        <v>15.75</v>
      </c>
      <c r="E415" s="4">
        <v>8.5</v>
      </c>
      <c r="F415" s="4">
        <v>25</v>
      </c>
      <c r="G415" s="4">
        <v>35</v>
      </c>
      <c r="H415" s="4">
        <v>15</v>
      </c>
      <c r="I415" s="4">
        <v>25</v>
      </c>
      <c r="J415" s="4">
        <v>20</v>
      </c>
      <c r="K415" s="4">
        <v>40</v>
      </c>
      <c r="L415" s="4">
        <v>34</v>
      </c>
      <c r="M415" s="4">
        <v>64</v>
      </c>
    </row>
    <row r="416" spans="1:13">
      <c r="A416" s="3" t="s">
        <v>961</v>
      </c>
      <c r="B416" s="4">
        <v>0</v>
      </c>
      <c r="C416" s="4">
        <v>0</v>
      </c>
      <c r="D416" s="4">
        <v>0</v>
      </c>
      <c r="E416" s="4">
        <v>11</v>
      </c>
      <c r="F416" s="4">
        <v>0</v>
      </c>
      <c r="G416" s="4">
        <v>20</v>
      </c>
      <c r="H416" s="4">
        <v>0</v>
      </c>
      <c r="I416" s="4">
        <v>10</v>
      </c>
      <c r="J416" s="4">
        <v>0</v>
      </c>
      <c r="K416" s="4">
        <v>0</v>
      </c>
      <c r="L416" s="4">
        <v>0</v>
      </c>
      <c r="M416" s="4">
        <v>0</v>
      </c>
    </row>
    <row r="417" spans="1:13">
      <c r="A417" s="3" t="s">
        <v>962</v>
      </c>
      <c r="B417" s="4">
        <v>8</v>
      </c>
      <c r="C417" s="4">
        <v>35</v>
      </c>
      <c r="D417" s="4">
        <v>25</v>
      </c>
      <c r="E417" s="4">
        <v>17</v>
      </c>
      <c r="F417" s="4">
        <v>8.5</v>
      </c>
      <c r="G417" s="4">
        <v>0</v>
      </c>
      <c r="H417" s="4">
        <v>36</v>
      </c>
      <c r="I417" s="4">
        <v>22.5</v>
      </c>
      <c r="J417" s="4">
        <v>22.5</v>
      </c>
      <c r="K417" s="4">
        <v>10</v>
      </c>
      <c r="L417" s="4">
        <v>20</v>
      </c>
      <c r="M417" s="4">
        <v>22.5</v>
      </c>
    </row>
    <row r="418" spans="1:13">
      <c r="A418" s="3" t="s">
        <v>963</v>
      </c>
      <c r="B418" s="4">
        <v>61.5</v>
      </c>
      <c r="C418" s="4">
        <v>76.75</v>
      </c>
      <c r="D418" s="4">
        <v>62.5</v>
      </c>
      <c r="E418" s="4">
        <v>109.65</v>
      </c>
      <c r="F418" s="4">
        <v>116.5</v>
      </c>
      <c r="G418" s="4">
        <v>130</v>
      </c>
      <c r="H418" s="4">
        <v>76.75</v>
      </c>
      <c r="I418" s="4">
        <v>79</v>
      </c>
      <c r="J418" s="4">
        <v>110</v>
      </c>
      <c r="K418" s="4">
        <v>118</v>
      </c>
      <c r="L418" s="4">
        <v>65</v>
      </c>
      <c r="M418" s="4">
        <v>100</v>
      </c>
    </row>
    <row r="419" spans="1:13">
      <c r="A419" s="3" t="s">
        <v>964</v>
      </c>
      <c r="B419" s="4">
        <v>0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129</v>
      </c>
      <c r="I419" s="4">
        <v>145.5</v>
      </c>
      <c r="J419" s="4">
        <v>105</v>
      </c>
      <c r="K419" s="4">
        <v>55</v>
      </c>
      <c r="L419" s="4">
        <v>166.5</v>
      </c>
      <c r="M419" s="4">
        <v>157</v>
      </c>
    </row>
    <row r="420" spans="1:13">
      <c r="A420" s="3" t="s">
        <v>965</v>
      </c>
      <c r="B420" s="4">
        <v>13</v>
      </c>
      <c r="C420" s="4">
        <v>30</v>
      </c>
      <c r="D420" s="4">
        <v>25</v>
      </c>
      <c r="E420" s="4">
        <v>31</v>
      </c>
      <c r="F420" s="4">
        <v>46.75</v>
      </c>
      <c r="G420" s="4">
        <v>20</v>
      </c>
      <c r="H420" s="4">
        <v>52.5</v>
      </c>
      <c r="I420" s="4">
        <v>46</v>
      </c>
      <c r="J420" s="4">
        <v>25</v>
      </c>
      <c r="K420" s="4">
        <v>23</v>
      </c>
      <c r="L420" s="4">
        <v>19.899999999999999</v>
      </c>
      <c r="M420" s="4">
        <v>70</v>
      </c>
    </row>
    <row r="421" spans="1:13">
      <c r="A421" s="3" t="s">
        <v>966</v>
      </c>
      <c r="B421" s="4">
        <v>0</v>
      </c>
      <c r="C421" s="4">
        <v>15</v>
      </c>
      <c r="D421" s="4">
        <v>26.5</v>
      </c>
      <c r="E421" s="4">
        <v>0</v>
      </c>
      <c r="F421" s="4">
        <v>15</v>
      </c>
      <c r="G421" s="4">
        <v>0</v>
      </c>
      <c r="H421" s="4">
        <v>0</v>
      </c>
      <c r="I421" s="4">
        <v>0</v>
      </c>
      <c r="J421" s="4">
        <v>15</v>
      </c>
      <c r="K421" s="4">
        <v>0</v>
      </c>
      <c r="L421" s="4">
        <v>12.5</v>
      </c>
      <c r="M421" s="4">
        <v>10</v>
      </c>
    </row>
    <row r="422" spans="1:13">
      <c r="A422" s="3" t="s">
        <v>967</v>
      </c>
      <c r="B422" s="4">
        <v>0</v>
      </c>
      <c r="C422" s="4">
        <v>0</v>
      </c>
      <c r="D422" s="4">
        <v>10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</row>
    <row r="423" spans="1:13">
      <c r="A423" s="3" t="s">
        <v>968</v>
      </c>
      <c r="B423" s="4">
        <v>0</v>
      </c>
      <c r="C423" s="4">
        <v>0</v>
      </c>
      <c r="D423" s="4">
        <v>73</v>
      </c>
      <c r="E423" s="4">
        <v>31.5</v>
      </c>
      <c r="F423" s="4">
        <v>84.5</v>
      </c>
      <c r="G423" s="4">
        <v>150.5</v>
      </c>
      <c r="H423" s="4">
        <v>52</v>
      </c>
      <c r="I423" s="4">
        <v>10</v>
      </c>
      <c r="J423" s="4">
        <v>50</v>
      </c>
      <c r="K423" s="4">
        <v>10</v>
      </c>
      <c r="L423" s="4">
        <v>44.9</v>
      </c>
      <c r="M423" s="4">
        <v>10</v>
      </c>
    </row>
    <row r="424" spans="1:13">
      <c r="A424" s="3" t="s">
        <v>969</v>
      </c>
      <c r="B424" s="4">
        <v>0</v>
      </c>
      <c r="C424" s="4">
        <v>45</v>
      </c>
      <c r="D424" s="4">
        <v>0</v>
      </c>
      <c r="E424" s="4">
        <v>0</v>
      </c>
      <c r="F424" s="4">
        <v>25.5</v>
      </c>
      <c r="G424" s="4">
        <v>75</v>
      </c>
      <c r="H424" s="4">
        <v>20</v>
      </c>
      <c r="I424" s="4">
        <v>0</v>
      </c>
      <c r="J424" s="4">
        <v>25.5</v>
      </c>
      <c r="K424" s="4">
        <v>35</v>
      </c>
      <c r="L424" s="4">
        <v>60</v>
      </c>
      <c r="M424" s="4">
        <v>114</v>
      </c>
    </row>
    <row r="425" spans="1:13">
      <c r="A425" s="3" t="s">
        <v>970</v>
      </c>
      <c r="B425" s="4">
        <v>32.5</v>
      </c>
      <c r="C425" s="4">
        <v>34.5</v>
      </c>
      <c r="D425" s="4">
        <v>57.5</v>
      </c>
      <c r="E425" s="4">
        <v>31.5</v>
      </c>
      <c r="F425" s="4">
        <v>35</v>
      </c>
      <c r="G425" s="4">
        <v>36</v>
      </c>
      <c r="H425" s="4">
        <v>20</v>
      </c>
      <c r="I425" s="4">
        <v>40</v>
      </c>
      <c r="J425" s="4">
        <v>0</v>
      </c>
      <c r="K425" s="4">
        <v>48.75</v>
      </c>
      <c r="L425" s="4">
        <v>20</v>
      </c>
      <c r="M425" s="4">
        <v>48.5</v>
      </c>
    </row>
    <row r="426" spans="1:13">
      <c r="A426" s="3" t="s">
        <v>971</v>
      </c>
      <c r="B426" s="4">
        <v>0</v>
      </c>
      <c r="C426" s="4">
        <v>17</v>
      </c>
      <c r="D426" s="4">
        <v>26</v>
      </c>
      <c r="E426" s="4">
        <v>0</v>
      </c>
      <c r="F426" s="4">
        <v>22</v>
      </c>
      <c r="G426" s="4">
        <v>21.5</v>
      </c>
      <c r="H426" s="4">
        <v>30</v>
      </c>
      <c r="I426" s="4">
        <v>30.5</v>
      </c>
      <c r="J426" s="4">
        <v>38.5</v>
      </c>
      <c r="K426" s="4">
        <v>20</v>
      </c>
      <c r="L426" s="4">
        <v>25</v>
      </c>
      <c r="M426" s="4">
        <v>45</v>
      </c>
    </row>
    <row r="427" spans="1:13">
      <c r="A427" s="3" t="s">
        <v>972</v>
      </c>
      <c r="B427" s="4">
        <v>30</v>
      </c>
      <c r="C427" s="4">
        <v>20</v>
      </c>
      <c r="D427" s="4">
        <v>13</v>
      </c>
      <c r="E427" s="4">
        <v>0</v>
      </c>
      <c r="F427" s="4">
        <v>30</v>
      </c>
      <c r="G427" s="4">
        <v>25</v>
      </c>
      <c r="H427" s="4">
        <v>20</v>
      </c>
      <c r="I427" s="4">
        <v>10</v>
      </c>
      <c r="J427" s="4">
        <v>30</v>
      </c>
      <c r="K427" s="4">
        <v>20</v>
      </c>
      <c r="L427" s="4">
        <v>10</v>
      </c>
      <c r="M427" s="4">
        <v>0</v>
      </c>
    </row>
    <row r="428" spans="1:13">
      <c r="A428" s="3" t="s">
        <v>973</v>
      </c>
      <c r="B428" s="4">
        <v>40</v>
      </c>
      <c r="C428" s="4">
        <v>0</v>
      </c>
      <c r="D428" s="4">
        <v>5</v>
      </c>
      <c r="E428" s="4">
        <v>20</v>
      </c>
      <c r="F428" s="4">
        <v>27.5</v>
      </c>
      <c r="G428" s="4">
        <v>20.5</v>
      </c>
      <c r="H428" s="4">
        <v>25</v>
      </c>
      <c r="I428" s="4">
        <v>11.25</v>
      </c>
      <c r="J428" s="4">
        <v>70</v>
      </c>
      <c r="K428" s="4">
        <v>35</v>
      </c>
      <c r="L428" s="4">
        <v>28.5</v>
      </c>
      <c r="M428" s="4">
        <v>50</v>
      </c>
    </row>
    <row r="429" spans="1:13">
      <c r="A429" s="3" t="s">
        <v>974</v>
      </c>
      <c r="B429" s="4">
        <v>0</v>
      </c>
      <c r="C429" s="4">
        <v>0</v>
      </c>
      <c r="D429" s="4">
        <v>0</v>
      </c>
      <c r="E429" s="4">
        <v>14</v>
      </c>
      <c r="F429" s="4">
        <v>1</v>
      </c>
      <c r="G429" s="4">
        <v>1</v>
      </c>
      <c r="H429" s="4">
        <v>0</v>
      </c>
      <c r="I429" s="4">
        <v>0</v>
      </c>
      <c r="J429" s="4">
        <v>21</v>
      </c>
      <c r="K429" s="4">
        <v>20</v>
      </c>
      <c r="L429" s="4">
        <v>0</v>
      </c>
      <c r="M429" s="4">
        <v>20</v>
      </c>
    </row>
    <row r="430" spans="1:13">
      <c r="A430" s="3" t="s">
        <v>975</v>
      </c>
      <c r="B430" s="4">
        <v>0</v>
      </c>
      <c r="C430" s="4">
        <v>0</v>
      </c>
      <c r="D430" s="4">
        <v>0</v>
      </c>
      <c r="E430" s="4">
        <v>10</v>
      </c>
      <c r="F430" s="4">
        <v>27.5</v>
      </c>
      <c r="G430" s="4">
        <v>0</v>
      </c>
      <c r="H430" s="4">
        <v>0</v>
      </c>
      <c r="I430" s="4">
        <v>25</v>
      </c>
      <c r="J430" s="4">
        <v>27.5</v>
      </c>
      <c r="K430" s="4">
        <v>10</v>
      </c>
      <c r="L430" s="4">
        <v>0</v>
      </c>
      <c r="M430" s="4">
        <v>30</v>
      </c>
    </row>
    <row r="431" spans="1:13">
      <c r="A431" s="3" t="s">
        <v>976</v>
      </c>
      <c r="B431" s="4">
        <v>96</v>
      </c>
      <c r="C431" s="4">
        <v>78.5</v>
      </c>
      <c r="D431" s="4">
        <v>63.3</v>
      </c>
      <c r="E431" s="4">
        <v>62</v>
      </c>
      <c r="F431" s="4">
        <v>39</v>
      </c>
      <c r="G431" s="4">
        <v>42</v>
      </c>
      <c r="H431" s="4">
        <v>112.5</v>
      </c>
      <c r="I431" s="4">
        <v>35.5</v>
      </c>
      <c r="J431" s="4">
        <v>43</v>
      </c>
      <c r="K431" s="4">
        <v>12.5</v>
      </c>
      <c r="L431" s="4">
        <v>15</v>
      </c>
      <c r="M431" s="4">
        <v>17.5</v>
      </c>
    </row>
    <row r="432" spans="1:13">
      <c r="A432" s="3" t="s">
        <v>977</v>
      </c>
      <c r="B432" s="4">
        <v>20</v>
      </c>
      <c r="C432" s="4">
        <v>20</v>
      </c>
      <c r="D432" s="4">
        <v>40</v>
      </c>
      <c r="E432" s="4">
        <v>44</v>
      </c>
      <c r="F432" s="4">
        <v>74</v>
      </c>
      <c r="G432" s="4">
        <v>87</v>
      </c>
      <c r="H432" s="4">
        <v>176</v>
      </c>
      <c r="I432" s="4">
        <v>50</v>
      </c>
      <c r="J432" s="4">
        <v>105.95</v>
      </c>
      <c r="K432" s="4">
        <v>47</v>
      </c>
      <c r="L432" s="4">
        <v>60.5</v>
      </c>
      <c r="M432" s="4">
        <v>207.2</v>
      </c>
    </row>
    <row r="433" spans="1:13">
      <c r="A433" s="3" t="s">
        <v>978</v>
      </c>
      <c r="B433" s="4">
        <v>16</v>
      </c>
      <c r="C433" s="4">
        <v>23</v>
      </c>
      <c r="D433" s="4">
        <v>20</v>
      </c>
      <c r="E433" s="4">
        <v>26</v>
      </c>
      <c r="F433" s="4">
        <v>39</v>
      </c>
      <c r="G433" s="4">
        <v>25</v>
      </c>
      <c r="H433" s="4">
        <v>35</v>
      </c>
      <c r="I433" s="4">
        <v>32.5</v>
      </c>
      <c r="J433" s="4">
        <v>83</v>
      </c>
      <c r="K433" s="4">
        <v>86</v>
      </c>
      <c r="L433" s="4">
        <v>60</v>
      </c>
      <c r="M433" s="4">
        <v>36</v>
      </c>
    </row>
    <row r="434" spans="1:13">
      <c r="A434" s="3" t="s">
        <v>979</v>
      </c>
      <c r="B434" s="4">
        <v>12</v>
      </c>
      <c r="C434" s="4">
        <v>0</v>
      </c>
      <c r="D434" s="4">
        <v>0</v>
      </c>
      <c r="E434" s="4">
        <v>40</v>
      </c>
      <c r="F434" s="4">
        <v>0.5</v>
      </c>
      <c r="G434" s="4">
        <v>42</v>
      </c>
      <c r="H434" s="4">
        <v>13</v>
      </c>
      <c r="I434" s="4">
        <v>10</v>
      </c>
      <c r="J434" s="4">
        <v>20</v>
      </c>
      <c r="K434" s="4">
        <v>29</v>
      </c>
      <c r="L434" s="4">
        <v>40</v>
      </c>
      <c r="M434" s="4">
        <v>45</v>
      </c>
    </row>
    <row r="435" spans="1:13">
      <c r="A435" s="3" t="s">
        <v>980</v>
      </c>
      <c r="B435" s="4">
        <v>10</v>
      </c>
      <c r="C435" s="4">
        <v>0</v>
      </c>
      <c r="D435" s="4">
        <v>0</v>
      </c>
      <c r="E435" s="4">
        <v>37.5</v>
      </c>
      <c r="F435" s="4">
        <v>26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</row>
    <row r="436" spans="1:13">
      <c r="A436" s="3" t="s">
        <v>981</v>
      </c>
      <c r="B436" s="4">
        <v>0</v>
      </c>
      <c r="C436" s="4">
        <v>0</v>
      </c>
      <c r="D436" s="4">
        <v>75</v>
      </c>
      <c r="E436" s="4">
        <v>0</v>
      </c>
      <c r="F436" s="4">
        <v>37</v>
      </c>
      <c r="G436" s="4">
        <v>54.5</v>
      </c>
      <c r="H436" s="4">
        <v>1</v>
      </c>
      <c r="I436" s="4">
        <v>0</v>
      </c>
      <c r="J436" s="4">
        <v>56.75</v>
      </c>
      <c r="K436" s="4">
        <v>38.25</v>
      </c>
      <c r="L436" s="4">
        <v>50</v>
      </c>
      <c r="M436" s="4">
        <v>0</v>
      </c>
    </row>
    <row r="437" spans="1:13">
      <c r="A437" s="3" t="s">
        <v>982</v>
      </c>
      <c r="B437" s="4">
        <v>124</v>
      </c>
      <c r="C437" s="4">
        <v>125</v>
      </c>
      <c r="D437" s="4">
        <v>180</v>
      </c>
      <c r="E437" s="4">
        <v>232</v>
      </c>
      <c r="F437" s="4">
        <v>279</v>
      </c>
      <c r="G437" s="4">
        <v>170</v>
      </c>
      <c r="H437" s="4">
        <v>86</v>
      </c>
      <c r="I437" s="4">
        <v>155</v>
      </c>
      <c r="J437" s="4">
        <v>205</v>
      </c>
      <c r="K437" s="4">
        <v>112</v>
      </c>
      <c r="L437" s="4">
        <v>173</v>
      </c>
      <c r="M437" s="4">
        <v>45</v>
      </c>
    </row>
    <row r="438" spans="1:13">
      <c r="A438" s="3" t="s">
        <v>983</v>
      </c>
      <c r="B438" s="4">
        <v>0</v>
      </c>
      <c r="C438" s="4">
        <v>0</v>
      </c>
      <c r="D438" s="4">
        <v>20</v>
      </c>
      <c r="E438" s="4">
        <v>25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</row>
    <row r="439" spans="1:13">
      <c r="A439" s="3" t="s">
        <v>984</v>
      </c>
      <c r="B439" s="4">
        <v>0</v>
      </c>
      <c r="C439" s="4">
        <v>20</v>
      </c>
      <c r="D439" s="4">
        <v>25</v>
      </c>
      <c r="E439" s="4">
        <v>23.5</v>
      </c>
      <c r="F439" s="4">
        <v>30</v>
      </c>
      <c r="G439" s="4">
        <v>20</v>
      </c>
      <c r="H439" s="4">
        <v>0</v>
      </c>
      <c r="I439" s="4">
        <v>0</v>
      </c>
      <c r="J439" s="4">
        <v>20</v>
      </c>
      <c r="K439" s="4">
        <v>0</v>
      </c>
      <c r="L439" s="4">
        <v>17.5</v>
      </c>
      <c r="M439" s="4">
        <v>0</v>
      </c>
    </row>
    <row r="440" spans="1:13">
      <c r="A440" s="3" t="s">
        <v>985</v>
      </c>
      <c r="B440" s="4">
        <v>101.15</v>
      </c>
      <c r="C440" s="4">
        <v>0</v>
      </c>
      <c r="D440" s="4">
        <v>101</v>
      </c>
      <c r="E440" s="4">
        <v>102</v>
      </c>
      <c r="F440" s="4">
        <v>52.5</v>
      </c>
      <c r="G440" s="4">
        <v>50</v>
      </c>
      <c r="H440" s="4">
        <v>100</v>
      </c>
      <c r="I440" s="4">
        <v>50</v>
      </c>
      <c r="J440" s="4">
        <v>100</v>
      </c>
      <c r="K440" s="4">
        <v>50</v>
      </c>
      <c r="L440" s="4">
        <v>50</v>
      </c>
      <c r="M440" s="4">
        <v>0</v>
      </c>
    </row>
    <row r="441" spans="1:13">
      <c r="A441" s="3" t="s">
        <v>986</v>
      </c>
      <c r="B441" s="4">
        <v>23.75</v>
      </c>
      <c r="C441" s="4">
        <v>0</v>
      </c>
      <c r="D441" s="4">
        <v>25</v>
      </c>
      <c r="E441" s="4">
        <v>12.5</v>
      </c>
      <c r="F441" s="4">
        <v>34</v>
      </c>
      <c r="G441" s="4">
        <v>50.5</v>
      </c>
      <c r="H441" s="4">
        <v>111</v>
      </c>
      <c r="I441" s="4">
        <v>118</v>
      </c>
      <c r="J441" s="4">
        <v>86.75</v>
      </c>
      <c r="K441" s="4">
        <v>52</v>
      </c>
      <c r="L441" s="4">
        <v>30</v>
      </c>
      <c r="M441" s="4">
        <v>68.400000000000006</v>
      </c>
    </row>
    <row r="442" spans="1:13">
      <c r="A442" s="3" t="s">
        <v>987</v>
      </c>
      <c r="B442" s="4">
        <v>32.5</v>
      </c>
      <c r="C442" s="4">
        <v>0</v>
      </c>
      <c r="D442" s="4">
        <v>10</v>
      </c>
      <c r="E442" s="4">
        <v>10</v>
      </c>
      <c r="F442" s="4">
        <v>10</v>
      </c>
      <c r="G442" s="4">
        <v>17.5</v>
      </c>
      <c r="H442" s="4">
        <v>7.5</v>
      </c>
      <c r="I442" s="4">
        <v>0</v>
      </c>
      <c r="J442" s="4">
        <v>15</v>
      </c>
      <c r="K442" s="4">
        <v>0</v>
      </c>
      <c r="L442" s="4">
        <v>15</v>
      </c>
      <c r="M442" s="4">
        <v>0</v>
      </c>
    </row>
    <row r="443" spans="1:13">
      <c r="A443" s="3" t="s">
        <v>988</v>
      </c>
      <c r="B443" s="4">
        <v>0</v>
      </c>
      <c r="C443" s="4">
        <v>15</v>
      </c>
      <c r="D443" s="4">
        <v>0</v>
      </c>
      <c r="E443" s="4">
        <v>0</v>
      </c>
      <c r="F443" s="4">
        <v>7.5</v>
      </c>
      <c r="G443" s="4">
        <v>16</v>
      </c>
      <c r="H443" s="4">
        <v>0</v>
      </c>
      <c r="I443" s="4">
        <v>0</v>
      </c>
      <c r="J443" s="4">
        <v>7.5</v>
      </c>
      <c r="K443" s="4">
        <v>5</v>
      </c>
      <c r="L443" s="4">
        <v>5</v>
      </c>
      <c r="M443" s="4">
        <v>0</v>
      </c>
    </row>
    <row r="444" spans="1:13">
      <c r="A444" s="3" t="s">
        <v>989</v>
      </c>
      <c r="B444" s="4">
        <v>0</v>
      </c>
      <c r="C444" s="4">
        <v>53</v>
      </c>
      <c r="D444" s="4">
        <v>20</v>
      </c>
      <c r="E444" s="4">
        <v>45</v>
      </c>
      <c r="F444" s="4">
        <v>45</v>
      </c>
      <c r="G444" s="4">
        <v>27.25</v>
      </c>
      <c r="H444" s="4">
        <v>45</v>
      </c>
      <c r="I444" s="4">
        <v>35</v>
      </c>
      <c r="J444" s="4">
        <v>105</v>
      </c>
      <c r="K444" s="4">
        <v>10</v>
      </c>
      <c r="L444" s="4">
        <v>22.5</v>
      </c>
      <c r="M444" s="4">
        <v>90</v>
      </c>
    </row>
    <row r="445" spans="1:13">
      <c r="A445" s="3" t="s">
        <v>990</v>
      </c>
      <c r="B445" s="4">
        <v>37</v>
      </c>
      <c r="C445" s="4">
        <v>31.5</v>
      </c>
      <c r="D445" s="4">
        <v>0</v>
      </c>
      <c r="E445" s="4">
        <v>22</v>
      </c>
      <c r="F445" s="4">
        <v>0</v>
      </c>
      <c r="G445" s="4">
        <v>0</v>
      </c>
      <c r="H445" s="4">
        <v>1</v>
      </c>
      <c r="I445" s="4">
        <v>0</v>
      </c>
      <c r="J445" s="4">
        <v>60</v>
      </c>
      <c r="K445" s="4">
        <v>25</v>
      </c>
      <c r="L445" s="4">
        <v>0</v>
      </c>
      <c r="M445" s="4">
        <v>0</v>
      </c>
    </row>
    <row r="446" spans="1:13">
      <c r="A446" s="3" t="s">
        <v>991</v>
      </c>
      <c r="B446" s="4">
        <v>45</v>
      </c>
      <c r="C446" s="4">
        <v>20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</row>
    <row r="447" spans="1:13">
      <c r="A447" s="3" t="s">
        <v>992</v>
      </c>
      <c r="B447" s="4">
        <v>0</v>
      </c>
      <c r="C447" s="4">
        <v>0</v>
      </c>
      <c r="D447" s="4">
        <v>0</v>
      </c>
      <c r="E447" s="4">
        <v>0</v>
      </c>
      <c r="F447" s="4">
        <v>17.5</v>
      </c>
      <c r="G447" s="4">
        <v>0</v>
      </c>
      <c r="H447" s="4">
        <v>0</v>
      </c>
      <c r="I447" s="4">
        <v>0</v>
      </c>
      <c r="J447" s="4">
        <v>0</v>
      </c>
      <c r="K447" s="4">
        <v>110</v>
      </c>
      <c r="L447" s="4">
        <v>20</v>
      </c>
      <c r="M447" s="4">
        <v>0</v>
      </c>
    </row>
    <row r="448" spans="1:13">
      <c r="A448" s="3" t="s">
        <v>993</v>
      </c>
      <c r="B448" s="4">
        <v>20</v>
      </c>
      <c r="C448" s="4">
        <v>45</v>
      </c>
      <c r="D448" s="4">
        <v>80</v>
      </c>
      <c r="E448" s="4">
        <v>24</v>
      </c>
      <c r="F448" s="4">
        <v>56</v>
      </c>
      <c r="G448" s="4">
        <v>32.5</v>
      </c>
      <c r="H448" s="4">
        <v>35</v>
      </c>
      <c r="I448" s="4">
        <v>10</v>
      </c>
      <c r="J448" s="4">
        <v>17.5</v>
      </c>
      <c r="K448" s="4">
        <v>25</v>
      </c>
      <c r="L448" s="4">
        <v>45</v>
      </c>
      <c r="M448" s="4">
        <v>45</v>
      </c>
    </row>
    <row r="449" spans="1:13">
      <c r="A449" s="3" t="s">
        <v>994</v>
      </c>
      <c r="B449" s="4">
        <v>30</v>
      </c>
      <c r="C449" s="4">
        <v>20</v>
      </c>
      <c r="D449" s="4">
        <v>0</v>
      </c>
      <c r="E449" s="4">
        <v>0</v>
      </c>
      <c r="F449" s="4">
        <v>0</v>
      </c>
      <c r="G449" s="4">
        <v>10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</row>
    <row r="450" spans="1:13">
      <c r="A450" s="3" t="s">
        <v>995</v>
      </c>
      <c r="B450" s="4">
        <v>57.85</v>
      </c>
      <c r="C450" s="4">
        <v>9</v>
      </c>
      <c r="D450" s="4">
        <v>55.5</v>
      </c>
      <c r="E450" s="4">
        <v>70</v>
      </c>
      <c r="F450" s="4">
        <v>117.5</v>
      </c>
      <c r="G450" s="4">
        <v>83.5</v>
      </c>
      <c r="H450" s="4">
        <v>51.5</v>
      </c>
      <c r="I450" s="4">
        <v>40.25</v>
      </c>
      <c r="J450" s="4">
        <v>183</v>
      </c>
      <c r="K450" s="4">
        <v>101.5</v>
      </c>
      <c r="L450" s="4">
        <v>106.6</v>
      </c>
      <c r="M450" s="4">
        <v>157.85</v>
      </c>
    </row>
    <row r="451" spans="1:13">
      <c r="A451" s="3" t="s">
        <v>996</v>
      </c>
      <c r="B451" s="4">
        <v>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7.5</v>
      </c>
      <c r="L451" s="4">
        <v>0</v>
      </c>
      <c r="M451" s="4">
        <v>0</v>
      </c>
    </row>
    <row r="452" spans="1:13">
      <c r="A452" s="3" t="s">
        <v>997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4">
        <v>54</v>
      </c>
      <c r="H452" s="4">
        <v>1</v>
      </c>
      <c r="I452" s="4">
        <v>77</v>
      </c>
      <c r="J452" s="4">
        <v>3</v>
      </c>
      <c r="K452" s="4">
        <v>101</v>
      </c>
      <c r="L452" s="4">
        <v>85</v>
      </c>
      <c r="M452" s="4">
        <v>82.5</v>
      </c>
    </row>
    <row r="453" spans="1:13">
      <c r="A453" s="3" t="s">
        <v>998</v>
      </c>
      <c r="B453" s="4">
        <v>0</v>
      </c>
      <c r="C453" s="4">
        <v>35</v>
      </c>
      <c r="D453" s="4">
        <v>21.5</v>
      </c>
      <c r="E453" s="4">
        <v>79</v>
      </c>
      <c r="F453" s="4">
        <v>37.5</v>
      </c>
      <c r="G453" s="4">
        <v>95.5</v>
      </c>
      <c r="H453" s="4">
        <v>144.5</v>
      </c>
      <c r="I453" s="4">
        <v>75</v>
      </c>
      <c r="J453" s="4">
        <v>152.5</v>
      </c>
      <c r="K453" s="4">
        <v>78</v>
      </c>
      <c r="L453" s="4">
        <v>148.6</v>
      </c>
      <c r="M453" s="4">
        <v>57</v>
      </c>
    </row>
    <row r="454" spans="1:13">
      <c r="A454" s="3" t="s">
        <v>999</v>
      </c>
      <c r="B454" s="4">
        <v>0</v>
      </c>
      <c r="C454" s="4">
        <v>50</v>
      </c>
      <c r="D454" s="4">
        <v>40</v>
      </c>
      <c r="E454" s="4">
        <v>40</v>
      </c>
      <c r="F454" s="4">
        <v>25</v>
      </c>
      <c r="G454" s="4">
        <v>35</v>
      </c>
      <c r="H454" s="4">
        <v>0</v>
      </c>
      <c r="I454" s="4">
        <v>20</v>
      </c>
      <c r="J454" s="4">
        <v>20</v>
      </c>
      <c r="K454" s="4">
        <v>25</v>
      </c>
      <c r="L454" s="4">
        <v>52</v>
      </c>
      <c r="M454" s="4">
        <v>0</v>
      </c>
    </row>
    <row r="455" spans="1:13">
      <c r="A455" s="3" t="s">
        <v>1000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7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</row>
    <row r="456" spans="1:13">
      <c r="A456" s="3" t="s">
        <v>1001</v>
      </c>
      <c r="B456" s="4">
        <v>0</v>
      </c>
      <c r="C456" s="4">
        <v>0</v>
      </c>
      <c r="D456" s="4">
        <v>0</v>
      </c>
      <c r="E456" s="4">
        <v>0</v>
      </c>
      <c r="F456" s="4">
        <v>0</v>
      </c>
      <c r="G456" s="4">
        <v>2.5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</row>
    <row r="457" spans="1:13">
      <c r="A457" s="3" t="s">
        <v>1002</v>
      </c>
      <c r="B457" s="4">
        <v>30</v>
      </c>
      <c r="C457" s="4">
        <v>16</v>
      </c>
      <c r="D457" s="4">
        <v>80</v>
      </c>
      <c r="E457" s="4">
        <v>75</v>
      </c>
      <c r="F457" s="4">
        <v>112.5</v>
      </c>
      <c r="G457" s="4">
        <v>0</v>
      </c>
      <c r="H457" s="4">
        <v>10</v>
      </c>
      <c r="I457" s="4">
        <v>0</v>
      </c>
      <c r="J457" s="4">
        <v>25</v>
      </c>
      <c r="K457" s="4">
        <v>0</v>
      </c>
      <c r="L457" s="4">
        <v>0</v>
      </c>
      <c r="M457" s="4">
        <v>60</v>
      </c>
    </row>
    <row r="458" spans="1:13">
      <c r="A458" s="3" t="s">
        <v>1003</v>
      </c>
      <c r="B458" s="4">
        <v>15</v>
      </c>
      <c r="C458" s="4">
        <v>55</v>
      </c>
      <c r="D458" s="4">
        <v>25</v>
      </c>
      <c r="E458" s="4">
        <v>55</v>
      </c>
      <c r="F458" s="4">
        <v>12.5</v>
      </c>
      <c r="G458" s="4">
        <v>55</v>
      </c>
      <c r="H458" s="4">
        <v>20</v>
      </c>
      <c r="I458" s="4">
        <v>30</v>
      </c>
      <c r="J458" s="4">
        <v>50</v>
      </c>
      <c r="K458" s="4">
        <v>60</v>
      </c>
      <c r="L458" s="4">
        <v>74.25</v>
      </c>
      <c r="M458" s="4">
        <v>5</v>
      </c>
    </row>
    <row r="459" spans="1:13">
      <c r="A459" s="3" t="s">
        <v>1004</v>
      </c>
      <c r="B459" s="4">
        <v>30</v>
      </c>
      <c r="C459" s="4">
        <v>5</v>
      </c>
      <c r="D459" s="4">
        <v>54.5</v>
      </c>
      <c r="E459" s="4">
        <v>36</v>
      </c>
      <c r="F459" s="4">
        <v>28.5</v>
      </c>
      <c r="G459" s="4">
        <v>5</v>
      </c>
      <c r="H459" s="4">
        <v>12.5</v>
      </c>
      <c r="I459" s="4">
        <v>2.5</v>
      </c>
      <c r="J459" s="4">
        <v>27.5</v>
      </c>
      <c r="K459" s="4">
        <v>41.75</v>
      </c>
      <c r="L459" s="4">
        <v>45</v>
      </c>
      <c r="M459" s="4">
        <v>22</v>
      </c>
    </row>
    <row r="460" spans="1:13">
      <c r="A460" s="3" t="s">
        <v>1005</v>
      </c>
      <c r="B460" s="4">
        <v>47.5</v>
      </c>
      <c r="C460" s="4">
        <v>11</v>
      </c>
      <c r="D460" s="4">
        <v>24</v>
      </c>
      <c r="E460" s="4">
        <v>64.5</v>
      </c>
      <c r="F460" s="4">
        <v>11</v>
      </c>
      <c r="G460" s="4">
        <v>50</v>
      </c>
      <c r="H460" s="4">
        <v>0</v>
      </c>
      <c r="I460" s="4">
        <v>20</v>
      </c>
      <c r="J460" s="4">
        <v>14</v>
      </c>
      <c r="K460" s="4">
        <v>40</v>
      </c>
      <c r="L460" s="4">
        <v>0</v>
      </c>
      <c r="M460" s="4">
        <v>0</v>
      </c>
    </row>
    <row r="461" spans="1:13">
      <c r="A461" s="3" t="s">
        <v>1006</v>
      </c>
      <c r="B461" s="4">
        <v>50</v>
      </c>
      <c r="C461" s="4">
        <v>30</v>
      </c>
      <c r="D461" s="4">
        <v>117</v>
      </c>
      <c r="E461" s="4">
        <v>0</v>
      </c>
      <c r="F461" s="4">
        <v>72.5</v>
      </c>
      <c r="G461" s="4">
        <v>30</v>
      </c>
      <c r="H461" s="4">
        <v>15</v>
      </c>
      <c r="I461" s="4">
        <v>75</v>
      </c>
      <c r="J461" s="4">
        <v>75</v>
      </c>
      <c r="K461" s="4">
        <v>20</v>
      </c>
      <c r="L461" s="4">
        <v>20</v>
      </c>
      <c r="M461" s="4">
        <v>96</v>
      </c>
    </row>
    <row r="462" spans="1:13">
      <c r="A462" s="3" t="s">
        <v>1007</v>
      </c>
      <c r="B462" s="4">
        <v>44.5</v>
      </c>
      <c r="C462" s="4">
        <v>48</v>
      </c>
      <c r="D462" s="4">
        <v>62.75</v>
      </c>
      <c r="E462" s="4">
        <v>67</v>
      </c>
      <c r="F462" s="4">
        <v>104.5</v>
      </c>
      <c r="G462" s="4">
        <v>82</v>
      </c>
      <c r="H462" s="4">
        <v>25</v>
      </c>
      <c r="I462" s="4">
        <v>35.5</v>
      </c>
      <c r="J462" s="4">
        <v>131</v>
      </c>
      <c r="K462" s="4">
        <v>210.25</v>
      </c>
      <c r="L462" s="4">
        <v>144.75</v>
      </c>
      <c r="M462" s="4">
        <v>15</v>
      </c>
    </row>
    <row r="463" spans="1:13">
      <c r="A463" s="3" t="s">
        <v>1008</v>
      </c>
      <c r="B463" s="4">
        <v>13.5</v>
      </c>
      <c r="C463" s="4">
        <v>10</v>
      </c>
      <c r="D463" s="4">
        <v>20</v>
      </c>
      <c r="E463" s="4">
        <v>60</v>
      </c>
      <c r="F463" s="4">
        <v>40</v>
      </c>
      <c r="G463" s="4">
        <v>40</v>
      </c>
      <c r="H463" s="4">
        <v>10</v>
      </c>
      <c r="I463" s="4">
        <v>0</v>
      </c>
      <c r="J463" s="4">
        <v>0</v>
      </c>
      <c r="K463" s="4">
        <v>15</v>
      </c>
      <c r="L463" s="4">
        <v>9.5</v>
      </c>
      <c r="M463" s="4">
        <v>0</v>
      </c>
    </row>
    <row r="464" spans="1:13">
      <c r="A464" s="3" t="s">
        <v>1009</v>
      </c>
      <c r="B464" s="4">
        <v>40</v>
      </c>
      <c r="C464" s="4">
        <v>46</v>
      </c>
      <c r="D464" s="4">
        <v>59</v>
      </c>
      <c r="E464" s="4">
        <v>45</v>
      </c>
      <c r="F464" s="4">
        <v>56</v>
      </c>
      <c r="G464" s="4">
        <v>30.2</v>
      </c>
      <c r="H464" s="4">
        <v>63</v>
      </c>
      <c r="I464" s="4">
        <v>20</v>
      </c>
      <c r="J464" s="4">
        <v>59</v>
      </c>
      <c r="K464" s="4">
        <v>46</v>
      </c>
      <c r="L464" s="4">
        <v>49</v>
      </c>
      <c r="M464" s="4">
        <v>57</v>
      </c>
    </row>
    <row r="465" spans="1:13">
      <c r="A465" s="3" t="s">
        <v>1010</v>
      </c>
      <c r="B465" s="4">
        <v>72</v>
      </c>
      <c r="C465" s="4">
        <v>56</v>
      </c>
      <c r="D465" s="4">
        <v>94.5</v>
      </c>
      <c r="E465" s="4">
        <v>54.25</v>
      </c>
      <c r="F465" s="4">
        <v>79.5</v>
      </c>
      <c r="G465" s="4">
        <v>79.2</v>
      </c>
      <c r="H465" s="4">
        <v>83</v>
      </c>
      <c r="I465" s="4">
        <v>45.5</v>
      </c>
      <c r="J465" s="4">
        <v>112.5</v>
      </c>
      <c r="K465" s="4">
        <v>92.5</v>
      </c>
      <c r="L465" s="4">
        <v>157</v>
      </c>
      <c r="M465" s="4">
        <v>86.5</v>
      </c>
    </row>
    <row r="466" spans="1:13">
      <c r="A466" s="3" t="s">
        <v>1011</v>
      </c>
      <c r="B466" s="4">
        <v>0</v>
      </c>
      <c r="C466" s="4">
        <v>8.5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</row>
    <row r="467" spans="1:13">
      <c r="A467" s="3" t="s">
        <v>1012</v>
      </c>
      <c r="B467" s="4">
        <v>30</v>
      </c>
      <c r="C467" s="4">
        <v>42</v>
      </c>
      <c r="D467" s="4">
        <v>30</v>
      </c>
      <c r="E467" s="4">
        <v>13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</row>
    <row r="468" spans="1:13">
      <c r="A468" s="3" t="s">
        <v>1013</v>
      </c>
      <c r="B468" s="4">
        <v>10</v>
      </c>
      <c r="C468" s="4">
        <v>0</v>
      </c>
      <c r="D468" s="4">
        <v>35</v>
      </c>
      <c r="E468" s="4">
        <v>50</v>
      </c>
      <c r="F468" s="4">
        <v>37.5</v>
      </c>
      <c r="G468" s="4">
        <v>27.5</v>
      </c>
      <c r="H468" s="4">
        <v>10</v>
      </c>
      <c r="I468" s="4">
        <v>10</v>
      </c>
      <c r="J468" s="4">
        <v>41</v>
      </c>
      <c r="K468" s="4">
        <v>20</v>
      </c>
      <c r="L468" s="4">
        <v>30</v>
      </c>
      <c r="M468" s="4">
        <v>129.5</v>
      </c>
    </row>
    <row r="469" spans="1:13">
      <c r="A469" s="3" t="s">
        <v>1014</v>
      </c>
      <c r="B469" s="4">
        <v>12.5</v>
      </c>
      <c r="C469" s="4">
        <v>0</v>
      </c>
      <c r="D469" s="4">
        <v>10</v>
      </c>
      <c r="E469" s="4">
        <v>33.5</v>
      </c>
      <c r="F469" s="4">
        <v>0</v>
      </c>
      <c r="G469" s="4">
        <v>0</v>
      </c>
      <c r="H469" s="4">
        <v>0</v>
      </c>
      <c r="I469" s="4">
        <v>10</v>
      </c>
      <c r="J469" s="4">
        <v>34</v>
      </c>
      <c r="K469" s="4">
        <v>0</v>
      </c>
      <c r="L469" s="4">
        <v>0</v>
      </c>
      <c r="M469" s="4">
        <v>0</v>
      </c>
    </row>
    <row r="470" spans="1:13">
      <c r="A470" s="3" t="s">
        <v>1015</v>
      </c>
      <c r="B470" s="4">
        <v>0</v>
      </c>
      <c r="C470" s="4">
        <v>40</v>
      </c>
      <c r="D470" s="4">
        <v>123</v>
      </c>
      <c r="E470" s="4">
        <v>74.5</v>
      </c>
      <c r="F470" s="4">
        <v>50</v>
      </c>
      <c r="G470" s="4">
        <v>30</v>
      </c>
      <c r="H470" s="4">
        <v>30</v>
      </c>
      <c r="I470" s="4">
        <v>15</v>
      </c>
      <c r="J470" s="4">
        <v>0</v>
      </c>
      <c r="K470" s="4">
        <v>25</v>
      </c>
      <c r="L470" s="4">
        <v>25</v>
      </c>
      <c r="M470" s="4">
        <v>0</v>
      </c>
    </row>
    <row r="471" spans="1:13">
      <c r="A471" s="3" t="s">
        <v>1016</v>
      </c>
      <c r="B471" s="4">
        <v>15</v>
      </c>
      <c r="C471" s="4">
        <v>0</v>
      </c>
      <c r="D471" s="4">
        <v>0</v>
      </c>
      <c r="E471" s="4">
        <v>27</v>
      </c>
      <c r="F471" s="4">
        <v>55</v>
      </c>
      <c r="G471" s="4">
        <v>50</v>
      </c>
      <c r="H471" s="4">
        <v>40</v>
      </c>
      <c r="I471" s="4">
        <v>35</v>
      </c>
      <c r="J471" s="4">
        <v>96</v>
      </c>
      <c r="K471" s="4">
        <v>50</v>
      </c>
      <c r="L471" s="4">
        <v>0</v>
      </c>
      <c r="M471" s="4">
        <v>0</v>
      </c>
    </row>
    <row r="472" spans="1:13">
      <c r="A472" s="3" t="s">
        <v>1017</v>
      </c>
      <c r="B472" s="4">
        <v>21</v>
      </c>
      <c r="C472" s="4">
        <v>20</v>
      </c>
      <c r="D472" s="4">
        <v>0</v>
      </c>
      <c r="E472" s="4">
        <v>0</v>
      </c>
      <c r="F472" s="4">
        <v>20</v>
      </c>
      <c r="G472" s="4">
        <v>20</v>
      </c>
      <c r="H472" s="4">
        <v>0</v>
      </c>
      <c r="I472" s="4">
        <v>20</v>
      </c>
      <c r="J472" s="4">
        <v>20</v>
      </c>
      <c r="K472" s="4">
        <v>29.5</v>
      </c>
      <c r="L472" s="4">
        <v>0</v>
      </c>
      <c r="M472" s="4">
        <v>0</v>
      </c>
    </row>
    <row r="473" spans="1:13">
      <c r="A473" s="3" t="s">
        <v>1018</v>
      </c>
      <c r="B473" s="4">
        <v>0</v>
      </c>
      <c r="C473" s="4">
        <v>0</v>
      </c>
      <c r="D473" s="4">
        <v>110</v>
      </c>
      <c r="E473" s="4">
        <v>75</v>
      </c>
      <c r="F473" s="4">
        <v>65</v>
      </c>
      <c r="G473" s="4">
        <v>155</v>
      </c>
      <c r="H473" s="4">
        <v>35</v>
      </c>
      <c r="I473" s="4">
        <v>80</v>
      </c>
      <c r="J473" s="4">
        <v>0</v>
      </c>
      <c r="K473" s="4">
        <v>90</v>
      </c>
      <c r="L473" s="4">
        <v>80</v>
      </c>
      <c r="M473" s="4">
        <v>0</v>
      </c>
    </row>
    <row r="474" spans="1:13">
      <c r="A474" s="3" t="s">
        <v>1019</v>
      </c>
      <c r="B474" s="4">
        <v>31</v>
      </c>
      <c r="C474" s="4">
        <v>0</v>
      </c>
      <c r="D474" s="4">
        <v>31</v>
      </c>
      <c r="E474" s="4">
        <v>0</v>
      </c>
      <c r="F474" s="4">
        <v>15</v>
      </c>
      <c r="G474" s="4">
        <v>10</v>
      </c>
      <c r="H474" s="4">
        <v>0</v>
      </c>
      <c r="I474" s="4">
        <v>10</v>
      </c>
      <c r="J474" s="4">
        <v>20</v>
      </c>
      <c r="K474" s="4">
        <v>0</v>
      </c>
      <c r="L474" s="4">
        <v>0</v>
      </c>
      <c r="M474" s="4">
        <v>0</v>
      </c>
    </row>
    <row r="475" spans="1:13">
      <c r="A475" s="3" t="s">
        <v>1020</v>
      </c>
      <c r="B475" s="4">
        <v>60</v>
      </c>
      <c r="C475" s="4">
        <v>94</v>
      </c>
      <c r="D475" s="4">
        <v>59</v>
      </c>
      <c r="E475" s="4">
        <v>20</v>
      </c>
      <c r="F475" s="4">
        <v>54.65</v>
      </c>
      <c r="G475" s="4">
        <v>35</v>
      </c>
      <c r="H475" s="4">
        <v>25</v>
      </c>
      <c r="I475" s="4">
        <v>15</v>
      </c>
      <c r="J475" s="4">
        <v>58.5</v>
      </c>
      <c r="K475" s="4">
        <v>36</v>
      </c>
      <c r="L475" s="4">
        <v>96</v>
      </c>
      <c r="M475" s="4">
        <v>81</v>
      </c>
    </row>
    <row r="476" spans="1:13">
      <c r="A476" s="3" t="s">
        <v>1021</v>
      </c>
      <c r="B476" s="4">
        <v>84</v>
      </c>
      <c r="C476" s="4">
        <v>34</v>
      </c>
      <c r="D476" s="4">
        <v>36</v>
      </c>
      <c r="E476" s="4">
        <v>100</v>
      </c>
      <c r="F476" s="4">
        <v>40</v>
      </c>
      <c r="G476" s="4">
        <v>80</v>
      </c>
      <c r="H476" s="4">
        <v>45</v>
      </c>
      <c r="I476" s="4">
        <v>0</v>
      </c>
      <c r="J476" s="4">
        <v>22.5</v>
      </c>
      <c r="K476" s="4">
        <v>30</v>
      </c>
      <c r="L476" s="4">
        <v>50</v>
      </c>
      <c r="M476" s="4">
        <v>0</v>
      </c>
    </row>
    <row r="477" spans="1:13">
      <c r="A477" s="3" t="s">
        <v>1022</v>
      </c>
      <c r="B477" s="4">
        <v>59.75</v>
      </c>
      <c r="C477" s="4">
        <v>44.5</v>
      </c>
      <c r="D477" s="4">
        <v>70.5</v>
      </c>
      <c r="E477" s="4">
        <v>85.45</v>
      </c>
      <c r="F477" s="4">
        <v>47</v>
      </c>
      <c r="G477" s="4">
        <v>57.5</v>
      </c>
      <c r="H477" s="4">
        <v>10</v>
      </c>
      <c r="I477" s="4">
        <v>10</v>
      </c>
      <c r="J477" s="4">
        <v>112</v>
      </c>
      <c r="K477" s="4">
        <v>26</v>
      </c>
      <c r="L477" s="4">
        <v>61.5</v>
      </c>
      <c r="M477" s="4">
        <v>66</v>
      </c>
    </row>
    <row r="478" spans="1:13">
      <c r="A478" s="3" t="s">
        <v>1023</v>
      </c>
      <c r="B478" s="4">
        <v>0</v>
      </c>
      <c r="C478" s="4">
        <v>9.9499999999999993</v>
      </c>
      <c r="D478" s="4">
        <v>0</v>
      </c>
      <c r="E478" s="4">
        <v>0</v>
      </c>
      <c r="F478" s="4">
        <v>0</v>
      </c>
      <c r="G478" s="4">
        <v>2.5</v>
      </c>
      <c r="H478" s="4">
        <v>0</v>
      </c>
      <c r="I478" s="4">
        <v>0</v>
      </c>
      <c r="J478" s="4">
        <v>10</v>
      </c>
      <c r="K478" s="4">
        <v>0</v>
      </c>
      <c r="L478" s="4">
        <v>0</v>
      </c>
      <c r="M478" s="4">
        <v>0</v>
      </c>
    </row>
    <row r="479" spans="1:13">
      <c r="A479" s="3" t="s">
        <v>1024</v>
      </c>
      <c r="B479" s="4">
        <v>20</v>
      </c>
      <c r="C479" s="4">
        <v>90</v>
      </c>
      <c r="D479" s="4">
        <v>100</v>
      </c>
      <c r="E479" s="4">
        <v>42.5</v>
      </c>
      <c r="F479" s="4">
        <v>38.5</v>
      </c>
      <c r="G479" s="4">
        <v>37</v>
      </c>
      <c r="H479" s="4">
        <v>25</v>
      </c>
      <c r="I479" s="4">
        <v>10</v>
      </c>
      <c r="J479" s="4">
        <v>35</v>
      </c>
      <c r="K479" s="4">
        <v>12.5</v>
      </c>
      <c r="L479" s="4">
        <v>15</v>
      </c>
      <c r="M479" s="4">
        <v>10</v>
      </c>
    </row>
    <row r="480" spans="1:13">
      <c r="A480" s="3" t="s">
        <v>1025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31</v>
      </c>
      <c r="J480" s="4">
        <v>11</v>
      </c>
      <c r="K480" s="4">
        <v>0</v>
      </c>
      <c r="L480" s="4">
        <v>0</v>
      </c>
      <c r="M480" s="4">
        <v>93</v>
      </c>
    </row>
    <row r="481" spans="1:13">
      <c r="A481" s="3" t="s">
        <v>1026</v>
      </c>
      <c r="B481" s="4">
        <v>20</v>
      </c>
      <c r="C481" s="4">
        <v>45</v>
      </c>
      <c r="D481" s="4">
        <v>32</v>
      </c>
      <c r="E481" s="4">
        <v>19.649999999999999</v>
      </c>
      <c r="F481" s="4">
        <v>97</v>
      </c>
      <c r="G481" s="4">
        <v>31</v>
      </c>
      <c r="H481" s="4">
        <v>0</v>
      </c>
      <c r="I481" s="4">
        <v>0</v>
      </c>
      <c r="J481" s="4">
        <v>35</v>
      </c>
      <c r="K481" s="4">
        <v>21</v>
      </c>
      <c r="L481" s="4">
        <v>31</v>
      </c>
      <c r="M481" s="4">
        <v>15</v>
      </c>
    </row>
    <row r="482" spans="1:13">
      <c r="A482" s="3" t="s">
        <v>1027</v>
      </c>
      <c r="B482" s="4">
        <v>30</v>
      </c>
      <c r="C482" s="4">
        <v>55</v>
      </c>
      <c r="D482" s="4">
        <v>45</v>
      </c>
      <c r="E482" s="4">
        <v>57.5</v>
      </c>
      <c r="F482" s="4">
        <v>0</v>
      </c>
      <c r="G482" s="4">
        <v>35</v>
      </c>
      <c r="H482" s="4">
        <v>65</v>
      </c>
      <c r="I482" s="4">
        <v>30</v>
      </c>
      <c r="J482" s="4">
        <v>66.5</v>
      </c>
      <c r="K482" s="4">
        <v>87.5</v>
      </c>
      <c r="L482" s="4">
        <v>33</v>
      </c>
      <c r="M482" s="4">
        <v>118.2</v>
      </c>
    </row>
    <row r="483" spans="1:13">
      <c r="A483" s="3" t="s">
        <v>1028</v>
      </c>
      <c r="B483" s="4">
        <v>0</v>
      </c>
      <c r="C483" s="4">
        <v>0</v>
      </c>
      <c r="D483" s="4">
        <v>0</v>
      </c>
      <c r="E483" s="4">
        <v>10</v>
      </c>
      <c r="F483" s="4">
        <v>20</v>
      </c>
      <c r="G483" s="4">
        <v>39</v>
      </c>
      <c r="H483" s="4">
        <v>15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</row>
    <row r="484" spans="1:13">
      <c r="A484" s="3" t="s">
        <v>1029</v>
      </c>
      <c r="B484" s="4">
        <v>126</v>
      </c>
      <c r="C484" s="4">
        <v>113.5</v>
      </c>
      <c r="D484" s="4">
        <v>74.5</v>
      </c>
      <c r="E484" s="4">
        <v>117.05</v>
      </c>
      <c r="F484" s="4">
        <v>77.25</v>
      </c>
      <c r="G484" s="4">
        <v>105</v>
      </c>
      <c r="H484" s="4">
        <v>25</v>
      </c>
      <c r="I484" s="4">
        <v>46</v>
      </c>
      <c r="J484" s="4">
        <v>25</v>
      </c>
      <c r="K484" s="4">
        <v>42.6</v>
      </c>
      <c r="L484" s="4">
        <v>109</v>
      </c>
      <c r="M484" s="4">
        <v>40</v>
      </c>
    </row>
    <row r="485" spans="1:13">
      <c r="A485" s="3" t="s">
        <v>1030</v>
      </c>
      <c r="B485" s="4">
        <v>50</v>
      </c>
      <c r="C485" s="4">
        <v>29.9</v>
      </c>
      <c r="D485" s="4">
        <v>62</v>
      </c>
      <c r="E485" s="4">
        <v>48</v>
      </c>
      <c r="F485" s="4">
        <v>32.5</v>
      </c>
      <c r="G485" s="4">
        <v>25</v>
      </c>
      <c r="H485" s="4">
        <v>20</v>
      </c>
      <c r="I485" s="4">
        <v>75</v>
      </c>
      <c r="J485" s="4">
        <v>50</v>
      </c>
      <c r="K485" s="4">
        <v>20</v>
      </c>
      <c r="L485" s="4">
        <v>35</v>
      </c>
      <c r="M485" s="4">
        <v>35</v>
      </c>
    </row>
    <row r="486" spans="1:13">
      <c r="A486" s="3" t="s">
        <v>1031</v>
      </c>
      <c r="B486" s="4">
        <v>273.75</v>
      </c>
      <c r="C486" s="4">
        <v>204.25</v>
      </c>
      <c r="D486" s="4">
        <v>249.75</v>
      </c>
      <c r="E486" s="4">
        <v>285.25</v>
      </c>
      <c r="F486" s="4">
        <v>200</v>
      </c>
      <c r="G486" s="4">
        <v>351.5</v>
      </c>
      <c r="H486" s="4">
        <v>251.5</v>
      </c>
      <c r="I486" s="4">
        <v>240</v>
      </c>
      <c r="J486" s="4">
        <v>340.4</v>
      </c>
      <c r="K486" s="4">
        <v>105.5</v>
      </c>
      <c r="L486" s="4">
        <v>91</v>
      </c>
      <c r="M486" s="4">
        <v>42.5</v>
      </c>
    </row>
    <row r="487" spans="1:13">
      <c r="A487" s="3" t="s">
        <v>1032</v>
      </c>
      <c r="B487" s="4">
        <v>0</v>
      </c>
      <c r="C487" s="4">
        <v>27.5</v>
      </c>
      <c r="D487" s="4">
        <v>30</v>
      </c>
      <c r="E487" s="4">
        <v>0</v>
      </c>
      <c r="F487" s="4">
        <v>10</v>
      </c>
      <c r="G487" s="4">
        <v>10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</row>
    <row r="488" spans="1:13">
      <c r="A488" s="3" t="s">
        <v>1033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35</v>
      </c>
      <c r="M488" s="4">
        <v>97</v>
      </c>
    </row>
    <row r="489" spans="1:13">
      <c r="A489" s="3" t="s">
        <v>1034</v>
      </c>
      <c r="B489" s="4">
        <v>0</v>
      </c>
      <c r="C489" s="4">
        <v>25</v>
      </c>
      <c r="D489" s="4">
        <v>20</v>
      </c>
      <c r="E489" s="4">
        <v>12.5</v>
      </c>
      <c r="F489" s="4">
        <v>6</v>
      </c>
      <c r="G489" s="4">
        <v>17</v>
      </c>
      <c r="H489" s="4">
        <v>10</v>
      </c>
      <c r="I489" s="4">
        <v>20</v>
      </c>
      <c r="J489" s="4">
        <v>0</v>
      </c>
      <c r="K489" s="4">
        <v>0</v>
      </c>
      <c r="L489" s="4">
        <v>55</v>
      </c>
      <c r="M489" s="4">
        <v>17.5</v>
      </c>
    </row>
    <row r="490" spans="1:13">
      <c r="A490" s="3" t="s">
        <v>1035</v>
      </c>
      <c r="B490" s="4">
        <v>10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</row>
    <row r="491" spans="1:13">
      <c r="A491" s="3" t="s">
        <v>1036</v>
      </c>
      <c r="B491" s="4">
        <v>0</v>
      </c>
      <c r="C491" s="4">
        <v>20</v>
      </c>
      <c r="D491" s="4">
        <v>30</v>
      </c>
      <c r="E491" s="4">
        <v>20</v>
      </c>
      <c r="F491" s="4">
        <v>25</v>
      </c>
      <c r="G491" s="4">
        <v>10</v>
      </c>
      <c r="H491" s="4">
        <v>10</v>
      </c>
      <c r="I491" s="4">
        <v>10</v>
      </c>
      <c r="J491" s="4">
        <v>20</v>
      </c>
      <c r="K491" s="4">
        <v>0</v>
      </c>
      <c r="L491" s="4">
        <v>10</v>
      </c>
      <c r="M491" s="4">
        <v>6.5</v>
      </c>
    </row>
    <row r="492" spans="1:13">
      <c r="A492" s="3" t="s">
        <v>1037</v>
      </c>
      <c r="B492" s="4">
        <v>146</v>
      </c>
      <c r="C492" s="4">
        <v>15</v>
      </c>
      <c r="D492" s="4">
        <v>134.5</v>
      </c>
      <c r="E492" s="4">
        <v>162.5</v>
      </c>
      <c r="F492" s="4">
        <v>75.5</v>
      </c>
      <c r="G492" s="4">
        <v>86</v>
      </c>
      <c r="H492" s="4">
        <v>30</v>
      </c>
      <c r="I492" s="4">
        <v>109</v>
      </c>
      <c r="J492" s="4">
        <v>181</v>
      </c>
      <c r="K492" s="4">
        <v>105</v>
      </c>
      <c r="L492" s="4">
        <v>190</v>
      </c>
      <c r="M492" s="4">
        <v>200</v>
      </c>
    </row>
    <row r="493" spans="1:13">
      <c r="A493" s="3" t="s">
        <v>1038</v>
      </c>
      <c r="B493" s="4">
        <v>543</v>
      </c>
      <c r="C493" s="4">
        <v>422</v>
      </c>
      <c r="D493" s="4">
        <v>104</v>
      </c>
      <c r="E493" s="4">
        <v>226.4</v>
      </c>
      <c r="F493" s="4">
        <v>158.5</v>
      </c>
      <c r="G493" s="4">
        <v>161</v>
      </c>
      <c r="H493" s="4">
        <v>85.5</v>
      </c>
      <c r="I493" s="4">
        <v>101</v>
      </c>
      <c r="J493" s="4">
        <v>158</v>
      </c>
      <c r="K493" s="4">
        <v>191.5</v>
      </c>
      <c r="L493" s="4">
        <v>214.5</v>
      </c>
      <c r="M493" s="4">
        <v>119.5</v>
      </c>
    </row>
    <row r="494" spans="1:13">
      <c r="A494" s="3" t="s">
        <v>1039</v>
      </c>
      <c r="B494" s="4">
        <v>10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</row>
    <row r="495" spans="1:13">
      <c r="A495" s="3" t="s">
        <v>1040</v>
      </c>
      <c r="B495" s="4">
        <v>25</v>
      </c>
      <c r="C495" s="4">
        <v>90</v>
      </c>
      <c r="D495" s="4">
        <v>95</v>
      </c>
      <c r="E495" s="4">
        <v>35</v>
      </c>
      <c r="F495" s="4">
        <v>42.5</v>
      </c>
      <c r="G495" s="4">
        <v>10</v>
      </c>
      <c r="H495" s="4">
        <v>15</v>
      </c>
      <c r="I495" s="4">
        <v>0</v>
      </c>
      <c r="J495" s="4">
        <v>95</v>
      </c>
      <c r="K495" s="4">
        <v>60</v>
      </c>
      <c r="L495" s="4">
        <v>20</v>
      </c>
      <c r="M495" s="4">
        <v>82.5</v>
      </c>
    </row>
    <row r="496" spans="1:13">
      <c r="A496" s="3" t="s">
        <v>1041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15</v>
      </c>
      <c r="M496" s="4">
        <v>0</v>
      </c>
    </row>
    <row r="497" spans="1:13">
      <c r="A497" s="3" t="s">
        <v>1042</v>
      </c>
      <c r="B497" s="4">
        <v>30</v>
      </c>
      <c r="C497" s="4">
        <v>64</v>
      </c>
      <c r="D497" s="4">
        <v>29.5</v>
      </c>
      <c r="E497" s="4">
        <v>130</v>
      </c>
      <c r="F497" s="4">
        <v>20</v>
      </c>
      <c r="G497" s="4">
        <v>113.5</v>
      </c>
      <c r="H497" s="4">
        <v>85</v>
      </c>
      <c r="I497" s="4">
        <v>92</v>
      </c>
      <c r="J497" s="4">
        <v>70</v>
      </c>
      <c r="K497" s="4">
        <v>117.25</v>
      </c>
      <c r="L497" s="4">
        <v>0</v>
      </c>
      <c r="M497" s="4">
        <v>211.7</v>
      </c>
    </row>
    <row r="498" spans="1:13">
      <c r="A498" s="3" t="s">
        <v>1043</v>
      </c>
      <c r="B498" s="4">
        <v>0</v>
      </c>
      <c r="C498" s="4">
        <v>0</v>
      </c>
      <c r="D498" s="4">
        <v>0</v>
      </c>
      <c r="E498" s="4">
        <v>10</v>
      </c>
      <c r="F498" s="4">
        <v>0</v>
      </c>
      <c r="G498" s="4">
        <v>0</v>
      </c>
      <c r="H498" s="4">
        <v>0</v>
      </c>
      <c r="I498" s="4">
        <v>123</v>
      </c>
      <c r="J498" s="4">
        <v>20</v>
      </c>
      <c r="K498" s="4">
        <v>48</v>
      </c>
      <c r="L498" s="4">
        <v>0</v>
      </c>
      <c r="M498" s="4">
        <v>88.9</v>
      </c>
    </row>
    <row r="499" spans="1:13">
      <c r="A499" s="3" t="s">
        <v>1044</v>
      </c>
      <c r="B499" s="4">
        <v>0</v>
      </c>
      <c r="C499" s="4">
        <v>0</v>
      </c>
      <c r="D499" s="4">
        <v>13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</row>
    <row r="500" spans="1:13">
      <c r="A500" s="3" t="s">
        <v>1045</v>
      </c>
      <c r="B500" s="4">
        <v>33.5</v>
      </c>
      <c r="C500" s="4">
        <v>22.5</v>
      </c>
      <c r="D500" s="4">
        <v>49.75</v>
      </c>
      <c r="E500" s="4">
        <v>35</v>
      </c>
      <c r="F500" s="4">
        <v>56.5</v>
      </c>
      <c r="G500" s="4">
        <v>78.75</v>
      </c>
      <c r="H500" s="4">
        <v>76</v>
      </c>
      <c r="I500" s="4">
        <v>41.75</v>
      </c>
      <c r="J500" s="4">
        <v>98.75</v>
      </c>
      <c r="K500" s="4">
        <v>40</v>
      </c>
      <c r="L500" s="4">
        <v>24.75</v>
      </c>
      <c r="M500" s="4">
        <v>32.5</v>
      </c>
    </row>
    <row r="501" spans="1:13">
      <c r="A501" s="3" t="s">
        <v>1046</v>
      </c>
      <c r="B501" s="4">
        <v>45.5</v>
      </c>
      <c r="C501" s="4">
        <v>21</v>
      </c>
      <c r="D501" s="4">
        <v>35</v>
      </c>
      <c r="E501" s="4">
        <v>73</v>
      </c>
      <c r="F501" s="4">
        <v>65.5</v>
      </c>
      <c r="G501" s="4">
        <v>94.5</v>
      </c>
      <c r="H501" s="4">
        <v>30</v>
      </c>
      <c r="I501" s="4">
        <v>61.55</v>
      </c>
      <c r="J501" s="4">
        <v>92.5</v>
      </c>
      <c r="K501" s="4">
        <v>92.5</v>
      </c>
      <c r="L501" s="4">
        <v>136.6</v>
      </c>
      <c r="M501" s="4">
        <v>154.5</v>
      </c>
    </row>
    <row r="502" spans="1:13">
      <c r="A502" s="3" t="s">
        <v>1047</v>
      </c>
      <c r="B502" s="4">
        <v>0</v>
      </c>
      <c r="C502" s="4">
        <v>0</v>
      </c>
      <c r="D502" s="4">
        <v>10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</row>
    <row r="503" spans="1:13">
      <c r="A503" s="3" t="s">
        <v>1048</v>
      </c>
      <c r="B503" s="4">
        <v>106</v>
      </c>
      <c r="C503" s="4">
        <v>30</v>
      </c>
      <c r="D503" s="4">
        <v>251.5</v>
      </c>
      <c r="E503" s="4">
        <v>156.5</v>
      </c>
      <c r="F503" s="4">
        <v>77.5</v>
      </c>
      <c r="G503" s="4">
        <v>90</v>
      </c>
      <c r="H503" s="4">
        <v>207</v>
      </c>
      <c r="I503" s="4">
        <v>81.5</v>
      </c>
      <c r="J503" s="4">
        <v>55</v>
      </c>
      <c r="K503" s="4">
        <v>196</v>
      </c>
      <c r="L503" s="4">
        <v>191</v>
      </c>
      <c r="M503" s="4">
        <v>84.75</v>
      </c>
    </row>
    <row r="504" spans="1:13">
      <c r="A504" s="3" t="s">
        <v>1049</v>
      </c>
      <c r="B504" s="4">
        <v>15</v>
      </c>
      <c r="C504" s="4">
        <v>45</v>
      </c>
      <c r="D504" s="4">
        <v>42</v>
      </c>
      <c r="E504" s="4">
        <v>10</v>
      </c>
      <c r="F504" s="4">
        <v>40</v>
      </c>
      <c r="G504" s="4">
        <v>35</v>
      </c>
      <c r="H504" s="4">
        <v>73</v>
      </c>
      <c r="I504" s="4">
        <v>37.5</v>
      </c>
      <c r="J504" s="4">
        <v>21.5</v>
      </c>
      <c r="K504" s="4">
        <v>50</v>
      </c>
      <c r="L504" s="4">
        <v>31.5</v>
      </c>
      <c r="M504" s="4">
        <v>36</v>
      </c>
    </row>
    <row r="505" spans="1:13">
      <c r="A505" s="3" t="s">
        <v>1050</v>
      </c>
      <c r="B505" s="4">
        <v>50</v>
      </c>
      <c r="C505" s="4">
        <v>15</v>
      </c>
      <c r="D505" s="4">
        <v>80</v>
      </c>
      <c r="E505" s="4">
        <v>30</v>
      </c>
      <c r="F505" s="4">
        <v>5</v>
      </c>
      <c r="G505" s="4">
        <v>0</v>
      </c>
      <c r="H505" s="4">
        <v>65</v>
      </c>
      <c r="I505" s="4">
        <v>10</v>
      </c>
      <c r="J505" s="4">
        <v>0</v>
      </c>
      <c r="K505" s="4">
        <v>20</v>
      </c>
      <c r="L505" s="4">
        <v>35</v>
      </c>
      <c r="M505" s="4">
        <v>70</v>
      </c>
    </row>
    <row r="506" spans="1:13">
      <c r="A506" s="3" t="s">
        <v>1051</v>
      </c>
      <c r="B506" s="4">
        <v>0</v>
      </c>
      <c r="C506" s="4">
        <v>15</v>
      </c>
      <c r="D506" s="4">
        <v>75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</row>
    <row r="507" spans="1:13">
      <c r="A507" s="3" t="s">
        <v>1052</v>
      </c>
      <c r="B507" s="4">
        <v>0</v>
      </c>
      <c r="C507" s="4">
        <v>45</v>
      </c>
      <c r="D507" s="4">
        <v>35</v>
      </c>
      <c r="E507" s="4">
        <v>25</v>
      </c>
      <c r="F507" s="4">
        <v>53</v>
      </c>
      <c r="G507" s="4">
        <v>0</v>
      </c>
      <c r="H507" s="4">
        <v>15</v>
      </c>
      <c r="I507" s="4">
        <v>30</v>
      </c>
      <c r="J507" s="4">
        <v>40</v>
      </c>
      <c r="K507" s="4">
        <v>35</v>
      </c>
      <c r="L507" s="4">
        <v>40</v>
      </c>
      <c r="M507" s="4">
        <v>20</v>
      </c>
    </row>
    <row r="508" spans="1:13">
      <c r="A508" s="3" t="s">
        <v>1053</v>
      </c>
      <c r="B508" s="4">
        <v>0</v>
      </c>
      <c r="C508" s="4">
        <v>0</v>
      </c>
      <c r="D508" s="4">
        <v>12</v>
      </c>
      <c r="E508" s="4">
        <v>8</v>
      </c>
      <c r="F508" s="4">
        <v>0</v>
      </c>
      <c r="G508" s="4">
        <v>31</v>
      </c>
      <c r="H508" s="4">
        <v>22</v>
      </c>
      <c r="I508" s="4">
        <v>0</v>
      </c>
      <c r="J508" s="4">
        <v>22</v>
      </c>
      <c r="K508" s="4">
        <v>14</v>
      </c>
      <c r="L508" s="4">
        <v>47</v>
      </c>
      <c r="M508" s="4">
        <v>104</v>
      </c>
    </row>
    <row r="509" spans="1:13">
      <c r="A509" s="3" t="s">
        <v>1054</v>
      </c>
      <c r="B509" s="4">
        <v>20</v>
      </c>
      <c r="C509" s="4">
        <v>51</v>
      </c>
      <c r="D509" s="4">
        <v>45</v>
      </c>
      <c r="E509" s="4">
        <v>55</v>
      </c>
      <c r="F509" s="4">
        <v>75</v>
      </c>
      <c r="G509" s="4">
        <v>35</v>
      </c>
      <c r="H509" s="4">
        <v>16</v>
      </c>
      <c r="I509" s="4">
        <v>26</v>
      </c>
      <c r="J509" s="4">
        <v>25</v>
      </c>
      <c r="K509" s="4">
        <v>45</v>
      </c>
      <c r="L509" s="4">
        <v>45</v>
      </c>
      <c r="M509" s="4">
        <v>55</v>
      </c>
    </row>
    <row r="510" spans="1:13">
      <c r="A510" s="3" t="s">
        <v>1055</v>
      </c>
      <c r="B510" s="4">
        <v>46</v>
      </c>
      <c r="C510" s="4">
        <v>51</v>
      </c>
      <c r="D510" s="4">
        <v>40</v>
      </c>
      <c r="E510" s="4">
        <v>51</v>
      </c>
      <c r="F510" s="4">
        <v>35</v>
      </c>
      <c r="G510" s="4">
        <v>45</v>
      </c>
      <c r="H510" s="4">
        <v>70</v>
      </c>
      <c r="I510" s="4">
        <v>25</v>
      </c>
      <c r="J510" s="4">
        <v>20</v>
      </c>
      <c r="K510" s="4">
        <v>50</v>
      </c>
      <c r="L510" s="4">
        <v>81</v>
      </c>
      <c r="M510" s="4">
        <v>87</v>
      </c>
    </row>
    <row r="511" spans="1:13">
      <c r="A511" s="3" t="s">
        <v>1056</v>
      </c>
      <c r="B511" s="4">
        <v>0</v>
      </c>
      <c r="C511" s="4">
        <v>0</v>
      </c>
      <c r="D511" s="4">
        <v>0</v>
      </c>
      <c r="E511" s="4">
        <v>0</v>
      </c>
      <c r="F511" s="4">
        <v>30</v>
      </c>
      <c r="G511" s="4">
        <v>0</v>
      </c>
      <c r="H511" s="4">
        <v>0</v>
      </c>
      <c r="I511" s="4">
        <v>0</v>
      </c>
      <c r="J511" s="4">
        <v>40</v>
      </c>
      <c r="K511" s="4">
        <v>0</v>
      </c>
      <c r="L511" s="4">
        <v>0</v>
      </c>
      <c r="M511" s="4">
        <v>0</v>
      </c>
    </row>
    <row r="512" spans="1:13">
      <c r="A512" s="3" t="s">
        <v>1057</v>
      </c>
      <c r="B512" s="4">
        <v>61</v>
      </c>
      <c r="C512" s="4">
        <v>66</v>
      </c>
      <c r="D512" s="4">
        <v>36</v>
      </c>
      <c r="E512" s="4">
        <v>65</v>
      </c>
      <c r="F512" s="4">
        <v>35</v>
      </c>
      <c r="G512" s="4">
        <v>20</v>
      </c>
      <c r="H512" s="4">
        <v>50</v>
      </c>
      <c r="I512" s="4">
        <v>55</v>
      </c>
      <c r="J512" s="4">
        <v>21</v>
      </c>
      <c r="K512" s="4">
        <v>57.5</v>
      </c>
      <c r="L512" s="4">
        <v>47.5</v>
      </c>
      <c r="M512" s="4">
        <v>98</v>
      </c>
    </row>
    <row r="513" spans="1:13">
      <c r="A513" s="3" t="s">
        <v>1058</v>
      </c>
      <c r="B513" s="4">
        <v>60</v>
      </c>
      <c r="C513" s="4">
        <v>0</v>
      </c>
      <c r="D513" s="4">
        <v>40</v>
      </c>
      <c r="E513" s="4">
        <v>20</v>
      </c>
      <c r="F513" s="4">
        <v>30</v>
      </c>
      <c r="G513" s="4">
        <v>30</v>
      </c>
      <c r="H513" s="4">
        <v>30</v>
      </c>
      <c r="I513" s="4">
        <v>15</v>
      </c>
      <c r="J513" s="4">
        <v>35</v>
      </c>
      <c r="K513" s="4">
        <v>46</v>
      </c>
      <c r="L513" s="4">
        <v>50</v>
      </c>
      <c r="M513" s="4">
        <v>85</v>
      </c>
    </row>
    <row r="514" spans="1:13">
      <c r="A514" s="3" t="s">
        <v>1059</v>
      </c>
      <c r="B514" s="4">
        <v>129.5</v>
      </c>
      <c r="C514" s="4">
        <v>61.6</v>
      </c>
      <c r="D514" s="4">
        <v>112</v>
      </c>
      <c r="E514" s="4">
        <v>127.5</v>
      </c>
      <c r="F514" s="4">
        <v>138</v>
      </c>
      <c r="G514" s="4">
        <v>56</v>
      </c>
      <c r="H514" s="4">
        <v>22.5</v>
      </c>
      <c r="I514" s="4">
        <v>15</v>
      </c>
      <c r="J514" s="4">
        <v>115</v>
      </c>
      <c r="K514" s="4">
        <v>92.1</v>
      </c>
      <c r="L514" s="4">
        <v>160</v>
      </c>
      <c r="M514" s="4">
        <v>184.5</v>
      </c>
    </row>
    <row r="515" spans="1:13">
      <c r="A515" s="3" t="s">
        <v>1060</v>
      </c>
      <c r="B515" s="4">
        <v>16</v>
      </c>
      <c r="C515" s="4">
        <v>36</v>
      </c>
      <c r="D515" s="4">
        <v>61</v>
      </c>
      <c r="E515" s="4">
        <v>50</v>
      </c>
      <c r="F515" s="4">
        <v>0</v>
      </c>
      <c r="G515" s="4">
        <v>15</v>
      </c>
      <c r="H515" s="4">
        <v>55</v>
      </c>
      <c r="I515" s="4">
        <v>36</v>
      </c>
      <c r="J515" s="4">
        <v>45</v>
      </c>
      <c r="K515" s="4">
        <v>70</v>
      </c>
      <c r="L515" s="4">
        <v>80</v>
      </c>
      <c r="M515" s="4">
        <v>141</v>
      </c>
    </row>
    <row r="516" spans="1:13">
      <c r="A516" s="3" t="s">
        <v>1061</v>
      </c>
      <c r="B516" s="4">
        <v>50</v>
      </c>
      <c r="C516" s="4">
        <v>75</v>
      </c>
      <c r="D516" s="4">
        <v>141</v>
      </c>
      <c r="E516" s="4">
        <v>31</v>
      </c>
      <c r="F516" s="4">
        <v>20</v>
      </c>
      <c r="G516" s="4">
        <v>50</v>
      </c>
      <c r="H516" s="4">
        <v>31</v>
      </c>
      <c r="I516" s="4">
        <v>0</v>
      </c>
      <c r="J516" s="4">
        <v>50</v>
      </c>
      <c r="K516" s="4">
        <v>30</v>
      </c>
      <c r="L516" s="4">
        <v>90</v>
      </c>
      <c r="M516" s="4">
        <v>107</v>
      </c>
    </row>
    <row r="517" spans="1:13">
      <c r="A517" s="3" t="s">
        <v>1062</v>
      </c>
      <c r="B517" s="4">
        <v>30</v>
      </c>
      <c r="C517" s="4">
        <v>60</v>
      </c>
      <c r="D517" s="4">
        <v>55</v>
      </c>
      <c r="E517" s="4">
        <v>114</v>
      </c>
      <c r="F517" s="4">
        <v>31</v>
      </c>
      <c r="G517" s="4">
        <v>15</v>
      </c>
      <c r="H517" s="4">
        <v>96</v>
      </c>
      <c r="I517" s="4">
        <v>0</v>
      </c>
      <c r="J517" s="4">
        <v>40</v>
      </c>
      <c r="K517" s="4">
        <v>15</v>
      </c>
      <c r="L517" s="4">
        <v>20</v>
      </c>
      <c r="M517" s="4">
        <v>13</v>
      </c>
    </row>
    <row r="518" spans="1:13">
      <c r="A518" s="3" t="s">
        <v>1063</v>
      </c>
      <c r="B518" s="4">
        <v>22</v>
      </c>
      <c r="C518" s="4">
        <v>72</v>
      </c>
      <c r="D518" s="4">
        <v>75</v>
      </c>
      <c r="E518" s="4">
        <v>23.5</v>
      </c>
      <c r="F518" s="4">
        <v>36</v>
      </c>
      <c r="G518" s="4">
        <v>71</v>
      </c>
      <c r="H518" s="4">
        <v>10</v>
      </c>
      <c r="I518" s="4">
        <v>55</v>
      </c>
      <c r="J518" s="4">
        <v>121.44999999999999</v>
      </c>
      <c r="K518" s="4">
        <v>96</v>
      </c>
      <c r="L518" s="4">
        <v>146.5</v>
      </c>
      <c r="M518" s="4">
        <v>172</v>
      </c>
    </row>
    <row r="519" spans="1:13">
      <c r="A519" s="3" t="s">
        <v>1064</v>
      </c>
      <c r="B519" s="4">
        <v>50</v>
      </c>
      <c r="C519" s="4">
        <v>0</v>
      </c>
      <c r="D519" s="4">
        <v>51</v>
      </c>
      <c r="E519" s="4">
        <v>77</v>
      </c>
      <c r="F519" s="4">
        <v>51.25</v>
      </c>
      <c r="G519" s="4">
        <v>60</v>
      </c>
      <c r="H519" s="4">
        <v>101</v>
      </c>
      <c r="I519" s="4">
        <v>50</v>
      </c>
      <c r="J519" s="4">
        <v>100</v>
      </c>
      <c r="K519" s="4">
        <v>105</v>
      </c>
      <c r="L519" s="4">
        <v>0</v>
      </c>
      <c r="M519" s="4">
        <v>50</v>
      </c>
    </row>
    <row r="520" spans="1:13">
      <c r="A520" s="3" t="s">
        <v>1065</v>
      </c>
      <c r="B520" s="4">
        <v>20</v>
      </c>
      <c r="C520" s="4">
        <v>20</v>
      </c>
      <c r="D520" s="4">
        <v>18.5</v>
      </c>
      <c r="E520" s="4">
        <v>15</v>
      </c>
      <c r="F520" s="4">
        <v>20</v>
      </c>
      <c r="G520" s="4">
        <v>17.5</v>
      </c>
      <c r="H520" s="4">
        <v>0</v>
      </c>
      <c r="I520" s="4">
        <v>20</v>
      </c>
      <c r="J520" s="4">
        <v>15</v>
      </c>
      <c r="K520" s="4">
        <v>31.5</v>
      </c>
      <c r="L520" s="4">
        <v>40</v>
      </c>
      <c r="M520" s="4">
        <v>0</v>
      </c>
    </row>
    <row r="521" spans="1:13">
      <c r="A521" s="3" t="s">
        <v>1066</v>
      </c>
      <c r="B521" s="4">
        <v>30</v>
      </c>
      <c r="C521" s="4">
        <v>10</v>
      </c>
      <c r="D521" s="4">
        <v>20</v>
      </c>
      <c r="E521" s="4">
        <v>37.5</v>
      </c>
      <c r="F521" s="4">
        <v>50</v>
      </c>
      <c r="G521" s="4">
        <v>30</v>
      </c>
      <c r="H521" s="4">
        <v>49</v>
      </c>
      <c r="I521" s="4">
        <v>20</v>
      </c>
      <c r="J521" s="4">
        <v>60</v>
      </c>
      <c r="K521" s="4">
        <v>0</v>
      </c>
      <c r="L521" s="4">
        <v>13</v>
      </c>
      <c r="M521" s="4">
        <v>20</v>
      </c>
    </row>
    <row r="522" spans="1:13">
      <c r="A522" s="3" t="s">
        <v>1067</v>
      </c>
      <c r="B522" s="4">
        <v>30</v>
      </c>
      <c r="C522" s="4">
        <v>2</v>
      </c>
      <c r="D522" s="4">
        <v>171.75</v>
      </c>
      <c r="E522" s="4">
        <v>13.4</v>
      </c>
      <c r="F522" s="4">
        <v>103.25</v>
      </c>
      <c r="G522" s="4">
        <v>69.25</v>
      </c>
      <c r="H522" s="4">
        <v>44</v>
      </c>
      <c r="I522" s="4">
        <v>0</v>
      </c>
      <c r="J522" s="4">
        <v>84</v>
      </c>
      <c r="K522" s="4">
        <v>57</v>
      </c>
      <c r="L522" s="4">
        <v>41</v>
      </c>
      <c r="M522" s="4">
        <v>66</v>
      </c>
    </row>
    <row r="523" spans="1:13">
      <c r="A523" s="3" t="s">
        <v>1068</v>
      </c>
      <c r="B523" s="4">
        <v>20</v>
      </c>
      <c r="C523" s="4">
        <v>106</v>
      </c>
      <c r="D523" s="4">
        <v>85</v>
      </c>
      <c r="E523" s="4">
        <v>81.5</v>
      </c>
      <c r="F523" s="4">
        <v>4.5</v>
      </c>
      <c r="G523" s="4">
        <v>95</v>
      </c>
      <c r="H523" s="4">
        <v>95</v>
      </c>
      <c r="I523" s="4">
        <v>50</v>
      </c>
      <c r="J523" s="4">
        <v>188</v>
      </c>
      <c r="K523" s="4">
        <v>80</v>
      </c>
      <c r="L523" s="4">
        <v>145</v>
      </c>
      <c r="M523" s="4">
        <v>59</v>
      </c>
    </row>
    <row r="524" spans="1:13">
      <c r="A524" s="3" t="s">
        <v>1069</v>
      </c>
      <c r="B524" s="4">
        <v>22.5</v>
      </c>
      <c r="C524" s="4">
        <v>42.5</v>
      </c>
      <c r="D524" s="4">
        <v>50</v>
      </c>
      <c r="E524" s="4">
        <v>38.75</v>
      </c>
      <c r="F524" s="4">
        <v>63</v>
      </c>
      <c r="G524" s="4">
        <v>35</v>
      </c>
      <c r="H524" s="4">
        <v>60</v>
      </c>
      <c r="I524" s="4">
        <v>0</v>
      </c>
      <c r="J524" s="4">
        <v>75</v>
      </c>
      <c r="K524" s="4">
        <v>15</v>
      </c>
      <c r="L524" s="4">
        <v>15</v>
      </c>
      <c r="M524" s="4">
        <v>15</v>
      </c>
    </row>
    <row r="525" spans="1:13">
      <c r="A525" s="3" t="s">
        <v>1070</v>
      </c>
      <c r="B525" s="4">
        <v>10</v>
      </c>
      <c r="C525" s="4">
        <v>0</v>
      </c>
      <c r="D525" s="4">
        <v>0</v>
      </c>
      <c r="E525" s="4">
        <v>40</v>
      </c>
      <c r="F525" s="4">
        <v>10</v>
      </c>
      <c r="G525" s="4">
        <v>10</v>
      </c>
      <c r="H525" s="4">
        <v>25</v>
      </c>
      <c r="I525" s="4">
        <v>25</v>
      </c>
      <c r="J525" s="4">
        <v>0</v>
      </c>
      <c r="K525" s="4">
        <v>0</v>
      </c>
      <c r="L525" s="4">
        <v>0</v>
      </c>
      <c r="M525" s="4">
        <v>0</v>
      </c>
    </row>
    <row r="526" spans="1:13">
      <c r="A526" s="3" t="s">
        <v>1071</v>
      </c>
      <c r="B526" s="4">
        <v>0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10</v>
      </c>
      <c r="K526" s="4">
        <v>0</v>
      </c>
      <c r="L526" s="4">
        <v>10</v>
      </c>
      <c r="M526" s="4">
        <v>10</v>
      </c>
    </row>
    <row r="527" spans="1:13">
      <c r="A527" s="3" t="s">
        <v>1072</v>
      </c>
      <c r="B527" s="4">
        <v>47.5</v>
      </c>
      <c r="C527" s="4">
        <v>40</v>
      </c>
      <c r="D527" s="4">
        <v>10</v>
      </c>
      <c r="E527" s="4">
        <v>40</v>
      </c>
      <c r="F527" s="4">
        <v>15</v>
      </c>
      <c r="G527" s="4">
        <v>35</v>
      </c>
      <c r="H527" s="4">
        <v>20</v>
      </c>
      <c r="I527" s="4">
        <v>39</v>
      </c>
      <c r="J527" s="4">
        <v>45</v>
      </c>
      <c r="K527" s="4">
        <v>31</v>
      </c>
      <c r="L527" s="4">
        <v>34</v>
      </c>
      <c r="M527" s="4">
        <v>48</v>
      </c>
    </row>
    <row r="528" spans="1:13">
      <c r="A528" s="3" t="s">
        <v>1073</v>
      </c>
      <c r="B528" s="4">
        <v>5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20</v>
      </c>
      <c r="I528" s="4">
        <v>0</v>
      </c>
      <c r="J528" s="4">
        <v>0</v>
      </c>
      <c r="K528" s="4">
        <v>0</v>
      </c>
      <c r="L528" s="4">
        <v>30</v>
      </c>
      <c r="M528" s="4">
        <v>0</v>
      </c>
    </row>
    <row r="529" spans="1:13">
      <c r="A529" s="3" t="s">
        <v>1074</v>
      </c>
      <c r="B529" s="4">
        <v>5</v>
      </c>
      <c r="C529" s="4">
        <v>0</v>
      </c>
      <c r="D529" s="4">
        <v>62</v>
      </c>
      <c r="E529" s="4">
        <v>85</v>
      </c>
      <c r="F529" s="4">
        <v>37</v>
      </c>
      <c r="G529" s="4">
        <v>36.5</v>
      </c>
      <c r="H529" s="4">
        <v>18.5</v>
      </c>
      <c r="I529" s="4">
        <v>0</v>
      </c>
      <c r="J529" s="4">
        <v>17.5</v>
      </c>
      <c r="K529" s="4">
        <v>55</v>
      </c>
      <c r="L529" s="4">
        <v>25</v>
      </c>
      <c r="M529" s="4">
        <v>60</v>
      </c>
    </row>
    <row r="530" spans="1:13">
      <c r="A530" s="3" t="s">
        <v>1075</v>
      </c>
      <c r="B530" s="4">
        <v>20</v>
      </c>
      <c r="C530" s="4">
        <v>25</v>
      </c>
      <c r="D530" s="4">
        <v>30</v>
      </c>
      <c r="E530" s="4">
        <v>12.5</v>
      </c>
      <c r="F530" s="4">
        <v>32.5</v>
      </c>
      <c r="G530" s="4">
        <v>20</v>
      </c>
      <c r="H530" s="4">
        <v>12.5</v>
      </c>
      <c r="I530" s="4">
        <v>25</v>
      </c>
      <c r="J530" s="4">
        <v>45</v>
      </c>
      <c r="K530" s="4">
        <v>20</v>
      </c>
      <c r="L530" s="4">
        <v>0</v>
      </c>
      <c r="M530" s="4">
        <v>57.5</v>
      </c>
    </row>
    <row r="531" spans="1:13">
      <c r="A531" s="3" t="s">
        <v>1076</v>
      </c>
      <c r="B531" s="4">
        <v>91</v>
      </c>
      <c r="C531" s="4">
        <v>58</v>
      </c>
      <c r="D531" s="4">
        <v>135</v>
      </c>
      <c r="E531" s="4">
        <v>65</v>
      </c>
      <c r="F531" s="4">
        <v>50</v>
      </c>
      <c r="G531" s="4">
        <v>45</v>
      </c>
      <c r="H531" s="4">
        <v>36</v>
      </c>
      <c r="I531" s="4">
        <v>34</v>
      </c>
      <c r="J531" s="4">
        <v>30</v>
      </c>
      <c r="K531" s="4">
        <v>15</v>
      </c>
      <c r="L531" s="4">
        <v>0</v>
      </c>
      <c r="M531" s="4">
        <v>0</v>
      </c>
    </row>
    <row r="532" spans="1:13">
      <c r="A532" s="3" t="s">
        <v>1077</v>
      </c>
      <c r="B532" s="4">
        <v>40</v>
      </c>
      <c r="C532" s="4">
        <v>10</v>
      </c>
      <c r="D532" s="4">
        <v>35</v>
      </c>
      <c r="E532" s="4">
        <v>45</v>
      </c>
      <c r="F532" s="4">
        <v>20</v>
      </c>
      <c r="G532" s="4">
        <v>35</v>
      </c>
      <c r="H532" s="4">
        <v>10</v>
      </c>
      <c r="I532" s="4">
        <v>10</v>
      </c>
      <c r="J532" s="4">
        <v>10</v>
      </c>
      <c r="K532" s="4">
        <v>20</v>
      </c>
      <c r="L532" s="4">
        <v>0</v>
      </c>
      <c r="M532" s="4">
        <v>40.5</v>
      </c>
    </row>
    <row r="533" spans="1:13">
      <c r="A533" s="3" t="s">
        <v>1078</v>
      </c>
      <c r="B533" s="4">
        <v>20</v>
      </c>
      <c r="C533" s="4">
        <v>20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</row>
    <row r="534" spans="1:13">
      <c r="A534" s="3" t="s">
        <v>1079</v>
      </c>
      <c r="B534" s="4">
        <v>30</v>
      </c>
      <c r="C534" s="4">
        <v>41</v>
      </c>
      <c r="D534" s="4">
        <v>88</v>
      </c>
      <c r="E534" s="4">
        <v>64.5</v>
      </c>
      <c r="F534" s="4">
        <v>101</v>
      </c>
      <c r="G534" s="4">
        <v>81.5</v>
      </c>
      <c r="H534" s="4">
        <v>75</v>
      </c>
      <c r="I534" s="4">
        <v>15</v>
      </c>
      <c r="J534" s="4">
        <v>50</v>
      </c>
      <c r="K534" s="4">
        <v>35</v>
      </c>
      <c r="L534" s="4">
        <v>0</v>
      </c>
      <c r="M534" s="4">
        <v>55</v>
      </c>
    </row>
    <row r="535" spans="1:13">
      <c r="A535" s="3" t="s">
        <v>1080</v>
      </c>
      <c r="B535" s="4">
        <v>15</v>
      </c>
      <c r="C535" s="4">
        <v>40</v>
      </c>
      <c r="D535" s="4">
        <v>30</v>
      </c>
      <c r="E535" s="4">
        <v>26</v>
      </c>
      <c r="F535" s="4">
        <v>10</v>
      </c>
      <c r="G535" s="4">
        <v>17.5</v>
      </c>
      <c r="H535" s="4">
        <v>20</v>
      </c>
      <c r="I535" s="4">
        <v>0</v>
      </c>
      <c r="J535" s="4">
        <v>40</v>
      </c>
      <c r="K535" s="4">
        <v>30</v>
      </c>
      <c r="L535" s="4">
        <v>10</v>
      </c>
      <c r="M535" s="4">
        <v>175</v>
      </c>
    </row>
    <row r="536" spans="1:13">
      <c r="A536" s="3" t="s">
        <v>1081</v>
      </c>
      <c r="B536" s="4">
        <v>33.75</v>
      </c>
      <c r="C536" s="4">
        <v>95</v>
      </c>
      <c r="D536" s="4">
        <v>151.5</v>
      </c>
      <c r="E536" s="4">
        <v>80</v>
      </c>
      <c r="F536" s="4">
        <v>65</v>
      </c>
      <c r="G536" s="4">
        <v>50</v>
      </c>
      <c r="H536" s="4">
        <v>30</v>
      </c>
      <c r="I536" s="4">
        <v>17.5</v>
      </c>
      <c r="J536" s="4">
        <v>20</v>
      </c>
      <c r="K536" s="4">
        <v>20</v>
      </c>
      <c r="L536" s="4">
        <v>95</v>
      </c>
      <c r="M536" s="4">
        <v>45</v>
      </c>
    </row>
    <row r="537" spans="1:13">
      <c r="A537" s="3" t="s">
        <v>1082</v>
      </c>
      <c r="B537" s="4">
        <v>10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</row>
    <row r="538" spans="1:13">
      <c r="A538" s="3" t="s">
        <v>1083</v>
      </c>
      <c r="B538" s="4">
        <v>38.5</v>
      </c>
      <c r="C538" s="4">
        <v>43.5</v>
      </c>
      <c r="D538" s="4">
        <v>52.5</v>
      </c>
      <c r="E538" s="4">
        <v>40</v>
      </c>
      <c r="F538" s="4">
        <v>0</v>
      </c>
      <c r="G538" s="4">
        <v>0</v>
      </c>
      <c r="H538" s="4">
        <v>0</v>
      </c>
      <c r="I538" s="4">
        <v>62</v>
      </c>
      <c r="J538" s="4">
        <v>10</v>
      </c>
      <c r="K538" s="4">
        <v>35</v>
      </c>
      <c r="L538" s="4">
        <v>28</v>
      </c>
      <c r="M538" s="4">
        <v>10</v>
      </c>
    </row>
    <row r="539" spans="1:13">
      <c r="A539" s="3" t="s">
        <v>1084</v>
      </c>
      <c r="B539" s="4">
        <v>0</v>
      </c>
      <c r="C539" s="4">
        <v>0</v>
      </c>
      <c r="D539" s="4">
        <v>25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</row>
    <row r="540" spans="1:13">
      <c r="A540" s="3" t="s">
        <v>1085</v>
      </c>
      <c r="B540" s="4">
        <v>10</v>
      </c>
      <c r="C540" s="4">
        <v>20</v>
      </c>
      <c r="D540" s="4">
        <v>20</v>
      </c>
      <c r="E540" s="4">
        <v>15</v>
      </c>
      <c r="F540" s="4">
        <v>0</v>
      </c>
      <c r="G540" s="4">
        <v>0</v>
      </c>
      <c r="H540" s="4">
        <v>0</v>
      </c>
      <c r="I540" s="4">
        <v>0</v>
      </c>
      <c r="J540" s="4">
        <v>25</v>
      </c>
      <c r="K540" s="4">
        <v>0</v>
      </c>
      <c r="L540" s="4">
        <v>20</v>
      </c>
      <c r="M540" s="4">
        <v>0</v>
      </c>
    </row>
    <row r="541" spans="1:13">
      <c r="A541" s="3" t="s">
        <v>1086</v>
      </c>
      <c r="B541" s="4">
        <v>0</v>
      </c>
      <c r="C541" s="4">
        <v>0</v>
      </c>
      <c r="D541" s="4">
        <v>16</v>
      </c>
      <c r="E541" s="4">
        <v>22.5</v>
      </c>
      <c r="F541" s="4">
        <v>0</v>
      </c>
      <c r="G541" s="4">
        <v>17.5</v>
      </c>
      <c r="H541" s="4">
        <v>0</v>
      </c>
      <c r="I541" s="4">
        <v>0</v>
      </c>
      <c r="J541" s="4">
        <v>10</v>
      </c>
      <c r="K541" s="4">
        <v>10</v>
      </c>
      <c r="L541" s="4">
        <v>20</v>
      </c>
      <c r="M541" s="4">
        <v>0</v>
      </c>
    </row>
    <row r="542" spans="1:13">
      <c r="A542" s="3" t="s">
        <v>1087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40</v>
      </c>
      <c r="J542" s="4">
        <v>17.5</v>
      </c>
      <c r="K542" s="4">
        <v>0</v>
      </c>
      <c r="L542" s="4">
        <v>0</v>
      </c>
      <c r="M542" s="4">
        <v>0</v>
      </c>
    </row>
    <row r="543" spans="1:13">
      <c r="A543" s="3" t="s">
        <v>1088</v>
      </c>
      <c r="B543" s="4">
        <v>0</v>
      </c>
      <c r="C543" s="4">
        <v>0</v>
      </c>
      <c r="D543" s="4">
        <v>0</v>
      </c>
      <c r="E543" s="4">
        <v>0</v>
      </c>
      <c r="F543" s="4">
        <v>0</v>
      </c>
      <c r="G543" s="4">
        <v>50</v>
      </c>
      <c r="H543" s="4">
        <v>87.5</v>
      </c>
      <c r="I543" s="4">
        <v>50</v>
      </c>
      <c r="J543" s="4">
        <v>124.75</v>
      </c>
      <c r="K543" s="4">
        <v>73.5</v>
      </c>
      <c r="L543" s="4">
        <v>40</v>
      </c>
      <c r="M543" s="4">
        <v>43</v>
      </c>
    </row>
    <row r="544" spans="1:13">
      <c r="A544" s="3" t="s">
        <v>1089</v>
      </c>
      <c r="B544" s="4">
        <v>20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35</v>
      </c>
      <c r="K544" s="4">
        <v>0</v>
      </c>
      <c r="L544" s="4">
        <v>0</v>
      </c>
      <c r="M544" s="4">
        <v>48</v>
      </c>
    </row>
    <row r="545" spans="1:13">
      <c r="A545" s="3" t="s">
        <v>1090</v>
      </c>
      <c r="B545" s="4">
        <v>20</v>
      </c>
      <c r="C545" s="4">
        <v>30</v>
      </c>
      <c r="D545" s="4">
        <v>0</v>
      </c>
      <c r="E545" s="4">
        <v>10</v>
      </c>
      <c r="F545" s="4">
        <v>10</v>
      </c>
      <c r="G545" s="4">
        <v>0</v>
      </c>
      <c r="H545" s="4">
        <v>0</v>
      </c>
      <c r="I545" s="4">
        <v>0</v>
      </c>
      <c r="J545" s="4">
        <v>7.5</v>
      </c>
      <c r="K545" s="4">
        <v>20</v>
      </c>
      <c r="L545" s="4">
        <v>0</v>
      </c>
      <c r="M545" s="4">
        <v>0</v>
      </c>
    </row>
    <row r="546" spans="1:13">
      <c r="A546" s="3" t="s">
        <v>1091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42</v>
      </c>
      <c r="J546" s="4">
        <v>0</v>
      </c>
      <c r="K546" s="4">
        <v>0</v>
      </c>
      <c r="L546" s="4">
        <v>0</v>
      </c>
      <c r="M546" s="4">
        <v>0</v>
      </c>
    </row>
    <row r="547" spans="1:13">
      <c r="A547" s="3" t="s">
        <v>1092</v>
      </c>
      <c r="B547" s="4">
        <v>5</v>
      </c>
      <c r="C547" s="4">
        <v>30</v>
      </c>
      <c r="D547" s="4">
        <v>30</v>
      </c>
      <c r="E547" s="4">
        <v>27.5</v>
      </c>
      <c r="F547" s="4">
        <v>15</v>
      </c>
      <c r="G547" s="4">
        <v>15</v>
      </c>
      <c r="H547" s="4">
        <v>22.5</v>
      </c>
      <c r="I547" s="4">
        <v>10</v>
      </c>
      <c r="J547" s="4">
        <v>0</v>
      </c>
      <c r="K547" s="4">
        <v>0</v>
      </c>
      <c r="L547" s="4">
        <v>0</v>
      </c>
      <c r="M547" s="4">
        <v>0</v>
      </c>
    </row>
    <row r="548" spans="1:13">
      <c r="A548" s="3" t="s">
        <v>1093</v>
      </c>
      <c r="B548" s="4">
        <v>10</v>
      </c>
      <c r="C548" s="4">
        <v>57</v>
      </c>
      <c r="D548" s="4">
        <v>28.5</v>
      </c>
      <c r="E548" s="4">
        <v>51.25</v>
      </c>
      <c r="F548" s="4">
        <v>44.5</v>
      </c>
      <c r="G548" s="4">
        <v>30</v>
      </c>
      <c r="H548" s="4">
        <v>48</v>
      </c>
      <c r="I548" s="4">
        <v>19</v>
      </c>
      <c r="J548" s="4">
        <v>76</v>
      </c>
      <c r="K548" s="4">
        <v>43.75</v>
      </c>
      <c r="L548" s="4">
        <v>77.5</v>
      </c>
      <c r="M548" s="4">
        <v>115</v>
      </c>
    </row>
    <row r="549" spans="1:13">
      <c r="A549" s="3" t="s">
        <v>1094</v>
      </c>
      <c r="B549" s="4">
        <v>19</v>
      </c>
      <c r="C549" s="4">
        <v>18.75</v>
      </c>
      <c r="D549" s="4">
        <v>39.75</v>
      </c>
      <c r="E549" s="4">
        <v>30</v>
      </c>
      <c r="F549" s="4">
        <v>5</v>
      </c>
      <c r="G549" s="4">
        <v>7</v>
      </c>
      <c r="H549" s="4">
        <v>2</v>
      </c>
      <c r="I549" s="4">
        <v>11.5</v>
      </c>
      <c r="J549" s="4">
        <v>34</v>
      </c>
      <c r="K549" s="4">
        <v>27.5</v>
      </c>
      <c r="L549" s="4">
        <v>31.75</v>
      </c>
      <c r="M549" s="4">
        <v>0</v>
      </c>
    </row>
    <row r="550" spans="1:13">
      <c r="A550" s="3" t="s">
        <v>1095</v>
      </c>
      <c r="B550" s="4">
        <v>55</v>
      </c>
      <c r="C550" s="4">
        <v>0</v>
      </c>
      <c r="D550" s="4">
        <v>134</v>
      </c>
      <c r="E550" s="4">
        <v>152</v>
      </c>
      <c r="F550" s="4">
        <v>117</v>
      </c>
      <c r="G550" s="4">
        <v>0</v>
      </c>
      <c r="H550" s="4">
        <v>189</v>
      </c>
      <c r="I550" s="4">
        <v>135</v>
      </c>
      <c r="J550" s="4">
        <v>70</v>
      </c>
      <c r="K550" s="4">
        <v>272</v>
      </c>
      <c r="L550" s="4">
        <v>160</v>
      </c>
      <c r="M550" s="4">
        <v>351.1</v>
      </c>
    </row>
    <row r="551" spans="1:13">
      <c r="A551" s="3" t="s">
        <v>1096</v>
      </c>
      <c r="B551" s="4">
        <v>0</v>
      </c>
      <c r="C551" s="4">
        <v>30</v>
      </c>
      <c r="D551" s="4">
        <v>10</v>
      </c>
      <c r="E551" s="4">
        <v>53.35</v>
      </c>
      <c r="F551" s="4">
        <v>0</v>
      </c>
      <c r="G551" s="4">
        <v>0</v>
      </c>
      <c r="H551" s="4">
        <v>50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</row>
    <row r="552" spans="1:13">
      <c r="A552" s="3" t="s">
        <v>1097</v>
      </c>
      <c r="B552" s="4">
        <v>40</v>
      </c>
      <c r="C552" s="4">
        <v>15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</row>
    <row r="553" spans="1:13">
      <c r="A553" s="3" t="s">
        <v>1098</v>
      </c>
      <c r="B553" s="4">
        <v>60</v>
      </c>
      <c r="C553" s="4">
        <v>53</v>
      </c>
      <c r="D553" s="4">
        <v>47</v>
      </c>
      <c r="E553" s="4">
        <v>43.8</v>
      </c>
      <c r="F553" s="4">
        <v>81</v>
      </c>
      <c r="G553" s="4">
        <v>61.5</v>
      </c>
      <c r="H553" s="4">
        <v>70</v>
      </c>
      <c r="I553" s="4">
        <v>35</v>
      </c>
      <c r="J553" s="4">
        <v>129.5</v>
      </c>
      <c r="K553" s="4">
        <v>184.5</v>
      </c>
      <c r="L553" s="4">
        <v>135.5</v>
      </c>
      <c r="M553" s="4">
        <v>80</v>
      </c>
    </row>
    <row r="554" spans="1:13">
      <c r="A554" s="3" t="s">
        <v>1099</v>
      </c>
      <c r="B554" s="4">
        <v>20</v>
      </c>
      <c r="C554" s="4">
        <v>30</v>
      </c>
      <c r="D554" s="4">
        <v>51</v>
      </c>
      <c r="E554" s="4">
        <v>20</v>
      </c>
      <c r="F554" s="4">
        <v>15</v>
      </c>
      <c r="G554" s="4">
        <v>15</v>
      </c>
      <c r="H554" s="4">
        <v>16</v>
      </c>
      <c r="I554" s="4">
        <v>30</v>
      </c>
      <c r="J554" s="4">
        <v>27.5</v>
      </c>
      <c r="K554" s="4">
        <v>37.5</v>
      </c>
      <c r="L554" s="4">
        <v>45</v>
      </c>
      <c r="M554" s="4">
        <v>94</v>
      </c>
    </row>
    <row r="555" spans="1:13">
      <c r="A555" s="3" t="s">
        <v>1100</v>
      </c>
      <c r="B555" s="4">
        <v>20</v>
      </c>
      <c r="C555" s="4">
        <v>35</v>
      </c>
      <c r="D555" s="4">
        <v>0</v>
      </c>
      <c r="E555" s="4">
        <v>17.5</v>
      </c>
      <c r="F555" s="4">
        <v>30</v>
      </c>
      <c r="G555" s="4">
        <v>30</v>
      </c>
      <c r="H555" s="4">
        <v>31</v>
      </c>
      <c r="I555" s="4">
        <v>40</v>
      </c>
      <c r="J555" s="4">
        <v>47.5</v>
      </c>
      <c r="K555" s="4">
        <v>130</v>
      </c>
      <c r="L555" s="4">
        <v>30</v>
      </c>
      <c r="M555" s="4">
        <v>70</v>
      </c>
    </row>
    <row r="556" spans="1:13">
      <c r="A556" s="3" t="s">
        <v>1101</v>
      </c>
      <c r="B556" s="4">
        <v>20</v>
      </c>
      <c r="C556" s="4">
        <v>14</v>
      </c>
      <c r="D556" s="4">
        <v>40</v>
      </c>
      <c r="E556" s="4">
        <v>37</v>
      </c>
      <c r="F556" s="4">
        <v>25.5</v>
      </c>
      <c r="G556" s="4">
        <v>37.5</v>
      </c>
      <c r="H556" s="4">
        <v>15</v>
      </c>
      <c r="I556" s="4">
        <v>20</v>
      </c>
      <c r="J556" s="4">
        <v>40</v>
      </c>
      <c r="K556" s="4">
        <v>30</v>
      </c>
      <c r="L556" s="4">
        <v>15</v>
      </c>
      <c r="M556" s="4">
        <v>106.5</v>
      </c>
    </row>
    <row r="557" spans="1:13">
      <c r="A557" s="3" t="s">
        <v>1102</v>
      </c>
      <c r="B557" s="4">
        <v>202</v>
      </c>
      <c r="C557" s="4">
        <v>0</v>
      </c>
      <c r="D557" s="4">
        <v>15</v>
      </c>
      <c r="E557" s="4">
        <v>7.5</v>
      </c>
      <c r="F557" s="4">
        <v>127.5</v>
      </c>
      <c r="G557" s="4">
        <v>0</v>
      </c>
      <c r="H557" s="4">
        <v>184.5</v>
      </c>
      <c r="I557" s="4">
        <v>140</v>
      </c>
      <c r="J557" s="4">
        <v>145</v>
      </c>
      <c r="K557" s="4">
        <v>182</v>
      </c>
      <c r="L557" s="4">
        <v>45</v>
      </c>
      <c r="M557" s="4">
        <v>0</v>
      </c>
    </row>
    <row r="558" spans="1:13">
      <c r="A558" s="3" t="s">
        <v>1103</v>
      </c>
      <c r="B558" s="4">
        <v>28.75</v>
      </c>
      <c r="C558" s="4">
        <v>57.5</v>
      </c>
      <c r="D558" s="4">
        <v>120</v>
      </c>
      <c r="E558" s="4">
        <v>100</v>
      </c>
      <c r="F558" s="4">
        <v>85</v>
      </c>
      <c r="G558" s="4">
        <v>30</v>
      </c>
      <c r="H558" s="4">
        <v>10</v>
      </c>
      <c r="I558" s="4">
        <v>40</v>
      </c>
      <c r="J558" s="4">
        <v>87</v>
      </c>
      <c r="K558" s="4">
        <v>47.5</v>
      </c>
      <c r="L558" s="4">
        <v>41.5</v>
      </c>
      <c r="M558" s="4">
        <v>32.5</v>
      </c>
    </row>
    <row r="559" spans="1:13">
      <c r="A559" s="3" t="s">
        <v>1104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20</v>
      </c>
      <c r="I559" s="4">
        <v>0</v>
      </c>
      <c r="J559" s="4">
        <v>0</v>
      </c>
      <c r="K559" s="4">
        <v>10</v>
      </c>
      <c r="L559" s="4">
        <v>0</v>
      </c>
      <c r="M559" s="4">
        <v>0</v>
      </c>
    </row>
    <row r="560" spans="1:13">
      <c r="A560" s="3" t="s">
        <v>1105</v>
      </c>
      <c r="B560" s="4">
        <v>171.35</v>
      </c>
      <c r="C560" s="4">
        <v>89</v>
      </c>
      <c r="D560" s="4">
        <v>121.5</v>
      </c>
      <c r="E560" s="4">
        <v>116</v>
      </c>
      <c r="F560" s="4">
        <v>104</v>
      </c>
      <c r="G560" s="4">
        <v>153.5</v>
      </c>
      <c r="H560" s="4">
        <v>160</v>
      </c>
      <c r="I560" s="4">
        <v>105</v>
      </c>
      <c r="J560" s="4">
        <v>121</v>
      </c>
      <c r="K560" s="4">
        <v>115</v>
      </c>
      <c r="L560" s="4">
        <v>159.5</v>
      </c>
      <c r="M560" s="4">
        <v>144.05000000000001</v>
      </c>
    </row>
    <row r="561" spans="1:13">
      <c r="A561" s="3" t="s">
        <v>1106</v>
      </c>
      <c r="B561" s="4">
        <v>40</v>
      </c>
      <c r="C561" s="4">
        <v>45</v>
      </c>
      <c r="D561" s="4">
        <v>47</v>
      </c>
      <c r="E561" s="4">
        <v>44</v>
      </c>
      <c r="F561" s="4">
        <v>52</v>
      </c>
      <c r="G561" s="4">
        <v>27.5</v>
      </c>
      <c r="H561" s="4">
        <v>20</v>
      </c>
      <c r="I561" s="4">
        <v>20</v>
      </c>
      <c r="J561" s="4">
        <v>59</v>
      </c>
      <c r="K561" s="4">
        <v>41</v>
      </c>
      <c r="L561" s="4">
        <v>43</v>
      </c>
      <c r="M561" s="4">
        <v>54</v>
      </c>
    </row>
    <row r="562" spans="1:13">
      <c r="A562" s="3" t="s">
        <v>1107</v>
      </c>
      <c r="B562" s="4">
        <v>10</v>
      </c>
      <c r="C562" s="4">
        <v>39</v>
      </c>
      <c r="D562" s="4">
        <v>10</v>
      </c>
      <c r="E562" s="4">
        <v>30</v>
      </c>
      <c r="F562" s="4">
        <v>0</v>
      </c>
      <c r="G562" s="4">
        <v>0</v>
      </c>
      <c r="H562" s="4">
        <v>20</v>
      </c>
      <c r="I562" s="4">
        <v>2</v>
      </c>
      <c r="J562" s="4">
        <v>51.25</v>
      </c>
      <c r="K562" s="4">
        <v>39</v>
      </c>
      <c r="L562" s="4">
        <v>20</v>
      </c>
      <c r="M562" s="4">
        <v>10</v>
      </c>
    </row>
    <row r="563" spans="1:13">
      <c r="A563" s="3" t="s">
        <v>1108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30</v>
      </c>
      <c r="L563" s="4">
        <v>0</v>
      </c>
      <c r="M563" s="4">
        <v>0</v>
      </c>
    </row>
    <row r="564" spans="1:13">
      <c r="A564" s="3" t="s">
        <v>1109</v>
      </c>
      <c r="B564" s="4">
        <v>114.75</v>
      </c>
      <c r="C564" s="4">
        <v>50</v>
      </c>
      <c r="D564" s="4">
        <v>151.80000000000001</v>
      </c>
      <c r="E564" s="4">
        <v>87</v>
      </c>
      <c r="F564" s="4">
        <v>65.75</v>
      </c>
      <c r="G564" s="4">
        <v>77</v>
      </c>
      <c r="H564" s="4">
        <v>98.5</v>
      </c>
      <c r="I564" s="4">
        <v>47.5</v>
      </c>
      <c r="J564" s="4">
        <v>60</v>
      </c>
      <c r="K564" s="4">
        <v>75</v>
      </c>
      <c r="L564" s="4">
        <v>40</v>
      </c>
      <c r="M564" s="4">
        <v>30</v>
      </c>
    </row>
    <row r="565" spans="1:13">
      <c r="A565" s="3" t="s">
        <v>1110</v>
      </c>
      <c r="B565" s="4">
        <v>39.5</v>
      </c>
      <c r="C565" s="4">
        <v>5</v>
      </c>
      <c r="D565" s="4">
        <v>0</v>
      </c>
      <c r="E565" s="4">
        <v>10</v>
      </c>
      <c r="F565" s="4">
        <v>10</v>
      </c>
      <c r="G565" s="4">
        <v>0</v>
      </c>
      <c r="H565" s="4">
        <v>55</v>
      </c>
      <c r="I565" s="4">
        <v>10</v>
      </c>
      <c r="J565" s="4">
        <v>75</v>
      </c>
      <c r="K565" s="4">
        <v>29</v>
      </c>
      <c r="L565" s="4">
        <v>32</v>
      </c>
      <c r="M565" s="4">
        <v>0</v>
      </c>
    </row>
    <row r="566" spans="1:13">
      <c r="A566" s="3" t="s">
        <v>1111</v>
      </c>
      <c r="B566" s="4">
        <v>0</v>
      </c>
      <c r="C566" s="4">
        <v>0</v>
      </c>
      <c r="D566" s="4">
        <v>20</v>
      </c>
      <c r="E566" s="4">
        <v>32.5</v>
      </c>
      <c r="F566" s="4">
        <v>5</v>
      </c>
      <c r="G566" s="4">
        <v>20</v>
      </c>
      <c r="H566" s="4">
        <v>27.5</v>
      </c>
      <c r="I566" s="4">
        <v>10</v>
      </c>
      <c r="J566" s="4">
        <v>26</v>
      </c>
      <c r="K566" s="4">
        <v>52.5</v>
      </c>
      <c r="L566" s="4">
        <v>52.5</v>
      </c>
      <c r="M566" s="4">
        <v>50</v>
      </c>
    </row>
    <row r="567" spans="1:13">
      <c r="A567" s="3" t="s">
        <v>1112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10</v>
      </c>
      <c r="J567" s="4">
        <v>15</v>
      </c>
      <c r="K567" s="4">
        <v>0</v>
      </c>
      <c r="L567" s="4">
        <v>10</v>
      </c>
      <c r="M567" s="4">
        <v>0</v>
      </c>
    </row>
    <row r="568" spans="1:13">
      <c r="A568" s="3" t="s">
        <v>1113</v>
      </c>
      <c r="B568" s="4">
        <v>0</v>
      </c>
      <c r="C568" s="4">
        <v>15</v>
      </c>
      <c r="D568" s="4">
        <v>20</v>
      </c>
      <c r="E568" s="4">
        <v>55</v>
      </c>
      <c r="F568" s="4">
        <v>19.899999999999999</v>
      </c>
      <c r="G568" s="4">
        <v>20</v>
      </c>
      <c r="H568" s="4">
        <v>10</v>
      </c>
      <c r="I568" s="4">
        <v>20</v>
      </c>
      <c r="J568" s="4">
        <v>40</v>
      </c>
      <c r="K568" s="4">
        <v>52.5</v>
      </c>
      <c r="L568" s="4">
        <v>27.5</v>
      </c>
      <c r="M568" s="4">
        <v>11</v>
      </c>
    </row>
    <row r="569" spans="1:13">
      <c r="A569" s="3" t="s">
        <v>1114</v>
      </c>
      <c r="B569" s="4">
        <v>39</v>
      </c>
      <c r="C569" s="4">
        <v>124.5</v>
      </c>
      <c r="D569" s="4">
        <v>141.94999999999999</v>
      </c>
      <c r="E569" s="4">
        <v>166</v>
      </c>
      <c r="F569" s="4">
        <v>137.5</v>
      </c>
      <c r="G569" s="4">
        <v>82.5</v>
      </c>
      <c r="H569" s="4">
        <v>0</v>
      </c>
      <c r="I569" s="4">
        <v>114.5</v>
      </c>
      <c r="J569" s="4">
        <v>156.05000000000001</v>
      </c>
      <c r="K569" s="4">
        <v>10</v>
      </c>
      <c r="L569" s="4">
        <v>12.5</v>
      </c>
      <c r="M569" s="4">
        <v>35</v>
      </c>
    </row>
    <row r="570" spans="1:13">
      <c r="A570" s="3" t="s">
        <v>1115</v>
      </c>
      <c r="B570" s="4">
        <v>33</v>
      </c>
      <c r="C570" s="4">
        <v>60</v>
      </c>
      <c r="D570" s="4">
        <v>55</v>
      </c>
      <c r="E570" s="4">
        <v>60</v>
      </c>
      <c r="F570" s="4">
        <v>54.4</v>
      </c>
      <c r="G570" s="4">
        <v>61</v>
      </c>
      <c r="H570" s="4">
        <v>21</v>
      </c>
      <c r="I570" s="4">
        <v>30</v>
      </c>
      <c r="J570" s="4">
        <v>65</v>
      </c>
      <c r="K570" s="4">
        <v>41</v>
      </c>
      <c r="L570" s="4">
        <v>60</v>
      </c>
      <c r="M570" s="4">
        <v>59</v>
      </c>
    </row>
    <row r="571" spans="1:13">
      <c r="A571" s="3" t="s">
        <v>1116</v>
      </c>
      <c r="B571" s="4">
        <v>6</v>
      </c>
      <c r="C571" s="4">
        <v>35</v>
      </c>
      <c r="D571" s="4">
        <v>20</v>
      </c>
      <c r="E571" s="4">
        <v>80.25</v>
      </c>
      <c r="F571" s="4">
        <v>16</v>
      </c>
      <c r="G571" s="4">
        <v>49.5</v>
      </c>
      <c r="H571" s="4">
        <v>5.5</v>
      </c>
      <c r="I571" s="4">
        <v>0</v>
      </c>
      <c r="J571" s="4">
        <v>11</v>
      </c>
      <c r="K571" s="4">
        <v>0</v>
      </c>
      <c r="L571" s="4">
        <v>0</v>
      </c>
      <c r="M571" s="4">
        <v>0</v>
      </c>
    </row>
    <row r="572" spans="1:13">
      <c r="A572" s="3" t="s">
        <v>1117</v>
      </c>
      <c r="B572" s="4">
        <v>15</v>
      </c>
      <c r="C572" s="4">
        <v>20</v>
      </c>
      <c r="D572" s="4">
        <v>34</v>
      </c>
      <c r="E572" s="4">
        <v>37</v>
      </c>
      <c r="F572" s="4">
        <v>32</v>
      </c>
      <c r="G572" s="4">
        <v>15</v>
      </c>
      <c r="H572" s="4">
        <v>15</v>
      </c>
      <c r="I572" s="4">
        <v>15</v>
      </c>
      <c r="J572" s="4">
        <v>35</v>
      </c>
      <c r="K572" s="4">
        <v>41.5</v>
      </c>
      <c r="L572" s="4">
        <v>10</v>
      </c>
      <c r="M572" s="4">
        <v>1</v>
      </c>
    </row>
    <row r="573" spans="1:13">
      <c r="A573" s="3" t="s">
        <v>1118</v>
      </c>
      <c r="B573" s="4">
        <v>52.5</v>
      </c>
      <c r="C573" s="4">
        <v>38</v>
      </c>
      <c r="D573" s="4">
        <v>17.5</v>
      </c>
      <c r="E573" s="4">
        <v>7</v>
      </c>
      <c r="F573" s="4">
        <v>0</v>
      </c>
      <c r="G573" s="4">
        <v>0</v>
      </c>
      <c r="H573" s="4">
        <v>0</v>
      </c>
      <c r="I573" s="4">
        <v>42</v>
      </c>
      <c r="J573" s="4">
        <v>0</v>
      </c>
      <c r="K573" s="4">
        <v>0</v>
      </c>
      <c r="L573" s="4">
        <v>0</v>
      </c>
      <c r="M573" s="4">
        <v>0</v>
      </c>
    </row>
    <row r="574" spans="1:13">
      <c r="A574" s="3" t="s">
        <v>1119</v>
      </c>
      <c r="B574" s="4">
        <v>0</v>
      </c>
      <c r="C574" s="4">
        <v>35</v>
      </c>
      <c r="D574" s="4">
        <v>55</v>
      </c>
      <c r="E574" s="4">
        <v>14</v>
      </c>
      <c r="F574" s="4">
        <v>15</v>
      </c>
      <c r="G574" s="4">
        <v>0</v>
      </c>
      <c r="H574" s="4">
        <v>17.5</v>
      </c>
      <c r="I574" s="4">
        <v>15</v>
      </c>
      <c r="J574" s="4">
        <v>35</v>
      </c>
      <c r="K574" s="4">
        <v>42</v>
      </c>
      <c r="L574" s="4">
        <v>70</v>
      </c>
      <c r="M574" s="4">
        <v>154</v>
      </c>
    </row>
    <row r="575" spans="1:13">
      <c r="A575" s="3" t="s">
        <v>1120</v>
      </c>
      <c r="B575" s="4">
        <v>81</v>
      </c>
      <c r="C575" s="4">
        <v>65</v>
      </c>
      <c r="D575" s="4">
        <v>182</v>
      </c>
      <c r="E575" s="4">
        <v>117.5</v>
      </c>
      <c r="F575" s="4">
        <v>107</v>
      </c>
      <c r="G575" s="4">
        <v>27.25</v>
      </c>
      <c r="H575" s="4">
        <v>105</v>
      </c>
      <c r="I575" s="4">
        <v>80</v>
      </c>
      <c r="J575" s="4">
        <v>73.5</v>
      </c>
      <c r="K575" s="4">
        <v>115</v>
      </c>
      <c r="L575" s="4">
        <v>70</v>
      </c>
      <c r="M575" s="4">
        <v>177.5</v>
      </c>
    </row>
    <row r="576" spans="1:13">
      <c r="A576" s="3" t="s">
        <v>1121</v>
      </c>
      <c r="B576" s="4">
        <v>20</v>
      </c>
      <c r="C576" s="4">
        <v>0</v>
      </c>
      <c r="D576" s="4">
        <v>0</v>
      </c>
      <c r="E576" s="4">
        <v>77.5</v>
      </c>
      <c r="F576" s="4">
        <v>112.5</v>
      </c>
      <c r="G576" s="4">
        <v>25</v>
      </c>
      <c r="H576" s="4">
        <v>25</v>
      </c>
      <c r="I576" s="4">
        <v>0</v>
      </c>
      <c r="J576" s="4">
        <v>77.5</v>
      </c>
      <c r="K576" s="4">
        <v>50</v>
      </c>
      <c r="L576" s="4">
        <v>90</v>
      </c>
      <c r="M576" s="4">
        <v>74</v>
      </c>
    </row>
    <row r="577" spans="1:13">
      <c r="A577" s="3" t="s">
        <v>1122</v>
      </c>
      <c r="B577" s="4">
        <v>58.85</v>
      </c>
      <c r="C577" s="4">
        <v>70</v>
      </c>
      <c r="D577" s="4">
        <v>98.85</v>
      </c>
      <c r="E577" s="4">
        <v>95</v>
      </c>
      <c r="F577" s="4">
        <v>95</v>
      </c>
      <c r="G577" s="4">
        <v>83.65</v>
      </c>
      <c r="H577" s="4">
        <v>10</v>
      </c>
      <c r="I577" s="4">
        <v>40</v>
      </c>
      <c r="J577" s="4">
        <v>125</v>
      </c>
      <c r="K577" s="4">
        <v>0</v>
      </c>
      <c r="L577" s="4">
        <v>40</v>
      </c>
      <c r="M577" s="4">
        <v>30</v>
      </c>
    </row>
    <row r="578" spans="1:13">
      <c r="A578" s="3" t="s">
        <v>1123</v>
      </c>
      <c r="B578" s="4">
        <v>45</v>
      </c>
      <c r="C578" s="4">
        <v>35</v>
      </c>
      <c r="D578" s="4">
        <v>80</v>
      </c>
      <c r="E578" s="4">
        <v>60</v>
      </c>
      <c r="F578" s="4">
        <v>69</v>
      </c>
      <c r="G578" s="4">
        <v>35</v>
      </c>
      <c r="H578" s="4">
        <v>25</v>
      </c>
      <c r="I578" s="4">
        <v>20</v>
      </c>
      <c r="J578" s="4">
        <v>62</v>
      </c>
      <c r="K578" s="4">
        <v>33</v>
      </c>
      <c r="L578" s="4">
        <v>31</v>
      </c>
      <c r="M578" s="4">
        <v>64</v>
      </c>
    </row>
    <row r="579" spans="1:13">
      <c r="A579" s="3" t="s">
        <v>1124</v>
      </c>
      <c r="B579" s="4">
        <v>11</v>
      </c>
      <c r="C579" s="4">
        <v>20</v>
      </c>
      <c r="D579" s="4">
        <v>20</v>
      </c>
      <c r="E579" s="4">
        <v>39.65</v>
      </c>
      <c r="F579" s="4">
        <v>17</v>
      </c>
      <c r="G579" s="4">
        <v>10</v>
      </c>
      <c r="H579" s="4">
        <v>50</v>
      </c>
      <c r="I579" s="4">
        <v>15</v>
      </c>
      <c r="J579" s="4">
        <v>30</v>
      </c>
      <c r="K579" s="4">
        <v>15</v>
      </c>
      <c r="L579" s="4">
        <v>30</v>
      </c>
      <c r="M579" s="4">
        <v>45</v>
      </c>
    </row>
    <row r="580" spans="1:13">
      <c r="A580" s="3" t="s">
        <v>1125</v>
      </c>
      <c r="B580" s="4">
        <v>0</v>
      </c>
      <c r="C580" s="4">
        <v>0</v>
      </c>
      <c r="D580" s="4">
        <v>0</v>
      </c>
      <c r="E580" s="4">
        <v>0</v>
      </c>
      <c r="F580" s="4">
        <v>7</v>
      </c>
      <c r="G580" s="4">
        <v>0</v>
      </c>
      <c r="H580" s="4">
        <v>60</v>
      </c>
      <c r="I580" s="4">
        <v>0</v>
      </c>
      <c r="J580" s="4">
        <v>20</v>
      </c>
      <c r="K580" s="4">
        <v>0</v>
      </c>
      <c r="L580" s="4">
        <v>10</v>
      </c>
      <c r="M580" s="4">
        <v>27.5</v>
      </c>
    </row>
    <row r="581" spans="1:13">
      <c r="A581" s="3" t="s">
        <v>1126</v>
      </c>
      <c r="B581" s="4">
        <v>65</v>
      </c>
      <c r="C581" s="4">
        <v>10</v>
      </c>
      <c r="D581" s="4">
        <v>40</v>
      </c>
      <c r="E581" s="4">
        <v>53</v>
      </c>
      <c r="F581" s="4">
        <v>62.5</v>
      </c>
      <c r="G581" s="4">
        <v>28.5</v>
      </c>
      <c r="H581" s="4">
        <v>45</v>
      </c>
      <c r="I581" s="4">
        <v>0</v>
      </c>
      <c r="J581" s="4">
        <v>20</v>
      </c>
      <c r="K581" s="4">
        <v>0</v>
      </c>
      <c r="L581" s="4">
        <v>30</v>
      </c>
      <c r="M581" s="4">
        <v>48</v>
      </c>
    </row>
    <row r="582" spans="1:13">
      <c r="A582" s="3" t="s">
        <v>1127</v>
      </c>
      <c r="B582" s="4">
        <v>0</v>
      </c>
      <c r="C582" s="4">
        <v>0</v>
      </c>
      <c r="D582" s="4">
        <v>0</v>
      </c>
      <c r="E582" s="4">
        <v>30</v>
      </c>
      <c r="F582" s="4">
        <v>65</v>
      </c>
      <c r="G582" s="4">
        <v>23</v>
      </c>
      <c r="H582" s="4">
        <v>6.5</v>
      </c>
      <c r="I582" s="4">
        <v>0</v>
      </c>
      <c r="J582" s="4">
        <v>55</v>
      </c>
      <c r="K582" s="4">
        <v>20</v>
      </c>
      <c r="L582" s="4">
        <v>0</v>
      </c>
      <c r="M582" s="4">
        <v>0</v>
      </c>
    </row>
    <row r="583" spans="1:13">
      <c r="A583" s="3" t="s">
        <v>1128</v>
      </c>
      <c r="B583" s="4">
        <v>15</v>
      </c>
      <c r="C583" s="4">
        <v>10</v>
      </c>
      <c r="D583" s="4">
        <v>23.5</v>
      </c>
      <c r="E583" s="4">
        <v>29</v>
      </c>
      <c r="F583" s="4">
        <v>19</v>
      </c>
      <c r="G583" s="4">
        <v>49</v>
      </c>
      <c r="H583" s="4">
        <v>7.5</v>
      </c>
      <c r="I583" s="4">
        <v>0</v>
      </c>
      <c r="J583" s="4">
        <v>20</v>
      </c>
      <c r="K583" s="4">
        <v>0</v>
      </c>
      <c r="L583" s="4">
        <v>49</v>
      </c>
      <c r="M583" s="4">
        <v>1</v>
      </c>
    </row>
    <row r="584" spans="1:13">
      <c r="A584" s="3" t="s">
        <v>1129</v>
      </c>
      <c r="B584" s="4">
        <v>20</v>
      </c>
      <c r="C584" s="4">
        <v>30</v>
      </c>
      <c r="D584" s="4">
        <v>65</v>
      </c>
      <c r="E584" s="4">
        <v>70</v>
      </c>
      <c r="F584" s="4">
        <v>40</v>
      </c>
      <c r="G584" s="4">
        <v>20</v>
      </c>
      <c r="H584" s="4">
        <v>15</v>
      </c>
      <c r="I584" s="4">
        <v>10</v>
      </c>
      <c r="J584" s="4">
        <v>55</v>
      </c>
      <c r="K584" s="4">
        <v>0</v>
      </c>
      <c r="L584" s="4">
        <v>20</v>
      </c>
      <c r="M584" s="4">
        <v>67</v>
      </c>
    </row>
    <row r="585" spans="1:13">
      <c r="A585" s="3" t="s">
        <v>1130</v>
      </c>
      <c r="B585" s="4">
        <v>15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</row>
    <row r="586" spans="1:13">
      <c r="A586" s="3" t="s">
        <v>1131</v>
      </c>
      <c r="B586" s="4">
        <v>70</v>
      </c>
      <c r="C586" s="4">
        <v>51</v>
      </c>
      <c r="D586" s="4">
        <v>88</v>
      </c>
      <c r="E586" s="4">
        <v>85</v>
      </c>
      <c r="F586" s="4">
        <v>80</v>
      </c>
      <c r="G586" s="4">
        <v>89.7</v>
      </c>
      <c r="H586" s="4">
        <v>45</v>
      </c>
      <c r="I586" s="4">
        <v>10</v>
      </c>
      <c r="J586" s="4">
        <v>100</v>
      </c>
      <c r="K586" s="4">
        <v>100</v>
      </c>
      <c r="L586" s="4">
        <v>25</v>
      </c>
      <c r="M586" s="4">
        <v>111</v>
      </c>
    </row>
    <row r="587" spans="1:13">
      <c r="A587" s="3" t="s">
        <v>1132</v>
      </c>
      <c r="B587" s="4">
        <v>0</v>
      </c>
      <c r="C587" s="4">
        <v>0</v>
      </c>
      <c r="D587" s="4">
        <v>0</v>
      </c>
      <c r="E587" s="4">
        <v>35</v>
      </c>
      <c r="F587" s="4">
        <v>0</v>
      </c>
      <c r="G587" s="4">
        <v>40</v>
      </c>
      <c r="H587" s="4">
        <v>0</v>
      </c>
      <c r="I587" s="4">
        <v>0</v>
      </c>
      <c r="J587" s="4">
        <v>40</v>
      </c>
      <c r="K587" s="4">
        <v>15</v>
      </c>
      <c r="L587" s="4">
        <v>50</v>
      </c>
      <c r="M587" s="4">
        <v>75</v>
      </c>
    </row>
    <row r="588" spans="1:13">
      <c r="A588" s="3" t="s">
        <v>1133</v>
      </c>
      <c r="B588" s="4">
        <v>0</v>
      </c>
      <c r="C588" s="4">
        <v>10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</row>
    <row r="589" spans="1:13">
      <c r="A589" s="3" t="s">
        <v>1134</v>
      </c>
      <c r="B589" s="4">
        <v>104.25</v>
      </c>
      <c r="C589" s="4">
        <v>54</v>
      </c>
      <c r="D589" s="4">
        <v>136.25</v>
      </c>
      <c r="E589" s="4">
        <v>26</v>
      </c>
      <c r="F589" s="4">
        <v>40.25</v>
      </c>
      <c r="G589" s="4">
        <v>36</v>
      </c>
      <c r="H589" s="4">
        <v>49</v>
      </c>
      <c r="I589" s="4">
        <v>2</v>
      </c>
      <c r="J589" s="4">
        <v>73</v>
      </c>
      <c r="K589" s="4">
        <v>10</v>
      </c>
      <c r="L589" s="4">
        <v>45.5</v>
      </c>
      <c r="M589" s="4">
        <v>40</v>
      </c>
    </row>
    <row r="590" spans="1:13">
      <c r="A590" s="3" t="s">
        <v>1135</v>
      </c>
      <c r="B590" s="4">
        <v>77.5</v>
      </c>
      <c r="C590" s="4">
        <v>112</v>
      </c>
      <c r="D590" s="4">
        <v>179</v>
      </c>
      <c r="E590" s="4">
        <v>91</v>
      </c>
      <c r="F590" s="4">
        <v>111</v>
      </c>
      <c r="G590" s="4">
        <v>48</v>
      </c>
      <c r="H590" s="4">
        <v>102</v>
      </c>
      <c r="I590" s="4">
        <v>60</v>
      </c>
      <c r="J590" s="4">
        <v>134</v>
      </c>
      <c r="K590" s="4">
        <v>125</v>
      </c>
      <c r="L590" s="4">
        <v>125</v>
      </c>
      <c r="M590" s="4">
        <v>122.5</v>
      </c>
    </row>
    <row r="591" spans="1:13">
      <c r="A591" s="3" t="s">
        <v>1136</v>
      </c>
      <c r="B591" s="4">
        <v>81.150000000000006</v>
      </c>
      <c r="C591" s="4">
        <v>94</v>
      </c>
      <c r="D591" s="4">
        <v>105</v>
      </c>
      <c r="E591" s="4">
        <v>60.4</v>
      </c>
      <c r="F591" s="4">
        <v>54</v>
      </c>
      <c r="G591" s="4">
        <v>3</v>
      </c>
      <c r="H591" s="4">
        <v>87</v>
      </c>
      <c r="I591" s="4">
        <v>0</v>
      </c>
      <c r="J591" s="4">
        <v>63</v>
      </c>
      <c r="K591" s="4">
        <v>17.5</v>
      </c>
      <c r="L591" s="4">
        <v>105</v>
      </c>
      <c r="M591" s="4">
        <v>102.5</v>
      </c>
    </row>
    <row r="592" spans="1:13">
      <c r="A592" s="3" t="s">
        <v>1137</v>
      </c>
      <c r="B592" s="4">
        <v>10</v>
      </c>
      <c r="C592" s="4">
        <v>15</v>
      </c>
      <c r="D592" s="4">
        <v>25</v>
      </c>
      <c r="E592" s="4">
        <v>29.5</v>
      </c>
      <c r="F592" s="4">
        <v>45</v>
      </c>
      <c r="G592" s="4">
        <v>37.5</v>
      </c>
      <c r="H592" s="4">
        <v>25</v>
      </c>
      <c r="I592" s="4">
        <v>20</v>
      </c>
      <c r="J592" s="4">
        <v>62.5</v>
      </c>
      <c r="K592" s="4">
        <v>80</v>
      </c>
      <c r="L592" s="4">
        <v>55</v>
      </c>
      <c r="M592" s="4">
        <v>60</v>
      </c>
    </row>
    <row r="593" spans="1:13">
      <c r="A593" s="3" t="s">
        <v>1138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35</v>
      </c>
      <c r="J593" s="4">
        <v>35</v>
      </c>
      <c r="K593" s="4">
        <v>40</v>
      </c>
      <c r="L593" s="4">
        <v>42.5</v>
      </c>
      <c r="M593" s="4">
        <v>35</v>
      </c>
    </row>
    <row r="594" spans="1:13">
      <c r="A594" s="3" t="s">
        <v>1139</v>
      </c>
      <c r="B594" s="4">
        <v>0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20</v>
      </c>
      <c r="K594" s="4">
        <v>0</v>
      </c>
      <c r="L594" s="4">
        <v>0</v>
      </c>
      <c r="M594" s="4">
        <v>0</v>
      </c>
    </row>
    <row r="595" spans="1:13">
      <c r="A595" s="3" t="s">
        <v>1140</v>
      </c>
      <c r="B595" s="4">
        <v>55</v>
      </c>
      <c r="C595" s="4">
        <v>25</v>
      </c>
      <c r="D595" s="4">
        <v>69</v>
      </c>
      <c r="E595" s="4">
        <v>65</v>
      </c>
      <c r="F595" s="4">
        <v>59.65</v>
      </c>
      <c r="G595" s="4">
        <v>60</v>
      </c>
      <c r="H595" s="4">
        <v>91.45</v>
      </c>
      <c r="I595" s="4">
        <v>50</v>
      </c>
      <c r="J595" s="4">
        <v>106.9</v>
      </c>
      <c r="K595" s="4">
        <v>75</v>
      </c>
      <c r="L595" s="4">
        <v>130</v>
      </c>
      <c r="M595" s="4">
        <v>115</v>
      </c>
    </row>
    <row r="596" spans="1:13">
      <c r="A596" s="3" t="s">
        <v>1141</v>
      </c>
      <c r="B596" s="4">
        <v>56</v>
      </c>
      <c r="C596" s="4">
        <v>70</v>
      </c>
      <c r="D596" s="4">
        <v>40</v>
      </c>
      <c r="E596" s="4">
        <v>60.5</v>
      </c>
      <c r="F596" s="4">
        <v>30</v>
      </c>
      <c r="G596" s="4">
        <v>32.5</v>
      </c>
      <c r="H596" s="4">
        <v>0</v>
      </c>
      <c r="I596" s="4">
        <v>14.6</v>
      </c>
      <c r="J596" s="4">
        <v>20</v>
      </c>
      <c r="K596" s="4">
        <v>0</v>
      </c>
      <c r="L596" s="4">
        <v>25</v>
      </c>
      <c r="M596" s="4">
        <v>53</v>
      </c>
    </row>
    <row r="597" spans="1:13">
      <c r="A597" s="3" t="s">
        <v>1142</v>
      </c>
      <c r="B597" s="4">
        <v>20</v>
      </c>
      <c r="C597" s="4">
        <v>50</v>
      </c>
      <c r="D597" s="4">
        <v>32</v>
      </c>
      <c r="E597" s="4">
        <v>48</v>
      </c>
      <c r="F597" s="4">
        <v>40</v>
      </c>
      <c r="G597" s="4">
        <v>32.5</v>
      </c>
      <c r="H597" s="4">
        <v>15</v>
      </c>
      <c r="I597" s="4">
        <v>40</v>
      </c>
      <c r="J597" s="4">
        <v>57.5</v>
      </c>
      <c r="K597" s="4">
        <v>0</v>
      </c>
      <c r="L597" s="4">
        <v>35</v>
      </c>
      <c r="M597" s="4">
        <v>35</v>
      </c>
    </row>
    <row r="598" spans="1:13">
      <c r="A598" s="3" t="s">
        <v>1143</v>
      </c>
      <c r="B598" s="4">
        <v>133</v>
      </c>
      <c r="C598" s="4">
        <v>126</v>
      </c>
      <c r="D598" s="4">
        <v>121.95</v>
      </c>
      <c r="E598" s="4">
        <v>97.5</v>
      </c>
      <c r="F598" s="4">
        <v>97</v>
      </c>
      <c r="G598" s="4">
        <v>56.2</v>
      </c>
      <c r="H598" s="4">
        <v>77</v>
      </c>
      <c r="I598" s="4">
        <v>20</v>
      </c>
      <c r="J598" s="4">
        <v>65</v>
      </c>
      <c r="K598" s="4">
        <v>63</v>
      </c>
      <c r="L598" s="4">
        <v>63</v>
      </c>
      <c r="M598" s="4">
        <v>36</v>
      </c>
    </row>
    <row r="599" spans="1:13">
      <c r="A599" s="3" t="s">
        <v>1144</v>
      </c>
      <c r="B599" s="4">
        <v>0</v>
      </c>
      <c r="C599" s="4">
        <v>0</v>
      </c>
      <c r="D599" s="4">
        <v>0</v>
      </c>
      <c r="E599" s="4">
        <v>15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</row>
    <row r="600" spans="1:13">
      <c r="A600" s="3" t="s">
        <v>1145</v>
      </c>
      <c r="B600" s="4">
        <v>10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10</v>
      </c>
      <c r="M600" s="4">
        <v>0</v>
      </c>
    </row>
    <row r="601" spans="1:13">
      <c r="A601" s="3" t="s">
        <v>1146</v>
      </c>
      <c r="B601" s="4">
        <v>28</v>
      </c>
      <c r="C601" s="4">
        <v>48</v>
      </c>
      <c r="D601" s="4">
        <v>52</v>
      </c>
      <c r="E601" s="4">
        <v>89</v>
      </c>
      <c r="F601" s="4">
        <v>93</v>
      </c>
      <c r="G601" s="4">
        <v>65</v>
      </c>
      <c r="H601" s="4">
        <v>46</v>
      </c>
      <c r="I601" s="4">
        <v>40</v>
      </c>
      <c r="J601" s="4">
        <v>81.5</v>
      </c>
      <c r="K601" s="4">
        <v>59</v>
      </c>
      <c r="L601" s="4">
        <v>65</v>
      </c>
      <c r="M601" s="4">
        <v>46</v>
      </c>
    </row>
    <row r="602" spans="1:13">
      <c r="A602" s="3" t="s">
        <v>1147</v>
      </c>
      <c r="B602" s="4">
        <v>381.5</v>
      </c>
      <c r="C602" s="4">
        <v>373</v>
      </c>
      <c r="D602" s="4">
        <v>541.9</v>
      </c>
      <c r="E602" s="4">
        <v>487.55</v>
      </c>
      <c r="F602" s="4">
        <v>312.45</v>
      </c>
      <c r="G602" s="4">
        <v>132.25</v>
      </c>
      <c r="H602" s="4">
        <v>366.59999999999997</v>
      </c>
      <c r="I602" s="4">
        <v>141.25</v>
      </c>
      <c r="J602" s="4">
        <v>536.65</v>
      </c>
      <c r="K602" s="4">
        <v>212.75</v>
      </c>
      <c r="L602" s="4">
        <v>316.3</v>
      </c>
      <c r="M602" s="4">
        <v>431</v>
      </c>
    </row>
    <row r="603" spans="1:13">
      <c r="A603" s="3" t="s">
        <v>1148</v>
      </c>
      <c r="B603" s="4">
        <v>0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10</v>
      </c>
      <c r="L603" s="4">
        <v>0</v>
      </c>
      <c r="M603" s="4">
        <v>7.5</v>
      </c>
    </row>
    <row r="604" spans="1:13">
      <c r="A604" s="3" t="s">
        <v>1149</v>
      </c>
      <c r="B604" s="4">
        <v>55</v>
      </c>
      <c r="C604" s="4">
        <v>67.5</v>
      </c>
      <c r="D604" s="4">
        <v>125</v>
      </c>
      <c r="E604" s="4">
        <v>82.5</v>
      </c>
      <c r="F604" s="4">
        <v>105</v>
      </c>
      <c r="G604" s="4">
        <v>86</v>
      </c>
      <c r="H604" s="4">
        <v>85</v>
      </c>
      <c r="I604" s="4">
        <v>70</v>
      </c>
      <c r="J604" s="4">
        <v>143</v>
      </c>
      <c r="K604" s="4">
        <v>112.5</v>
      </c>
      <c r="L604" s="4">
        <v>105</v>
      </c>
      <c r="M604" s="4">
        <v>55</v>
      </c>
    </row>
    <row r="605" spans="1:13">
      <c r="A605" s="3" t="s">
        <v>1150</v>
      </c>
      <c r="B605" s="4">
        <v>0</v>
      </c>
      <c r="C605" s="4">
        <v>15</v>
      </c>
      <c r="D605" s="4">
        <v>39</v>
      </c>
      <c r="E605" s="4">
        <v>21.5</v>
      </c>
      <c r="F605" s="4">
        <v>47</v>
      </c>
      <c r="G605" s="4">
        <v>30</v>
      </c>
      <c r="H605" s="4">
        <v>25</v>
      </c>
      <c r="I605" s="4">
        <v>15</v>
      </c>
      <c r="J605" s="4">
        <v>35</v>
      </c>
      <c r="K605" s="4">
        <v>30</v>
      </c>
      <c r="L605" s="4">
        <v>45</v>
      </c>
      <c r="M605" s="4">
        <v>25</v>
      </c>
    </row>
    <row r="606" spans="1:13">
      <c r="A606" s="3" t="s">
        <v>1151</v>
      </c>
      <c r="B606" s="4">
        <v>72</v>
      </c>
      <c r="C606" s="4">
        <v>67.5</v>
      </c>
      <c r="D606" s="4">
        <v>88.5</v>
      </c>
      <c r="E606" s="4">
        <v>75</v>
      </c>
      <c r="F606" s="4">
        <v>73</v>
      </c>
      <c r="G606" s="4">
        <v>46.5</v>
      </c>
      <c r="H606" s="4">
        <v>53.75</v>
      </c>
      <c r="I606" s="4">
        <v>29.25</v>
      </c>
      <c r="J606" s="4">
        <v>42.4</v>
      </c>
      <c r="K606" s="4">
        <v>49.25</v>
      </c>
      <c r="L606" s="4">
        <v>25</v>
      </c>
      <c r="M606" s="4">
        <v>35</v>
      </c>
    </row>
    <row r="607" spans="1:13">
      <c r="A607" s="3" t="s">
        <v>1152</v>
      </c>
      <c r="B607" s="4">
        <v>0</v>
      </c>
      <c r="C607" s="4">
        <v>7.5</v>
      </c>
      <c r="D607" s="4">
        <v>10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</row>
    <row r="608" spans="1:13">
      <c r="A608" s="3" t="s">
        <v>1153</v>
      </c>
      <c r="B608" s="4">
        <v>15</v>
      </c>
      <c r="C608" s="4">
        <v>85</v>
      </c>
      <c r="D608" s="4">
        <v>10</v>
      </c>
      <c r="E608" s="4">
        <v>246</v>
      </c>
      <c r="F608" s="4">
        <v>169</v>
      </c>
      <c r="G608" s="4">
        <v>134</v>
      </c>
      <c r="H608" s="4">
        <v>124.5</v>
      </c>
      <c r="I608" s="4">
        <v>0</v>
      </c>
      <c r="J608" s="4">
        <v>199.5</v>
      </c>
      <c r="K608" s="4">
        <v>97</v>
      </c>
      <c r="L608" s="4">
        <v>170</v>
      </c>
      <c r="M608" s="4">
        <v>44</v>
      </c>
    </row>
    <row r="609" spans="1:13">
      <c r="A609" s="3" t="s">
        <v>1154</v>
      </c>
      <c r="B609" s="4">
        <v>10</v>
      </c>
      <c r="C609" s="4">
        <v>37</v>
      </c>
      <c r="D609" s="4">
        <v>34.5</v>
      </c>
      <c r="E609" s="4">
        <v>32</v>
      </c>
      <c r="F609" s="4">
        <v>54</v>
      </c>
      <c r="G609" s="4">
        <v>58.5</v>
      </c>
      <c r="H609" s="4">
        <v>45</v>
      </c>
      <c r="I609" s="4">
        <v>30</v>
      </c>
      <c r="J609" s="4">
        <v>43</v>
      </c>
      <c r="K609" s="4">
        <v>20.5</v>
      </c>
      <c r="L609" s="4">
        <v>32.5</v>
      </c>
      <c r="M609" s="4">
        <v>5</v>
      </c>
    </row>
    <row r="610" spans="1:13">
      <c r="A610" s="3" t="s">
        <v>1155</v>
      </c>
      <c r="B610" s="4">
        <v>10</v>
      </c>
      <c r="C610" s="4">
        <v>10</v>
      </c>
      <c r="D610" s="4">
        <v>10</v>
      </c>
      <c r="E610" s="4">
        <v>0</v>
      </c>
      <c r="F610" s="4">
        <v>21</v>
      </c>
      <c r="G610" s="4">
        <v>0</v>
      </c>
      <c r="H610" s="4">
        <v>20</v>
      </c>
      <c r="I610" s="4">
        <v>0</v>
      </c>
      <c r="J610" s="4">
        <v>52.5</v>
      </c>
      <c r="K610" s="4">
        <v>20</v>
      </c>
      <c r="L610" s="4">
        <v>10</v>
      </c>
      <c r="M610" s="4">
        <v>0</v>
      </c>
    </row>
    <row r="611" spans="1:13">
      <c r="A611" s="3" t="s">
        <v>1156</v>
      </c>
      <c r="B611" s="4">
        <v>15</v>
      </c>
      <c r="C611" s="4">
        <v>58.75</v>
      </c>
      <c r="D611" s="4">
        <v>95</v>
      </c>
      <c r="E611" s="4">
        <v>120</v>
      </c>
      <c r="F611" s="4">
        <v>77.5</v>
      </c>
      <c r="G611" s="4">
        <v>0</v>
      </c>
      <c r="H611" s="4">
        <v>25</v>
      </c>
      <c r="I611" s="4">
        <v>10</v>
      </c>
      <c r="J611" s="4">
        <v>45</v>
      </c>
      <c r="K611" s="4">
        <v>100</v>
      </c>
      <c r="L611" s="4">
        <v>70</v>
      </c>
      <c r="M611" s="4">
        <v>70</v>
      </c>
    </row>
    <row r="612" spans="1:13">
      <c r="A612" s="3" t="s">
        <v>1157</v>
      </c>
      <c r="B612" s="4">
        <v>0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25</v>
      </c>
      <c r="M612" s="4">
        <v>0</v>
      </c>
    </row>
    <row r="613" spans="1:13">
      <c r="A613" s="3" t="s">
        <v>1158</v>
      </c>
      <c r="B613" s="4">
        <v>84.5</v>
      </c>
      <c r="C613" s="4">
        <v>126.05000000000001</v>
      </c>
      <c r="D613" s="4">
        <v>72</v>
      </c>
      <c r="E613" s="4">
        <v>107.95</v>
      </c>
      <c r="F613" s="4">
        <v>80</v>
      </c>
      <c r="G613" s="4">
        <v>108.1</v>
      </c>
      <c r="H613" s="4">
        <v>73</v>
      </c>
      <c r="I613" s="4">
        <v>42</v>
      </c>
      <c r="J613" s="4">
        <v>152.5</v>
      </c>
      <c r="K613" s="4">
        <v>132</v>
      </c>
      <c r="L613" s="4">
        <v>93.5</v>
      </c>
      <c r="M613" s="4">
        <v>129</v>
      </c>
    </row>
    <row r="614" spans="1:13">
      <c r="A614" s="3" t="s">
        <v>1159</v>
      </c>
      <c r="B614" s="4">
        <v>42.5</v>
      </c>
      <c r="C614" s="4">
        <v>74.5</v>
      </c>
      <c r="D614" s="4">
        <v>147</v>
      </c>
      <c r="E614" s="4">
        <v>160</v>
      </c>
      <c r="F614" s="4">
        <v>148.5</v>
      </c>
      <c r="G614" s="4">
        <v>124.25</v>
      </c>
      <c r="H614" s="4">
        <v>100.5</v>
      </c>
      <c r="I614" s="4">
        <v>77</v>
      </c>
      <c r="J614" s="4">
        <v>84</v>
      </c>
      <c r="K614" s="4">
        <v>121.5</v>
      </c>
      <c r="L614" s="4">
        <v>127.5</v>
      </c>
      <c r="M614" s="4">
        <v>131.5</v>
      </c>
    </row>
    <row r="615" spans="1:13">
      <c r="A615" s="3" t="s">
        <v>1160</v>
      </c>
      <c r="B615" s="4">
        <v>75</v>
      </c>
      <c r="C615" s="4">
        <v>45</v>
      </c>
      <c r="D615" s="4">
        <v>35</v>
      </c>
      <c r="E615" s="4">
        <v>150</v>
      </c>
      <c r="F615" s="4">
        <v>18</v>
      </c>
      <c r="G615" s="4">
        <v>74</v>
      </c>
      <c r="H615" s="4">
        <v>30</v>
      </c>
      <c r="I615" s="4">
        <v>0</v>
      </c>
      <c r="J615" s="4">
        <v>72.5</v>
      </c>
      <c r="K615" s="4">
        <v>35</v>
      </c>
      <c r="L615" s="4">
        <v>90</v>
      </c>
      <c r="M615" s="4">
        <v>145</v>
      </c>
    </row>
    <row r="616" spans="1:13">
      <c r="A616" s="3" t="s">
        <v>1161</v>
      </c>
      <c r="B616" s="4">
        <v>0</v>
      </c>
      <c r="C616" s="4">
        <v>15</v>
      </c>
      <c r="D616" s="4">
        <v>65</v>
      </c>
      <c r="E616" s="4">
        <v>30</v>
      </c>
      <c r="F616" s="4">
        <v>147.5</v>
      </c>
      <c r="G616" s="4">
        <v>45</v>
      </c>
      <c r="H616" s="4">
        <v>45</v>
      </c>
      <c r="I616" s="4">
        <v>125</v>
      </c>
      <c r="J616" s="4">
        <v>40</v>
      </c>
      <c r="K616" s="4">
        <v>80</v>
      </c>
      <c r="L616" s="4">
        <v>0</v>
      </c>
      <c r="M616" s="4">
        <v>75</v>
      </c>
    </row>
    <row r="617" spans="1:13">
      <c r="A617" s="3" t="s">
        <v>1162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10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</row>
    <row r="618" spans="1:13">
      <c r="A618" s="3" t="s">
        <v>1163</v>
      </c>
      <c r="B618" s="4">
        <v>0</v>
      </c>
      <c r="C618" s="4">
        <v>125</v>
      </c>
      <c r="D618" s="4">
        <v>0</v>
      </c>
      <c r="E618" s="4">
        <v>122</v>
      </c>
      <c r="F618" s="4">
        <v>0</v>
      </c>
      <c r="G618" s="4">
        <v>0</v>
      </c>
      <c r="H618" s="4">
        <v>142</v>
      </c>
      <c r="I618" s="4">
        <v>0</v>
      </c>
      <c r="J618" s="4">
        <v>87</v>
      </c>
      <c r="K618" s="4">
        <v>128</v>
      </c>
      <c r="L618" s="4">
        <v>0</v>
      </c>
      <c r="M618" s="4">
        <v>130</v>
      </c>
    </row>
    <row r="619" spans="1:13">
      <c r="A619" s="3" t="s">
        <v>1164</v>
      </c>
      <c r="B619" s="4">
        <v>63.5</v>
      </c>
      <c r="C619" s="4">
        <v>124</v>
      </c>
      <c r="D619" s="4">
        <v>89.5</v>
      </c>
      <c r="E619" s="4">
        <v>129.5</v>
      </c>
      <c r="F619" s="4">
        <v>62</v>
      </c>
      <c r="G619" s="4">
        <v>65</v>
      </c>
      <c r="H619" s="4">
        <v>75</v>
      </c>
      <c r="I619" s="4">
        <v>20</v>
      </c>
      <c r="J619" s="4">
        <v>73.5</v>
      </c>
      <c r="K619" s="4">
        <v>81.5</v>
      </c>
      <c r="L619" s="4">
        <v>145</v>
      </c>
      <c r="M619" s="4">
        <v>25</v>
      </c>
    </row>
    <row r="620" spans="1:13">
      <c r="A620" s="3" t="s">
        <v>1165</v>
      </c>
      <c r="B620" s="4">
        <v>84</v>
      </c>
      <c r="C620" s="4">
        <v>90</v>
      </c>
      <c r="D620" s="4">
        <v>139</v>
      </c>
      <c r="E620" s="4">
        <v>25</v>
      </c>
      <c r="F620" s="4">
        <v>67.5</v>
      </c>
      <c r="G620" s="4">
        <v>0</v>
      </c>
      <c r="H620" s="4">
        <v>0</v>
      </c>
      <c r="I620" s="4">
        <v>80</v>
      </c>
      <c r="J620" s="4">
        <v>20</v>
      </c>
      <c r="K620" s="4">
        <v>30</v>
      </c>
      <c r="L620" s="4">
        <v>86</v>
      </c>
      <c r="M620" s="4">
        <v>95</v>
      </c>
    </row>
    <row r="621" spans="1:13">
      <c r="A621" s="3" t="s">
        <v>1166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50</v>
      </c>
    </row>
    <row r="622" spans="1:13">
      <c r="A622" s="3" t="s">
        <v>1167</v>
      </c>
      <c r="B622" s="4">
        <v>7.5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12.5</v>
      </c>
      <c r="L622" s="4">
        <v>20</v>
      </c>
      <c r="M622" s="4">
        <v>20</v>
      </c>
    </row>
    <row r="623" spans="1:13">
      <c r="A623" s="3" t="s">
        <v>1168</v>
      </c>
      <c r="B623" s="4">
        <v>20</v>
      </c>
      <c r="C623" s="4">
        <v>76.5</v>
      </c>
      <c r="D623" s="4">
        <v>71.5</v>
      </c>
      <c r="E623" s="4">
        <v>76.5</v>
      </c>
      <c r="F623" s="4">
        <v>62</v>
      </c>
      <c r="G623" s="4">
        <v>46</v>
      </c>
      <c r="H623" s="4">
        <v>0</v>
      </c>
      <c r="I623" s="4">
        <v>35</v>
      </c>
      <c r="J623" s="4">
        <v>25</v>
      </c>
      <c r="K623" s="4">
        <v>0</v>
      </c>
      <c r="L623" s="4">
        <v>25</v>
      </c>
      <c r="M623" s="4">
        <v>80</v>
      </c>
    </row>
    <row r="624" spans="1:13">
      <c r="A624" s="3" t="s">
        <v>1169</v>
      </c>
      <c r="B624" s="4">
        <v>102.5</v>
      </c>
      <c r="C624" s="4">
        <v>125.5</v>
      </c>
      <c r="D624" s="4">
        <v>103</v>
      </c>
      <c r="E624" s="4">
        <v>84.5</v>
      </c>
      <c r="F624" s="4">
        <v>75</v>
      </c>
      <c r="G624" s="4">
        <v>54.5</v>
      </c>
      <c r="H624" s="4">
        <v>45</v>
      </c>
      <c r="I624" s="4">
        <v>25</v>
      </c>
      <c r="J624" s="4">
        <v>110</v>
      </c>
      <c r="K624" s="4">
        <v>109</v>
      </c>
      <c r="L624" s="4">
        <v>101.5</v>
      </c>
      <c r="M624" s="4">
        <v>56.5</v>
      </c>
    </row>
    <row r="625" spans="1:13">
      <c r="A625" s="3" t="s">
        <v>1170</v>
      </c>
      <c r="B625" s="4">
        <v>66</v>
      </c>
      <c r="C625" s="4">
        <v>76.5</v>
      </c>
      <c r="D625" s="4">
        <v>71.5</v>
      </c>
      <c r="E625" s="4">
        <v>71.5</v>
      </c>
      <c r="F625" s="4">
        <v>56.5</v>
      </c>
      <c r="G625" s="4">
        <v>32.5</v>
      </c>
      <c r="H625" s="4">
        <v>35</v>
      </c>
      <c r="I625" s="4">
        <v>20</v>
      </c>
      <c r="J625" s="4">
        <v>17</v>
      </c>
      <c r="K625" s="4">
        <v>20</v>
      </c>
      <c r="L625" s="4">
        <v>90</v>
      </c>
      <c r="M625" s="4">
        <v>47</v>
      </c>
    </row>
    <row r="626" spans="1:13">
      <c r="A626" s="3" t="s">
        <v>1171</v>
      </c>
      <c r="B626" s="4">
        <v>86.5</v>
      </c>
      <c r="C626" s="4">
        <v>70</v>
      </c>
      <c r="D626" s="4">
        <v>90</v>
      </c>
      <c r="E626" s="4">
        <v>92.5</v>
      </c>
      <c r="F626" s="4">
        <v>100</v>
      </c>
      <c r="G626" s="4">
        <v>60</v>
      </c>
      <c r="H626" s="4">
        <v>55</v>
      </c>
      <c r="I626" s="4">
        <v>57</v>
      </c>
      <c r="J626" s="4">
        <v>71.75</v>
      </c>
      <c r="K626" s="4">
        <v>70</v>
      </c>
      <c r="L626" s="4">
        <v>70</v>
      </c>
      <c r="M626" s="4">
        <v>80</v>
      </c>
    </row>
    <row r="627" spans="1:13">
      <c r="A627" s="3" t="s">
        <v>1172</v>
      </c>
      <c r="B627" s="4">
        <v>20</v>
      </c>
      <c r="C627" s="4">
        <v>30</v>
      </c>
      <c r="D627" s="4">
        <v>58.25</v>
      </c>
      <c r="E627" s="4">
        <v>35</v>
      </c>
      <c r="F627" s="4">
        <v>50</v>
      </c>
      <c r="G627" s="4">
        <v>33</v>
      </c>
      <c r="H627" s="4">
        <v>10</v>
      </c>
      <c r="I627" s="4">
        <v>54.75</v>
      </c>
      <c r="J627" s="4">
        <v>105</v>
      </c>
      <c r="K627" s="4">
        <v>0</v>
      </c>
      <c r="L627" s="4">
        <v>45</v>
      </c>
      <c r="M627" s="4">
        <v>65</v>
      </c>
    </row>
    <row r="628" spans="1:13">
      <c r="A628" s="3" t="s">
        <v>1173</v>
      </c>
      <c r="B628" s="4">
        <v>0</v>
      </c>
      <c r="C628" s="4">
        <v>0</v>
      </c>
      <c r="D628" s="4">
        <v>12</v>
      </c>
      <c r="E628" s="4">
        <v>25</v>
      </c>
      <c r="F628" s="4">
        <v>10</v>
      </c>
      <c r="G628" s="4">
        <v>7.5</v>
      </c>
      <c r="H628" s="4">
        <v>20</v>
      </c>
      <c r="I628" s="4">
        <v>10</v>
      </c>
      <c r="J628" s="4">
        <v>17.5</v>
      </c>
      <c r="K628" s="4">
        <v>10</v>
      </c>
      <c r="L628" s="4">
        <v>10</v>
      </c>
      <c r="M628" s="4">
        <v>4</v>
      </c>
    </row>
    <row r="629" spans="1:13">
      <c r="A629" s="3" t="s">
        <v>1174</v>
      </c>
      <c r="B629" s="4">
        <v>10</v>
      </c>
      <c r="C629" s="4">
        <v>0</v>
      </c>
      <c r="D629" s="4">
        <v>20</v>
      </c>
      <c r="E629" s="4">
        <v>10</v>
      </c>
      <c r="F629" s="4">
        <v>0</v>
      </c>
      <c r="G629" s="4">
        <v>0</v>
      </c>
      <c r="H629" s="4">
        <v>10</v>
      </c>
      <c r="I629" s="4">
        <v>10</v>
      </c>
      <c r="J629" s="4">
        <v>8.5</v>
      </c>
      <c r="K629" s="4">
        <v>0</v>
      </c>
      <c r="L629" s="4">
        <v>0</v>
      </c>
      <c r="M629" s="4">
        <v>0</v>
      </c>
    </row>
    <row r="630" spans="1:13">
      <c r="A630" s="3" t="s">
        <v>1175</v>
      </c>
      <c r="B630" s="4">
        <v>43</v>
      </c>
      <c r="C630" s="4">
        <v>57.5</v>
      </c>
      <c r="D630" s="4">
        <v>25</v>
      </c>
      <c r="E630" s="4">
        <v>65</v>
      </c>
      <c r="F630" s="4">
        <v>25</v>
      </c>
      <c r="G630" s="4">
        <v>103.95</v>
      </c>
      <c r="H630" s="4">
        <v>29</v>
      </c>
      <c r="I630" s="4">
        <v>115</v>
      </c>
      <c r="J630" s="4">
        <v>25</v>
      </c>
      <c r="K630" s="4">
        <v>45</v>
      </c>
      <c r="L630" s="4">
        <v>17.5</v>
      </c>
      <c r="M630" s="4">
        <v>60</v>
      </c>
    </row>
    <row r="631" spans="1:13">
      <c r="A631" s="3" t="s">
        <v>1176</v>
      </c>
      <c r="B631" s="4">
        <v>16</v>
      </c>
      <c r="C631" s="4">
        <v>12.5</v>
      </c>
      <c r="D631" s="4">
        <v>0</v>
      </c>
      <c r="E631" s="4">
        <v>0</v>
      </c>
      <c r="F631" s="4">
        <v>0</v>
      </c>
      <c r="G631" s="4">
        <v>10</v>
      </c>
      <c r="H631" s="4">
        <v>15</v>
      </c>
      <c r="I631" s="4">
        <v>10</v>
      </c>
      <c r="J631" s="4">
        <v>19</v>
      </c>
      <c r="K631" s="4">
        <v>50</v>
      </c>
      <c r="L631" s="4">
        <v>15</v>
      </c>
      <c r="M631" s="4">
        <v>0</v>
      </c>
    </row>
    <row r="632" spans="1:13">
      <c r="A632" s="3" t="s">
        <v>1177</v>
      </c>
      <c r="B632" s="4">
        <v>10</v>
      </c>
      <c r="C632" s="4">
        <v>0</v>
      </c>
      <c r="D632" s="4">
        <v>25</v>
      </c>
      <c r="E632" s="4">
        <v>7.5</v>
      </c>
      <c r="F632" s="4">
        <v>30</v>
      </c>
      <c r="G632" s="4">
        <v>0</v>
      </c>
      <c r="H632" s="4">
        <v>0</v>
      </c>
      <c r="I632" s="4">
        <v>0</v>
      </c>
      <c r="J632" s="4">
        <v>27.5</v>
      </c>
      <c r="K632" s="4">
        <v>0</v>
      </c>
      <c r="L632" s="4">
        <v>10</v>
      </c>
      <c r="M632" s="4">
        <v>8</v>
      </c>
    </row>
    <row r="633" spans="1:13">
      <c r="A633" s="3" t="s">
        <v>1178</v>
      </c>
      <c r="B633" s="4">
        <v>66</v>
      </c>
      <c r="C633" s="4">
        <v>53.5</v>
      </c>
      <c r="D633" s="4">
        <v>113.5</v>
      </c>
      <c r="E633" s="4">
        <v>48.5</v>
      </c>
      <c r="F633" s="4">
        <v>72</v>
      </c>
      <c r="G633" s="4">
        <v>45</v>
      </c>
      <c r="H633" s="4">
        <v>61</v>
      </c>
      <c r="I633" s="4">
        <v>67.3</v>
      </c>
      <c r="J633" s="4">
        <v>60</v>
      </c>
      <c r="K633" s="4">
        <v>75</v>
      </c>
      <c r="L633" s="4">
        <v>35</v>
      </c>
      <c r="M633" s="4">
        <v>0</v>
      </c>
    </row>
    <row r="634" spans="1:13">
      <c r="A634" s="3" t="s">
        <v>1179</v>
      </c>
      <c r="B634" s="4">
        <v>10</v>
      </c>
      <c r="C634" s="4">
        <v>10</v>
      </c>
      <c r="D634" s="4">
        <v>0</v>
      </c>
      <c r="E634" s="4">
        <v>10</v>
      </c>
      <c r="F634" s="4">
        <v>0</v>
      </c>
      <c r="G634" s="4">
        <v>10.3</v>
      </c>
      <c r="H634" s="4">
        <v>10</v>
      </c>
      <c r="I634" s="4">
        <v>0</v>
      </c>
      <c r="J634" s="4">
        <v>0</v>
      </c>
      <c r="K634" s="4">
        <v>20</v>
      </c>
      <c r="L634" s="4">
        <v>0</v>
      </c>
      <c r="M634" s="4">
        <v>10</v>
      </c>
    </row>
    <row r="635" spans="1:13">
      <c r="A635" s="3" t="s">
        <v>1180</v>
      </c>
      <c r="B635" s="4">
        <v>61.5</v>
      </c>
      <c r="C635" s="4">
        <v>120</v>
      </c>
      <c r="D635" s="4">
        <v>130</v>
      </c>
      <c r="E635" s="4">
        <v>119</v>
      </c>
      <c r="F635" s="4">
        <v>28.5</v>
      </c>
      <c r="G635" s="4">
        <v>100.5</v>
      </c>
      <c r="H635" s="4">
        <v>90</v>
      </c>
      <c r="I635" s="4">
        <v>130</v>
      </c>
      <c r="J635" s="4">
        <v>182.5</v>
      </c>
      <c r="K635" s="4">
        <v>157.44999999999999</v>
      </c>
      <c r="L635" s="4">
        <v>146.5</v>
      </c>
      <c r="M635" s="4">
        <v>172.6</v>
      </c>
    </row>
    <row r="636" spans="1:13">
      <c r="A636" s="3" t="s">
        <v>1181</v>
      </c>
      <c r="B636" s="4">
        <v>30</v>
      </c>
      <c r="C636" s="4">
        <v>30</v>
      </c>
      <c r="D636" s="4">
        <v>20</v>
      </c>
      <c r="E636" s="4">
        <v>30</v>
      </c>
      <c r="F636" s="4">
        <v>31</v>
      </c>
      <c r="G636" s="4">
        <v>23.75</v>
      </c>
      <c r="H636" s="4">
        <v>3</v>
      </c>
      <c r="I636" s="4">
        <v>22</v>
      </c>
      <c r="J636" s="4">
        <v>32.5</v>
      </c>
      <c r="K636" s="4">
        <v>10</v>
      </c>
      <c r="L636" s="4">
        <v>36</v>
      </c>
      <c r="M636" s="4">
        <v>53</v>
      </c>
    </row>
    <row r="637" spans="1:13">
      <c r="A637" s="3" t="s">
        <v>1182</v>
      </c>
      <c r="B637" s="4">
        <v>20</v>
      </c>
      <c r="C637" s="4">
        <v>70</v>
      </c>
      <c r="D637" s="4">
        <v>32.5</v>
      </c>
      <c r="E637" s="4">
        <v>80</v>
      </c>
      <c r="F637" s="4">
        <v>45</v>
      </c>
      <c r="G637" s="4">
        <v>40</v>
      </c>
      <c r="H637" s="4">
        <v>52.5</v>
      </c>
      <c r="I637" s="4">
        <v>40</v>
      </c>
      <c r="J637" s="4">
        <v>25</v>
      </c>
      <c r="K637" s="4">
        <v>27.5</v>
      </c>
      <c r="L637" s="4">
        <v>60</v>
      </c>
      <c r="M637" s="4">
        <v>22.5</v>
      </c>
    </row>
    <row r="638" spans="1:13">
      <c r="A638" s="3" t="s">
        <v>1183</v>
      </c>
      <c r="B638" s="4">
        <v>48</v>
      </c>
      <c r="C638" s="4">
        <v>0</v>
      </c>
      <c r="D638" s="4">
        <v>0</v>
      </c>
      <c r="E638" s="4">
        <v>0</v>
      </c>
      <c r="F638" s="4">
        <v>0</v>
      </c>
      <c r="G638" s="4">
        <v>10</v>
      </c>
      <c r="H638" s="4">
        <v>0</v>
      </c>
      <c r="I638" s="4">
        <v>0</v>
      </c>
      <c r="J638" s="4">
        <v>85</v>
      </c>
      <c r="K638" s="4">
        <v>53</v>
      </c>
      <c r="L638" s="4">
        <v>0</v>
      </c>
      <c r="M638" s="4">
        <v>0</v>
      </c>
    </row>
    <row r="639" spans="1:13">
      <c r="A639" s="3" t="s">
        <v>1184</v>
      </c>
      <c r="B639" s="4">
        <v>61</v>
      </c>
      <c r="C639" s="4">
        <v>65</v>
      </c>
      <c r="D639" s="4">
        <v>56.5</v>
      </c>
      <c r="E639" s="4">
        <v>44.5</v>
      </c>
      <c r="F639" s="4">
        <v>105.5</v>
      </c>
      <c r="G639" s="4">
        <v>28</v>
      </c>
      <c r="H639" s="4">
        <v>7</v>
      </c>
      <c r="I639" s="4">
        <v>21</v>
      </c>
      <c r="J639" s="4">
        <v>30</v>
      </c>
      <c r="K639" s="4">
        <v>49.5</v>
      </c>
      <c r="L639" s="4">
        <v>56</v>
      </c>
      <c r="M639" s="4">
        <v>43</v>
      </c>
    </row>
    <row r="640" spans="1:13">
      <c r="A640" s="3" t="s">
        <v>1185</v>
      </c>
      <c r="B640" s="4">
        <v>0</v>
      </c>
      <c r="C640" s="4">
        <v>0</v>
      </c>
      <c r="D640" s="4">
        <v>0</v>
      </c>
      <c r="E640" s="4">
        <v>0</v>
      </c>
      <c r="F640" s="4">
        <v>2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10</v>
      </c>
      <c r="M640" s="4">
        <v>0</v>
      </c>
    </row>
    <row r="641" spans="1:13">
      <c r="A641" s="3" t="s">
        <v>1186</v>
      </c>
      <c r="B641" s="4">
        <v>35</v>
      </c>
      <c r="C641" s="4">
        <v>56.5</v>
      </c>
      <c r="D641" s="4">
        <v>62</v>
      </c>
      <c r="E641" s="4">
        <v>90</v>
      </c>
      <c r="F641" s="4">
        <v>130</v>
      </c>
      <c r="G641" s="4">
        <v>85</v>
      </c>
      <c r="H641" s="4">
        <v>45</v>
      </c>
      <c r="I641" s="4">
        <v>75</v>
      </c>
      <c r="J641" s="4">
        <v>255</v>
      </c>
      <c r="K641" s="4">
        <v>60</v>
      </c>
      <c r="L641" s="4">
        <v>115</v>
      </c>
      <c r="M641" s="4">
        <v>58</v>
      </c>
    </row>
    <row r="642" spans="1:13">
      <c r="A642" s="3" t="s">
        <v>1187</v>
      </c>
      <c r="B642" s="4">
        <v>10</v>
      </c>
      <c r="C642" s="4">
        <v>9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12</v>
      </c>
      <c r="J642" s="4">
        <v>0</v>
      </c>
      <c r="K642" s="4">
        <v>0</v>
      </c>
      <c r="L642" s="4">
        <v>0</v>
      </c>
      <c r="M642" s="4">
        <v>7.5</v>
      </c>
    </row>
    <row r="643" spans="1:13">
      <c r="A643" s="3" t="s">
        <v>1188</v>
      </c>
      <c r="B643" s="4">
        <v>0</v>
      </c>
      <c r="C643" s="4">
        <v>0</v>
      </c>
      <c r="D643" s="4">
        <v>0</v>
      </c>
      <c r="E643" s="4">
        <v>0</v>
      </c>
      <c r="F643" s="4">
        <v>30</v>
      </c>
      <c r="G643" s="4">
        <v>50</v>
      </c>
      <c r="H643" s="4">
        <v>36</v>
      </c>
      <c r="I643" s="4">
        <v>58.5</v>
      </c>
      <c r="J643" s="4">
        <v>20</v>
      </c>
      <c r="K643" s="4">
        <v>10</v>
      </c>
      <c r="L643" s="4">
        <v>60</v>
      </c>
      <c r="M643" s="4">
        <v>7.5</v>
      </c>
    </row>
    <row r="644" spans="1:13">
      <c r="A644" s="3" t="s">
        <v>1189</v>
      </c>
      <c r="B644" s="4">
        <v>17</v>
      </c>
      <c r="C644" s="4">
        <v>45</v>
      </c>
      <c r="D644" s="4">
        <v>77</v>
      </c>
      <c r="E644" s="4">
        <v>64</v>
      </c>
      <c r="F644" s="4">
        <v>30</v>
      </c>
      <c r="G644" s="4">
        <v>96.5</v>
      </c>
      <c r="H644" s="4">
        <v>15</v>
      </c>
      <c r="I644" s="4">
        <v>15</v>
      </c>
      <c r="J644" s="4">
        <v>15</v>
      </c>
      <c r="K644" s="4">
        <v>11.5</v>
      </c>
      <c r="L644" s="4">
        <v>60</v>
      </c>
      <c r="M644" s="4">
        <v>0</v>
      </c>
    </row>
    <row r="645" spans="1:13">
      <c r="A645" s="3" t="s">
        <v>1190</v>
      </c>
      <c r="B645" s="4">
        <v>148</v>
      </c>
      <c r="C645" s="4">
        <v>90</v>
      </c>
      <c r="D645" s="4">
        <v>92</v>
      </c>
      <c r="E645" s="4">
        <v>155.5</v>
      </c>
      <c r="F645" s="4">
        <v>90</v>
      </c>
      <c r="G645" s="4">
        <v>125</v>
      </c>
      <c r="H645" s="4">
        <v>178</v>
      </c>
      <c r="I645" s="4">
        <v>122.5</v>
      </c>
      <c r="J645" s="4">
        <v>167.5</v>
      </c>
      <c r="K645" s="4">
        <v>66</v>
      </c>
      <c r="L645" s="4">
        <v>190</v>
      </c>
      <c r="M645" s="4">
        <v>128</v>
      </c>
    </row>
    <row r="646" spans="1:13">
      <c r="A646" s="3" t="s">
        <v>1191</v>
      </c>
      <c r="B646" s="4">
        <v>20</v>
      </c>
      <c r="C646" s="4">
        <v>4</v>
      </c>
      <c r="D646" s="4">
        <v>20</v>
      </c>
      <c r="E646" s="4">
        <v>10</v>
      </c>
      <c r="F646" s="4">
        <v>0</v>
      </c>
      <c r="G646" s="4">
        <v>0</v>
      </c>
      <c r="H646" s="4">
        <v>10</v>
      </c>
      <c r="I646" s="4">
        <v>5</v>
      </c>
      <c r="J646" s="4">
        <v>35.5</v>
      </c>
      <c r="K646" s="4">
        <v>0</v>
      </c>
      <c r="L646" s="4">
        <v>3.5</v>
      </c>
      <c r="M646" s="4">
        <v>13</v>
      </c>
    </row>
    <row r="647" spans="1:13">
      <c r="A647" s="3" t="s">
        <v>1192</v>
      </c>
      <c r="B647" s="4">
        <v>15</v>
      </c>
      <c r="C647" s="4">
        <v>39</v>
      </c>
      <c r="D647" s="4">
        <v>92</v>
      </c>
      <c r="E647" s="4">
        <v>50</v>
      </c>
      <c r="F647" s="4">
        <v>15</v>
      </c>
      <c r="G647" s="4">
        <v>50</v>
      </c>
      <c r="H647" s="4">
        <v>0</v>
      </c>
      <c r="I647" s="4">
        <v>30</v>
      </c>
      <c r="J647" s="4">
        <v>37.5</v>
      </c>
      <c r="K647" s="4">
        <v>56</v>
      </c>
      <c r="L647" s="4">
        <v>132.5</v>
      </c>
      <c r="M647" s="4">
        <v>185</v>
      </c>
    </row>
    <row r="648" spans="1:13">
      <c r="A648" s="3" t="s">
        <v>1193</v>
      </c>
      <c r="B648" s="4">
        <v>30</v>
      </c>
      <c r="C648" s="4">
        <v>12</v>
      </c>
      <c r="D648" s="4">
        <v>50</v>
      </c>
      <c r="E648" s="4">
        <v>26</v>
      </c>
      <c r="F648" s="4">
        <v>30</v>
      </c>
      <c r="G648" s="4">
        <v>12</v>
      </c>
      <c r="H648" s="4">
        <v>17.5</v>
      </c>
      <c r="I648" s="4">
        <v>20</v>
      </c>
      <c r="J648" s="4">
        <v>27.5</v>
      </c>
      <c r="K648" s="4">
        <v>10</v>
      </c>
      <c r="L648" s="4">
        <v>40</v>
      </c>
      <c r="M648" s="4">
        <v>20</v>
      </c>
    </row>
    <row r="649" spans="1:13">
      <c r="A649" s="3" t="s">
        <v>1194</v>
      </c>
      <c r="B649" s="4">
        <v>110</v>
      </c>
      <c r="C649" s="4">
        <v>131</v>
      </c>
      <c r="D649" s="4">
        <v>140.5</v>
      </c>
      <c r="E649" s="4">
        <v>110.5</v>
      </c>
      <c r="F649" s="4">
        <v>83.5</v>
      </c>
      <c r="G649" s="4">
        <v>101</v>
      </c>
      <c r="H649" s="4">
        <v>93.5</v>
      </c>
      <c r="I649" s="4">
        <v>34.5</v>
      </c>
      <c r="J649" s="4">
        <v>161</v>
      </c>
      <c r="K649" s="4">
        <v>80</v>
      </c>
      <c r="L649" s="4">
        <v>118</v>
      </c>
      <c r="M649" s="4">
        <v>132.5</v>
      </c>
    </row>
    <row r="650" spans="1:13">
      <c r="A650" s="3" t="s">
        <v>1195</v>
      </c>
      <c r="B650" s="4">
        <v>51</v>
      </c>
      <c r="C650" s="4">
        <v>65</v>
      </c>
      <c r="D650" s="4">
        <v>270</v>
      </c>
      <c r="E650" s="4">
        <v>166.5</v>
      </c>
      <c r="F650" s="4">
        <v>163</v>
      </c>
      <c r="G650" s="4">
        <v>111</v>
      </c>
      <c r="H650" s="4">
        <v>70</v>
      </c>
      <c r="I650" s="4">
        <v>90</v>
      </c>
      <c r="J650" s="4">
        <v>129.5</v>
      </c>
      <c r="K650" s="4">
        <v>221</v>
      </c>
      <c r="L650" s="4">
        <v>220</v>
      </c>
      <c r="M650" s="4">
        <v>160</v>
      </c>
    </row>
    <row r="651" spans="1:13">
      <c r="A651" s="3" t="s">
        <v>1196</v>
      </c>
      <c r="B651" s="4">
        <v>35</v>
      </c>
      <c r="C651" s="4">
        <v>15</v>
      </c>
      <c r="D651" s="4">
        <v>36</v>
      </c>
      <c r="E651" s="4">
        <v>109</v>
      </c>
      <c r="F651" s="4">
        <v>61.5</v>
      </c>
      <c r="G651" s="4">
        <v>30.5</v>
      </c>
      <c r="H651" s="4">
        <v>30</v>
      </c>
      <c r="I651" s="4">
        <v>82.5</v>
      </c>
      <c r="J651" s="4">
        <v>105.65</v>
      </c>
      <c r="K651" s="4">
        <v>170.75</v>
      </c>
      <c r="L651" s="4">
        <v>115</v>
      </c>
      <c r="M651" s="4">
        <v>145</v>
      </c>
    </row>
    <row r="652" spans="1:13">
      <c r="A652" s="3" t="s">
        <v>1197</v>
      </c>
      <c r="B652" s="4">
        <v>0</v>
      </c>
      <c r="C652" s="4">
        <v>0</v>
      </c>
      <c r="D652" s="4">
        <v>0</v>
      </c>
      <c r="E652" s="4">
        <v>30</v>
      </c>
      <c r="F652" s="4">
        <v>50</v>
      </c>
      <c r="G652" s="4">
        <v>59.5</v>
      </c>
      <c r="H652" s="4">
        <v>40</v>
      </c>
      <c r="I652" s="4">
        <v>10</v>
      </c>
      <c r="J652" s="4">
        <v>43</v>
      </c>
      <c r="K652" s="4">
        <v>20</v>
      </c>
      <c r="L652" s="4">
        <v>0</v>
      </c>
      <c r="M652" s="4">
        <v>20</v>
      </c>
    </row>
    <row r="653" spans="1:13">
      <c r="A653" s="3" t="s">
        <v>1198</v>
      </c>
      <c r="B653" s="4">
        <v>100</v>
      </c>
      <c r="C653" s="4">
        <v>116</v>
      </c>
      <c r="D653" s="4">
        <v>222.5</v>
      </c>
      <c r="E653" s="4">
        <v>214.5</v>
      </c>
      <c r="F653" s="4">
        <v>105.5</v>
      </c>
      <c r="G653" s="4">
        <v>182</v>
      </c>
      <c r="H653" s="4">
        <v>128</v>
      </c>
      <c r="I653" s="4">
        <v>0</v>
      </c>
      <c r="J653" s="4">
        <v>204.5</v>
      </c>
      <c r="K653" s="4">
        <v>53</v>
      </c>
      <c r="L653" s="4">
        <v>108</v>
      </c>
      <c r="M653" s="4">
        <v>112</v>
      </c>
    </row>
    <row r="654" spans="1:13">
      <c r="A654" s="3" t="s">
        <v>1199</v>
      </c>
      <c r="B654" s="4">
        <v>144</v>
      </c>
      <c r="C654" s="4">
        <v>155</v>
      </c>
      <c r="D654" s="4">
        <v>100</v>
      </c>
      <c r="E654" s="4">
        <v>150</v>
      </c>
      <c r="F654" s="4">
        <v>60</v>
      </c>
      <c r="G654" s="4">
        <v>70</v>
      </c>
      <c r="H654" s="4">
        <v>130</v>
      </c>
      <c r="I654" s="4">
        <v>25</v>
      </c>
      <c r="J654" s="4">
        <v>120</v>
      </c>
      <c r="K654" s="4">
        <v>35</v>
      </c>
      <c r="L654" s="4">
        <v>40</v>
      </c>
      <c r="M654" s="4">
        <v>33</v>
      </c>
    </row>
    <row r="655" spans="1:13">
      <c r="A655" s="3" t="s">
        <v>1200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>
        <v>10</v>
      </c>
      <c r="H655" s="4">
        <v>15</v>
      </c>
      <c r="I655" s="4">
        <v>0</v>
      </c>
      <c r="J655" s="4">
        <v>48.5</v>
      </c>
      <c r="K655" s="4">
        <v>0</v>
      </c>
      <c r="L655" s="4">
        <v>0</v>
      </c>
      <c r="M655" s="4">
        <v>15</v>
      </c>
    </row>
    <row r="656" spans="1:13">
      <c r="A656" s="3" t="s">
        <v>1201</v>
      </c>
      <c r="B656" s="4">
        <v>0</v>
      </c>
      <c r="C656" s="4">
        <v>0</v>
      </c>
      <c r="D656" s="4">
        <v>15</v>
      </c>
      <c r="E656" s="4">
        <v>15</v>
      </c>
      <c r="F656" s="4">
        <v>0</v>
      </c>
      <c r="G656" s="4">
        <v>0</v>
      </c>
      <c r="H656" s="4">
        <v>20</v>
      </c>
      <c r="I656" s="4">
        <v>0</v>
      </c>
      <c r="J656" s="4">
        <v>25</v>
      </c>
      <c r="K656" s="4">
        <v>10</v>
      </c>
      <c r="L656" s="4">
        <v>0</v>
      </c>
      <c r="M656" s="4">
        <v>0</v>
      </c>
    </row>
    <row r="657" spans="1:13">
      <c r="A657" s="3" t="s">
        <v>1202</v>
      </c>
      <c r="B657" s="4">
        <v>0</v>
      </c>
      <c r="C657" s="4">
        <v>0</v>
      </c>
      <c r="D657" s="4">
        <v>0</v>
      </c>
      <c r="E657" s="4">
        <v>2.5</v>
      </c>
      <c r="F657" s="4">
        <v>0</v>
      </c>
      <c r="G657" s="4">
        <v>0</v>
      </c>
      <c r="H657" s="4">
        <v>31</v>
      </c>
      <c r="I657" s="4">
        <v>0</v>
      </c>
      <c r="J657" s="4">
        <v>16</v>
      </c>
      <c r="K657" s="4">
        <v>0</v>
      </c>
      <c r="L657" s="4">
        <v>0</v>
      </c>
      <c r="M657" s="4">
        <v>0</v>
      </c>
    </row>
    <row r="658" spans="1:13">
      <c r="A658" s="3" t="s">
        <v>1203</v>
      </c>
      <c r="B658" s="4">
        <v>71</v>
      </c>
      <c r="C658" s="4">
        <v>87.5</v>
      </c>
      <c r="D658" s="4">
        <v>314</v>
      </c>
      <c r="E658" s="4">
        <v>185</v>
      </c>
      <c r="F658" s="4">
        <v>284.5</v>
      </c>
      <c r="G658" s="4">
        <v>172.85</v>
      </c>
      <c r="H658" s="4">
        <v>237.7</v>
      </c>
      <c r="I658" s="4">
        <v>159.9</v>
      </c>
      <c r="J658" s="4">
        <v>379.55</v>
      </c>
      <c r="K658" s="4">
        <v>322.5</v>
      </c>
      <c r="L658" s="4">
        <v>173</v>
      </c>
      <c r="M658" s="4">
        <v>170.95</v>
      </c>
    </row>
    <row r="659" spans="1:13">
      <c r="A659" s="3" t="s">
        <v>1204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5</v>
      </c>
      <c r="K659" s="4">
        <v>0</v>
      </c>
      <c r="L659" s="4">
        <v>0</v>
      </c>
      <c r="M659" s="4">
        <v>0</v>
      </c>
    </row>
    <row r="660" spans="1:13">
      <c r="A660" s="3" t="s">
        <v>1205</v>
      </c>
      <c r="B660" s="4">
        <v>50</v>
      </c>
      <c r="C660" s="4">
        <v>62</v>
      </c>
      <c r="D660" s="4">
        <v>91.5</v>
      </c>
      <c r="E660" s="4">
        <v>145</v>
      </c>
      <c r="F660" s="4">
        <v>0</v>
      </c>
      <c r="G660" s="4">
        <v>0</v>
      </c>
      <c r="H660" s="4">
        <v>67</v>
      </c>
      <c r="I660" s="4">
        <v>35</v>
      </c>
      <c r="J660" s="4">
        <v>0</v>
      </c>
      <c r="K660" s="4">
        <v>35</v>
      </c>
      <c r="L660" s="4">
        <v>20</v>
      </c>
      <c r="M660" s="4">
        <v>21.5</v>
      </c>
    </row>
    <row r="661" spans="1:13">
      <c r="A661" s="3" t="s">
        <v>1206</v>
      </c>
      <c r="B661" s="4">
        <v>96.5</v>
      </c>
      <c r="C661" s="4">
        <v>42.5</v>
      </c>
      <c r="D661" s="4">
        <v>121</v>
      </c>
      <c r="E661" s="4">
        <v>98</v>
      </c>
      <c r="F661" s="4">
        <v>85.5</v>
      </c>
      <c r="G661" s="4">
        <v>54.5</v>
      </c>
      <c r="H661" s="4">
        <v>32</v>
      </c>
      <c r="I661" s="4">
        <v>30</v>
      </c>
      <c r="J661" s="4">
        <v>72.75</v>
      </c>
      <c r="K661" s="4">
        <v>47.5</v>
      </c>
      <c r="L661" s="4">
        <v>87.5</v>
      </c>
      <c r="M661" s="4">
        <v>49.5</v>
      </c>
    </row>
    <row r="662" spans="1:13">
      <c r="A662" s="3" t="s">
        <v>1207</v>
      </c>
      <c r="B662" s="4">
        <v>48</v>
      </c>
      <c r="C662" s="4">
        <v>31</v>
      </c>
      <c r="D662" s="4">
        <v>50</v>
      </c>
      <c r="E662" s="4">
        <v>51</v>
      </c>
      <c r="F662" s="4">
        <v>75.5</v>
      </c>
      <c r="G662" s="4">
        <v>10</v>
      </c>
      <c r="H662" s="4">
        <v>40.5</v>
      </c>
      <c r="I662" s="4">
        <v>75</v>
      </c>
      <c r="J662" s="4">
        <v>50</v>
      </c>
      <c r="K662" s="4">
        <v>7.5</v>
      </c>
      <c r="L662" s="4">
        <v>37.5</v>
      </c>
      <c r="M662" s="4">
        <v>124</v>
      </c>
    </row>
    <row r="663" spans="1:13">
      <c r="A663" s="3" t="s">
        <v>1208</v>
      </c>
      <c r="B663" s="4">
        <v>86</v>
      </c>
      <c r="C663" s="4">
        <v>50</v>
      </c>
      <c r="D663" s="4">
        <v>60.95</v>
      </c>
      <c r="E663" s="4">
        <v>26.5</v>
      </c>
      <c r="F663" s="4">
        <v>37.5</v>
      </c>
      <c r="G663" s="4">
        <v>76</v>
      </c>
      <c r="H663" s="4">
        <v>87.5</v>
      </c>
      <c r="I663" s="4">
        <v>45</v>
      </c>
      <c r="J663" s="4">
        <v>65</v>
      </c>
      <c r="K663" s="4">
        <v>37.65</v>
      </c>
      <c r="L663" s="4">
        <v>80</v>
      </c>
      <c r="M663" s="4">
        <v>284.5</v>
      </c>
    </row>
    <row r="664" spans="1:13">
      <c r="A664" s="3" t="s">
        <v>1209</v>
      </c>
      <c r="B664" s="4">
        <v>74.5</v>
      </c>
      <c r="C664" s="4">
        <v>121.80000000000001</v>
      </c>
      <c r="D664" s="4">
        <v>110.45</v>
      </c>
      <c r="E664" s="4">
        <v>88.949999999999989</v>
      </c>
      <c r="F664" s="4">
        <v>86</v>
      </c>
      <c r="G664" s="4">
        <v>81</v>
      </c>
      <c r="H664" s="4">
        <v>127.39999999999999</v>
      </c>
      <c r="I664" s="4">
        <v>127</v>
      </c>
      <c r="J664" s="4">
        <v>130.5</v>
      </c>
      <c r="K664" s="4">
        <v>121</v>
      </c>
      <c r="L664" s="4">
        <v>100.05</v>
      </c>
      <c r="M664" s="4">
        <v>149.05000000000001</v>
      </c>
    </row>
    <row r="665" spans="1:13">
      <c r="A665" s="3" t="s">
        <v>1210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15</v>
      </c>
      <c r="J665" s="4">
        <v>0</v>
      </c>
      <c r="K665" s="4">
        <v>0</v>
      </c>
      <c r="L665" s="4">
        <v>0</v>
      </c>
      <c r="M665" s="4">
        <v>0</v>
      </c>
    </row>
    <row r="666" spans="1:13">
      <c r="A666" s="3" t="s">
        <v>1211</v>
      </c>
      <c r="B666" s="4">
        <v>0</v>
      </c>
      <c r="C666" s="4">
        <v>20</v>
      </c>
      <c r="D666" s="4">
        <v>65</v>
      </c>
      <c r="E666" s="4">
        <v>20</v>
      </c>
      <c r="F666" s="4">
        <v>50</v>
      </c>
      <c r="G666" s="4">
        <v>27</v>
      </c>
      <c r="H666" s="4">
        <v>35</v>
      </c>
      <c r="I666" s="4">
        <v>10</v>
      </c>
      <c r="J666" s="4">
        <v>60</v>
      </c>
      <c r="K666" s="4">
        <v>30</v>
      </c>
      <c r="L666" s="4">
        <v>10</v>
      </c>
      <c r="M666" s="4">
        <v>74</v>
      </c>
    </row>
    <row r="667" spans="1:13">
      <c r="A667" s="3" t="s">
        <v>1212</v>
      </c>
      <c r="B667" s="4">
        <v>35</v>
      </c>
      <c r="C667" s="4">
        <v>55</v>
      </c>
      <c r="D667" s="4">
        <v>123.5</v>
      </c>
      <c r="E667" s="4">
        <v>95</v>
      </c>
      <c r="F667" s="4">
        <v>25</v>
      </c>
      <c r="G667" s="4">
        <v>20</v>
      </c>
      <c r="H667" s="4">
        <v>40</v>
      </c>
      <c r="I667" s="4">
        <v>10</v>
      </c>
      <c r="J667" s="4">
        <v>20</v>
      </c>
      <c r="K667" s="4">
        <v>45</v>
      </c>
      <c r="L667" s="4">
        <v>77.5</v>
      </c>
      <c r="M667" s="4">
        <v>58</v>
      </c>
    </row>
    <row r="668" spans="1:13">
      <c r="A668" s="3" t="s">
        <v>1213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14</v>
      </c>
      <c r="K668" s="4">
        <v>0</v>
      </c>
      <c r="L668" s="4">
        <v>0</v>
      </c>
      <c r="M668" s="4">
        <v>0</v>
      </c>
    </row>
    <row r="669" spans="1:13">
      <c r="A669" s="3" t="s">
        <v>1214</v>
      </c>
      <c r="B669" s="4">
        <v>0</v>
      </c>
      <c r="C669" s="4">
        <v>10</v>
      </c>
      <c r="D669" s="4">
        <v>10</v>
      </c>
      <c r="E669" s="4">
        <v>12</v>
      </c>
      <c r="F669" s="4">
        <v>43</v>
      </c>
      <c r="G669" s="4">
        <v>0</v>
      </c>
      <c r="H669" s="4">
        <v>10</v>
      </c>
      <c r="I669" s="4">
        <v>0</v>
      </c>
      <c r="J669" s="4">
        <v>22.5</v>
      </c>
      <c r="K669" s="4">
        <v>99.5</v>
      </c>
      <c r="L669" s="4">
        <v>0</v>
      </c>
      <c r="M669" s="4">
        <v>49</v>
      </c>
    </row>
    <row r="670" spans="1:13">
      <c r="A670" s="3" t="s">
        <v>1215</v>
      </c>
      <c r="B670" s="4">
        <v>62.75</v>
      </c>
      <c r="C670" s="4">
        <v>20</v>
      </c>
      <c r="D670" s="4">
        <v>30</v>
      </c>
      <c r="E670" s="4">
        <v>40</v>
      </c>
      <c r="F670" s="4">
        <v>51</v>
      </c>
      <c r="G670" s="4">
        <v>20</v>
      </c>
      <c r="H670" s="4">
        <v>10</v>
      </c>
      <c r="I670" s="4">
        <v>2</v>
      </c>
      <c r="J670" s="4">
        <v>49.5</v>
      </c>
      <c r="K670" s="4">
        <v>28</v>
      </c>
      <c r="L670" s="4">
        <v>34.5</v>
      </c>
      <c r="M670" s="4">
        <v>52</v>
      </c>
    </row>
    <row r="671" spans="1:13">
      <c r="A671" s="3" t="s">
        <v>1216</v>
      </c>
      <c r="B671" s="4">
        <v>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10</v>
      </c>
      <c r="L671" s="4">
        <v>0</v>
      </c>
      <c r="M671" s="4">
        <v>0</v>
      </c>
    </row>
    <row r="672" spans="1:13">
      <c r="A672" s="3" t="s">
        <v>1217</v>
      </c>
      <c r="B672" s="4">
        <v>35</v>
      </c>
      <c r="C672" s="4">
        <v>51</v>
      </c>
      <c r="D672" s="4">
        <v>92.5</v>
      </c>
      <c r="E672" s="4">
        <v>40</v>
      </c>
      <c r="F672" s="4">
        <v>107.5</v>
      </c>
      <c r="G672" s="4">
        <v>77.5</v>
      </c>
      <c r="H672" s="4">
        <v>37.5</v>
      </c>
      <c r="I672" s="4">
        <v>50</v>
      </c>
      <c r="J672" s="4">
        <v>75</v>
      </c>
      <c r="K672" s="4">
        <v>58</v>
      </c>
      <c r="L672" s="4">
        <v>27.5</v>
      </c>
      <c r="M672" s="4">
        <v>45</v>
      </c>
    </row>
    <row r="673" spans="1:13">
      <c r="A673" s="3" t="s">
        <v>1218</v>
      </c>
      <c r="B673" s="4">
        <v>10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</row>
    <row r="674" spans="1:13">
      <c r="A674" s="3" t="s">
        <v>1219</v>
      </c>
      <c r="B674" s="4">
        <v>92</v>
      </c>
      <c r="C674" s="4">
        <v>155</v>
      </c>
      <c r="D674" s="4">
        <v>149.5</v>
      </c>
      <c r="E674" s="4">
        <v>156</v>
      </c>
      <c r="F674" s="4">
        <v>127.5</v>
      </c>
      <c r="G674" s="4">
        <v>162.5</v>
      </c>
      <c r="H674" s="4">
        <v>125</v>
      </c>
      <c r="I674" s="4">
        <v>124</v>
      </c>
      <c r="J674" s="4">
        <v>137.5</v>
      </c>
      <c r="K674" s="4">
        <v>100</v>
      </c>
      <c r="L674" s="4">
        <v>119.95</v>
      </c>
      <c r="M674" s="4">
        <v>88</v>
      </c>
    </row>
    <row r="675" spans="1:13">
      <c r="A675" s="3" t="s">
        <v>1220</v>
      </c>
      <c r="B675" s="4">
        <v>42</v>
      </c>
      <c r="C675" s="4">
        <v>40</v>
      </c>
      <c r="D675" s="4">
        <v>102</v>
      </c>
      <c r="E675" s="4">
        <v>0</v>
      </c>
      <c r="F675" s="4">
        <v>85</v>
      </c>
      <c r="G675" s="4">
        <v>18.5</v>
      </c>
      <c r="H675" s="4">
        <v>102.5</v>
      </c>
      <c r="I675" s="4">
        <v>0</v>
      </c>
      <c r="J675" s="4">
        <v>55</v>
      </c>
      <c r="K675" s="4">
        <v>70</v>
      </c>
      <c r="L675" s="4">
        <v>105</v>
      </c>
      <c r="M675" s="4">
        <v>202</v>
      </c>
    </row>
    <row r="676" spans="1:13">
      <c r="A676" s="3" t="s">
        <v>1221</v>
      </c>
      <c r="B676" s="4">
        <v>25</v>
      </c>
      <c r="C676" s="4">
        <v>50</v>
      </c>
      <c r="D676" s="4">
        <v>92</v>
      </c>
      <c r="E676" s="4">
        <v>70</v>
      </c>
      <c r="F676" s="4">
        <v>0</v>
      </c>
      <c r="G676" s="4">
        <v>146.9</v>
      </c>
      <c r="H676" s="4">
        <v>75</v>
      </c>
      <c r="I676" s="4">
        <v>0</v>
      </c>
      <c r="J676" s="4">
        <v>95</v>
      </c>
      <c r="K676" s="4">
        <v>0</v>
      </c>
      <c r="L676" s="4">
        <v>137</v>
      </c>
      <c r="M676" s="4">
        <v>189</v>
      </c>
    </row>
    <row r="677" spans="1:13">
      <c r="A677" s="3" t="s">
        <v>1222</v>
      </c>
      <c r="B677" s="4">
        <v>0</v>
      </c>
      <c r="C677" s="4">
        <v>0</v>
      </c>
      <c r="D677" s="4">
        <v>0</v>
      </c>
      <c r="E677" s="4">
        <v>0</v>
      </c>
      <c r="F677" s="4">
        <v>0</v>
      </c>
      <c r="G677" s="4">
        <v>42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</row>
    <row r="678" spans="1:13">
      <c r="A678" s="3" t="s">
        <v>1223</v>
      </c>
      <c r="B678" s="4">
        <v>0</v>
      </c>
      <c r="C678" s="4">
        <v>20</v>
      </c>
      <c r="D678" s="4">
        <v>40</v>
      </c>
      <c r="E678" s="4">
        <v>27.5</v>
      </c>
      <c r="F678" s="4">
        <v>27.5</v>
      </c>
      <c r="G678" s="4">
        <v>31</v>
      </c>
      <c r="H678" s="4">
        <v>36</v>
      </c>
      <c r="I678" s="4">
        <v>57.5</v>
      </c>
      <c r="J678" s="4">
        <v>37.5</v>
      </c>
      <c r="K678" s="4">
        <v>65.25</v>
      </c>
      <c r="L678" s="4">
        <v>60</v>
      </c>
      <c r="M678" s="4">
        <v>87</v>
      </c>
    </row>
    <row r="679" spans="1:13">
      <c r="A679" s="3" t="s">
        <v>1224</v>
      </c>
      <c r="B679" s="4">
        <v>45</v>
      </c>
      <c r="C679" s="4">
        <v>0</v>
      </c>
      <c r="D679" s="4">
        <v>0</v>
      </c>
      <c r="E679" s="4">
        <v>0</v>
      </c>
      <c r="F679" s="4">
        <v>127.5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60</v>
      </c>
    </row>
    <row r="680" spans="1:13">
      <c r="A680" s="3" t="s">
        <v>1225</v>
      </c>
      <c r="B680" s="4">
        <v>17.5</v>
      </c>
      <c r="C680" s="4">
        <v>0</v>
      </c>
      <c r="D680" s="4">
        <v>30</v>
      </c>
      <c r="E680" s="4">
        <v>22.5</v>
      </c>
      <c r="F680" s="4">
        <v>17.5</v>
      </c>
      <c r="G680" s="4">
        <v>22.5</v>
      </c>
      <c r="H680" s="4">
        <v>2.5</v>
      </c>
      <c r="I680" s="4">
        <v>5</v>
      </c>
      <c r="J680" s="4">
        <v>22.5</v>
      </c>
      <c r="K680" s="4">
        <v>11.25</v>
      </c>
      <c r="L680" s="4">
        <v>10</v>
      </c>
      <c r="M680" s="4">
        <v>93.5</v>
      </c>
    </row>
    <row r="681" spans="1:13">
      <c r="A681" s="3" t="s">
        <v>1226</v>
      </c>
      <c r="B681" s="4">
        <v>93</v>
      </c>
      <c r="C681" s="4">
        <v>62</v>
      </c>
      <c r="D681" s="4">
        <v>93</v>
      </c>
      <c r="E681" s="4">
        <v>62</v>
      </c>
      <c r="F681" s="4">
        <v>41</v>
      </c>
      <c r="G681" s="4">
        <v>31</v>
      </c>
      <c r="H681" s="4">
        <v>31</v>
      </c>
      <c r="I681" s="4">
        <v>31</v>
      </c>
      <c r="J681" s="4">
        <v>83</v>
      </c>
      <c r="K681" s="4">
        <v>93</v>
      </c>
      <c r="L681" s="4">
        <v>217</v>
      </c>
      <c r="M681" s="4">
        <v>217</v>
      </c>
    </row>
    <row r="682" spans="1:13">
      <c r="A682" s="3" t="s">
        <v>1227</v>
      </c>
      <c r="B682" s="4">
        <v>10</v>
      </c>
      <c r="C682" s="4">
        <v>17.5</v>
      </c>
      <c r="D682" s="4">
        <v>20</v>
      </c>
      <c r="E682" s="4">
        <v>19</v>
      </c>
      <c r="F682" s="4">
        <v>28.5</v>
      </c>
      <c r="G682" s="4">
        <v>38</v>
      </c>
      <c r="H682" s="4">
        <v>30</v>
      </c>
      <c r="I682" s="4">
        <v>0</v>
      </c>
      <c r="J682" s="4">
        <v>30</v>
      </c>
      <c r="K682" s="4">
        <v>0</v>
      </c>
      <c r="L682" s="4">
        <v>0</v>
      </c>
      <c r="M682" s="4">
        <v>12.5</v>
      </c>
    </row>
    <row r="683" spans="1:13">
      <c r="A683" s="3" t="s">
        <v>1228</v>
      </c>
      <c r="B683" s="4">
        <v>0</v>
      </c>
      <c r="C683" s="4">
        <v>0</v>
      </c>
      <c r="D683" s="4">
        <v>0</v>
      </c>
      <c r="E683" s="4">
        <v>20</v>
      </c>
      <c r="F683" s="4">
        <v>9</v>
      </c>
      <c r="G683" s="4">
        <v>0</v>
      </c>
      <c r="H683" s="4">
        <v>10</v>
      </c>
      <c r="I683" s="4">
        <v>0</v>
      </c>
      <c r="J683" s="4">
        <v>10</v>
      </c>
      <c r="K683" s="4">
        <v>0</v>
      </c>
      <c r="L683" s="4">
        <v>50</v>
      </c>
      <c r="M683" s="4">
        <v>40</v>
      </c>
    </row>
    <row r="684" spans="1:13">
      <c r="A684" s="3" t="s">
        <v>1229</v>
      </c>
      <c r="B684" s="4">
        <v>0</v>
      </c>
      <c r="C684" s="4">
        <v>0</v>
      </c>
      <c r="D684" s="4">
        <v>0</v>
      </c>
      <c r="E684" s="4">
        <v>5</v>
      </c>
      <c r="F684" s="4">
        <v>65</v>
      </c>
      <c r="G684" s="4">
        <v>30</v>
      </c>
      <c r="H684" s="4">
        <v>25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</row>
    <row r="685" spans="1:13">
      <c r="A685" s="3" t="s">
        <v>1230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15</v>
      </c>
      <c r="K685" s="4">
        <v>0</v>
      </c>
      <c r="L685" s="4">
        <v>0</v>
      </c>
      <c r="M685" s="4">
        <v>0</v>
      </c>
    </row>
    <row r="686" spans="1:13">
      <c r="A686" s="3" t="s">
        <v>1231</v>
      </c>
      <c r="B686" s="4">
        <v>0</v>
      </c>
      <c r="C686" s="4">
        <v>21</v>
      </c>
      <c r="D686" s="4">
        <v>30</v>
      </c>
      <c r="E686" s="4">
        <v>0</v>
      </c>
      <c r="F686" s="4">
        <v>0</v>
      </c>
      <c r="G686" s="4">
        <v>0</v>
      </c>
      <c r="H686" s="4">
        <v>30</v>
      </c>
      <c r="I686" s="4">
        <v>45</v>
      </c>
      <c r="J686" s="4">
        <v>75</v>
      </c>
      <c r="K686" s="4">
        <v>60</v>
      </c>
      <c r="L686" s="4">
        <v>65</v>
      </c>
      <c r="M686" s="4">
        <v>117</v>
      </c>
    </row>
    <row r="687" spans="1:13">
      <c r="A687" s="3" t="s">
        <v>1232</v>
      </c>
      <c r="B687" s="4">
        <v>20</v>
      </c>
      <c r="C687" s="4">
        <v>57</v>
      </c>
      <c r="D687" s="4">
        <v>100</v>
      </c>
      <c r="E687" s="4">
        <v>70</v>
      </c>
      <c r="F687" s="4">
        <v>51</v>
      </c>
      <c r="G687" s="4">
        <v>51</v>
      </c>
      <c r="H687" s="4">
        <v>49</v>
      </c>
      <c r="I687" s="4">
        <v>70</v>
      </c>
      <c r="J687" s="4">
        <v>104.5</v>
      </c>
      <c r="K687" s="4">
        <v>79</v>
      </c>
      <c r="L687" s="4">
        <v>67.5</v>
      </c>
      <c r="M687" s="4">
        <v>95</v>
      </c>
    </row>
    <row r="688" spans="1:13">
      <c r="A688" s="3" t="s">
        <v>1233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10</v>
      </c>
      <c r="I688" s="4">
        <v>72.75</v>
      </c>
      <c r="J688" s="4">
        <v>95.25</v>
      </c>
      <c r="K688" s="4">
        <v>47.5</v>
      </c>
      <c r="L688" s="4">
        <v>36.5</v>
      </c>
      <c r="M688" s="4">
        <v>55</v>
      </c>
    </row>
    <row r="689" spans="1:13">
      <c r="A689" s="3" t="s">
        <v>1234</v>
      </c>
      <c r="B689" s="4">
        <v>45</v>
      </c>
      <c r="C689" s="4">
        <v>25</v>
      </c>
      <c r="D689" s="4">
        <v>35</v>
      </c>
      <c r="E689" s="4">
        <v>42.5</v>
      </c>
      <c r="F689" s="4">
        <v>32</v>
      </c>
      <c r="G689" s="4">
        <v>40</v>
      </c>
      <c r="H689" s="4">
        <v>35</v>
      </c>
      <c r="I689" s="4">
        <v>29</v>
      </c>
      <c r="J689" s="4">
        <v>60.25</v>
      </c>
      <c r="K689" s="4">
        <v>72.5</v>
      </c>
      <c r="L689" s="4">
        <v>39</v>
      </c>
      <c r="M689" s="4">
        <v>23</v>
      </c>
    </row>
    <row r="690" spans="1:13">
      <c r="A690" s="3" t="s">
        <v>1235</v>
      </c>
      <c r="B690" s="4">
        <v>34.5</v>
      </c>
      <c r="C690" s="4">
        <v>75</v>
      </c>
      <c r="D690" s="4">
        <v>64.5</v>
      </c>
      <c r="E690" s="4">
        <v>69.75</v>
      </c>
      <c r="F690" s="4">
        <v>7</v>
      </c>
      <c r="G690" s="4">
        <v>11</v>
      </c>
      <c r="H690" s="4">
        <v>10</v>
      </c>
      <c r="I690" s="4">
        <v>15</v>
      </c>
      <c r="J690" s="4">
        <v>8</v>
      </c>
      <c r="K690" s="4">
        <v>12.5</v>
      </c>
      <c r="L690" s="4">
        <v>35.5</v>
      </c>
      <c r="M690" s="4">
        <v>10</v>
      </c>
    </row>
    <row r="691" spans="1:13">
      <c r="A691" s="3" t="s">
        <v>1236</v>
      </c>
      <c r="B691" s="4">
        <v>0</v>
      </c>
      <c r="C691" s="4">
        <v>0</v>
      </c>
      <c r="D691" s="4">
        <v>10</v>
      </c>
      <c r="E691" s="4">
        <v>10</v>
      </c>
      <c r="F691" s="4">
        <v>35</v>
      </c>
      <c r="G691" s="4">
        <v>47.5</v>
      </c>
      <c r="H691" s="4">
        <v>25</v>
      </c>
      <c r="I691" s="4">
        <v>5</v>
      </c>
      <c r="J691" s="4">
        <v>18</v>
      </c>
      <c r="K691" s="4">
        <v>28</v>
      </c>
      <c r="L691" s="4">
        <v>31.5</v>
      </c>
      <c r="M691" s="4">
        <v>7.5</v>
      </c>
    </row>
    <row r="692" spans="1:13">
      <c r="A692" s="3" t="s">
        <v>1237</v>
      </c>
      <c r="B692" s="4">
        <v>80</v>
      </c>
      <c r="C692" s="4">
        <v>0</v>
      </c>
      <c r="D692" s="4">
        <v>161</v>
      </c>
      <c r="E692" s="4">
        <v>2.5</v>
      </c>
      <c r="F692" s="4">
        <v>0</v>
      </c>
      <c r="G692" s="4">
        <v>0</v>
      </c>
      <c r="H692" s="4">
        <v>0</v>
      </c>
      <c r="I692" s="4">
        <v>132</v>
      </c>
      <c r="J692" s="4">
        <v>0</v>
      </c>
      <c r="K692" s="4">
        <v>0</v>
      </c>
      <c r="L692" s="4">
        <v>69.5</v>
      </c>
      <c r="M692" s="4">
        <v>0</v>
      </c>
    </row>
    <row r="693" spans="1:13">
      <c r="A693" s="3" t="s">
        <v>1238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20</v>
      </c>
      <c r="K693" s="4">
        <v>0</v>
      </c>
      <c r="L693" s="4">
        <v>50</v>
      </c>
      <c r="M693" s="4">
        <v>10</v>
      </c>
    </row>
    <row r="694" spans="1:13">
      <c r="A694" s="3" t="s">
        <v>1239</v>
      </c>
      <c r="B694" s="4">
        <v>70</v>
      </c>
      <c r="C694" s="4">
        <v>70</v>
      </c>
      <c r="D694" s="4">
        <v>90</v>
      </c>
      <c r="E694" s="4">
        <v>35</v>
      </c>
      <c r="F694" s="4">
        <v>70</v>
      </c>
      <c r="G694" s="4">
        <v>70</v>
      </c>
      <c r="H694" s="4">
        <v>35</v>
      </c>
      <c r="I694" s="4">
        <v>70</v>
      </c>
      <c r="J694" s="4">
        <v>0</v>
      </c>
      <c r="K694" s="4">
        <v>85</v>
      </c>
      <c r="L694" s="4">
        <v>55</v>
      </c>
      <c r="M694" s="4">
        <v>95</v>
      </c>
    </row>
    <row r="695" spans="1:13">
      <c r="A695" s="3" t="s">
        <v>1240</v>
      </c>
      <c r="B695" s="4">
        <v>15</v>
      </c>
      <c r="C695" s="4">
        <v>0</v>
      </c>
      <c r="D695" s="4">
        <v>10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</row>
    <row r="696" spans="1:13">
      <c r="A696" s="3" t="s">
        <v>1241</v>
      </c>
      <c r="B696" s="4">
        <v>60</v>
      </c>
      <c r="C696" s="4">
        <v>30</v>
      </c>
      <c r="D696" s="4">
        <v>65</v>
      </c>
      <c r="E696" s="4">
        <v>82.75</v>
      </c>
      <c r="F696" s="4">
        <v>51</v>
      </c>
      <c r="G696" s="4">
        <v>43.75</v>
      </c>
      <c r="H696" s="4">
        <v>50</v>
      </c>
      <c r="I696" s="4">
        <v>25</v>
      </c>
      <c r="J696" s="4">
        <v>92.5</v>
      </c>
      <c r="K696" s="4">
        <v>120</v>
      </c>
      <c r="L696" s="4">
        <v>70</v>
      </c>
      <c r="M696" s="4">
        <v>85</v>
      </c>
    </row>
    <row r="697" spans="1:13">
      <c r="A697" s="3" t="s">
        <v>1242</v>
      </c>
      <c r="B697" s="4">
        <v>104.5</v>
      </c>
      <c r="C697" s="4">
        <v>31</v>
      </c>
      <c r="D697" s="4">
        <v>61</v>
      </c>
      <c r="E697" s="4">
        <v>60</v>
      </c>
      <c r="F697" s="4">
        <v>15</v>
      </c>
      <c r="G697" s="4">
        <v>10</v>
      </c>
      <c r="H697" s="4">
        <v>10</v>
      </c>
      <c r="I697" s="4">
        <v>5</v>
      </c>
      <c r="J697" s="4">
        <v>28</v>
      </c>
      <c r="K697" s="4">
        <v>20</v>
      </c>
      <c r="L697" s="4">
        <v>10</v>
      </c>
      <c r="M697" s="4">
        <v>47.5</v>
      </c>
    </row>
    <row r="698" spans="1:13">
      <c r="A698" s="3" t="s">
        <v>1243</v>
      </c>
      <c r="B698" s="4">
        <v>23.5</v>
      </c>
      <c r="C698" s="4">
        <v>25</v>
      </c>
      <c r="D698" s="4">
        <v>45</v>
      </c>
      <c r="E698" s="4">
        <v>38.5</v>
      </c>
      <c r="F698" s="4">
        <v>15</v>
      </c>
      <c r="G698" s="4">
        <v>14</v>
      </c>
      <c r="H698" s="4">
        <v>6.5</v>
      </c>
      <c r="I698" s="4">
        <v>28</v>
      </c>
      <c r="J698" s="4">
        <v>22.5</v>
      </c>
      <c r="K698" s="4">
        <v>0</v>
      </c>
      <c r="L698" s="4">
        <v>37.5</v>
      </c>
      <c r="M698" s="4">
        <v>32</v>
      </c>
    </row>
    <row r="699" spans="1:13">
      <c r="A699" s="3" t="s">
        <v>1244</v>
      </c>
      <c r="B699" s="4">
        <v>0</v>
      </c>
      <c r="C699" s="4">
        <v>0</v>
      </c>
      <c r="D699" s="4">
        <v>20</v>
      </c>
      <c r="E699" s="4">
        <v>25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</row>
    <row r="700" spans="1:13">
      <c r="A700" s="3" t="s">
        <v>1245</v>
      </c>
      <c r="B700" s="4">
        <v>0</v>
      </c>
      <c r="C700" s="4">
        <v>0</v>
      </c>
      <c r="D700" s="4">
        <v>20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</row>
    <row r="701" spans="1:13">
      <c r="A701" s="3" t="s">
        <v>1246</v>
      </c>
      <c r="B701" s="4">
        <v>0</v>
      </c>
      <c r="C701" s="4">
        <v>0</v>
      </c>
      <c r="D701" s="4">
        <v>0</v>
      </c>
      <c r="E701" s="4">
        <v>0</v>
      </c>
      <c r="F701" s="4">
        <v>45</v>
      </c>
      <c r="G701" s="4">
        <v>0</v>
      </c>
      <c r="H701" s="4">
        <v>10</v>
      </c>
      <c r="I701" s="4">
        <v>0</v>
      </c>
      <c r="J701" s="4">
        <v>40</v>
      </c>
      <c r="K701" s="4">
        <v>40</v>
      </c>
      <c r="L701" s="4">
        <v>25</v>
      </c>
      <c r="M701" s="4">
        <v>0</v>
      </c>
    </row>
    <row r="702" spans="1:13">
      <c r="A702" s="3" t="s">
        <v>1247</v>
      </c>
      <c r="B702" s="4">
        <v>0</v>
      </c>
      <c r="C702" s="4">
        <v>45</v>
      </c>
      <c r="D702" s="4">
        <v>20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</row>
    <row r="703" spans="1:13">
      <c r="A703" s="3" t="s">
        <v>1248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30</v>
      </c>
      <c r="L703" s="4">
        <v>0</v>
      </c>
      <c r="M703" s="4">
        <v>0</v>
      </c>
    </row>
    <row r="704" spans="1:13">
      <c r="A704" s="3" t="s">
        <v>1249</v>
      </c>
      <c r="B704" s="4">
        <v>0</v>
      </c>
      <c r="C704" s="4">
        <v>0</v>
      </c>
      <c r="D704" s="4">
        <v>10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</row>
    <row r="705" spans="1:13">
      <c r="A705" s="3" t="s">
        <v>1250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20</v>
      </c>
      <c r="K705" s="4">
        <v>0</v>
      </c>
      <c r="L705" s="4">
        <v>0</v>
      </c>
      <c r="M705" s="4">
        <v>0</v>
      </c>
    </row>
    <row r="706" spans="1:13">
      <c r="A706" s="3" t="s">
        <v>1251</v>
      </c>
      <c r="B706" s="4">
        <v>23</v>
      </c>
      <c r="C706" s="4">
        <v>5</v>
      </c>
      <c r="D706" s="4">
        <v>0</v>
      </c>
      <c r="E706" s="4">
        <v>7.5</v>
      </c>
      <c r="F706" s="4">
        <v>7.5</v>
      </c>
      <c r="G706" s="4">
        <v>7.5</v>
      </c>
      <c r="H706" s="4">
        <v>19</v>
      </c>
      <c r="I706" s="4">
        <v>0</v>
      </c>
      <c r="J706" s="4">
        <v>27.5</v>
      </c>
      <c r="K706" s="4">
        <v>0</v>
      </c>
      <c r="L706" s="4">
        <v>0</v>
      </c>
      <c r="M706" s="4">
        <v>0</v>
      </c>
    </row>
    <row r="707" spans="1:13">
      <c r="A707" s="3" t="s">
        <v>1252</v>
      </c>
      <c r="B707" s="4">
        <v>30</v>
      </c>
      <c r="C707" s="4">
        <v>51</v>
      </c>
      <c r="D707" s="4">
        <v>40</v>
      </c>
      <c r="E707" s="4">
        <v>94.75</v>
      </c>
      <c r="F707" s="4">
        <v>35</v>
      </c>
      <c r="G707" s="4">
        <v>0</v>
      </c>
      <c r="H707" s="4">
        <v>12</v>
      </c>
      <c r="I707" s="4">
        <v>0</v>
      </c>
      <c r="J707" s="4">
        <v>25</v>
      </c>
      <c r="K707" s="4">
        <v>30</v>
      </c>
      <c r="L707" s="4">
        <v>0</v>
      </c>
      <c r="M707" s="4">
        <v>20.25</v>
      </c>
    </row>
    <row r="708" spans="1:13">
      <c r="A708" s="3" t="s">
        <v>1253</v>
      </c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12.5</v>
      </c>
      <c r="I708" s="4">
        <v>22.5</v>
      </c>
      <c r="J708" s="4">
        <v>25</v>
      </c>
      <c r="K708" s="4">
        <v>15</v>
      </c>
      <c r="L708" s="4">
        <v>55</v>
      </c>
      <c r="M708" s="4">
        <v>19</v>
      </c>
    </row>
    <row r="709" spans="1:13">
      <c r="A709" s="3" t="s">
        <v>1254</v>
      </c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152</v>
      </c>
      <c r="I709" s="4">
        <v>144</v>
      </c>
      <c r="J709" s="4">
        <v>106</v>
      </c>
      <c r="K709" s="4">
        <v>62</v>
      </c>
      <c r="L709" s="4">
        <v>155</v>
      </c>
      <c r="M709" s="4">
        <v>107</v>
      </c>
    </row>
    <row r="710" spans="1:13">
      <c r="A710" s="3" t="s">
        <v>1255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127</v>
      </c>
      <c r="I710" s="4">
        <v>138.5</v>
      </c>
      <c r="J710" s="4">
        <v>0</v>
      </c>
      <c r="K710" s="4">
        <v>57.5</v>
      </c>
      <c r="L710" s="4">
        <v>199.7</v>
      </c>
      <c r="M710" s="4">
        <v>124</v>
      </c>
    </row>
    <row r="711" spans="1:13">
      <c r="A711" s="3" t="s">
        <v>1256</v>
      </c>
      <c r="B711" s="4">
        <v>30</v>
      </c>
      <c r="C711" s="4">
        <v>52</v>
      </c>
      <c r="D711" s="4">
        <v>100</v>
      </c>
      <c r="E711" s="4">
        <v>52.5</v>
      </c>
      <c r="F711" s="4">
        <v>60</v>
      </c>
      <c r="G711" s="4">
        <v>96.5</v>
      </c>
      <c r="H711" s="4">
        <v>45</v>
      </c>
      <c r="I711" s="4">
        <v>5</v>
      </c>
      <c r="J711" s="4">
        <v>95</v>
      </c>
      <c r="K711" s="4">
        <v>75</v>
      </c>
      <c r="L711" s="4">
        <v>40</v>
      </c>
      <c r="M711" s="4">
        <v>105</v>
      </c>
    </row>
    <row r="712" spans="1:13">
      <c r="A712" s="3" t="s">
        <v>1257</v>
      </c>
      <c r="B712" s="4">
        <v>35</v>
      </c>
      <c r="C712" s="4">
        <v>20</v>
      </c>
      <c r="D712" s="4">
        <v>25</v>
      </c>
      <c r="E712" s="4">
        <v>57.5</v>
      </c>
      <c r="F712" s="4">
        <v>19.5</v>
      </c>
      <c r="G712" s="4">
        <v>50</v>
      </c>
      <c r="H712" s="4">
        <v>50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</row>
    <row r="713" spans="1:13">
      <c r="A713" s="3" t="s">
        <v>1258</v>
      </c>
      <c r="B713" s="4">
        <v>13.25</v>
      </c>
      <c r="C713" s="4">
        <v>0</v>
      </c>
      <c r="D713" s="4">
        <v>20</v>
      </c>
      <c r="E713" s="4">
        <v>0</v>
      </c>
      <c r="F713" s="4">
        <v>0</v>
      </c>
      <c r="G713" s="4">
        <v>0</v>
      </c>
      <c r="H713" s="4">
        <v>11.1</v>
      </c>
      <c r="I713" s="4">
        <v>10</v>
      </c>
      <c r="J713" s="4">
        <v>36</v>
      </c>
      <c r="K713" s="4">
        <v>46.85</v>
      </c>
      <c r="L713" s="4">
        <v>5</v>
      </c>
      <c r="M713" s="4">
        <v>10</v>
      </c>
    </row>
    <row r="714" spans="1:13">
      <c r="A714" s="3" t="s">
        <v>1259</v>
      </c>
      <c r="B714" s="4">
        <v>1</v>
      </c>
      <c r="C714" s="4">
        <v>0</v>
      </c>
      <c r="D714" s="4">
        <v>0</v>
      </c>
      <c r="E714" s="4">
        <v>0</v>
      </c>
      <c r="F714" s="4">
        <v>10</v>
      </c>
      <c r="G714" s="4">
        <v>7.5</v>
      </c>
      <c r="H714" s="4">
        <v>0</v>
      </c>
      <c r="I714" s="4">
        <v>0</v>
      </c>
      <c r="J714" s="4">
        <v>1</v>
      </c>
      <c r="K714" s="4">
        <v>0</v>
      </c>
      <c r="L714" s="4">
        <v>0</v>
      </c>
      <c r="M714" s="4">
        <v>0</v>
      </c>
    </row>
    <row r="715" spans="1:13">
      <c r="A715" s="3" t="s">
        <v>1260</v>
      </c>
      <c r="B715" s="4">
        <v>79</v>
      </c>
      <c r="C715" s="4">
        <v>91</v>
      </c>
      <c r="D715" s="4">
        <v>60</v>
      </c>
      <c r="E715" s="4">
        <v>110.5</v>
      </c>
      <c r="F715" s="4">
        <v>93</v>
      </c>
      <c r="G715" s="4">
        <v>110</v>
      </c>
      <c r="H715" s="4">
        <v>103</v>
      </c>
      <c r="I715" s="4">
        <v>100.6</v>
      </c>
      <c r="J715" s="4">
        <v>89</v>
      </c>
      <c r="K715" s="4">
        <v>126</v>
      </c>
      <c r="L715" s="4">
        <v>205.85</v>
      </c>
      <c r="M715" s="4">
        <v>71.5</v>
      </c>
    </row>
    <row r="716" spans="1:13">
      <c r="A716" s="3" t="s">
        <v>1261</v>
      </c>
      <c r="B716" s="4">
        <v>10</v>
      </c>
      <c r="C716" s="4">
        <v>28.5</v>
      </c>
      <c r="D716" s="4">
        <v>63</v>
      </c>
      <c r="E716" s="4">
        <v>47.5</v>
      </c>
      <c r="F716" s="4">
        <v>55</v>
      </c>
      <c r="G716" s="4">
        <v>34</v>
      </c>
      <c r="H716" s="4">
        <v>69</v>
      </c>
      <c r="I716" s="4">
        <v>30.5</v>
      </c>
      <c r="J716" s="4">
        <v>37.5</v>
      </c>
      <c r="K716" s="4">
        <v>5</v>
      </c>
      <c r="L716" s="4">
        <v>2.5</v>
      </c>
      <c r="M716" s="4">
        <v>20</v>
      </c>
    </row>
    <row r="717" spans="1:13">
      <c r="A717" s="3" t="s">
        <v>1262</v>
      </c>
      <c r="B717" s="4">
        <v>62</v>
      </c>
      <c r="C717" s="4">
        <v>30</v>
      </c>
      <c r="D717" s="4">
        <v>75</v>
      </c>
      <c r="E717" s="4">
        <v>55</v>
      </c>
      <c r="F717" s="4">
        <v>30</v>
      </c>
      <c r="G717" s="4">
        <v>48</v>
      </c>
      <c r="H717" s="4">
        <v>25</v>
      </c>
      <c r="I717" s="4">
        <v>35</v>
      </c>
      <c r="J717" s="4">
        <v>30</v>
      </c>
      <c r="K717" s="4">
        <v>47</v>
      </c>
      <c r="L717" s="4">
        <v>97</v>
      </c>
      <c r="M717" s="4">
        <v>125</v>
      </c>
    </row>
    <row r="718" spans="1:13">
      <c r="A718" s="3" t="s">
        <v>1263</v>
      </c>
      <c r="B718" s="4">
        <v>0</v>
      </c>
      <c r="C718" s="4">
        <v>15</v>
      </c>
      <c r="D718" s="4">
        <v>75</v>
      </c>
      <c r="E718" s="4">
        <v>72</v>
      </c>
      <c r="F718" s="4">
        <v>37</v>
      </c>
      <c r="G718" s="4">
        <v>0</v>
      </c>
      <c r="H718" s="4">
        <v>10</v>
      </c>
      <c r="I718" s="4">
        <v>27.5</v>
      </c>
      <c r="J718" s="4">
        <v>0</v>
      </c>
      <c r="K718" s="4">
        <v>0</v>
      </c>
      <c r="L718" s="4">
        <v>0</v>
      </c>
      <c r="M718" s="4">
        <v>0</v>
      </c>
    </row>
    <row r="719" spans="1:13">
      <c r="A719" s="3" t="s">
        <v>1264</v>
      </c>
      <c r="B719" s="4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17</v>
      </c>
      <c r="K719" s="4">
        <v>90</v>
      </c>
      <c r="L719" s="4">
        <v>125</v>
      </c>
      <c r="M719" s="4">
        <v>0</v>
      </c>
    </row>
    <row r="720" spans="1:13">
      <c r="A720" s="3" t="s">
        <v>1265</v>
      </c>
      <c r="B720" s="4">
        <v>10</v>
      </c>
      <c r="C720" s="4">
        <v>0</v>
      </c>
      <c r="D720" s="4">
        <v>25</v>
      </c>
      <c r="E720" s="4">
        <v>137</v>
      </c>
      <c r="F720" s="4">
        <v>40</v>
      </c>
      <c r="G720" s="4">
        <v>58</v>
      </c>
      <c r="H720" s="4">
        <v>110</v>
      </c>
      <c r="I720" s="4">
        <v>0</v>
      </c>
      <c r="J720" s="4">
        <v>152</v>
      </c>
      <c r="K720" s="4">
        <v>195</v>
      </c>
      <c r="L720" s="4">
        <v>237</v>
      </c>
      <c r="M720" s="4">
        <v>236</v>
      </c>
    </row>
    <row r="721" spans="1:13">
      <c r="A721" s="3" t="s">
        <v>1266</v>
      </c>
      <c r="B721" s="4">
        <v>55</v>
      </c>
      <c r="C721" s="4">
        <v>110</v>
      </c>
      <c r="D721" s="4">
        <v>157</v>
      </c>
      <c r="E721" s="4">
        <v>119</v>
      </c>
      <c r="F721" s="4">
        <v>90</v>
      </c>
      <c r="G721" s="4">
        <v>50</v>
      </c>
      <c r="H721" s="4">
        <v>25</v>
      </c>
      <c r="I721" s="4">
        <v>50</v>
      </c>
      <c r="J721" s="4">
        <v>88.5</v>
      </c>
      <c r="K721" s="4">
        <v>115</v>
      </c>
      <c r="L721" s="4">
        <v>35</v>
      </c>
      <c r="M721" s="4">
        <v>32.5</v>
      </c>
    </row>
    <row r="722" spans="1:13">
      <c r="A722" s="3" t="s">
        <v>1267</v>
      </c>
      <c r="B722" s="4">
        <v>60</v>
      </c>
      <c r="C722" s="4">
        <v>65</v>
      </c>
      <c r="D722" s="4">
        <v>97</v>
      </c>
      <c r="E722" s="4">
        <v>50</v>
      </c>
      <c r="F722" s="4">
        <v>30</v>
      </c>
      <c r="G722" s="4">
        <v>65</v>
      </c>
      <c r="H722" s="4">
        <v>65</v>
      </c>
      <c r="I722" s="4">
        <v>0</v>
      </c>
      <c r="J722" s="4">
        <v>75</v>
      </c>
      <c r="K722" s="4">
        <v>98</v>
      </c>
      <c r="L722" s="4">
        <v>125</v>
      </c>
      <c r="M722" s="4">
        <v>170</v>
      </c>
    </row>
    <row r="723" spans="1:13">
      <c r="A723" s="3" t="s">
        <v>1268</v>
      </c>
      <c r="B723" s="4">
        <v>7.5</v>
      </c>
      <c r="C723" s="4">
        <v>30</v>
      </c>
      <c r="D723" s="4">
        <v>20</v>
      </c>
      <c r="E723" s="4">
        <v>3.5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</row>
    <row r="724" spans="1:13">
      <c r="A724" s="3" t="s">
        <v>1269</v>
      </c>
      <c r="B724" s="4">
        <v>20</v>
      </c>
      <c r="C724" s="4">
        <v>20</v>
      </c>
      <c r="D724" s="4">
        <v>41</v>
      </c>
      <c r="E724" s="4">
        <v>50</v>
      </c>
      <c r="F724" s="4">
        <v>30</v>
      </c>
      <c r="G724" s="4">
        <v>10</v>
      </c>
      <c r="H724" s="4">
        <v>0</v>
      </c>
      <c r="I724" s="4">
        <v>10</v>
      </c>
      <c r="J724" s="4">
        <v>30.5</v>
      </c>
      <c r="K724" s="4">
        <v>10</v>
      </c>
      <c r="L724" s="4">
        <v>26</v>
      </c>
      <c r="M724" s="4">
        <v>53.25</v>
      </c>
    </row>
    <row r="725" spans="1:13">
      <c r="A725" s="3" t="s">
        <v>1270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35</v>
      </c>
      <c r="H725" s="4">
        <v>40</v>
      </c>
      <c r="I725" s="4">
        <v>30</v>
      </c>
      <c r="J725" s="4">
        <v>57</v>
      </c>
      <c r="K725" s="4">
        <v>19</v>
      </c>
      <c r="L725" s="4">
        <v>117.5</v>
      </c>
      <c r="M725" s="4">
        <v>109.3</v>
      </c>
    </row>
    <row r="726" spans="1:13">
      <c r="A726" s="3" t="s">
        <v>1271</v>
      </c>
      <c r="B726" s="4">
        <v>10</v>
      </c>
      <c r="C726" s="4">
        <v>0</v>
      </c>
      <c r="D726" s="4">
        <v>20</v>
      </c>
      <c r="E726" s="4">
        <v>10</v>
      </c>
      <c r="F726" s="4">
        <v>17</v>
      </c>
      <c r="G726" s="4">
        <v>0</v>
      </c>
      <c r="H726" s="4">
        <v>35</v>
      </c>
      <c r="I726" s="4">
        <v>0</v>
      </c>
      <c r="J726" s="4">
        <v>10</v>
      </c>
      <c r="K726" s="4">
        <v>10</v>
      </c>
      <c r="L726" s="4">
        <v>60</v>
      </c>
      <c r="M726" s="4">
        <v>35</v>
      </c>
    </row>
    <row r="727" spans="1:13">
      <c r="A727" s="3" t="s">
        <v>1272</v>
      </c>
      <c r="B727" s="4">
        <v>10</v>
      </c>
      <c r="C727" s="4">
        <v>7</v>
      </c>
      <c r="D727" s="4">
        <v>15</v>
      </c>
      <c r="E727" s="4">
        <v>29.5</v>
      </c>
      <c r="F727" s="4">
        <v>0</v>
      </c>
      <c r="G727" s="4">
        <v>0</v>
      </c>
      <c r="H727" s="4">
        <v>19</v>
      </c>
      <c r="I727" s="4">
        <v>10</v>
      </c>
      <c r="J727" s="4">
        <v>52</v>
      </c>
      <c r="K727" s="4">
        <v>40</v>
      </c>
      <c r="L727" s="4">
        <v>38.9</v>
      </c>
      <c r="M727" s="4">
        <v>74.5</v>
      </c>
    </row>
    <row r="728" spans="1:13">
      <c r="A728" s="3" t="s">
        <v>1273</v>
      </c>
      <c r="B728" s="4">
        <v>30</v>
      </c>
      <c r="C728" s="4">
        <v>30</v>
      </c>
      <c r="D728" s="4">
        <v>71</v>
      </c>
      <c r="E728" s="4">
        <v>40</v>
      </c>
      <c r="F728" s="4">
        <v>0</v>
      </c>
      <c r="G728" s="4">
        <v>35</v>
      </c>
      <c r="H728" s="4">
        <v>0</v>
      </c>
      <c r="I728" s="4">
        <v>0</v>
      </c>
      <c r="J728" s="4">
        <v>45</v>
      </c>
      <c r="K728" s="4">
        <v>50</v>
      </c>
      <c r="L728" s="4">
        <v>105</v>
      </c>
      <c r="M728" s="4">
        <v>70</v>
      </c>
    </row>
    <row r="729" spans="1:13">
      <c r="A729" s="3" t="s">
        <v>1274</v>
      </c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15</v>
      </c>
      <c r="K729" s="4">
        <v>0</v>
      </c>
      <c r="L729" s="4">
        <v>0</v>
      </c>
      <c r="M729" s="4">
        <v>0</v>
      </c>
    </row>
    <row r="730" spans="1:13">
      <c r="A730" s="3" t="s">
        <v>1275</v>
      </c>
      <c r="B730" s="4">
        <v>10</v>
      </c>
      <c r="C730" s="4">
        <v>8.6</v>
      </c>
      <c r="D730" s="4">
        <v>12</v>
      </c>
      <c r="E730" s="4">
        <v>18.5</v>
      </c>
      <c r="F730" s="4">
        <v>7.5</v>
      </c>
      <c r="G730" s="4">
        <v>0</v>
      </c>
      <c r="H730" s="4">
        <v>0</v>
      </c>
      <c r="I730" s="4">
        <v>0</v>
      </c>
      <c r="J730" s="4">
        <v>20</v>
      </c>
      <c r="K730" s="4">
        <v>20</v>
      </c>
      <c r="L730" s="4">
        <v>3.5</v>
      </c>
      <c r="M730" s="4">
        <v>57.5</v>
      </c>
    </row>
    <row r="731" spans="1:13">
      <c r="A731" s="3" t="s">
        <v>1276</v>
      </c>
      <c r="B731" s="4">
        <v>60</v>
      </c>
      <c r="C731" s="4">
        <v>32</v>
      </c>
      <c r="D731" s="4">
        <v>70</v>
      </c>
      <c r="E731" s="4">
        <v>6.8</v>
      </c>
      <c r="F731" s="4">
        <v>25</v>
      </c>
      <c r="G731" s="4">
        <v>22.5</v>
      </c>
      <c r="H731" s="4">
        <v>32</v>
      </c>
      <c r="I731" s="4">
        <v>0</v>
      </c>
      <c r="J731" s="4">
        <v>57</v>
      </c>
      <c r="K731" s="4">
        <v>45.5</v>
      </c>
      <c r="L731" s="4">
        <v>65</v>
      </c>
      <c r="M731" s="4">
        <v>22</v>
      </c>
    </row>
    <row r="732" spans="1:13">
      <c r="A732" s="3" t="s">
        <v>1277</v>
      </c>
      <c r="B732" s="4">
        <v>36</v>
      </c>
      <c r="C732" s="4">
        <v>41</v>
      </c>
      <c r="D732" s="4">
        <v>36.5</v>
      </c>
      <c r="E732" s="4">
        <v>52</v>
      </c>
      <c r="F732" s="4">
        <v>48.5</v>
      </c>
      <c r="G732" s="4">
        <v>46</v>
      </c>
      <c r="H732" s="4">
        <v>45</v>
      </c>
      <c r="I732" s="4">
        <v>20</v>
      </c>
      <c r="J732" s="4">
        <v>40</v>
      </c>
      <c r="K732" s="4">
        <v>32</v>
      </c>
      <c r="L732" s="4">
        <v>59</v>
      </c>
      <c r="M732" s="4">
        <v>100</v>
      </c>
    </row>
    <row r="733" spans="1:13">
      <c r="A733" s="3" t="s">
        <v>1278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7.5</v>
      </c>
      <c r="M733" s="4">
        <v>0</v>
      </c>
    </row>
    <row r="734" spans="1:13">
      <c r="A734" s="3" t="s">
        <v>1279</v>
      </c>
      <c r="B734" s="4">
        <v>0</v>
      </c>
      <c r="C734" s="4">
        <v>18</v>
      </c>
      <c r="D734" s="4">
        <v>10</v>
      </c>
      <c r="E734" s="4">
        <v>0</v>
      </c>
      <c r="F734" s="4">
        <v>10</v>
      </c>
      <c r="G734" s="4">
        <v>20</v>
      </c>
      <c r="H734" s="4">
        <v>20</v>
      </c>
      <c r="I734" s="4">
        <v>10</v>
      </c>
      <c r="J734" s="4">
        <v>20</v>
      </c>
      <c r="K734" s="4">
        <v>0</v>
      </c>
      <c r="L734" s="4">
        <v>12.5</v>
      </c>
      <c r="M734" s="4">
        <v>20</v>
      </c>
    </row>
    <row r="735" spans="1:13">
      <c r="A735" s="3" t="s">
        <v>1280</v>
      </c>
      <c r="B735" s="4">
        <v>68.5</v>
      </c>
      <c r="C735" s="4">
        <v>27.5</v>
      </c>
      <c r="D735" s="4">
        <v>110.75</v>
      </c>
      <c r="E735" s="4">
        <v>170.25</v>
      </c>
      <c r="F735" s="4">
        <v>165</v>
      </c>
      <c r="G735" s="4">
        <v>58</v>
      </c>
      <c r="H735" s="4">
        <v>164.5</v>
      </c>
      <c r="I735" s="4">
        <v>45</v>
      </c>
      <c r="J735" s="4">
        <v>98</v>
      </c>
      <c r="K735" s="4">
        <v>165.6</v>
      </c>
      <c r="L735" s="4">
        <v>136</v>
      </c>
      <c r="M735" s="4">
        <v>211.8</v>
      </c>
    </row>
    <row r="736" spans="1:13">
      <c r="A736" s="3" t="s">
        <v>1281</v>
      </c>
      <c r="B736" s="4">
        <v>15</v>
      </c>
      <c r="C736" s="4">
        <v>115</v>
      </c>
      <c r="D736" s="4">
        <v>115</v>
      </c>
      <c r="E736" s="4">
        <v>62</v>
      </c>
      <c r="F736" s="4">
        <v>59.5</v>
      </c>
      <c r="G736" s="4">
        <v>60.5</v>
      </c>
      <c r="H736" s="4">
        <v>25</v>
      </c>
      <c r="I736" s="4">
        <v>20.5</v>
      </c>
      <c r="J736" s="4">
        <v>45</v>
      </c>
      <c r="K736" s="4">
        <v>0</v>
      </c>
      <c r="L736" s="4">
        <v>80.5</v>
      </c>
      <c r="M736" s="4">
        <v>40</v>
      </c>
    </row>
    <row r="737" spans="1:13">
      <c r="A737" s="3" t="s">
        <v>1282</v>
      </c>
      <c r="B737" s="4">
        <v>6.5</v>
      </c>
      <c r="C737" s="4">
        <v>38</v>
      </c>
      <c r="D737" s="4">
        <v>20</v>
      </c>
      <c r="E737" s="4">
        <v>2.5</v>
      </c>
      <c r="F737" s="4">
        <v>11</v>
      </c>
      <c r="G737" s="4">
        <v>35</v>
      </c>
      <c r="H737" s="4">
        <v>20</v>
      </c>
      <c r="I737" s="4">
        <v>0</v>
      </c>
      <c r="J737" s="4">
        <v>74.5</v>
      </c>
      <c r="K737" s="4">
        <v>75</v>
      </c>
      <c r="L737" s="4">
        <v>21.5</v>
      </c>
      <c r="M737" s="4">
        <v>101</v>
      </c>
    </row>
    <row r="738" spans="1:13">
      <c r="A738" s="3" t="s">
        <v>1283</v>
      </c>
      <c r="B738" s="4">
        <v>5</v>
      </c>
      <c r="C738" s="4">
        <v>55</v>
      </c>
      <c r="D738" s="4">
        <v>5</v>
      </c>
      <c r="E738" s="4">
        <v>21</v>
      </c>
      <c r="F738" s="4">
        <v>15</v>
      </c>
      <c r="G738" s="4">
        <v>15</v>
      </c>
      <c r="H738" s="4">
        <v>7.5</v>
      </c>
      <c r="I738" s="4">
        <v>10</v>
      </c>
      <c r="J738" s="4">
        <v>22.5</v>
      </c>
      <c r="K738" s="4">
        <v>30</v>
      </c>
      <c r="L738" s="4">
        <v>77.5</v>
      </c>
      <c r="M738" s="4">
        <v>41</v>
      </c>
    </row>
    <row r="739" spans="1:13">
      <c r="A739" s="3" t="s">
        <v>1284</v>
      </c>
      <c r="B739" s="4">
        <v>35</v>
      </c>
      <c r="C739" s="4">
        <v>150</v>
      </c>
      <c r="D739" s="4">
        <v>37.5</v>
      </c>
      <c r="E739" s="4">
        <v>35</v>
      </c>
      <c r="F739" s="4">
        <v>70</v>
      </c>
      <c r="G739" s="4">
        <v>15</v>
      </c>
      <c r="H739" s="4">
        <v>75</v>
      </c>
      <c r="I739" s="4">
        <v>81</v>
      </c>
      <c r="J739" s="4">
        <v>86</v>
      </c>
      <c r="K739" s="4">
        <v>79</v>
      </c>
      <c r="L739" s="4">
        <v>35</v>
      </c>
      <c r="M739" s="4">
        <v>20</v>
      </c>
    </row>
    <row r="740" spans="1:13">
      <c r="A740" s="3" t="s">
        <v>1285</v>
      </c>
      <c r="B740" s="4">
        <v>10</v>
      </c>
      <c r="C740" s="4">
        <v>0</v>
      </c>
      <c r="D740" s="4">
        <v>0</v>
      </c>
      <c r="E740" s="4">
        <v>10</v>
      </c>
      <c r="F740" s="4">
        <v>0</v>
      </c>
      <c r="G740" s="4">
        <v>0</v>
      </c>
      <c r="H740" s="4">
        <v>10</v>
      </c>
      <c r="I740" s="4">
        <v>0</v>
      </c>
      <c r="J740" s="4">
        <v>10</v>
      </c>
      <c r="K740" s="4">
        <v>0</v>
      </c>
      <c r="L740" s="4">
        <v>0</v>
      </c>
      <c r="M740" s="4">
        <v>0</v>
      </c>
    </row>
    <row r="741" spans="1:13">
      <c r="A741" s="3" t="s">
        <v>1286</v>
      </c>
      <c r="B741" s="4">
        <v>0</v>
      </c>
      <c r="C741" s="4">
        <v>30</v>
      </c>
      <c r="D741" s="4">
        <v>96.1</v>
      </c>
      <c r="E741" s="4">
        <v>41.25</v>
      </c>
      <c r="F741" s="4">
        <v>70.5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</row>
    <row r="742" spans="1:13">
      <c r="A742" s="3" t="s">
        <v>1287</v>
      </c>
      <c r="B742" s="4">
        <v>0</v>
      </c>
      <c r="C742" s="4">
        <v>0</v>
      </c>
      <c r="D742" s="4">
        <v>20</v>
      </c>
      <c r="E742" s="4">
        <v>20</v>
      </c>
      <c r="F742" s="4">
        <v>10</v>
      </c>
      <c r="G742" s="4">
        <v>0</v>
      </c>
      <c r="H742" s="4">
        <v>32</v>
      </c>
      <c r="I742" s="4">
        <v>23</v>
      </c>
      <c r="J742" s="4">
        <v>33</v>
      </c>
      <c r="K742" s="4">
        <v>51</v>
      </c>
      <c r="L742" s="4">
        <v>35</v>
      </c>
      <c r="M742" s="4">
        <v>35</v>
      </c>
    </row>
    <row r="743" spans="1:13">
      <c r="A743" s="3" t="s">
        <v>1288</v>
      </c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13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</row>
    <row r="744" spans="1:13">
      <c r="A744" s="3" t="s">
        <v>1289</v>
      </c>
      <c r="B744" s="4">
        <v>0</v>
      </c>
      <c r="C744" s="4">
        <v>19</v>
      </c>
      <c r="D744" s="4">
        <v>13</v>
      </c>
      <c r="E744" s="4">
        <v>27.5</v>
      </c>
      <c r="F744" s="4">
        <v>12.5</v>
      </c>
      <c r="G744" s="4">
        <v>27.5</v>
      </c>
      <c r="H744" s="4">
        <v>0</v>
      </c>
      <c r="I744" s="4">
        <v>21</v>
      </c>
      <c r="J744" s="4">
        <v>84</v>
      </c>
      <c r="K744" s="4">
        <v>10</v>
      </c>
      <c r="L744" s="4">
        <v>27.5</v>
      </c>
      <c r="M744" s="4">
        <v>57.5</v>
      </c>
    </row>
    <row r="745" spans="1:13">
      <c r="A745" s="3" t="s">
        <v>1290</v>
      </c>
      <c r="B745" s="4">
        <v>100</v>
      </c>
      <c r="C745" s="4">
        <v>40</v>
      </c>
      <c r="D745" s="4">
        <v>122</v>
      </c>
      <c r="E745" s="4">
        <v>156</v>
      </c>
      <c r="F745" s="4">
        <v>110</v>
      </c>
      <c r="G745" s="4">
        <v>100</v>
      </c>
      <c r="H745" s="4">
        <v>105</v>
      </c>
      <c r="I745" s="4">
        <v>65</v>
      </c>
      <c r="J745" s="4">
        <v>161</v>
      </c>
      <c r="K745" s="4">
        <v>155</v>
      </c>
      <c r="L745" s="4">
        <v>157.5</v>
      </c>
      <c r="M745" s="4">
        <v>120</v>
      </c>
    </row>
    <row r="746" spans="1:13">
      <c r="A746" s="3" t="s">
        <v>1291</v>
      </c>
      <c r="B746" s="4">
        <v>0</v>
      </c>
      <c r="C746" s="4">
        <v>30</v>
      </c>
      <c r="D746" s="4">
        <v>0</v>
      </c>
      <c r="E746" s="4">
        <v>7.5</v>
      </c>
      <c r="F746" s="4">
        <v>17</v>
      </c>
      <c r="G746" s="4">
        <v>0</v>
      </c>
      <c r="H746" s="4">
        <v>10</v>
      </c>
      <c r="I746" s="4">
        <v>15</v>
      </c>
      <c r="J746" s="4">
        <v>2.5</v>
      </c>
      <c r="K746" s="4">
        <v>0</v>
      </c>
      <c r="L746" s="4">
        <v>0</v>
      </c>
      <c r="M746" s="4">
        <v>0</v>
      </c>
    </row>
    <row r="747" spans="1:13">
      <c r="A747" s="3" t="s">
        <v>1292</v>
      </c>
      <c r="B747" s="4">
        <v>30</v>
      </c>
      <c r="C747" s="4">
        <v>40</v>
      </c>
      <c r="D747" s="4">
        <v>0</v>
      </c>
      <c r="E747" s="4">
        <v>20</v>
      </c>
      <c r="F747" s="4">
        <v>15</v>
      </c>
      <c r="G747" s="4">
        <v>15</v>
      </c>
      <c r="H747" s="4">
        <v>20</v>
      </c>
      <c r="I747" s="4">
        <v>0</v>
      </c>
      <c r="J747" s="4">
        <v>20</v>
      </c>
      <c r="K747" s="4">
        <v>14.5</v>
      </c>
      <c r="L747" s="4">
        <v>25</v>
      </c>
      <c r="M747" s="4">
        <v>0</v>
      </c>
    </row>
    <row r="748" spans="1:13">
      <c r="A748" s="3" t="s">
        <v>1293</v>
      </c>
      <c r="B748" s="4">
        <v>0</v>
      </c>
      <c r="C748" s="4">
        <v>0</v>
      </c>
      <c r="D748" s="4">
        <v>0</v>
      </c>
      <c r="E748" s="4">
        <v>0</v>
      </c>
      <c r="F748" s="4">
        <v>15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</row>
    <row r="749" spans="1:13">
      <c r="A749" s="3" t="s">
        <v>1294</v>
      </c>
      <c r="B749" s="4">
        <v>40</v>
      </c>
      <c r="C749" s="4">
        <v>0</v>
      </c>
      <c r="D749" s="4">
        <v>20</v>
      </c>
      <c r="E749" s="4">
        <v>10</v>
      </c>
      <c r="F749" s="4">
        <v>20</v>
      </c>
      <c r="G749" s="4">
        <v>20</v>
      </c>
      <c r="H749" s="4">
        <v>29</v>
      </c>
      <c r="I749" s="4">
        <v>20</v>
      </c>
      <c r="J749" s="4">
        <v>5</v>
      </c>
      <c r="K749" s="4">
        <v>10</v>
      </c>
      <c r="L749" s="4">
        <v>27</v>
      </c>
      <c r="M749" s="4">
        <v>0</v>
      </c>
    </row>
    <row r="750" spans="1:13">
      <c r="A750" s="3" t="s">
        <v>1295</v>
      </c>
      <c r="B750" s="4">
        <v>23</v>
      </c>
      <c r="C750" s="4">
        <v>41</v>
      </c>
      <c r="D750" s="4">
        <v>105</v>
      </c>
      <c r="E750" s="4">
        <v>30</v>
      </c>
      <c r="F750" s="4">
        <v>20</v>
      </c>
      <c r="G750" s="4">
        <v>61</v>
      </c>
      <c r="H750" s="4">
        <v>59.5</v>
      </c>
      <c r="I750" s="4">
        <v>21</v>
      </c>
      <c r="J750" s="4">
        <v>56</v>
      </c>
      <c r="K750" s="4">
        <v>125</v>
      </c>
      <c r="L750" s="4">
        <v>90</v>
      </c>
      <c r="M750" s="4">
        <v>55</v>
      </c>
    </row>
    <row r="751" spans="1:13">
      <c r="A751" s="3" t="s">
        <v>1296</v>
      </c>
      <c r="B751" s="4">
        <v>20</v>
      </c>
      <c r="C751" s="4">
        <v>15</v>
      </c>
      <c r="D751" s="4">
        <v>0</v>
      </c>
      <c r="E751" s="4">
        <v>0</v>
      </c>
      <c r="F751" s="4">
        <v>0</v>
      </c>
      <c r="G751" s="4">
        <v>28</v>
      </c>
      <c r="H751" s="4">
        <v>0</v>
      </c>
      <c r="I751" s="4">
        <v>0</v>
      </c>
      <c r="J751" s="4">
        <v>0</v>
      </c>
      <c r="K751" s="4">
        <v>24.5</v>
      </c>
      <c r="L751" s="4">
        <v>0</v>
      </c>
      <c r="M751" s="4">
        <v>35</v>
      </c>
    </row>
    <row r="752" spans="1:13">
      <c r="A752" s="3" t="s">
        <v>1297</v>
      </c>
      <c r="B752" s="4">
        <v>0</v>
      </c>
      <c r="C752" s="4">
        <v>0</v>
      </c>
      <c r="D752" s="4">
        <v>10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</row>
    <row r="753" spans="1:13">
      <c r="A753" s="3" t="s">
        <v>1298</v>
      </c>
      <c r="B753" s="4">
        <v>45</v>
      </c>
      <c r="C753" s="4">
        <v>40</v>
      </c>
      <c r="D753" s="4">
        <v>30</v>
      </c>
      <c r="E753" s="4">
        <v>40</v>
      </c>
      <c r="F753" s="4">
        <v>37.549999999999997</v>
      </c>
      <c r="G753" s="4">
        <v>1</v>
      </c>
      <c r="H753" s="4">
        <v>11</v>
      </c>
      <c r="I753" s="4">
        <v>10</v>
      </c>
      <c r="J753" s="4">
        <v>0</v>
      </c>
      <c r="K753" s="4">
        <v>0</v>
      </c>
      <c r="L753" s="4">
        <v>0</v>
      </c>
      <c r="M753" s="4">
        <v>0</v>
      </c>
    </row>
    <row r="754" spans="1:13">
      <c r="A754" s="3" t="s">
        <v>1299</v>
      </c>
      <c r="B754" s="4">
        <v>37</v>
      </c>
      <c r="C754" s="4">
        <v>71</v>
      </c>
      <c r="D754" s="4">
        <v>22</v>
      </c>
      <c r="E754" s="4">
        <v>34.5</v>
      </c>
      <c r="F754" s="4">
        <v>7</v>
      </c>
      <c r="G754" s="4">
        <v>17.5</v>
      </c>
      <c r="H754" s="4">
        <v>16</v>
      </c>
      <c r="I754" s="4">
        <v>36</v>
      </c>
      <c r="J754" s="4">
        <v>19</v>
      </c>
      <c r="K754" s="4">
        <v>20.5</v>
      </c>
      <c r="L754" s="4">
        <v>28.5</v>
      </c>
      <c r="M754" s="4">
        <v>15.5</v>
      </c>
    </row>
    <row r="755" spans="1:13">
      <c r="A755" s="3" t="s">
        <v>1300</v>
      </c>
      <c r="B755" s="4">
        <v>80</v>
      </c>
      <c r="C755" s="4">
        <v>35</v>
      </c>
      <c r="D755" s="4">
        <v>159.5</v>
      </c>
      <c r="E755" s="4">
        <v>70</v>
      </c>
      <c r="F755" s="4">
        <v>79</v>
      </c>
      <c r="G755" s="4">
        <v>113</v>
      </c>
      <c r="H755" s="4">
        <v>35</v>
      </c>
      <c r="I755" s="4">
        <v>115</v>
      </c>
      <c r="J755" s="4">
        <v>105</v>
      </c>
      <c r="K755" s="4">
        <v>115</v>
      </c>
      <c r="L755" s="4">
        <v>89.5</v>
      </c>
      <c r="M755" s="4">
        <v>267</v>
      </c>
    </row>
    <row r="756" spans="1:13">
      <c r="A756" s="3" t="s">
        <v>1301</v>
      </c>
      <c r="B756" s="4">
        <v>35</v>
      </c>
      <c r="C756" s="4">
        <v>0</v>
      </c>
      <c r="D756" s="4">
        <v>157.5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</row>
    <row r="757" spans="1:13">
      <c r="A757" s="3" t="s">
        <v>1302</v>
      </c>
      <c r="B757" s="4">
        <v>154</v>
      </c>
      <c r="C757" s="4">
        <v>80</v>
      </c>
      <c r="D757" s="4">
        <v>122</v>
      </c>
      <c r="E757" s="4">
        <v>72.5</v>
      </c>
      <c r="F757" s="4">
        <v>75</v>
      </c>
      <c r="G757" s="4">
        <v>0</v>
      </c>
      <c r="H757" s="4">
        <v>35</v>
      </c>
      <c r="I757" s="4">
        <v>40</v>
      </c>
      <c r="J757" s="4">
        <v>90</v>
      </c>
      <c r="K757" s="4">
        <v>65</v>
      </c>
      <c r="L757" s="4">
        <v>70</v>
      </c>
      <c r="M757" s="4">
        <v>140</v>
      </c>
    </row>
    <row r="758" spans="1:13">
      <c r="A758" s="3" t="s">
        <v>1303</v>
      </c>
      <c r="B758" s="4">
        <v>39</v>
      </c>
      <c r="C758" s="4">
        <v>22</v>
      </c>
      <c r="D758" s="4">
        <v>17</v>
      </c>
      <c r="E758" s="4">
        <v>51</v>
      </c>
      <c r="F758" s="4">
        <v>69</v>
      </c>
      <c r="G758" s="4">
        <v>35</v>
      </c>
      <c r="H758" s="4">
        <v>10</v>
      </c>
      <c r="I758" s="4">
        <v>20</v>
      </c>
      <c r="J758" s="4">
        <v>27</v>
      </c>
      <c r="K758" s="4">
        <v>22</v>
      </c>
      <c r="L758" s="4">
        <v>11</v>
      </c>
      <c r="M758" s="4">
        <v>36</v>
      </c>
    </row>
    <row r="759" spans="1:13">
      <c r="A759" s="3" t="s">
        <v>1304</v>
      </c>
      <c r="B759" s="4">
        <v>16</v>
      </c>
      <c r="C759" s="4">
        <v>30</v>
      </c>
      <c r="D759" s="4">
        <v>38</v>
      </c>
      <c r="E759" s="4">
        <v>55</v>
      </c>
      <c r="F759" s="4">
        <v>18</v>
      </c>
      <c r="G759" s="4">
        <v>48</v>
      </c>
      <c r="H759" s="4">
        <v>44</v>
      </c>
      <c r="I759" s="4">
        <v>37</v>
      </c>
      <c r="J759" s="4">
        <v>41.5</v>
      </c>
      <c r="K759" s="4">
        <v>39</v>
      </c>
      <c r="L759" s="4">
        <v>21</v>
      </c>
      <c r="M759" s="4">
        <v>39.4</v>
      </c>
    </row>
    <row r="760" spans="1:13">
      <c r="A760" s="3" t="s">
        <v>1305</v>
      </c>
      <c r="B760" s="4">
        <v>20</v>
      </c>
      <c r="C760" s="4">
        <v>15</v>
      </c>
      <c r="D760" s="4">
        <v>35</v>
      </c>
      <c r="E760" s="4">
        <v>37.5</v>
      </c>
      <c r="F760" s="4">
        <v>27.5</v>
      </c>
      <c r="G760" s="4">
        <v>37.5</v>
      </c>
      <c r="H760" s="4">
        <v>15</v>
      </c>
      <c r="I760" s="4">
        <v>20</v>
      </c>
      <c r="J760" s="4">
        <v>62.5</v>
      </c>
      <c r="K760" s="4">
        <v>80</v>
      </c>
      <c r="L760" s="4">
        <v>60</v>
      </c>
      <c r="M760" s="4">
        <v>70</v>
      </c>
    </row>
    <row r="761" spans="1:13">
      <c r="A761" s="3" t="s">
        <v>1306</v>
      </c>
      <c r="B761" s="4">
        <v>80</v>
      </c>
      <c r="C761" s="4">
        <v>40</v>
      </c>
      <c r="D761" s="4">
        <v>80</v>
      </c>
      <c r="E761" s="4">
        <v>50</v>
      </c>
      <c r="F761" s="4">
        <v>50</v>
      </c>
      <c r="G761" s="4">
        <v>16</v>
      </c>
      <c r="H761" s="4">
        <v>10</v>
      </c>
      <c r="I761" s="4">
        <v>10</v>
      </c>
      <c r="J761" s="4">
        <v>35</v>
      </c>
      <c r="K761" s="4">
        <v>30</v>
      </c>
      <c r="L761" s="4">
        <v>10</v>
      </c>
      <c r="M761" s="4">
        <v>60</v>
      </c>
    </row>
    <row r="762" spans="1:13">
      <c r="A762" s="3" t="s">
        <v>1307</v>
      </c>
      <c r="B762" s="4">
        <v>0</v>
      </c>
      <c r="C762" s="4">
        <v>10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15</v>
      </c>
      <c r="K762" s="4">
        <v>0</v>
      </c>
      <c r="L762" s="4">
        <v>0</v>
      </c>
      <c r="M762" s="4">
        <v>0</v>
      </c>
    </row>
    <row r="763" spans="1:13">
      <c r="A763" s="3" t="s">
        <v>1308</v>
      </c>
      <c r="B763" s="4">
        <v>0</v>
      </c>
      <c r="C763" s="4">
        <v>0</v>
      </c>
      <c r="D763" s="4">
        <v>21</v>
      </c>
      <c r="E763" s="4">
        <v>25</v>
      </c>
      <c r="F763" s="4">
        <v>20</v>
      </c>
      <c r="G763" s="4">
        <v>10</v>
      </c>
      <c r="H763" s="4">
        <v>20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</row>
    <row r="764" spans="1:13">
      <c r="A764" s="3" t="s">
        <v>1309</v>
      </c>
      <c r="B764" s="4">
        <v>45</v>
      </c>
      <c r="C764" s="4">
        <v>0</v>
      </c>
      <c r="D764" s="4">
        <v>2.5</v>
      </c>
      <c r="E764" s="4">
        <v>40</v>
      </c>
      <c r="F764" s="4">
        <v>10</v>
      </c>
      <c r="G764" s="4">
        <v>17.5</v>
      </c>
      <c r="H764" s="4">
        <v>7.5</v>
      </c>
      <c r="I764" s="4">
        <v>0</v>
      </c>
      <c r="J764" s="4">
        <v>0</v>
      </c>
      <c r="K764" s="4">
        <v>0</v>
      </c>
      <c r="L764" s="4">
        <v>32.5</v>
      </c>
      <c r="M764" s="4">
        <v>32.5</v>
      </c>
    </row>
    <row r="765" spans="1:13">
      <c r="A765" s="3" t="s">
        <v>1310</v>
      </c>
      <c r="B765" s="4">
        <v>20</v>
      </c>
      <c r="C765" s="4">
        <v>50</v>
      </c>
      <c r="D765" s="4">
        <v>30</v>
      </c>
      <c r="E765" s="4">
        <v>60</v>
      </c>
      <c r="F765" s="4">
        <v>52</v>
      </c>
      <c r="G765" s="4">
        <v>30</v>
      </c>
      <c r="H765" s="4">
        <v>10</v>
      </c>
      <c r="I765" s="4">
        <v>20</v>
      </c>
      <c r="J765" s="4">
        <v>37.5</v>
      </c>
      <c r="K765" s="4">
        <v>25</v>
      </c>
      <c r="L765" s="4">
        <v>40</v>
      </c>
      <c r="M765" s="4">
        <v>30</v>
      </c>
    </row>
    <row r="766" spans="1:13">
      <c r="A766" s="3" t="s">
        <v>1311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20</v>
      </c>
    </row>
    <row r="767" spans="1:13">
      <c r="A767" s="3" t="s">
        <v>1312</v>
      </c>
      <c r="B767" s="4">
        <v>62</v>
      </c>
      <c r="C767" s="4">
        <v>79</v>
      </c>
      <c r="D767" s="4">
        <v>107</v>
      </c>
      <c r="E767" s="4">
        <v>100</v>
      </c>
      <c r="F767" s="4">
        <v>120</v>
      </c>
      <c r="G767" s="4">
        <v>97.65</v>
      </c>
      <c r="H767" s="4">
        <v>125.35</v>
      </c>
      <c r="I767" s="4">
        <v>26</v>
      </c>
      <c r="J767" s="4">
        <v>138</v>
      </c>
      <c r="K767" s="4">
        <v>105</v>
      </c>
      <c r="L767" s="4">
        <v>90.9</v>
      </c>
      <c r="M767" s="4">
        <v>95</v>
      </c>
    </row>
    <row r="768" spans="1:13">
      <c r="A768" s="3" t="s">
        <v>1313</v>
      </c>
      <c r="B768" s="4">
        <v>0</v>
      </c>
      <c r="C768" s="4">
        <v>18</v>
      </c>
      <c r="D768" s="4">
        <v>10</v>
      </c>
      <c r="E768" s="4">
        <v>17.5</v>
      </c>
      <c r="F768" s="4">
        <v>6</v>
      </c>
      <c r="G768" s="4">
        <v>17.5</v>
      </c>
      <c r="H768" s="4">
        <v>12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</row>
    <row r="769" spans="1:13">
      <c r="A769" s="3" t="s">
        <v>1314</v>
      </c>
      <c r="B769" s="4">
        <v>10</v>
      </c>
      <c r="C769" s="4">
        <v>23</v>
      </c>
      <c r="D769" s="4">
        <v>70</v>
      </c>
      <c r="E769" s="4">
        <v>75</v>
      </c>
      <c r="F769" s="4">
        <v>55</v>
      </c>
      <c r="G769" s="4">
        <v>0</v>
      </c>
      <c r="H769" s="4">
        <v>35</v>
      </c>
      <c r="I769" s="4">
        <v>0</v>
      </c>
      <c r="J769" s="4">
        <v>45</v>
      </c>
      <c r="K769" s="4">
        <v>45</v>
      </c>
      <c r="L769" s="4">
        <v>20</v>
      </c>
      <c r="M769" s="4">
        <v>110</v>
      </c>
    </row>
    <row r="770" spans="1:13">
      <c r="A770" s="3" t="s">
        <v>1315</v>
      </c>
      <c r="B770" s="4">
        <v>0</v>
      </c>
      <c r="C770" s="4">
        <v>0</v>
      </c>
      <c r="D770" s="4">
        <v>0</v>
      </c>
      <c r="E770" s="4">
        <v>10</v>
      </c>
      <c r="F770" s="4">
        <v>35</v>
      </c>
      <c r="G770" s="4">
        <v>0</v>
      </c>
      <c r="H770" s="4">
        <v>25.5</v>
      </c>
      <c r="I770" s="4">
        <v>64.5</v>
      </c>
      <c r="J770" s="4">
        <v>17.5</v>
      </c>
      <c r="K770" s="4">
        <v>0</v>
      </c>
      <c r="L770" s="4">
        <v>45</v>
      </c>
      <c r="M770" s="4">
        <v>0</v>
      </c>
    </row>
    <row r="771" spans="1:13">
      <c r="A771" s="3" t="s">
        <v>1316</v>
      </c>
      <c r="B771" s="4">
        <v>25</v>
      </c>
      <c r="C771" s="4">
        <v>15</v>
      </c>
      <c r="D771" s="4">
        <v>40</v>
      </c>
      <c r="E771" s="4">
        <v>25</v>
      </c>
      <c r="F771" s="4">
        <v>20</v>
      </c>
      <c r="G771" s="4">
        <v>10</v>
      </c>
      <c r="H771" s="4">
        <v>120</v>
      </c>
      <c r="I771" s="4">
        <v>55</v>
      </c>
      <c r="J771" s="4">
        <v>87</v>
      </c>
      <c r="K771" s="4">
        <v>87</v>
      </c>
      <c r="L771" s="4">
        <v>25</v>
      </c>
      <c r="M771" s="4">
        <v>60</v>
      </c>
    </row>
    <row r="772" spans="1:13">
      <c r="A772" s="3" t="s">
        <v>1317</v>
      </c>
      <c r="B772" s="4">
        <v>30</v>
      </c>
      <c r="C772" s="4">
        <v>20</v>
      </c>
      <c r="D772" s="4">
        <v>75</v>
      </c>
      <c r="E772" s="4">
        <v>112.5</v>
      </c>
      <c r="F772" s="4">
        <v>111.35</v>
      </c>
      <c r="G772" s="4">
        <v>167.65</v>
      </c>
      <c r="H772" s="4">
        <v>90</v>
      </c>
      <c r="I772" s="4">
        <v>101.5</v>
      </c>
      <c r="J772" s="4">
        <v>105</v>
      </c>
      <c r="K772" s="4">
        <v>127</v>
      </c>
      <c r="L772" s="4">
        <v>159.5</v>
      </c>
      <c r="M772" s="4">
        <v>108.5</v>
      </c>
    </row>
    <row r="773" spans="1:13">
      <c r="A773" s="3" t="s">
        <v>1318</v>
      </c>
      <c r="B773" s="4">
        <v>10</v>
      </c>
      <c r="C773" s="4">
        <v>50</v>
      </c>
      <c r="D773" s="4">
        <v>133.75</v>
      </c>
      <c r="E773" s="4">
        <v>65</v>
      </c>
      <c r="F773" s="4">
        <v>30</v>
      </c>
      <c r="G773" s="4">
        <v>60</v>
      </c>
      <c r="H773" s="4">
        <v>0</v>
      </c>
      <c r="I773" s="4">
        <v>0</v>
      </c>
      <c r="J773" s="4">
        <v>70</v>
      </c>
      <c r="K773" s="4">
        <v>60</v>
      </c>
      <c r="L773" s="4">
        <v>50</v>
      </c>
      <c r="M773" s="4">
        <v>36</v>
      </c>
    </row>
    <row r="774" spans="1:13">
      <c r="A774" s="3" t="s">
        <v>1319</v>
      </c>
      <c r="B774" s="4">
        <v>35</v>
      </c>
      <c r="C774" s="4">
        <v>45</v>
      </c>
      <c r="D774" s="4">
        <v>135</v>
      </c>
      <c r="E774" s="4">
        <v>35</v>
      </c>
      <c r="F774" s="4">
        <v>100</v>
      </c>
      <c r="G774" s="4">
        <v>20</v>
      </c>
      <c r="H774" s="4">
        <v>20</v>
      </c>
      <c r="I774" s="4">
        <v>65</v>
      </c>
      <c r="J774" s="4">
        <v>41.5</v>
      </c>
      <c r="K774" s="4">
        <v>8.5</v>
      </c>
      <c r="L774" s="4">
        <v>100</v>
      </c>
      <c r="M774" s="4">
        <v>0</v>
      </c>
    </row>
    <row r="775" spans="1:13">
      <c r="A775" s="3" t="s">
        <v>1320</v>
      </c>
      <c r="B775" s="4">
        <v>60</v>
      </c>
      <c r="C775" s="4">
        <v>125</v>
      </c>
      <c r="D775" s="4">
        <v>185</v>
      </c>
      <c r="E775" s="4">
        <v>177</v>
      </c>
      <c r="F775" s="4">
        <v>122</v>
      </c>
      <c r="G775" s="4">
        <v>101</v>
      </c>
      <c r="H775" s="4">
        <v>152</v>
      </c>
      <c r="I775" s="4">
        <v>78.5</v>
      </c>
      <c r="J775" s="4">
        <v>217</v>
      </c>
      <c r="K775" s="4">
        <v>123.5</v>
      </c>
      <c r="L775" s="4">
        <v>249</v>
      </c>
      <c r="M775" s="4">
        <v>99.75</v>
      </c>
    </row>
    <row r="776" spans="1:13">
      <c r="A776" s="3" t="s">
        <v>1321</v>
      </c>
      <c r="B776" s="4">
        <v>0</v>
      </c>
      <c r="C776" s="4">
        <v>0</v>
      </c>
      <c r="D776" s="4">
        <v>32.5</v>
      </c>
      <c r="E776" s="4">
        <v>22</v>
      </c>
      <c r="F776" s="4">
        <v>10</v>
      </c>
      <c r="G776" s="4">
        <v>0</v>
      </c>
      <c r="H776" s="4">
        <v>5</v>
      </c>
      <c r="I776" s="4">
        <v>7.55</v>
      </c>
      <c r="J776" s="4">
        <v>22.5</v>
      </c>
      <c r="K776" s="4">
        <v>10</v>
      </c>
      <c r="L776" s="4">
        <v>0</v>
      </c>
      <c r="M776" s="4">
        <v>10</v>
      </c>
    </row>
    <row r="777" spans="1:13">
      <c r="A777" s="3" t="s">
        <v>1322</v>
      </c>
      <c r="B777" s="4">
        <v>71.5</v>
      </c>
      <c r="C777" s="4">
        <v>68</v>
      </c>
      <c r="D777" s="4">
        <v>7.5</v>
      </c>
      <c r="E777" s="4">
        <v>50</v>
      </c>
      <c r="F777" s="4">
        <v>62</v>
      </c>
      <c r="G777" s="4">
        <v>30</v>
      </c>
      <c r="H777" s="4">
        <v>5</v>
      </c>
      <c r="I777" s="4">
        <v>10</v>
      </c>
      <c r="J777" s="4">
        <v>10</v>
      </c>
      <c r="K777" s="4">
        <v>30</v>
      </c>
      <c r="L777" s="4">
        <v>41</v>
      </c>
      <c r="M777" s="4">
        <v>20</v>
      </c>
    </row>
    <row r="778" spans="1:13">
      <c r="A778" s="3" t="s">
        <v>1323</v>
      </c>
      <c r="B778" s="4">
        <v>35.5</v>
      </c>
      <c r="C778" s="4">
        <v>34</v>
      </c>
      <c r="D778" s="4">
        <v>10</v>
      </c>
      <c r="E778" s="4">
        <v>43</v>
      </c>
      <c r="F778" s="4">
        <v>20</v>
      </c>
      <c r="G778" s="4">
        <v>10</v>
      </c>
      <c r="H778" s="4">
        <v>5</v>
      </c>
      <c r="I778" s="4">
        <v>0</v>
      </c>
      <c r="J778" s="4">
        <v>11</v>
      </c>
      <c r="K778" s="4">
        <v>10</v>
      </c>
      <c r="L778" s="4">
        <v>10</v>
      </c>
      <c r="M778" s="4">
        <v>0</v>
      </c>
    </row>
    <row r="779" spans="1:13">
      <c r="A779" s="3" t="s">
        <v>1324</v>
      </c>
      <c r="B779" s="4">
        <v>30</v>
      </c>
      <c r="C779" s="4">
        <v>22.5</v>
      </c>
      <c r="D779" s="4">
        <v>57.5</v>
      </c>
      <c r="E779" s="4">
        <v>40</v>
      </c>
      <c r="F779" s="4">
        <v>41</v>
      </c>
      <c r="G779" s="4">
        <v>0</v>
      </c>
      <c r="H779" s="4">
        <v>10</v>
      </c>
      <c r="I779" s="4">
        <v>2</v>
      </c>
      <c r="J779" s="4">
        <v>49</v>
      </c>
      <c r="K779" s="4">
        <v>40</v>
      </c>
      <c r="L779" s="4">
        <v>62</v>
      </c>
      <c r="M779" s="4">
        <v>52</v>
      </c>
    </row>
    <row r="780" spans="1:13">
      <c r="A780" s="3" t="s">
        <v>1325</v>
      </c>
      <c r="B780" s="4">
        <v>46.5</v>
      </c>
      <c r="C780" s="4">
        <v>50</v>
      </c>
      <c r="D780" s="4">
        <v>74</v>
      </c>
      <c r="E780" s="4">
        <v>45</v>
      </c>
      <c r="F780" s="4">
        <v>70</v>
      </c>
      <c r="G780" s="4">
        <v>17</v>
      </c>
      <c r="H780" s="4">
        <v>28.5</v>
      </c>
      <c r="I780" s="4">
        <v>10</v>
      </c>
      <c r="J780" s="4">
        <v>117.5</v>
      </c>
      <c r="K780" s="4">
        <v>124.75</v>
      </c>
      <c r="L780" s="4">
        <v>128.5</v>
      </c>
      <c r="M780" s="4">
        <v>101.25</v>
      </c>
    </row>
    <row r="781" spans="1:13">
      <c r="A781" s="3" t="s">
        <v>1326</v>
      </c>
      <c r="B781" s="4">
        <v>2</v>
      </c>
      <c r="C781" s="4">
        <v>25.5</v>
      </c>
      <c r="D781" s="4">
        <v>164</v>
      </c>
      <c r="E781" s="4">
        <v>168.5</v>
      </c>
      <c r="F781" s="4">
        <v>142.9</v>
      </c>
      <c r="G781" s="4">
        <v>122.85</v>
      </c>
      <c r="H781" s="4">
        <v>87.5</v>
      </c>
      <c r="I781" s="4">
        <v>154</v>
      </c>
      <c r="J781" s="4">
        <v>202</v>
      </c>
      <c r="K781" s="4">
        <v>200.5</v>
      </c>
      <c r="L781" s="4">
        <v>207.25</v>
      </c>
      <c r="M781" s="4">
        <v>184</v>
      </c>
    </row>
    <row r="782" spans="1:13">
      <c r="A782" s="3" t="s">
        <v>1327</v>
      </c>
      <c r="B782" s="4">
        <v>84.75</v>
      </c>
      <c r="C782" s="4">
        <v>20.25</v>
      </c>
      <c r="D782" s="4">
        <v>30</v>
      </c>
      <c r="E782" s="4">
        <v>60</v>
      </c>
      <c r="F782" s="4">
        <v>90.5</v>
      </c>
      <c r="G782" s="4">
        <v>68.75</v>
      </c>
      <c r="H782" s="4">
        <v>28</v>
      </c>
      <c r="I782" s="4">
        <v>46</v>
      </c>
      <c r="J782" s="4">
        <v>21.5</v>
      </c>
      <c r="K782" s="4">
        <v>32.5</v>
      </c>
      <c r="L782" s="4">
        <v>44.5</v>
      </c>
      <c r="M782" s="4">
        <v>108.75</v>
      </c>
    </row>
    <row r="783" spans="1:13">
      <c r="A783" s="3" t="s">
        <v>1328</v>
      </c>
      <c r="B783" s="4">
        <v>55</v>
      </c>
      <c r="C783" s="4">
        <v>123</v>
      </c>
      <c r="D783" s="4">
        <v>55</v>
      </c>
      <c r="E783" s="4">
        <v>301.5</v>
      </c>
      <c r="F783" s="4">
        <v>93.5</v>
      </c>
      <c r="G783" s="4">
        <v>177.5</v>
      </c>
      <c r="H783" s="4">
        <v>90</v>
      </c>
      <c r="I783" s="4">
        <v>48</v>
      </c>
      <c r="J783" s="4">
        <v>100</v>
      </c>
      <c r="K783" s="4">
        <v>45.75</v>
      </c>
      <c r="L783" s="4">
        <v>112.5</v>
      </c>
      <c r="M783" s="4">
        <v>0</v>
      </c>
    </row>
    <row r="784" spans="1:13">
      <c r="A784" s="3" t="s">
        <v>1329</v>
      </c>
      <c r="B784" s="4">
        <v>10</v>
      </c>
      <c r="C784" s="4">
        <v>60</v>
      </c>
      <c r="D784" s="4">
        <v>50</v>
      </c>
      <c r="E784" s="4">
        <v>40</v>
      </c>
      <c r="F784" s="4">
        <v>0</v>
      </c>
      <c r="G784" s="4">
        <v>0</v>
      </c>
      <c r="H784" s="4">
        <v>20</v>
      </c>
      <c r="I784" s="4">
        <v>0</v>
      </c>
      <c r="J784" s="4">
        <v>10</v>
      </c>
      <c r="K784" s="4">
        <v>0</v>
      </c>
      <c r="L784" s="4">
        <v>0</v>
      </c>
      <c r="M784" s="4">
        <v>0</v>
      </c>
    </row>
    <row r="785" spans="1:13">
      <c r="A785" s="3" t="s">
        <v>1330</v>
      </c>
      <c r="B785" s="4">
        <v>65</v>
      </c>
      <c r="C785" s="4">
        <v>60</v>
      </c>
      <c r="D785" s="4">
        <v>135</v>
      </c>
      <c r="E785" s="4">
        <v>110</v>
      </c>
      <c r="F785" s="4">
        <v>140</v>
      </c>
      <c r="G785" s="4">
        <v>57.5</v>
      </c>
      <c r="H785" s="4">
        <v>60</v>
      </c>
      <c r="I785" s="4">
        <v>28.5</v>
      </c>
      <c r="J785" s="4">
        <v>90</v>
      </c>
      <c r="K785" s="4">
        <v>50</v>
      </c>
      <c r="L785" s="4">
        <v>0</v>
      </c>
      <c r="M785" s="4">
        <v>112</v>
      </c>
    </row>
    <row r="786" spans="1:13">
      <c r="A786" s="3" t="s">
        <v>1331</v>
      </c>
      <c r="B786" s="4">
        <v>20.5</v>
      </c>
      <c r="C786" s="4">
        <v>55</v>
      </c>
      <c r="D786" s="4">
        <v>63.5</v>
      </c>
      <c r="E786" s="4">
        <v>49</v>
      </c>
      <c r="F786" s="4">
        <v>25</v>
      </c>
      <c r="G786" s="4">
        <v>21.5</v>
      </c>
      <c r="H786" s="4">
        <v>5</v>
      </c>
      <c r="I786" s="4">
        <v>0</v>
      </c>
      <c r="J786" s="4">
        <v>27.5</v>
      </c>
      <c r="K786" s="4">
        <v>40</v>
      </c>
      <c r="L786" s="4">
        <v>0</v>
      </c>
      <c r="M786" s="4">
        <v>12.5</v>
      </c>
    </row>
    <row r="787" spans="1:13">
      <c r="A787" s="3" t="s">
        <v>1332</v>
      </c>
      <c r="B787" s="4">
        <v>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10</v>
      </c>
      <c r="I787" s="4">
        <v>0</v>
      </c>
      <c r="J787" s="4">
        <v>0</v>
      </c>
      <c r="K787" s="4">
        <v>6</v>
      </c>
      <c r="L787" s="4">
        <v>10</v>
      </c>
      <c r="M787" s="4">
        <v>0</v>
      </c>
    </row>
    <row r="788" spans="1:13">
      <c r="A788" s="3" t="s">
        <v>1333</v>
      </c>
      <c r="B788" s="4">
        <v>0</v>
      </c>
      <c r="C788" s="4">
        <v>10</v>
      </c>
      <c r="D788" s="4">
        <v>0</v>
      </c>
      <c r="E788" s="4">
        <v>0</v>
      </c>
      <c r="F788" s="4">
        <v>83</v>
      </c>
      <c r="G788" s="4">
        <v>80</v>
      </c>
      <c r="H788" s="4">
        <v>15</v>
      </c>
      <c r="I788" s="4">
        <v>0</v>
      </c>
      <c r="J788" s="4">
        <v>77</v>
      </c>
      <c r="K788" s="4">
        <v>35</v>
      </c>
      <c r="L788" s="4">
        <v>40</v>
      </c>
      <c r="M788" s="4">
        <v>60</v>
      </c>
    </row>
    <row r="789" spans="1:13">
      <c r="A789" s="3" t="s">
        <v>1334</v>
      </c>
      <c r="B789" s="4">
        <v>62</v>
      </c>
      <c r="C789" s="4">
        <v>50</v>
      </c>
      <c r="D789" s="4">
        <v>40</v>
      </c>
      <c r="E789" s="4">
        <v>35.5</v>
      </c>
      <c r="F789" s="4">
        <v>30.5</v>
      </c>
      <c r="G789" s="4">
        <v>35</v>
      </c>
      <c r="H789" s="4">
        <v>30</v>
      </c>
      <c r="I789" s="4">
        <v>9</v>
      </c>
      <c r="J789" s="4">
        <v>55</v>
      </c>
      <c r="K789" s="4">
        <v>15</v>
      </c>
      <c r="L789" s="4">
        <v>52.5</v>
      </c>
      <c r="M789" s="4">
        <v>105</v>
      </c>
    </row>
    <row r="790" spans="1:13">
      <c r="A790" s="3" t="s">
        <v>1335</v>
      </c>
      <c r="B790" s="4">
        <v>25</v>
      </c>
      <c r="C790" s="4">
        <v>25</v>
      </c>
      <c r="D790" s="4">
        <v>45</v>
      </c>
      <c r="E790" s="4">
        <v>59.5</v>
      </c>
      <c r="F790" s="4">
        <v>62.5</v>
      </c>
      <c r="G790" s="4">
        <v>37.5</v>
      </c>
      <c r="H790" s="4">
        <v>54</v>
      </c>
      <c r="I790" s="4">
        <v>50</v>
      </c>
      <c r="J790" s="4">
        <v>55</v>
      </c>
      <c r="K790" s="4">
        <v>60</v>
      </c>
      <c r="L790" s="4">
        <v>98.5</v>
      </c>
      <c r="M790" s="4">
        <v>55</v>
      </c>
    </row>
    <row r="791" spans="1:13">
      <c r="A791" s="3" t="s">
        <v>1336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7.5</v>
      </c>
      <c r="J791" s="4">
        <v>0</v>
      </c>
      <c r="K791" s="4">
        <v>0</v>
      </c>
      <c r="L791" s="4">
        <v>0</v>
      </c>
      <c r="M791" s="4">
        <v>0</v>
      </c>
    </row>
    <row r="792" spans="1:13">
      <c r="A792" s="3" t="s">
        <v>1337</v>
      </c>
      <c r="B792" s="4">
        <v>0</v>
      </c>
      <c r="C792" s="4">
        <v>50</v>
      </c>
      <c r="D792" s="4">
        <v>44.5</v>
      </c>
      <c r="E792" s="4">
        <v>78.5</v>
      </c>
      <c r="F792" s="4">
        <v>70.5</v>
      </c>
      <c r="G792" s="4">
        <v>101.45</v>
      </c>
      <c r="H792" s="4">
        <v>95.5</v>
      </c>
      <c r="I792" s="4">
        <v>17.5</v>
      </c>
      <c r="J792" s="4">
        <v>61.5</v>
      </c>
      <c r="K792" s="4">
        <v>27.5</v>
      </c>
      <c r="L792" s="4">
        <v>27</v>
      </c>
      <c r="M792" s="4">
        <v>70.5</v>
      </c>
    </row>
    <row r="793" spans="1:13">
      <c r="A793" s="3" t="s">
        <v>1338</v>
      </c>
      <c r="B793" s="4">
        <v>20</v>
      </c>
      <c r="C793" s="4">
        <v>20</v>
      </c>
      <c r="D793" s="4">
        <v>15</v>
      </c>
      <c r="E793" s="4">
        <v>40</v>
      </c>
      <c r="F793" s="4">
        <v>23</v>
      </c>
      <c r="G793" s="4">
        <v>21</v>
      </c>
      <c r="H793" s="4">
        <v>10</v>
      </c>
      <c r="I793" s="4">
        <v>25</v>
      </c>
      <c r="J793" s="4">
        <v>20</v>
      </c>
      <c r="K793" s="4">
        <v>12.5</v>
      </c>
      <c r="L793" s="4">
        <v>30</v>
      </c>
      <c r="M793" s="4">
        <v>30</v>
      </c>
    </row>
    <row r="794" spans="1:13">
      <c r="A794" s="3" t="s">
        <v>1339</v>
      </c>
      <c r="B794" s="4">
        <v>0</v>
      </c>
      <c r="C794" s="4">
        <v>0</v>
      </c>
      <c r="D794" s="4">
        <v>35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</row>
    <row r="795" spans="1:13">
      <c r="A795" s="3" t="s">
        <v>1340</v>
      </c>
      <c r="B795" s="4">
        <v>0</v>
      </c>
      <c r="C795" s="4">
        <v>15</v>
      </c>
      <c r="D795" s="4">
        <v>38</v>
      </c>
      <c r="E795" s="4">
        <v>45</v>
      </c>
      <c r="F795" s="4">
        <v>15</v>
      </c>
      <c r="G795" s="4">
        <v>17.5</v>
      </c>
      <c r="H795" s="4">
        <v>22</v>
      </c>
      <c r="I795" s="4">
        <v>25</v>
      </c>
      <c r="J795" s="4">
        <v>12.5</v>
      </c>
      <c r="K795" s="4">
        <v>10</v>
      </c>
      <c r="L795" s="4">
        <v>30</v>
      </c>
      <c r="M795" s="4">
        <v>0</v>
      </c>
    </row>
    <row r="796" spans="1:13">
      <c r="A796" s="3" t="s">
        <v>1341</v>
      </c>
      <c r="B796" s="4">
        <v>16</v>
      </c>
      <c r="C796" s="4">
        <v>12</v>
      </c>
      <c r="D796" s="4">
        <v>20</v>
      </c>
      <c r="E796" s="4">
        <v>36</v>
      </c>
      <c r="F796" s="4">
        <v>20</v>
      </c>
      <c r="G796" s="4">
        <v>32</v>
      </c>
      <c r="H796" s="4">
        <v>12</v>
      </c>
      <c r="I796" s="4">
        <v>6</v>
      </c>
      <c r="J796" s="4">
        <v>20</v>
      </c>
      <c r="K796" s="4">
        <v>25</v>
      </c>
      <c r="L796" s="4">
        <v>10</v>
      </c>
      <c r="M796" s="4">
        <v>25</v>
      </c>
    </row>
    <row r="797" spans="1:13">
      <c r="A797" s="3" t="s">
        <v>1342</v>
      </c>
      <c r="B797" s="4">
        <v>0</v>
      </c>
      <c r="C797" s="4">
        <v>0</v>
      </c>
      <c r="D797" s="4">
        <v>0</v>
      </c>
      <c r="E797" s="4">
        <v>10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</row>
    <row r="798" spans="1:13">
      <c r="A798" s="3" t="s">
        <v>1343</v>
      </c>
      <c r="B798" s="4">
        <v>20</v>
      </c>
      <c r="C798" s="4">
        <v>35</v>
      </c>
      <c r="D798" s="4">
        <v>0</v>
      </c>
      <c r="E798" s="4">
        <v>0</v>
      </c>
      <c r="F798" s="4">
        <v>70</v>
      </c>
      <c r="G798" s="4">
        <v>0</v>
      </c>
      <c r="H798" s="4">
        <v>35</v>
      </c>
      <c r="I798" s="4">
        <v>35</v>
      </c>
      <c r="J798" s="4">
        <v>95</v>
      </c>
      <c r="K798" s="4">
        <v>35</v>
      </c>
      <c r="L798" s="4">
        <v>0</v>
      </c>
      <c r="M798" s="4">
        <v>0</v>
      </c>
    </row>
    <row r="799" spans="1:13">
      <c r="A799" s="3" t="s">
        <v>1344</v>
      </c>
      <c r="B799" s="4">
        <v>0</v>
      </c>
      <c r="C799" s="4">
        <v>0</v>
      </c>
      <c r="D799" s="4">
        <v>0</v>
      </c>
      <c r="E799" s="4">
        <v>0</v>
      </c>
      <c r="F799" s="4">
        <v>0</v>
      </c>
      <c r="G799" s="4">
        <v>1.5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</row>
    <row r="800" spans="1:13">
      <c r="A800" s="3" t="s">
        <v>1345</v>
      </c>
      <c r="B800" s="4">
        <v>0</v>
      </c>
      <c r="C800" s="4">
        <v>40</v>
      </c>
      <c r="D800" s="4">
        <v>19.5</v>
      </c>
      <c r="E800" s="4">
        <v>32.5</v>
      </c>
      <c r="F800" s="4">
        <v>4.5</v>
      </c>
      <c r="G800" s="4">
        <v>30</v>
      </c>
      <c r="H800" s="4">
        <v>30</v>
      </c>
      <c r="I800" s="4">
        <v>15</v>
      </c>
      <c r="J800" s="4">
        <v>7.5</v>
      </c>
      <c r="K800" s="4">
        <v>20</v>
      </c>
      <c r="L800" s="4">
        <v>8.5</v>
      </c>
      <c r="M800" s="4">
        <v>0</v>
      </c>
    </row>
    <row r="801" spans="1:13">
      <c r="A801" s="3" t="s">
        <v>1346</v>
      </c>
      <c r="B801" s="4">
        <v>20</v>
      </c>
      <c r="C801" s="4">
        <v>20</v>
      </c>
      <c r="D801" s="4">
        <v>20</v>
      </c>
      <c r="E801" s="4">
        <v>20</v>
      </c>
      <c r="F801" s="4">
        <v>8</v>
      </c>
      <c r="G801" s="4">
        <v>20</v>
      </c>
      <c r="H801" s="4">
        <v>33</v>
      </c>
      <c r="I801" s="4">
        <v>15</v>
      </c>
      <c r="J801" s="4">
        <v>10</v>
      </c>
      <c r="K801" s="4">
        <v>0</v>
      </c>
      <c r="L801" s="4">
        <v>35</v>
      </c>
      <c r="M801" s="4">
        <v>30</v>
      </c>
    </row>
    <row r="802" spans="1:13">
      <c r="A802" s="3" t="s">
        <v>1347</v>
      </c>
      <c r="B802" s="4">
        <v>0</v>
      </c>
      <c r="C802" s="4">
        <v>0</v>
      </c>
      <c r="D802" s="4">
        <v>45</v>
      </c>
      <c r="E802" s="4">
        <v>28.75</v>
      </c>
      <c r="F802" s="4">
        <v>30</v>
      </c>
      <c r="G802" s="4">
        <v>0</v>
      </c>
      <c r="H802" s="4">
        <v>0</v>
      </c>
      <c r="I802" s="4">
        <v>0</v>
      </c>
      <c r="J802" s="4">
        <v>0</v>
      </c>
      <c r="K802" s="4">
        <v>4.5</v>
      </c>
      <c r="L802" s="4">
        <v>0</v>
      </c>
      <c r="M802" s="4">
        <v>0</v>
      </c>
    </row>
    <row r="803" spans="1:13">
      <c r="A803" s="3" t="s">
        <v>1348</v>
      </c>
      <c r="B803" s="4">
        <v>20</v>
      </c>
      <c r="C803" s="4">
        <v>47.5</v>
      </c>
      <c r="D803" s="4">
        <v>50</v>
      </c>
      <c r="E803" s="4">
        <v>32.5</v>
      </c>
      <c r="F803" s="4">
        <v>22.5</v>
      </c>
      <c r="G803" s="4">
        <v>22.5</v>
      </c>
      <c r="H803" s="4">
        <v>62</v>
      </c>
      <c r="I803" s="4">
        <v>30</v>
      </c>
      <c r="J803" s="4">
        <v>37.5</v>
      </c>
      <c r="K803" s="4">
        <v>20</v>
      </c>
      <c r="L803" s="4">
        <v>22.5</v>
      </c>
      <c r="M803" s="4">
        <v>20</v>
      </c>
    </row>
    <row r="804" spans="1:13">
      <c r="A804" s="3" t="s">
        <v>1349</v>
      </c>
      <c r="B804" s="4">
        <v>40</v>
      </c>
      <c r="C804" s="4">
        <v>45</v>
      </c>
      <c r="D804" s="4">
        <v>52</v>
      </c>
      <c r="E804" s="4">
        <v>20</v>
      </c>
      <c r="F804" s="4">
        <v>37.5</v>
      </c>
      <c r="G804" s="4">
        <v>20</v>
      </c>
      <c r="H804" s="4">
        <v>10</v>
      </c>
      <c r="I804" s="4">
        <v>15</v>
      </c>
      <c r="J804" s="4">
        <v>57.5</v>
      </c>
      <c r="K804" s="4">
        <v>82.5</v>
      </c>
      <c r="L804" s="4">
        <v>50</v>
      </c>
      <c r="M804" s="4">
        <v>75</v>
      </c>
    </row>
    <row r="805" spans="1:13">
      <c r="A805" s="3" t="s">
        <v>1350</v>
      </c>
      <c r="B805" s="4">
        <v>15</v>
      </c>
      <c r="C805" s="4">
        <v>0</v>
      </c>
      <c r="D805" s="4">
        <v>15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</row>
    <row r="806" spans="1:13">
      <c r="A806" s="3" t="s">
        <v>1351</v>
      </c>
      <c r="B806" s="4">
        <v>85</v>
      </c>
      <c r="C806" s="4">
        <v>104.5</v>
      </c>
      <c r="D806" s="4">
        <v>90</v>
      </c>
      <c r="E806" s="4">
        <v>40</v>
      </c>
      <c r="F806" s="4">
        <v>25</v>
      </c>
      <c r="G806" s="4">
        <v>45</v>
      </c>
      <c r="H806" s="4">
        <v>14</v>
      </c>
      <c r="I806" s="4">
        <v>10</v>
      </c>
      <c r="J806" s="4">
        <v>30</v>
      </c>
      <c r="K806" s="4">
        <v>10</v>
      </c>
      <c r="L806" s="4">
        <v>60</v>
      </c>
      <c r="M806" s="4">
        <v>0</v>
      </c>
    </row>
    <row r="807" spans="1:13">
      <c r="A807" s="3" t="s">
        <v>1352</v>
      </c>
      <c r="B807" s="4">
        <v>30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15</v>
      </c>
      <c r="I807" s="4">
        <v>45</v>
      </c>
      <c r="J807" s="4">
        <v>115</v>
      </c>
      <c r="K807" s="4">
        <v>50</v>
      </c>
      <c r="L807" s="4">
        <v>40</v>
      </c>
      <c r="M807" s="4">
        <v>105</v>
      </c>
    </row>
    <row r="808" spans="1:13">
      <c r="A808" s="3" t="s">
        <v>1353</v>
      </c>
      <c r="B808" s="4">
        <v>25</v>
      </c>
      <c r="C808" s="4">
        <v>0</v>
      </c>
      <c r="D808" s="4">
        <v>0</v>
      </c>
      <c r="E808" s="4">
        <v>0</v>
      </c>
      <c r="F808" s="4">
        <v>25</v>
      </c>
      <c r="G808" s="4">
        <v>19.5</v>
      </c>
      <c r="H808" s="4">
        <v>20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</row>
    <row r="809" spans="1:13">
      <c r="A809" s="3" t="s">
        <v>1354</v>
      </c>
      <c r="B809" s="4">
        <v>57.5</v>
      </c>
      <c r="C809" s="4">
        <v>15</v>
      </c>
      <c r="D809" s="4">
        <v>53.5</v>
      </c>
      <c r="E809" s="4">
        <v>80</v>
      </c>
      <c r="F809" s="4">
        <v>0</v>
      </c>
      <c r="G809" s="4">
        <v>25</v>
      </c>
      <c r="H809" s="4">
        <v>20</v>
      </c>
      <c r="I809" s="4">
        <v>0</v>
      </c>
      <c r="J809" s="4">
        <v>40</v>
      </c>
      <c r="K809" s="4">
        <v>0</v>
      </c>
      <c r="L809" s="4">
        <v>0</v>
      </c>
      <c r="M809" s="4">
        <v>0</v>
      </c>
    </row>
    <row r="810" spans="1:13">
      <c r="A810" s="3" t="s">
        <v>1355</v>
      </c>
      <c r="B810" s="4">
        <v>17.5</v>
      </c>
      <c r="C810" s="4">
        <v>25.5</v>
      </c>
      <c r="D810" s="4">
        <v>43.75</v>
      </c>
      <c r="E810" s="4">
        <v>53.5</v>
      </c>
      <c r="F810" s="4">
        <v>47.5</v>
      </c>
      <c r="G810" s="4">
        <v>30</v>
      </c>
      <c r="H810" s="4">
        <v>31.25</v>
      </c>
      <c r="I810" s="4">
        <v>15</v>
      </c>
      <c r="J810" s="4">
        <v>36</v>
      </c>
      <c r="K810" s="4">
        <v>22.5</v>
      </c>
      <c r="L810" s="4">
        <v>45</v>
      </c>
      <c r="M810" s="4">
        <v>45.75</v>
      </c>
    </row>
    <row r="811" spans="1:13">
      <c r="A811" s="3" t="s">
        <v>1356</v>
      </c>
      <c r="B811" s="4">
        <v>15</v>
      </c>
      <c r="C811" s="4">
        <v>36.25</v>
      </c>
      <c r="D811" s="4">
        <v>61.5</v>
      </c>
      <c r="E811" s="4">
        <v>93</v>
      </c>
      <c r="F811" s="4">
        <v>41.5</v>
      </c>
      <c r="G811" s="4">
        <v>55</v>
      </c>
      <c r="H811" s="4">
        <v>97.65</v>
      </c>
      <c r="I811" s="4">
        <v>40</v>
      </c>
      <c r="J811" s="4">
        <v>70</v>
      </c>
      <c r="K811" s="4">
        <v>108.8</v>
      </c>
      <c r="L811" s="4">
        <v>95</v>
      </c>
      <c r="M811" s="4">
        <v>233</v>
      </c>
    </row>
    <row r="812" spans="1:13">
      <c r="A812" s="3" t="s">
        <v>1357</v>
      </c>
      <c r="B812" s="4">
        <v>40</v>
      </c>
      <c r="C812" s="4">
        <v>35</v>
      </c>
      <c r="D812" s="4">
        <v>56</v>
      </c>
      <c r="E812" s="4">
        <v>30.5</v>
      </c>
      <c r="F812" s="4">
        <v>42.5</v>
      </c>
      <c r="G812" s="4">
        <v>43.5</v>
      </c>
      <c r="H812" s="4">
        <v>53</v>
      </c>
      <c r="I812" s="4">
        <v>46</v>
      </c>
      <c r="J812" s="4">
        <v>25</v>
      </c>
      <c r="K812" s="4">
        <v>37</v>
      </c>
      <c r="L812" s="4">
        <v>35</v>
      </c>
      <c r="M812" s="4">
        <v>35</v>
      </c>
    </row>
    <row r="813" spans="1:13">
      <c r="A813" s="3" t="s">
        <v>1358</v>
      </c>
      <c r="B813" s="4">
        <v>0</v>
      </c>
      <c r="C813" s="4">
        <v>20</v>
      </c>
      <c r="D813" s="4">
        <v>25</v>
      </c>
      <c r="E813" s="4">
        <v>30</v>
      </c>
      <c r="F813" s="4">
        <v>26.5</v>
      </c>
      <c r="G813" s="4">
        <v>25</v>
      </c>
      <c r="H813" s="4">
        <v>15</v>
      </c>
      <c r="I813" s="4">
        <v>0</v>
      </c>
      <c r="J813" s="4">
        <v>95</v>
      </c>
      <c r="K813" s="4">
        <v>40</v>
      </c>
      <c r="L813" s="4">
        <v>70</v>
      </c>
      <c r="M813" s="4">
        <v>25</v>
      </c>
    </row>
    <row r="814" spans="1:13">
      <c r="A814" s="3" t="s">
        <v>1359</v>
      </c>
      <c r="B814" s="4">
        <v>15</v>
      </c>
      <c r="C814" s="4">
        <v>28</v>
      </c>
      <c r="D814" s="4">
        <v>43</v>
      </c>
      <c r="E814" s="4">
        <v>36.5</v>
      </c>
      <c r="F814" s="4">
        <v>58.75</v>
      </c>
      <c r="G814" s="4">
        <v>55</v>
      </c>
      <c r="H814" s="4">
        <v>35</v>
      </c>
      <c r="I814" s="4">
        <v>10</v>
      </c>
      <c r="J814" s="4">
        <v>65</v>
      </c>
      <c r="K814" s="4">
        <v>62</v>
      </c>
      <c r="L814" s="4">
        <v>35</v>
      </c>
      <c r="M814" s="4">
        <v>15</v>
      </c>
    </row>
    <row r="815" spans="1:13">
      <c r="A815" s="3" t="s">
        <v>1360</v>
      </c>
      <c r="B815" s="4">
        <v>28.5</v>
      </c>
      <c r="C815" s="4">
        <v>41.5</v>
      </c>
      <c r="D815" s="4">
        <v>20</v>
      </c>
      <c r="E815" s="4">
        <v>28.5</v>
      </c>
      <c r="F815" s="4">
        <v>10</v>
      </c>
      <c r="G815" s="4">
        <v>40</v>
      </c>
      <c r="H815" s="4">
        <v>22.5</v>
      </c>
      <c r="I815" s="4">
        <v>20</v>
      </c>
      <c r="J815" s="4">
        <v>42.25</v>
      </c>
      <c r="K815" s="4">
        <v>0</v>
      </c>
      <c r="L815" s="4">
        <v>43.5</v>
      </c>
      <c r="M815" s="4">
        <v>82</v>
      </c>
    </row>
    <row r="816" spans="1:13">
      <c r="A816" s="3" t="s">
        <v>1361</v>
      </c>
      <c r="B816" s="4">
        <v>14.5</v>
      </c>
      <c r="C816" s="4">
        <v>26.25</v>
      </c>
      <c r="D816" s="4">
        <v>22.5</v>
      </c>
      <c r="E816" s="4">
        <v>39.200000000000003</v>
      </c>
      <c r="F816" s="4">
        <v>15</v>
      </c>
      <c r="G816" s="4">
        <v>51.5</v>
      </c>
      <c r="H816" s="4">
        <v>20</v>
      </c>
      <c r="I816" s="4">
        <v>11</v>
      </c>
      <c r="J816" s="4">
        <v>52.5</v>
      </c>
      <c r="K816" s="4">
        <v>25</v>
      </c>
      <c r="L816" s="4">
        <v>27.5</v>
      </c>
      <c r="M816" s="4">
        <v>99.5</v>
      </c>
    </row>
    <row r="817" spans="1:13">
      <c r="A817" s="3" t="s">
        <v>1362</v>
      </c>
      <c r="B817" s="4">
        <v>65</v>
      </c>
      <c r="C817" s="4">
        <v>20</v>
      </c>
      <c r="D817" s="4">
        <v>0</v>
      </c>
      <c r="E817" s="4">
        <v>52</v>
      </c>
      <c r="F817" s="4">
        <v>67.5</v>
      </c>
      <c r="G817" s="4">
        <v>43</v>
      </c>
      <c r="H817" s="4">
        <v>42.5</v>
      </c>
      <c r="I817" s="4">
        <v>20</v>
      </c>
      <c r="J817" s="4">
        <v>60</v>
      </c>
      <c r="K817" s="4">
        <v>104</v>
      </c>
      <c r="L817" s="4">
        <v>63.2</v>
      </c>
      <c r="M817" s="4">
        <v>65</v>
      </c>
    </row>
    <row r="818" spans="1:13">
      <c r="A818" s="3" t="s">
        <v>1363</v>
      </c>
      <c r="B818" s="4">
        <v>0</v>
      </c>
      <c r="C818" s="4">
        <v>30</v>
      </c>
      <c r="D818" s="4">
        <v>15</v>
      </c>
      <c r="E818" s="4">
        <v>19.5</v>
      </c>
      <c r="F818" s="4">
        <v>16</v>
      </c>
      <c r="G818" s="4">
        <v>10</v>
      </c>
      <c r="H818" s="4">
        <v>7.5</v>
      </c>
      <c r="I818" s="4">
        <v>10</v>
      </c>
      <c r="J818" s="4">
        <v>8.5</v>
      </c>
      <c r="K818" s="4">
        <v>10</v>
      </c>
      <c r="L818" s="4">
        <v>10</v>
      </c>
      <c r="M818" s="4">
        <v>15</v>
      </c>
    </row>
    <row r="819" spans="1:13">
      <c r="A819" s="3" t="s">
        <v>1364</v>
      </c>
      <c r="B819" s="4">
        <v>89</v>
      </c>
      <c r="C819" s="4">
        <v>0</v>
      </c>
      <c r="D819" s="4">
        <v>35</v>
      </c>
      <c r="E819" s="4">
        <v>92</v>
      </c>
      <c r="F819" s="4">
        <v>99.75</v>
      </c>
      <c r="G819" s="4">
        <v>127</v>
      </c>
      <c r="H819" s="4">
        <v>63</v>
      </c>
      <c r="I819" s="4">
        <v>20</v>
      </c>
      <c r="J819" s="4">
        <v>41</v>
      </c>
      <c r="K819" s="4">
        <v>123</v>
      </c>
      <c r="L819" s="4">
        <v>65.5</v>
      </c>
      <c r="M819" s="4">
        <v>180</v>
      </c>
    </row>
    <row r="820" spans="1:13">
      <c r="A820" s="3" t="s">
        <v>1365</v>
      </c>
      <c r="B820" s="4">
        <v>0</v>
      </c>
      <c r="C820" s="4">
        <v>10</v>
      </c>
      <c r="D820" s="4">
        <v>0</v>
      </c>
      <c r="E820" s="4">
        <v>10</v>
      </c>
      <c r="F820" s="4">
        <v>0</v>
      </c>
      <c r="G820" s="4">
        <v>25</v>
      </c>
      <c r="H820" s="4">
        <v>10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</row>
    <row r="821" spans="1:13">
      <c r="A821" s="3" t="s">
        <v>1366</v>
      </c>
      <c r="B821" s="4">
        <v>102</v>
      </c>
      <c r="C821" s="4">
        <v>99.2</v>
      </c>
      <c r="D821" s="4">
        <v>120</v>
      </c>
      <c r="E821" s="4">
        <v>110</v>
      </c>
      <c r="F821" s="4">
        <v>110</v>
      </c>
      <c r="G821" s="4">
        <v>65</v>
      </c>
      <c r="H821" s="4">
        <v>41</v>
      </c>
      <c r="I821" s="4">
        <v>30</v>
      </c>
      <c r="J821" s="4">
        <v>78.5</v>
      </c>
      <c r="K821" s="4">
        <v>48</v>
      </c>
      <c r="L821" s="4">
        <v>72.5</v>
      </c>
      <c r="M821" s="4">
        <v>145.5</v>
      </c>
    </row>
    <row r="822" spans="1:13">
      <c r="A822" s="3" t="s">
        <v>1367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10</v>
      </c>
      <c r="M822" s="4">
        <v>0</v>
      </c>
    </row>
    <row r="823" spans="1:13">
      <c r="A823" s="3" t="s">
        <v>1368</v>
      </c>
      <c r="B823" s="4">
        <v>54</v>
      </c>
      <c r="C823" s="4">
        <v>40</v>
      </c>
      <c r="D823" s="4">
        <v>53</v>
      </c>
      <c r="E823" s="4">
        <v>70</v>
      </c>
      <c r="F823" s="4">
        <v>28</v>
      </c>
      <c r="G823" s="4">
        <v>46</v>
      </c>
      <c r="H823" s="4">
        <v>45</v>
      </c>
      <c r="I823" s="4">
        <v>10</v>
      </c>
      <c r="J823" s="4">
        <v>79</v>
      </c>
      <c r="K823" s="4">
        <v>42.5</v>
      </c>
      <c r="L823" s="4">
        <v>85</v>
      </c>
      <c r="M823" s="4">
        <v>120</v>
      </c>
    </row>
    <row r="824" spans="1:13">
      <c r="A824" s="3" t="s">
        <v>1369</v>
      </c>
      <c r="B824" s="4">
        <v>100</v>
      </c>
      <c r="C824" s="4">
        <v>58</v>
      </c>
      <c r="D824" s="4">
        <v>101</v>
      </c>
      <c r="E824" s="4">
        <v>142</v>
      </c>
      <c r="F824" s="4">
        <v>58.5</v>
      </c>
      <c r="G824" s="4">
        <v>102</v>
      </c>
      <c r="H824" s="4">
        <v>234.25</v>
      </c>
      <c r="I824" s="4">
        <v>300.5</v>
      </c>
      <c r="J824" s="4">
        <v>200</v>
      </c>
      <c r="K824" s="4">
        <v>543.75</v>
      </c>
      <c r="L824" s="4">
        <v>606.6</v>
      </c>
      <c r="M824" s="4">
        <v>700.25</v>
      </c>
    </row>
    <row r="825" spans="1:13">
      <c r="A825" s="3" t="s">
        <v>1370</v>
      </c>
      <c r="B825" s="4">
        <v>0</v>
      </c>
      <c r="C825" s="4">
        <v>0</v>
      </c>
      <c r="D825" s="4">
        <v>212</v>
      </c>
      <c r="E825" s="4">
        <v>67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</row>
    <row r="826" spans="1:13">
      <c r="A826" s="3" t="s">
        <v>1371</v>
      </c>
      <c r="B826" s="4">
        <v>25</v>
      </c>
      <c r="C826" s="4">
        <v>0</v>
      </c>
      <c r="D826" s="4">
        <v>35</v>
      </c>
      <c r="E826" s="4">
        <v>30</v>
      </c>
      <c r="F826" s="4">
        <v>7.5</v>
      </c>
      <c r="G826" s="4">
        <v>15</v>
      </c>
      <c r="H826" s="4">
        <v>15</v>
      </c>
      <c r="I826" s="4">
        <v>15</v>
      </c>
      <c r="J826" s="4">
        <v>0</v>
      </c>
      <c r="K826" s="4">
        <v>15</v>
      </c>
      <c r="L826" s="4">
        <v>0</v>
      </c>
      <c r="M826" s="4">
        <v>0</v>
      </c>
    </row>
    <row r="827" spans="1:13">
      <c r="A827" s="3" t="s">
        <v>1372</v>
      </c>
      <c r="B827" s="4">
        <v>55</v>
      </c>
      <c r="C827" s="4">
        <v>23.5</v>
      </c>
      <c r="D827" s="4">
        <v>37.5</v>
      </c>
      <c r="E827" s="4">
        <v>82.5</v>
      </c>
      <c r="F827" s="4">
        <v>107.5</v>
      </c>
      <c r="G827" s="4">
        <v>93</v>
      </c>
      <c r="H827" s="4">
        <v>80.25</v>
      </c>
      <c r="I827" s="4">
        <v>49.75</v>
      </c>
      <c r="J827" s="4">
        <v>85</v>
      </c>
      <c r="K827" s="4">
        <v>102.5</v>
      </c>
      <c r="L827" s="4">
        <v>62.5</v>
      </c>
      <c r="M827" s="4">
        <v>139</v>
      </c>
    </row>
    <row r="828" spans="1:13">
      <c r="A828" s="3" t="s">
        <v>1373</v>
      </c>
      <c r="B828" s="4">
        <v>20</v>
      </c>
      <c r="C828" s="4">
        <v>20</v>
      </c>
      <c r="D828" s="4">
        <v>0</v>
      </c>
      <c r="E828" s="4">
        <v>0</v>
      </c>
      <c r="F828" s="4">
        <v>25</v>
      </c>
      <c r="G828" s="4">
        <v>0</v>
      </c>
      <c r="H828" s="4">
        <v>0</v>
      </c>
      <c r="I828" s="4">
        <v>60</v>
      </c>
      <c r="J828" s="4">
        <v>40</v>
      </c>
      <c r="K828" s="4">
        <v>0</v>
      </c>
      <c r="L828" s="4">
        <v>0</v>
      </c>
      <c r="M828" s="4">
        <v>1</v>
      </c>
    </row>
    <row r="829" spans="1:13">
      <c r="A829" s="3" t="s">
        <v>1374</v>
      </c>
      <c r="B829" s="4">
        <v>25</v>
      </c>
      <c r="C829" s="4">
        <v>37</v>
      </c>
      <c r="D829" s="4">
        <v>91</v>
      </c>
      <c r="E829" s="4">
        <v>12</v>
      </c>
      <c r="F829" s="4">
        <v>50</v>
      </c>
      <c r="G829" s="4">
        <v>75</v>
      </c>
      <c r="H829" s="4">
        <v>25</v>
      </c>
      <c r="I829" s="4">
        <v>15</v>
      </c>
      <c r="J829" s="4">
        <v>22.5</v>
      </c>
      <c r="K829" s="4">
        <v>71.5</v>
      </c>
      <c r="L829" s="4">
        <v>30</v>
      </c>
      <c r="M829" s="4">
        <v>148</v>
      </c>
    </row>
    <row r="830" spans="1:13">
      <c r="A830" s="3" t="s">
        <v>1375</v>
      </c>
      <c r="B830" s="4">
        <v>30</v>
      </c>
      <c r="C830" s="4">
        <v>40</v>
      </c>
      <c r="D830" s="4">
        <v>35</v>
      </c>
      <c r="E830" s="4">
        <v>65</v>
      </c>
      <c r="F830" s="4">
        <v>15</v>
      </c>
      <c r="G830" s="4">
        <v>20</v>
      </c>
      <c r="H830" s="4">
        <v>0</v>
      </c>
      <c r="I830" s="4">
        <v>14</v>
      </c>
      <c r="J830" s="4">
        <v>20</v>
      </c>
      <c r="K830" s="4">
        <v>24.5</v>
      </c>
      <c r="L830" s="4">
        <v>34.5</v>
      </c>
      <c r="M830" s="4">
        <v>25</v>
      </c>
    </row>
    <row r="831" spans="1:13">
      <c r="A831" s="3" t="s">
        <v>1376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7.5</v>
      </c>
      <c r="L831" s="4">
        <v>0</v>
      </c>
      <c r="M831" s="4">
        <v>10</v>
      </c>
    </row>
    <row r="832" spans="1:13">
      <c r="A832" s="3" t="s">
        <v>1377</v>
      </c>
      <c r="B832" s="4">
        <v>0</v>
      </c>
      <c r="C832" s="4">
        <v>5</v>
      </c>
      <c r="D832" s="4">
        <v>0</v>
      </c>
      <c r="E832" s="4">
        <v>25</v>
      </c>
      <c r="F832" s="4">
        <v>10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</row>
    <row r="833" spans="1:13">
      <c r="A833" s="3" t="s">
        <v>1378</v>
      </c>
      <c r="B833" s="4">
        <v>65.75</v>
      </c>
      <c r="C833" s="4">
        <v>75</v>
      </c>
      <c r="D833" s="4">
        <v>70</v>
      </c>
      <c r="E833" s="4">
        <v>62.25</v>
      </c>
      <c r="F833" s="4">
        <v>99</v>
      </c>
      <c r="G833" s="4">
        <v>116.5</v>
      </c>
      <c r="H833" s="4">
        <v>34</v>
      </c>
      <c r="I833" s="4">
        <v>0</v>
      </c>
      <c r="J833" s="4">
        <v>104.1</v>
      </c>
      <c r="K833" s="4">
        <v>74</v>
      </c>
      <c r="L833" s="4">
        <v>61.5</v>
      </c>
      <c r="M833" s="4">
        <v>30.5</v>
      </c>
    </row>
    <row r="834" spans="1:13">
      <c r="A834" s="3" t="s">
        <v>1379</v>
      </c>
      <c r="B834" s="4">
        <v>0</v>
      </c>
      <c r="C834" s="4">
        <v>15</v>
      </c>
      <c r="D834" s="4">
        <v>76.5</v>
      </c>
      <c r="E834" s="4">
        <v>128.5</v>
      </c>
      <c r="F834" s="4">
        <v>55</v>
      </c>
      <c r="G834" s="4">
        <v>0</v>
      </c>
      <c r="H834" s="4">
        <v>0</v>
      </c>
      <c r="I834" s="4">
        <v>15</v>
      </c>
      <c r="J834" s="4">
        <v>0</v>
      </c>
      <c r="K834" s="4">
        <v>0</v>
      </c>
      <c r="L834" s="4">
        <v>0</v>
      </c>
      <c r="M834" s="4">
        <v>0</v>
      </c>
    </row>
    <row r="835" spans="1:13">
      <c r="A835" s="3" t="s">
        <v>1380</v>
      </c>
      <c r="B835" s="4">
        <v>65</v>
      </c>
      <c r="C835" s="4">
        <v>56</v>
      </c>
      <c r="D835" s="4">
        <v>45</v>
      </c>
      <c r="E835" s="4">
        <v>55</v>
      </c>
      <c r="F835" s="4">
        <v>65</v>
      </c>
      <c r="G835" s="4">
        <v>10</v>
      </c>
      <c r="H835" s="4">
        <v>30</v>
      </c>
      <c r="I835" s="4">
        <v>20</v>
      </c>
      <c r="J835" s="4">
        <v>60</v>
      </c>
      <c r="K835" s="4">
        <v>30</v>
      </c>
      <c r="L835" s="4">
        <v>66</v>
      </c>
      <c r="M835" s="4">
        <v>39</v>
      </c>
    </row>
    <row r="836" spans="1:13">
      <c r="A836" s="3" t="s">
        <v>1381</v>
      </c>
      <c r="B836" s="4">
        <v>77</v>
      </c>
      <c r="C836" s="4">
        <v>50.45</v>
      </c>
      <c r="D836" s="4">
        <v>53</v>
      </c>
      <c r="E836" s="4">
        <v>62.5</v>
      </c>
      <c r="F836" s="4">
        <v>56.7</v>
      </c>
      <c r="G836" s="4">
        <v>56</v>
      </c>
      <c r="H836" s="4">
        <v>88</v>
      </c>
      <c r="I836" s="4">
        <v>32</v>
      </c>
      <c r="J836" s="4">
        <v>103.5</v>
      </c>
      <c r="K836" s="4">
        <v>71.2</v>
      </c>
      <c r="L836" s="4">
        <v>89.9</v>
      </c>
      <c r="M836" s="4">
        <v>46</v>
      </c>
    </row>
    <row r="837" spans="1:13">
      <c r="A837" s="3" t="s">
        <v>1382</v>
      </c>
      <c r="B837" s="4">
        <v>45</v>
      </c>
      <c r="C837" s="4">
        <v>82</v>
      </c>
      <c r="D837" s="4">
        <v>91</v>
      </c>
      <c r="E837" s="4">
        <v>76.5</v>
      </c>
      <c r="F837" s="4">
        <v>35</v>
      </c>
      <c r="G837" s="4">
        <v>50</v>
      </c>
      <c r="H837" s="4">
        <v>25</v>
      </c>
      <c r="I837" s="4">
        <v>15</v>
      </c>
      <c r="J837" s="4">
        <v>25</v>
      </c>
      <c r="K837" s="4">
        <v>56.5</v>
      </c>
      <c r="L837" s="4">
        <v>70</v>
      </c>
      <c r="M837" s="4">
        <v>50</v>
      </c>
    </row>
    <row r="838" spans="1:13">
      <c r="A838" s="3" t="s">
        <v>1383</v>
      </c>
      <c r="B838" s="4">
        <v>92</v>
      </c>
      <c r="C838" s="4">
        <v>95</v>
      </c>
      <c r="D838" s="4">
        <v>120</v>
      </c>
      <c r="E838" s="4">
        <v>40</v>
      </c>
      <c r="F838" s="4">
        <v>78</v>
      </c>
      <c r="G838" s="4">
        <v>65</v>
      </c>
      <c r="H838" s="4">
        <v>133</v>
      </c>
      <c r="I838" s="4">
        <v>114</v>
      </c>
      <c r="J838" s="4">
        <v>205</v>
      </c>
      <c r="K838" s="4">
        <v>49</v>
      </c>
      <c r="L838" s="4">
        <v>105</v>
      </c>
      <c r="M838" s="4">
        <v>105.9</v>
      </c>
    </row>
    <row r="839" spans="1:13">
      <c r="A839" s="3" t="s">
        <v>1384</v>
      </c>
      <c r="B839" s="4">
        <v>56.45</v>
      </c>
      <c r="C839" s="4">
        <v>20</v>
      </c>
      <c r="D839" s="4">
        <v>77.5</v>
      </c>
      <c r="E839" s="4">
        <v>20</v>
      </c>
      <c r="F839" s="4">
        <v>22</v>
      </c>
      <c r="G839" s="4">
        <v>0</v>
      </c>
      <c r="H839" s="4">
        <v>5</v>
      </c>
      <c r="I839" s="4">
        <v>50</v>
      </c>
      <c r="J839" s="4">
        <v>67.5</v>
      </c>
      <c r="K839" s="4">
        <v>0</v>
      </c>
      <c r="L839" s="4">
        <v>0</v>
      </c>
      <c r="M839" s="4">
        <v>85</v>
      </c>
    </row>
    <row r="840" spans="1:13">
      <c r="A840" s="3" t="s">
        <v>1385</v>
      </c>
      <c r="B840" s="4">
        <v>86.5</v>
      </c>
      <c r="C840" s="4">
        <v>74</v>
      </c>
      <c r="D840" s="4">
        <v>155</v>
      </c>
      <c r="E840" s="4">
        <v>30</v>
      </c>
      <c r="F840" s="4">
        <v>112.5</v>
      </c>
      <c r="G840" s="4">
        <v>35</v>
      </c>
      <c r="H840" s="4">
        <v>70</v>
      </c>
      <c r="I840" s="4">
        <v>55</v>
      </c>
      <c r="J840" s="4">
        <v>20</v>
      </c>
      <c r="K840" s="4">
        <v>60</v>
      </c>
      <c r="L840" s="4">
        <v>80</v>
      </c>
      <c r="M840" s="4">
        <v>125</v>
      </c>
    </row>
    <row r="841" spans="1:13">
      <c r="A841" s="3" t="s">
        <v>1386</v>
      </c>
      <c r="B841" s="4">
        <v>10</v>
      </c>
      <c r="C841" s="4">
        <v>5</v>
      </c>
      <c r="D841" s="4">
        <v>0</v>
      </c>
      <c r="E841" s="4">
        <v>40</v>
      </c>
      <c r="F841" s="4">
        <v>0</v>
      </c>
      <c r="G841" s="4">
        <v>15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</row>
    <row r="842" spans="1:13">
      <c r="A842" s="3" t="s">
        <v>1387</v>
      </c>
      <c r="B842" s="4">
        <v>110</v>
      </c>
      <c r="C842" s="4">
        <v>60</v>
      </c>
      <c r="D842" s="4">
        <v>85</v>
      </c>
      <c r="E842" s="4">
        <v>65.5</v>
      </c>
      <c r="F842" s="4">
        <v>40</v>
      </c>
      <c r="G842" s="4">
        <v>77.5</v>
      </c>
      <c r="H842" s="4">
        <v>52.5</v>
      </c>
      <c r="I842" s="4">
        <v>40</v>
      </c>
      <c r="J842" s="4">
        <v>87.5</v>
      </c>
      <c r="K842" s="4">
        <v>72</v>
      </c>
      <c r="L842" s="4">
        <v>145.75</v>
      </c>
      <c r="M842" s="4">
        <v>113</v>
      </c>
    </row>
    <row r="843" spans="1:13">
      <c r="A843" s="3" t="s">
        <v>1388</v>
      </c>
      <c r="B843" s="4">
        <v>57.5</v>
      </c>
      <c r="C843" s="4">
        <v>0</v>
      </c>
      <c r="D843" s="4">
        <v>132.5</v>
      </c>
      <c r="E843" s="4">
        <v>47.5</v>
      </c>
      <c r="F843" s="4">
        <v>40</v>
      </c>
      <c r="G843" s="4">
        <v>57.5</v>
      </c>
      <c r="H843" s="4">
        <v>64.5</v>
      </c>
      <c r="I843" s="4">
        <v>20</v>
      </c>
      <c r="J843" s="4">
        <v>40</v>
      </c>
      <c r="K843" s="4">
        <v>17.5</v>
      </c>
      <c r="L843" s="4">
        <v>0</v>
      </c>
      <c r="M843" s="4">
        <v>0</v>
      </c>
    </row>
    <row r="844" spans="1:13">
      <c r="A844" s="3" t="s">
        <v>1389</v>
      </c>
      <c r="B844" s="4">
        <v>40</v>
      </c>
      <c r="C844" s="4">
        <v>60</v>
      </c>
      <c r="D844" s="4">
        <v>170</v>
      </c>
      <c r="E844" s="4">
        <v>93.5</v>
      </c>
      <c r="F844" s="4">
        <v>74.5</v>
      </c>
      <c r="G844" s="4">
        <v>37.5</v>
      </c>
      <c r="H844" s="4">
        <v>57.5</v>
      </c>
      <c r="I844" s="4">
        <v>70</v>
      </c>
      <c r="J844" s="4">
        <v>101</v>
      </c>
      <c r="K844" s="4">
        <v>97</v>
      </c>
      <c r="L844" s="4">
        <v>110</v>
      </c>
      <c r="M844" s="4">
        <v>148.5</v>
      </c>
    </row>
    <row r="845" spans="1:13">
      <c r="A845" s="3" t="s">
        <v>1390</v>
      </c>
      <c r="B845" s="4">
        <v>23</v>
      </c>
      <c r="C845" s="4">
        <v>25</v>
      </c>
      <c r="D845" s="4">
        <v>48.5</v>
      </c>
      <c r="E845" s="4">
        <v>66.5</v>
      </c>
      <c r="F845" s="4">
        <v>70</v>
      </c>
      <c r="G845" s="4">
        <v>35</v>
      </c>
      <c r="H845" s="4">
        <v>35</v>
      </c>
      <c r="I845" s="4">
        <v>30</v>
      </c>
      <c r="J845" s="4">
        <v>65</v>
      </c>
      <c r="K845" s="4">
        <v>65</v>
      </c>
      <c r="L845" s="4">
        <v>51.5</v>
      </c>
      <c r="M845" s="4">
        <v>15</v>
      </c>
    </row>
    <row r="846" spans="1:13">
      <c r="A846" s="3" t="s">
        <v>1391</v>
      </c>
      <c r="B846" s="4">
        <v>52.5</v>
      </c>
      <c r="C846" s="4">
        <v>48</v>
      </c>
      <c r="D846" s="4">
        <v>54</v>
      </c>
      <c r="E846" s="4">
        <v>21.75</v>
      </c>
      <c r="F846" s="4">
        <v>29.5</v>
      </c>
      <c r="G846" s="4">
        <v>30</v>
      </c>
      <c r="H846" s="4">
        <v>35</v>
      </c>
      <c r="I846" s="4">
        <v>15</v>
      </c>
      <c r="J846" s="4">
        <v>45</v>
      </c>
      <c r="K846" s="4">
        <v>45</v>
      </c>
      <c r="L846" s="4">
        <v>15</v>
      </c>
      <c r="M846" s="4">
        <v>10</v>
      </c>
    </row>
    <row r="847" spans="1:13">
      <c r="A847" s="3" t="s">
        <v>1392</v>
      </c>
      <c r="B847" s="4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125</v>
      </c>
      <c r="J847" s="4">
        <v>0</v>
      </c>
      <c r="K847" s="4">
        <v>0</v>
      </c>
      <c r="L847" s="4">
        <v>0</v>
      </c>
      <c r="M847" s="4">
        <v>249</v>
      </c>
    </row>
    <row r="848" spans="1:13">
      <c r="A848" s="3" t="s">
        <v>1393</v>
      </c>
      <c r="B848" s="4">
        <v>51.8</v>
      </c>
      <c r="C848" s="4">
        <v>33.25</v>
      </c>
      <c r="D848" s="4">
        <v>65</v>
      </c>
      <c r="E848" s="4">
        <v>94</v>
      </c>
      <c r="F848" s="4">
        <v>117.75</v>
      </c>
      <c r="G848" s="4">
        <v>148.5</v>
      </c>
      <c r="H848" s="4">
        <v>105.75</v>
      </c>
      <c r="I848" s="4">
        <v>77.25</v>
      </c>
      <c r="J848" s="4">
        <v>176.25</v>
      </c>
      <c r="K848" s="4">
        <v>105</v>
      </c>
      <c r="L848" s="4">
        <v>192.75</v>
      </c>
      <c r="M848" s="4">
        <v>295</v>
      </c>
    </row>
    <row r="849" spans="1:13">
      <c r="A849" s="3" t="s">
        <v>1394</v>
      </c>
      <c r="B849" s="4">
        <v>81</v>
      </c>
      <c r="C849" s="4">
        <v>15</v>
      </c>
      <c r="D849" s="4">
        <v>62</v>
      </c>
      <c r="E849" s="4">
        <v>149.25</v>
      </c>
      <c r="F849" s="4">
        <v>100.5</v>
      </c>
      <c r="G849" s="4">
        <v>34</v>
      </c>
      <c r="H849" s="4">
        <v>141.80000000000001</v>
      </c>
      <c r="I849" s="4">
        <v>76.5</v>
      </c>
      <c r="J849" s="4">
        <v>74</v>
      </c>
      <c r="K849" s="4">
        <v>72.5</v>
      </c>
      <c r="L849" s="4">
        <v>87.5</v>
      </c>
      <c r="M849" s="4">
        <v>169.5</v>
      </c>
    </row>
    <row r="850" spans="1:13">
      <c r="A850" s="3" t="s">
        <v>1395</v>
      </c>
      <c r="B850" s="4">
        <v>0</v>
      </c>
      <c r="C850" s="4">
        <v>0</v>
      </c>
      <c r="D850" s="4">
        <v>0</v>
      </c>
      <c r="E850" s="4">
        <v>10</v>
      </c>
      <c r="F850" s="4">
        <v>15</v>
      </c>
      <c r="G850" s="4">
        <v>0</v>
      </c>
      <c r="H850" s="4">
        <v>0</v>
      </c>
      <c r="I850" s="4">
        <v>0</v>
      </c>
      <c r="J850" s="4">
        <v>80</v>
      </c>
      <c r="K850" s="4">
        <v>10</v>
      </c>
      <c r="L850" s="4">
        <v>10</v>
      </c>
      <c r="M850" s="4">
        <v>30</v>
      </c>
    </row>
    <row r="851" spans="1:13">
      <c r="A851" s="3" t="s">
        <v>1396</v>
      </c>
      <c r="B851" s="4">
        <v>10</v>
      </c>
      <c r="C851" s="4">
        <v>10</v>
      </c>
      <c r="D851" s="4">
        <v>34</v>
      </c>
      <c r="E851" s="4">
        <v>25</v>
      </c>
      <c r="F851" s="4">
        <v>10</v>
      </c>
      <c r="G851" s="4">
        <v>10</v>
      </c>
      <c r="H851" s="4">
        <v>20</v>
      </c>
      <c r="I851" s="4">
        <v>0</v>
      </c>
      <c r="J851" s="4">
        <v>0</v>
      </c>
      <c r="K851" s="4">
        <v>20</v>
      </c>
      <c r="L851" s="4">
        <v>35</v>
      </c>
      <c r="M851" s="4">
        <v>65</v>
      </c>
    </row>
    <row r="852" spans="1:13">
      <c r="A852" s="3" t="s">
        <v>1397</v>
      </c>
      <c r="B852" s="4">
        <v>41</v>
      </c>
      <c r="C852" s="4">
        <v>62</v>
      </c>
      <c r="D852" s="4">
        <v>155</v>
      </c>
      <c r="E852" s="4">
        <v>72</v>
      </c>
      <c r="F852" s="4">
        <v>78</v>
      </c>
      <c r="G852" s="4">
        <v>31</v>
      </c>
      <c r="H852" s="4">
        <v>31</v>
      </c>
      <c r="I852" s="4">
        <v>31</v>
      </c>
      <c r="J852" s="4">
        <v>0</v>
      </c>
      <c r="K852" s="4">
        <v>31</v>
      </c>
      <c r="L852" s="4">
        <v>31</v>
      </c>
      <c r="M852" s="4">
        <v>37</v>
      </c>
    </row>
    <row r="853" spans="1:13">
      <c r="A853" s="3" t="s">
        <v>1398</v>
      </c>
      <c r="B853" s="4">
        <v>0</v>
      </c>
      <c r="C853" s="4">
        <v>0</v>
      </c>
      <c r="D853" s="4">
        <v>0</v>
      </c>
      <c r="E853" s="4">
        <v>41</v>
      </c>
      <c r="F853" s="4">
        <v>26</v>
      </c>
      <c r="G853" s="4">
        <v>31</v>
      </c>
      <c r="H853" s="4">
        <v>15</v>
      </c>
      <c r="I853" s="4">
        <v>0</v>
      </c>
      <c r="J853" s="4">
        <v>39</v>
      </c>
      <c r="K853" s="4">
        <v>10</v>
      </c>
      <c r="L853" s="4">
        <v>47</v>
      </c>
      <c r="M853" s="4">
        <v>62</v>
      </c>
    </row>
    <row r="854" spans="1:13">
      <c r="A854" s="3" t="s">
        <v>1399</v>
      </c>
      <c r="B854" s="4">
        <v>50</v>
      </c>
      <c r="C854" s="4">
        <v>55</v>
      </c>
      <c r="D854" s="4">
        <v>76</v>
      </c>
      <c r="E854" s="4">
        <v>74.2</v>
      </c>
      <c r="F854" s="4">
        <v>3</v>
      </c>
      <c r="G854" s="4">
        <v>54</v>
      </c>
      <c r="H854" s="4">
        <v>52</v>
      </c>
      <c r="I854" s="4">
        <v>0</v>
      </c>
      <c r="J854" s="4">
        <v>85.25</v>
      </c>
      <c r="K854" s="4">
        <v>50.5</v>
      </c>
      <c r="L854" s="4">
        <v>55</v>
      </c>
      <c r="M854" s="4">
        <v>107.5</v>
      </c>
    </row>
    <row r="855" spans="1:13">
      <c r="A855" s="3" t="s">
        <v>1400</v>
      </c>
      <c r="B855" s="4">
        <v>432</v>
      </c>
      <c r="C855" s="4">
        <v>400</v>
      </c>
      <c r="D855" s="4">
        <v>280.5</v>
      </c>
      <c r="E855" s="4">
        <v>380</v>
      </c>
      <c r="F855" s="4">
        <v>175</v>
      </c>
      <c r="G855" s="4">
        <v>420</v>
      </c>
      <c r="H855" s="4">
        <v>320</v>
      </c>
      <c r="I855" s="4">
        <v>275</v>
      </c>
      <c r="J855" s="4">
        <v>421</v>
      </c>
      <c r="K855" s="4">
        <v>308</v>
      </c>
      <c r="L855" s="4">
        <v>265</v>
      </c>
      <c r="M855" s="4">
        <v>309</v>
      </c>
    </row>
    <row r="856" spans="1:13">
      <c r="A856" s="3" t="s">
        <v>1401</v>
      </c>
      <c r="B856" s="4">
        <v>10</v>
      </c>
      <c r="C856" s="4">
        <v>20</v>
      </c>
      <c r="D856" s="4">
        <v>15</v>
      </c>
      <c r="E856" s="4">
        <v>13.5</v>
      </c>
      <c r="F856" s="4">
        <v>16.5</v>
      </c>
      <c r="G856" s="4">
        <v>3</v>
      </c>
      <c r="H856" s="4">
        <v>0</v>
      </c>
      <c r="I856" s="4">
        <v>0</v>
      </c>
      <c r="J856" s="4">
        <v>9.9</v>
      </c>
      <c r="K856" s="4">
        <v>0</v>
      </c>
      <c r="L856" s="4">
        <v>0</v>
      </c>
      <c r="M856" s="4">
        <v>0</v>
      </c>
    </row>
    <row r="857" spans="1:13">
      <c r="A857" s="3" t="s">
        <v>1402</v>
      </c>
      <c r="B857" s="4">
        <v>47.5</v>
      </c>
      <c r="C857" s="4">
        <v>35</v>
      </c>
      <c r="D857" s="4">
        <v>69</v>
      </c>
      <c r="E857" s="4">
        <v>39.5</v>
      </c>
      <c r="F857" s="4">
        <v>18</v>
      </c>
      <c r="G857" s="4">
        <v>45</v>
      </c>
      <c r="H857" s="4">
        <v>60</v>
      </c>
      <c r="I857" s="4">
        <v>0</v>
      </c>
      <c r="J857" s="4">
        <v>10</v>
      </c>
      <c r="K857" s="4">
        <v>0</v>
      </c>
      <c r="L857" s="4">
        <v>10</v>
      </c>
      <c r="M857" s="4">
        <v>66</v>
      </c>
    </row>
    <row r="858" spans="1:13">
      <c r="A858" s="3" t="s">
        <v>1403</v>
      </c>
      <c r="B858" s="4">
        <v>0</v>
      </c>
      <c r="C858" s="4">
        <v>10</v>
      </c>
      <c r="D858" s="4">
        <v>0</v>
      </c>
      <c r="E858" s="4">
        <v>0</v>
      </c>
      <c r="F858" s="4">
        <v>10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</row>
    <row r="859" spans="1:13">
      <c r="A859" s="3" t="s">
        <v>1404</v>
      </c>
      <c r="B859" s="4">
        <v>116.5</v>
      </c>
      <c r="C859" s="4">
        <v>30</v>
      </c>
      <c r="D859" s="4">
        <v>53</v>
      </c>
      <c r="E859" s="4">
        <v>52.5</v>
      </c>
      <c r="F859" s="4">
        <v>54</v>
      </c>
      <c r="G859" s="4">
        <v>76</v>
      </c>
      <c r="H859" s="4">
        <v>10</v>
      </c>
      <c r="I859" s="4">
        <v>20</v>
      </c>
      <c r="J859" s="4">
        <v>70</v>
      </c>
      <c r="K859" s="4">
        <v>31</v>
      </c>
      <c r="L859" s="4">
        <v>101</v>
      </c>
      <c r="M859" s="4">
        <v>99.5</v>
      </c>
    </row>
    <row r="860" spans="1:13">
      <c r="A860" s="3" t="s">
        <v>1405</v>
      </c>
      <c r="B860" s="4">
        <v>40</v>
      </c>
      <c r="C860" s="4">
        <v>95</v>
      </c>
      <c r="D860" s="4">
        <v>68.650000000000006</v>
      </c>
      <c r="E860" s="4">
        <v>90</v>
      </c>
      <c r="F860" s="4">
        <v>49.5</v>
      </c>
      <c r="G860" s="4">
        <v>53</v>
      </c>
      <c r="H860" s="4">
        <v>53.5</v>
      </c>
      <c r="I860" s="4">
        <v>32.5</v>
      </c>
      <c r="J860" s="4">
        <v>92.5</v>
      </c>
      <c r="K860" s="4">
        <v>0</v>
      </c>
      <c r="L860" s="4">
        <v>55</v>
      </c>
      <c r="M860" s="4">
        <v>50.5</v>
      </c>
    </row>
    <row r="861" spans="1:13">
      <c r="A861" s="3" t="s">
        <v>1406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23.5</v>
      </c>
      <c r="L861" s="4">
        <v>15</v>
      </c>
      <c r="M861" s="4">
        <v>0</v>
      </c>
    </row>
    <row r="862" spans="1:13">
      <c r="A862" s="3" t="s">
        <v>1407</v>
      </c>
      <c r="B862" s="4">
        <v>15.5</v>
      </c>
      <c r="C862" s="4">
        <v>28</v>
      </c>
      <c r="D862" s="4">
        <v>54.4</v>
      </c>
      <c r="E862" s="4">
        <v>27.5</v>
      </c>
      <c r="F862" s="4">
        <v>90.35</v>
      </c>
      <c r="G862" s="4">
        <v>93.5</v>
      </c>
      <c r="H862" s="4">
        <v>45.25</v>
      </c>
      <c r="I862" s="4">
        <v>12.5</v>
      </c>
      <c r="J862" s="4">
        <v>61</v>
      </c>
      <c r="K862" s="4">
        <v>78.5</v>
      </c>
      <c r="L862" s="4">
        <v>108.5</v>
      </c>
      <c r="M862" s="4">
        <v>48.5</v>
      </c>
    </row>
    <row r="863" spans="1:13">
      <c r="A863" s="3" t="s">
        <v>1408</v>
      </c>
      <c r="B863" s="4">
        <v>50</v>
      </c>
      <c r="C863" s="4">
        <v>0</v>
      </c>
      <c r="D863" s="4">
        <v>0</v>
      </c>
      <c r="E863" s="4">
        <v>14</v>
      </c>
      <c r="F863" s="4">
        <v>10</v>
      </c>
      <c r="G863" s="4">
        <v>20</v>
      </c>
      <c r="H863" s="4">
        <v>20</v>
      </c>
      <c r="I863" s="4">
        <v>8</v>
      </c>
      <c r="J863" s="4">
        <v>0</v>
      </c>
      <c r="K863" s="4">
        <v>13.5</v>
      </c>
      <c r="L863" s="4">
        <v>35</v>
      </c>
      <c r="M863" s="4">
        <v>0</v>
      </c>
    </row>
    <row r="864" spans="1:13">
      <c r="A864" s="3" t="s">
        <v>1409</v>
      </c>
      <c r="B864" s="4">
        <v>27.5</v>
      </c>
      <c r="C864" s="4">
        <v>10</v>
      </c>
      <c r="D864" s="4">
        <v>0</v>
      </c>
      <c r="E864" s="4">
        <v>20</v>
      </c>
      <c r="F864" s="4">
        <v>10</v>
      </c>
      <c r="G864" s="4">
        <v>10</v>
      </c>
      <c r="H864" s="4">
        <v>16</v>
      </c>
      <c r="I864" s="4">
        <v>8</v>
      </c>
      <c r="J864" s="4">
        <v>28.5</v>
      </c>
      <c r="K864" s="4">
        <v>37.5</v>
      </c>
      <c r="L864" s="4">
        <v>5</v>
      </c>
      <c r="M864" s="4">
        <v>10</v>
      </c>
    </row>
    <row r="865" spans="1:13">
      <c r="A865" s="3" t="s">
        <v>1410</v>
      </c>
      <c r="B865" s="4">
        <v>0</v>
      </c>
      <c r="C865" s="4">
        <v>30</v>
      </c>
      <c r="D865" s="4">
        <v>0</v>
      </c>
      <c r="E865" s="4">
        <v>60</v>
      </c>
      <c r="F865" s="4">
        <v>0</v>
      </c>
      <c r="G865" s="4">
        <v>5</v>
      </c>
      <c r="H865" s="4">
        <v>19</v>
      </c>
      <c r="I865" s="4">
        <v>8</v>
      </c>
      <c r="J865" s="4">
        <v>25</v>
      </c>
      <c r="K865" s="4">
        <v>20</v>
      </c>
      <c r="L865" s="4">
        <v>10</v>
      </c>
      <c r="M865" s="4">
        <v>18.75</v>
      </c>
    </row>
    <row r="866" spans="1:13">
      <c r="A866" s="3" t="s">
        <v>1411</v>
      </c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1</v>
      </c>
      <c r="H866" s="4">
        <v>12</v>
      </c>
      <c r="I866" s="4">
        <v>15</v>
      </c>
      <c r="J866" s="4">
        <v>10</v>
      </c>
      <c r="K866" s="4">
        <v>0</v>
      </c>
      <c r="L866" s="4">
        <v>0</v>
      </c>
      <c r="M866" s="4">
        <v>0</v>
      </c>
    </row>
    <row r="867" spans="1:13">
      <c r="A867" s="3" t="s">
        <v>1412</v>
      </c>
      <c r="B867" s="4">
        <v>10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</row>
    <row r="868" spans="1:13">
      <c r="A868" s="3" t="s">
        <v>1413</v>
      </c>
      <c r="B868" s="4">
        <v>128.5</v>
      </c>
      <c r="C868" s="4">
        <v>86.5</v>
      </c>
      <c r="D868" s="4">
        <v>48</v>
      </c>
      <c r="E868" s="4">
        <v>85</v>
      </c>
      <c r="F868" s="4">
        <v>70</v>
      </c>
      <c r="G868" s="4">
        <v>96.5</v>
      </c>
      <c r="H868" s="4">
        <v>155</v>
      </c>
      <c r="I868" s="4">
        <v>60</v>
      </c>
      <c r="J868" s="4">
        <v>122.5</v>
      </c>
      <c r="K868" s="4">
        <v>60.8</v>
      </c>
      <c r="L868" s="4">
        <v>102.5</v>
      </c>
      <c r="M868" s="4">
        <v>197</v>
      </c>
    </row>
    <row r="869" spans="1:13">
      <c r="A869" s="3" t="s">
        <v>1414</v>
      </c>
      <c r="B869" s="4">
        <v>89</v>
      </c>
      <c r="C869" s="4">
        <v>70</v>
      </c>
      <c r="D869" s="4">
        <v>51</v>
      </c>
      <c r="E869" s="4">
        <v>156.5</v>
      </c>
      <c r="F869" s="4">
        <v>91.5</v>
      </c>
      <c r="G869" s="4">
        <v>96.25</v>
      </c>
      <c r="H869" s="4">
        <v>119</v>
      </c>
      <c r="I869" s="4">
        <v>199</v>
      </c>
      <c r="J869" s="4">
        <v>163.5</v>
      </c>
      <c r="K869" s="4">
        <v>165</v>
      </c>
      <c r="L869" s="4">
        <v>155</v>
      </c>
      <c r="M869" s="4">
        <v>55</v>
      </c>
    </row>
    <row r="870" spans="1:13">
      <c r="A870" s="3" t="s">
        <v>1415</v>
      </c>
      <c r="B870" s="4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51.4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</row>
    <row r="871" spans="1:13">
      <c r="A871" s="3" t="s">
        <v>1416</v>
      </c>
      <c r="B871" s="4">
        <v>30</v>
      </c>
      <c r="C871" s="4">
        <v>80</v>
      </c>
      <c r="D871" s="4">
        <v>50</v>
      </c>
      <c r="E871" s="4">
        <v>77.5</v>
      </c>
      <c r="F871" s="4">
        <v>70</v>
      </c>
      <c r="G871" s="4">
        <v>41</v>
      </c>
      <c r="H871" s="4">
        <v>80</v>
      </c>
      <c r="I871" s="4">
        <v>40</v>
      </c>
      <c r="J871" s="4">
        <v>50</v>
      </c>
      <c r="K871" s="4">
        <v>45</v>
      </c>
      <c r="L871" s="4">
        <v>55</v>
      </c>
      <c r="M871" s="4">
        <v>61</v>
      </c>
    </row>
    <row r="872" spans="1:13">
      <c r="A872" s="3" t="s">
        <v>1417</v>
      </c>
      <c r="B872" s="4">
        <v>62.5</v>
      </c>
      <c r="C872" s="4">
        <v>110</v>
      </c>
      <c r="D872" s="4">
        <v>54.5</v>
      </c>
      <c r="E872" s="4">
        <v>100</v>
      </c>
      <c r="F872" s="4">
        <v>15</v>
      </c>
      <c r="G872" s="4">
        <v>70</v>
      </c>
      <c r="H872" s="4">
        <v>80</v>
      </c>
      <c r="I872" s="4">
        <v>70</v>
      </c>
      <c r="J872" s="4">
        <v>55</v>
      </c>
      <c r="K872" s="4">
        <v>140</v>
      </c>
      <c r="L872" s="4">
        <v>35</v>
      </c>
      <c r="M872" s="4">
        <v>139.5</v>
      </c>
    </row>
    <row r="873" spans="1:13">
      <c r="A873" s="3" t="s">
        <v>1418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4</v>
      </c>
      <c r="L873" s="4">
        <v>0</v>
      </c>
      <c r="M873" s="4">
        <v>0</v>
      </c>
    </row>
    <row r="874" spans="1:13">
      <c r="A874" s="3" t="s">
        <v>1419</v>
      </c>
      <c r="B874" s="4">
        <v>57.5</v>
      </c>
      <c r="C874" s="4">
        <v>76.5</v>
      </c>
      <c r="D874" s="4">
        <v>45</v>
      </c>
      <c r="E874" s="4">
        <v>46</v>
      </c>
      <c r="F874" s="4">
        <v>55</v>
      </c>
      <c r="G874" s="4">
        <v>57.5</v>
      </c>
      <c r="H874" s="4">
        <v>67</v>
      </c>
      <c r="I874" s="4">
        <v>50</v>
      </c>
      <c r="J874" s="4">
        <v>70</v>
      </c>
      <c r="K874" s="4">
        <v>87</v>
      </c>
      <c r="L874" s="4">
        <v>114</v>
      </c>
      <c r="M874" s="4">
        <v>182</v>
      </c>
    </row>
    <row r="875" spans="1:13">
      <c r="A875" s="3" t="s">
        <v>1420</v>
      </c>
      <c r="B875" s="4">
        <v>37</v>
      </c>
      <c r="C875" s="4">
        <v>27</v>
      </c>
      <c r="D875" s="4">
        <v>35</v>
      </c>
      <c r="E875" s="4">
        <v>90</v>
      </c>
      <c r="F875" s="4">
        <v>44.5</v>
      </c>
      <c r="G875" s="4">
        <v>63</v>
      </c>
      <c r="H875" s="4">
        <v>92</v>
      </c>
      <c r="I875" s="4">
        <v>23</v>
      </c>
      <c r="J875" s="4">
        <v>73</v>
      </c>
      <c r="K875" s="4">
        <v>34.5</v>
      </c>
      <c r="L875" s="4">
        <v>25</v>
      </c>
      <c r="M875" s="4">
        <v>80.5</v>
      </c>
    </row>
    <row r="876" spans="1:13">
      <c r="A876" s="3" t="s">
        <v>1421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25</v>
      </c>
      <c r="J876" s="4">
        <v>24</v>
      </c>
      <c r="K876" s="4">
        <v>60.5</v>
      </c>
      <c r="L876" s="4">
        <v>35</v>
      </c>
      <c r="M876" s="4">
        <v>65.349999999999994</v>
      </c>
    </row>
    <row r="877" spans="1:13">
      <c r="A877" s="3" t="s">
        <v>1422</v>
      </c>
      <c r="B877" s="4">
        <v>0</v>
      </c>
      <c r="C877" s="4">
        <v>0</v>
      </c>
      <c r="D877" s="4">
        <v>0</v>
      </c>
      <c r="E877" s="4">
        <v>52</v>
      </c>
      <c r="F877" s="4">
        <v>15</v>
      </c>
      <c r="G877" s="4">
        <v>0</v>
      </c>
      <c r="H877" s="4">
        <v>16</v>
      </c>
      <c r="I877" s="4">
        <v>50</v>
      </c>
      <c r="J877" s="4">
        <v>25</v>
      </c>
      <c r="K877" s="4">
        <v>0</v>
      </c>
      <c r="L877" s="4">
        <v>41</v>
      </c>
      <c r="M877" s="4">
        <v>93</v>
      </c>
    </row>
    <row r="878" spans="1:13">
      <c r="A878" s="3" t="s">
        <v>1423</v>
      </c>
      <c r="B878" s="4">
        <v>80</v>
      </c>
      <c r="C878" s="4">
        <v>100</v>
      </c>
      <c r="D878" s="4">
        <v>50</v>
      </c>
      <c r="E878" s="4">
        <v>15</v>
      </c>
      <c r="F878" s="4">
        <v>60</v>
      </c>
      <c r="G878" s="4">
        <v>45</v>
      </c>
      <c r="H878" s="4">
        <v>65</v>
      </c>
      <c r="I878" s="4">
        <v>30</v>
      </c>
      <c r="J878" s="4">
        <v>75</v>
      </c>
      <c r="K878" s="4">
        <v>45</v>
      </c>
      <c r="L878" s="4">
        <v>80</v>
      </c>
      <c r="M878" s="4">
        <v>55</v>
      </c>
    </row>
    <row r="879" spans="1:13">
      <c r="A879" s="3" t="s">
        <v>1424</v>
      </c>
      <c r="B879" s="4">
        <v>343.75</v>
      </c>
      <c r="C879" s="4">
        <v>117.25</v>
      </c>
      <c r="D879" s="4">
        <v>141.25</v>
      </c>
      <c r="E879" s="4">
        <v>255.75</v>
      </c>
      <c r="F879" s="4">
        <v>542</v>
      </c>
      <c r="G879" s="4">
        <v>1008.2</v>
      </c>
      <c r="H879" s="4">
        <v>410.5</v>
      </c>
      <c r="I879" s="4">
        <v>333.9</v>
      </c>
      <c r="J879" s="4">
        <v>548.25</v>
      </c>
      <c r="K879" s="4">
        <v>303.75</v>
      </c>
      <c r="L879" s="4">
        <v>300.55</v>
      </c>
      <c r="M879" s="4">
        <v>466.15</v>
      </c>
    </row>
    <row r="880" spans="1:13">
      <c r="A880" s="3" t="s">
        <v>1425</v>
      </c>
      <c r="B880" s="4">
        <v>20</v>
      </c>
      <c r="C880" s="4">
        <v>0</v>
      </c>
      <c r="D880" s="4">
        <v>30</v>
      </c>
      <c r="E880" s="4">
        <v>30</v>
      </c>
      <c r="F880" s="4">
        <v>38.5</v>
      </c>
      <c r="G880" s="4">
        <v>30</v>
      </c>
      <c r="H880" s="4">
        <v>37</v>
      </c>
      <c r="I880" s="4">
        <v>25</v>
      </c>
      <c r="J880" s="4">
        <v>35</v>
      </c>
      <c r="K880" s="4">
        <v>50</v>
      </c>
      <c r="L880" s="4">
        <v>75</v>
      </c>
      <c r="M880" s="4">
        <v>95</v>
      </c>
    </row>
    <row r="881" spans="1:13">
      <c r="A881" s="3" t="s">
        <v>1426</v>
      </c>
      <c r="B881" s="4">
        <v>0</v>
      </c>
      <c r="C881" s="4">
        <v>0</v>
      </c>
      <c r="D881" s="4">
        <v>0</v>
      </c>
      <c r="E881" s="4">
        <v>40</v>
      </c>
      <c r="F881" s="4">
        <v>39</v>
      </c>
      <c r="G881" s="4">
        <v>47.5</v>
      </c>
      <c r="H881" s="4">
        <v>0</v>
      </c>
      <c r="I881" s="4">
        <v>30</v>
      </c>
      <c r="J881" s="4">
        <v>0</v>
      </c>
      <c r="K881" s="4">
        <v>0</v>
      </c>
      <c r="L881" s="4">
        <v>0</v>
      </c>
      <c r="M881" s="4">
        <v>0</v>
      </c>
    </row>
    <row r="882" spans="1:13">
      <c r="A882" s="3" t="s">
        <v>1427</v>
      </c>
      <c r="B882" s="4">
        <v>5.5</v>
      </c>
      <c r="C882" s="4">
        <v>10</v>
      </c>
      <c r="D882" s="4">
        <v>20</v>
      </c>
      <c r="E882" s="4">
        <v>25</v>
      </c>
      <c r="F882" s="4">
        <v>0</v>
      </c>
      <c r="G882" s="4">
        <v>10</v>
      </c>
      <c r="H882" s="4">
        <v>25</v>
      </c>
      <c r="I882" s="4">
        <v>30</v>
      </c>
      <c r="J882" s="4">
        <v>15</v>
      </c>
      <c r="K882" s="4">
        <v>0</v>
      </c>
      <c r="L882" s="4">
        <v>0</v>
      </c>
      <c r="M882" s="4">
        <v>20</v>
      </c>
    </row>
    <row r="883" spans="1:13">
      <c r="A883" s="3" t="s">
        <v>1428</v>
      </c>
      <c r="B883" s="4">
        <v>22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</row>
    <row r="884" spans="1:13">
      <c r="A884" s="3" t="s">
        <v>1429</v>
      </c>
      <c r="B884" s="4">
        <v>10</v>
      </c>
      <c r="C884" s="4">
        <v>75</v>
      </c>
      <c r="D884" s="4">
        <v>125</v>
      </c>
      <c r="E884" s="4">
        <v>75</v>
      </c>
      <c r="F884" s="4">
        <v>70</v>
      </c>
      <c r="G884" s="4">
        <v>0</v>
      </c>
      <c r="H884" s="4">
        <v>0</v>
      </c>
      <c r="I884" s="4">
        <v>45</v>
      </c>
      <c r="J884" s="4">
        <v>117</v>
      </c>
      <c r="K884" s="4">
        <v>0</v>
      </c>
      <c r="L884" s="4">
        <v>107.5</v>
      </c>
      <c r="M884" s="4">
        <v>32</v>
      </c>
    </row>
    <row r="885" spans="1:13">
      <c r="A885" s="3" t="s">
        <v>1430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60</v>
      </c>
      <c r="K885" s="4">
        <v>55</v>
      </c>
      <c r="L885" s="4">
        <v>40</v>
      </c>
      <c r="M885" s="4">
        <v>70</v>
      </c>
    </row>
    <row r="886" spans="1:13">
      <c r="A886" s="3" t="s">
        <v>1431</v>
      </c>
      <c r="B886" s="4">
        <v>0</v>
      </c>
      <c r="C886" s="4">
        <v>0</v>
      </c>
      <c r="D886" s="4">
        <v>0</v>
      </c>
      <c r="E886" s="4">
        <v>10</v>
      </c>
      <c r="F886" s="4">
        <v>0</v>
      </c>
      <c r="G886" s="4">
        <v>0</v>
      </c>
      <c r="H886" s="4">
        <v>15</v>
      </c>
      <c r="I886" s="4">
        <v>25</v>
      </c>
      <c r="J886" s="4">
        <v>0</v>
      </c>
      <c r="K886" s="4">
        <v>30</v>
      </c>
      <c r="L886" s="4">
        <v>10</v>
      </c>
      <c r="M886" s="4">
        <v>54.5</v>
      </c>
    </row>
    <row r="887" spans="1:13">
      <c r="A887" s="3" t="s">
        <v>1432</v>
      </c>
      <c r="B887" s="4">
        <v>0</v>
      </c>
      <c r="C887" s="4">
        <v>0</v>
      </c>
      <c r="D887" s="4">
        <v>0</v>
      </c>
      <c r="E887" s="4">
        <v>2.5</v>
      </c>
      <c r="F887" s="4">
        <v>15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</row>
    <row r="888" spans="1:13">
      <c r="A888" s="3" t="s">
        <v>1433</v>
      </c>
      <c r="B888" s="4">
        <v>30</v>
      </c>
      <c r="C888" s="4">
        <v>60</v>
      </c>
      <c r="D888" s="4">
        <v>30</v>
      </c>
      <c r="E888" s="4">
        <v>45</v>
      </c>
      <c r="F888" s="4">
        <v>39</v>
      </c>
      <c r="G888" s="4">
        <v>64</v>
      </c>
      <c r="H888" s="4">
        <v>29.5</v>
      </c>
      <c r="I888" s="4">
        <v>15</v>
      </c>
      <c r="J888" s="4">
        <v>45</v>
      </c>
      <c r="K888" s="4">
        <v>29.5</v>
      </c>
      <c r="L888" s="4">
        <v>59</v>
      </c>
      <c r="M888" s="4">
        <v>15</v>
      </c>
    </row>
    <row r="889" spans="1:13">
      <c r="A889" s="3" t="s">
        <v>1434</v>
      </c>
      <c r="B889" s="4">
        <v>0</v>
      </c>
      <c r="C889" s="4">
        <v>50</v>
      </c>
      <c r="D889" s="4">
        <v>60</v>
      </c>
      <c r="E889" s="4">
        <v>41.9</v>
      </c>
      <c r="F889" s="4">
        <v>61</v>
      </c>
      <c r="G889" s="4">
        <v>50</v>
      </c>
      <c r="H889" s="4">
        <v>45</v>
      </c>
      <c r="I889" s="4">
        <v>45</v>
      </c>
      <c r="J889" s="4">
        <v>55</v>
      </c>
      <c r="K889" s="4">
        <v>20</v>
      </c>
      <c r="L889" s="4">
        <v>0</v>
      </c>
      <c r="M889" s="4">
        <v>0</v>
      </c>
    </row>
    <row r="890" spans="1:13">
      <c r="A890" s="3" t="s">
        <v>1435</v>
      </c>
      <c r="B890" s="4">
        <v>25</v>
      </c>
      <c r="C890" s="4">
        <v>21</v>
      </c>
      <c r="D890" s="4">
        <v>91</v>
      </c>
      <c r="E890" s="4">
        <v>15</v>
      </c>
      <c r="F890" s="4">
        <v>129</v>
      </c>
      <c r="G890" s="4">
        <v>67.55</v>
      </c>
      <c r="H890" s="4">
        <v>50</v>
      </c>
      <c r="I890" s="4">
        <v>10</v>
      </c>
      <c r="J890" s="4">
        <v>0</v>
      </c>
      <c r="K890" s="4">
        <v>48</v>
      </c>
      <c r="L890" s="4">
        <v>23</v>
      </c>
      <c r="M890" s="4">
        <v>1</v>
      </c>
    </row>
    <row r="891" spans="1:13">
      <c r="A891" s="3" t="s">
        <v>1436</v>
      </c>
      <c r="B891" s="4">
        <v>15</v>
      </c>
      <c r="C891" s="4">
        <v>20</v>
      </c>
      <c r="D891" s="4">
        <v>55</v>
      </c>
      <c r="E891" s="4">
        <v>52.5</v>
      </c>
      <c r="F891" s="4">
        <v>42.5</v>
      </c>
      <c r="G891" s="4">
        <v>57.5</v>
      </c>
      <c r="H891" s="4">
        <v>20</v>
      </c>
      <c r="I891" s="4">
        <v>111</v>
      </c>
      <c r="J891" s="4">
        <v>50</v>
      </c>
      <c r="K891" s="4">
        <v>43</v>
      </c>
      <c r="L891" s="4">
        <v>50</v>
      </c>
      <c r="M891" s="4">
        <v>95</v>
      </c>
    </row>
    <row r="892" spans="1:13">
      <c r="A892" s="3" t="s">
        <v>1437</v>
      </c>
      <c r="B892" s="4">
        <v>0</v>
      </c>
      <c r="C892" s="4">
        <v>15</v>
      </c>
      <c r="D892" s="4">
        <v>20</v>
      </c>
      <c r="E892" s="4">
        <v>12</v>
      </c>
      <c r="F892" s="4">
        <v>45</v>
      </c>
      <c r="G892" s="4">
        <v>25</v>
      </c>
      <c r="H892" s="4">
        <v>25</v>
      </c>
      <c r="I892" s="4">
        <v>10</v>
      </c>
      <c r="J892" s="4">
        <v>10</v>
      </c>
      <c r="K892" s="4">
        <v>10</v>
      </c>
      <c r="L892" s="4">
        <v>10</v>
      </c>
      <c r="M892" s="4">
        <v>10</v>
      </c>
    </row>
    <row r="893" spans="1:13">
      <c r="A893" s="3" t="s">
        <v>1438</v>
      </c>
      <c r="B893" s="4">
        <v>27.4</v>
      </c>
      <c r="C893" s="4">
        <v>26.5</v>
      </c>
      <c r="D893" s="4">
        <v>48.5</v>
      </c>
      <c r="E893" s="4">
        <v>60.5</v>
      </c>
      <c r="F893" s="4">
        <v>23.5</v>
      </c>
      <c r="G893" s="4">
        <v>0</v>
      </c>
      <c r="H893" s="4">
        <v>0</v>
      </c>
      <c r="I893" s="4">
        <v>30</v>
      </c>
      <c r="J893" s="4">
        <v>30</v>
      </c>
      <c r="K893" s="4">
        <v>0</v>
      </c>
      <c r="L893" s="4">
        <v>0</v>
      </c>
      <c r="M893" s="4">
        <v>0</v>
      </c>
    </row>
    <row r="894" spans="1:13">
      <c r="A894" s="3" t="s">
        <v>1439</v>
      </c>
      <c r="B894" s="4">
        <v>21</v>
      </c>
      <c r="C894" s="4">
        <v>0</v>
      </c>
      <c r="D894" s="4">
        <v>20</v>
      </c>
      <c r="E894" s="4">
        <v>0</v>
      </c>
      <c r="F894" s="4">
        <v>0</v>
      </c>
      <c r="G894" s="4">
        <v>6</v>
      </c>
      <c r="H894" s="4">
        <v>0</v>
      </c>
      <c r="I894" s="4">
        <v>10</v>
      </c>
      <c r="J894" s="4">
        <v>0</v>
      </c>
      <c r="K894" s="4">
        <v>10</v>
      </c>
      <c r="L894" s="4">
        <v>0</v>
      </c>
      <c r="M894" s="4">
        <v>20.3</v>
      </c>
    </row>
    <row r="895" spans="1:13">
      <c r="A895" s="3" t="s">
        <v>1440</v>
      </c>
      <c r="B895" s="4">
        <v>0</v>
      </c>
      <c r="C895" s="4">
        <v>10</v>
      </c>
      <c r="D895" s="4">
        <v>0</v>
      </c>
      <c r="E895" s="4">
        <v>0</v>
      </c>
      <c r="F895" s="4">
        <v>12.5</v>
      </c>
      <c r="G895" s="4">
        <v>30</v>
      </c>
      <c r="H895" s="4">
        <v>10</v>
      </c>
      <c r="I895" s="4">
        <v>0</v>
      </c>
      <c r="J895" s="4">
        <v>25</v>
      </c>
      <c r="K895" s="4">
        <v>15</v>
      </c>
      <c r="L895" s="4">
        <v>55</v>
      </c>
      <c r="M895" s="4">
        <v>55</v>
      </c>
    </row>
    <row r="896" spans="1:13">
      <c r="A896" s="3" t="s">
        <v>1441</v>
      </c>
      <c r="B896" s="4">
        <v>45</v>
      </c>
      <c r="C896" s="4">
        <v>126</v>
      </c>
      <c r="D896" s="4">
        <v>160</v>
      </c>
      <c r="E896" s="4">
        <v>105</v>
      </c>
      <c r="F896" s="4">
        <v>60</v>
      </c>
      <c r="G896" s="4">
        <v>122.85</v>
      </c>
      <c r="H896" s="4">
        <v>67</v>
      </c>
      <c r="I896" s="4">
        <v>20</v>
      </c>
      <c r="J896" s="4">
        <v>65</v>
      </c>
      <c r="K896" s="4">
        <v>20</v>
      </c>
      <c r="L896" s="4">
        <v>290</v>
      </c>
      <c r="M896" s="4">
        <v>172.5</v>
      </c>
    </row>
    <row r="897" spans="1:13">
      <c r="A897" s="3" t="s">
        <v>1442</v>
      </c>
      <c r="B897" s="4">
        <v>37.5</v>
      </c>
      <c r="C897" s="4">
        <v>0</v>
      </c>
      <c r="D897" s="4">
        <v>62</v>
      </c>
      <c r="E897" s="4">
        <v>56</v>
      </c>
      <c r="F897" s="4">
        <v>26</v>
      </c>
      <c r="G897" s="4">
        <v>2.25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31</v>
      </c>
    </row>
    <row r="898" spans="1:13">
      <c r="A898" s="3" t="s">
        <v>1443</v>
      </c>
      <c r="B898" s="4">
        <v>60</v>
      </c>
      <c r="C898" s="4">
        <v>120</v>
      </c>
      <c r="D898" s="4">
        <v>85</v>
      </c>
      <c r="E898" s="4">
        <v>70</v>
      </c>
      <c r="F898" s="4">
        <v>105</v>
      </c>
      <c r="G898" s="4">
        <v>45</v>
      </c>
      <c r="H898" s="4">
        <v>105</v>
      </c>
      <c r="I898" s="4">
        <v>45</v>
      </c>
      <c r="J898" s="4">
        <v>60</v>
      </c>
      <c r="K898" s="4">
        <v>110</v>
      </c>
      <c r="L898" s="4">
        <v>60</v>
      </c>
      <c r="M898" s="4">
        <v>135</v>
      </c>
    </row>
    <row r="899" spans="1:13">
      <c r="A899" s="3" t="s">
        <v>1444</v>
      </c>
      <c r="B899" s="4">
        <v>0</v>
      </c>
      <c r="C899" s="4">
        <v>0</v>
      </c>
      <c r="D899" s="4">
        <v>19</v>
      </c>
      <c r="E899" s="4">
        <v>40</v>
      </c>
      <c r="F899" s="4">
        <v>0</v>
      </c>
      <c r="G899" s="4">
        <v>0</v>
      </c>
      <c r="H899" s="4">
        <v>0</v>
      </c>
      <c r="I899" s="4">
        <v>0</v>
      </c>
      <c r="J899" s="4">
        <v>10</v>
      </c>
      <c r="K899" s="4">
        <v>10</v>
      </c>
      <c r="L899" s="4">
        <v>0</v>
      </c>
      <c r="M899" s="4">
        <v>0</v>
      </c>
    </row>
    <row r="900" spans="1:13">
      <c r="A900" s="3" t="s">
        <v>1445</v>
      </c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51</v>
      </c>
      <c r="M900" s="4">
        <v>93.5</v>
      </c>
    </row>
    <row r="901" spans="1:13">
      <c r="A901" s="3" t="s">
        <v>1446</v>
      </c>
      <c r="B901" s="4">
        <v>105</v>
      </c>
      <c r="C901" s="4">
        <v>102</v>
      </c>
      <c r="D901" s="4">
        <v>70</v>
      </c>
      <c r="E901" s="4">
        <v>111.5</v>
      </c>
      <c r="F901" s="4">
        <v>0</v>
      </c>
      <c r="G901" s="4">
        <v>0</v>
      </c>
      <c r="H901" s="4">
        <v>0</v>
      </c>
      <c r="I901" s="4">
        <v>30</v>
      </c>
      <c r="J901" s="4">
        <v>85</v>
      </c>
      <c r="K901" s="4">
        <v>60</v>
      </c>
      <c r="L901" s="4">
        <v>80</v>
      </c>
      <c r="M901" s="4">
        <v>70</v>
      </c>
    </row>
    <row r="902" spans="1:13">
      <c r="A902" s="3" t="s">
        <v>1447</v>
      </c>
      <c r="B902" s="4">
        <v>15</v>
      </c>
      <c r="C902" s="4">
        <v>52.5</v>
      </c>
      <c r="D902" s="4">
        <v>80</v>
      </c>
      <c r="E902" s="4">
        <v>70</v>
      </c>
      <c r="F902" s="4">
        <v>65</v>
      </c>
      <c r="G902" s="4">
        <v>47.5</v>
      </c>
      <c r="H902" s="4">
        <v>40</v>
      </c>
      <c r="I902" s="4">
        <v>10</v>
      </c>
      <c r="J902" s="4">
        <v>12.5</v>
      </c>
      <c r="K902" s="4">
        <v>75</v>
      </c>
      <c r="L902" s="4">
        <v>90</v>
      </c>
      <c r="M902" s="4">
        <v>30</v>
      </c>
    </row>
    <row r="903" spans="1:13">
      <c r="A903" s="3" t="s">
        <v>1448</v>
      </c>
      <c r="B903" s="4">
        <v>10</v>
      </c>
      <c r="C903" s="4">
        <v>20</v>
      </c>
      <c r="D903" s="4">
        <v>10</v>
      </c>
      <c r="E903" s="4">
        <v>52.5</v>
      </c>
      <c r="F903" s="4">
        <v>30.5</v>
      </c>
      <c r="G903" s="4">
        <v>0</v>
      </c>
      <c r="H903" s="4">
        <v>10</v>
      </c>
      <c r="I903" s="4">
        <v>0</v>
      </c>
      <c r="J903" s="4">
        <v>15</v>
      </c>
      <c r="K903" s="4">
        <v>10</v>
      </c>
      <c r="L903" s="4">
        <v>30</v>
      </c>
      <c r="M903" s="4">
        <v>35</v>
      </c>
    </row>
    <row r="904" spans="1:13">
      <c r="A904" s="3" t="s">
        <v>1449</v>
      </c>
      <c r="B904" s="4">
        <v>27.5</v>
      </c>
      <c r="C904" s="4">
        <v>43</v>
      </c>
      <c r="D904" s="4">
        <v>100</v>
      </c>
      <c r="E904" s="4">
        <v>24</v>
      </c>
      <c r="F904" s="4">
        <v>74.5</v>
      </c>
      <c r="G904" s="4">
        <v>45</v>
      </c>
      <c r="H904" s="4">
        <v>35</v>
      </c>
      <c r="I904" s="4">
        <v>14.45</v>
      </c>
      <c r="J904" s="4">
        <v>65</v>
      </c>
      <c r="K904" s="4">
        <v>45</v>
      </c>
      <c r="L904" s="4">
        <v>30</v>
      </c>
      <c r="M904" s="4">
        <v>15</v>
      </c>
    </row>
    <row r="905" spans="1:13">
      <c r="A905" s="3" t="s">
        <v>1450</v>
      </c>
      <c r="B905" s="4">
        <v>20</v>
      </c>
      <c r="C905" s="4">
        <v>84.5</v>
      </c>
      <c r="D905" s="4">
        <v>64</v>
      </c>
      <c r="E905" s="4">
        <v>93.5</v>
      </c>
      <c r="F905" s="4">
        <v>76.3</v>
      </c>
      <c r="G905" s="4">
        <v>54</v>
      </c>
      <c r="H905" s="4">
        <v>26.75</v>
      </c>
      <c r="I905" s="4">
        <v>19.75</v>
      </c>
      <c r="J905" s="4">
        <v>23.25</v>
      </c>
      <c r="K905" s="4">
        <v>10</v>
      </c>
      <c r="L905" s="4">
        <v>43</v>
      </c>
      <c r="M905" s="4">
        <v>40</v>
      </c>
    </row>
    <row r="906" spans="1:13">
      <c r="A906" s="3" t="s">
        <v>1451</v>
      </c>
      <c r="B906" s="4">
        <v>0</v>
      </c>
      <c r="C906" s="4">
        <v>0</v>
      </c>
      <c r="D906" s="4">
        <v>65</v>
      </c>
      <c r="E906" s="4">
        <v>55</v>
      </c>
      <c r="F906" s="4">
        <v>23.75</v>
      </c>
      <c r="G906" s="4">
        <v>75</v>
      </c>
      <c r="H906" s="4">
        <v>53</v>
      </c>
      <c r="I906" s="4">
        <v>35</v>
      </c>
      <c r="J906" s="4">
        <v>59.5</v>
      </c>
      <c r="K906" s="4">
        <v>98</v>
      </c>
      <c r="L906" s="4">
        <v>37</v>
      </c>
      <c r="M906" s="4">
        <v>40</v>
      </c>
    </row>
    <row r="907" spans="1:13">
      <c r="A907" s="3" t="s">
        <v>1452</v>
      </c>
      <c r="B907" s="4">
        <v>0</v>
      </c>
      <c r="C907" s="4">
        <v>10</v>
      </c>
      <c r="D907" s="4">
        <v>30</v>
      </c>
      <c r="E907" s="4">
        <v>1</v>
      </c>
      <c r="F907" s="4">
        <v>16</v>
      </c>
      <c r="G907" s="4">
        <v>10</v>
      </c>
      <c r="H907" s="4">
        <v>0</v>
      </c>
      <c r="I907" s="4">
        <v>15</v>
      </c>
      <c r="J907" s="4">
        <v>5</v>
      </c>
      <c r="K907" s="4">
        <v>0</v>
      </c>
      <c r="L907" s="4">
        <v>25</v>
      </c>
      <c r="M907" s="4">
        <v>30</v>
      </c>
    </row>
    <row r="908" spans="1:13">
      <c r="A908" s="3" t="s">
        <v>1453</v>
      </c>
      <c r="B908" s="4">
        <v>67</v>
      </c>
      <c r="C908" s="4">
        <v>70</v>
      </c>
      <c r="D908" s="4">
        <v>73.599999999999994</v>
      </c>
      <c r="E908" s="4">
        <v>129</v>
      </c>
      <c r="F908" s="4">
        <v>187.65</v>
      </c>
      <c r="G908" s="4">
        <v>109.1</v>
      </c>
      <c r="H908" s="4">
        <v>82</v>
      </c>
      <c r="I908" s="4">
        <v>70</v>
      </c>
      <c r="J908" s="4">
        <v>220.5</v>
      </c>
      <c r="K908" s="4">
        <v>197.9</v>
      </c>
      <c r="L908" s="4">
        <v>154.5</v>
      </c>
      <c r="M908" s="4">
        <v>344</v>
      </c>
    </row>
    <row r="909" spans="1:13">
      <c r="A909" s="3" t="s">
        <v>1454</v>
      </c>
      <c r="B909" s="4">
        <v>10</v>
      </c>
      <c r="C909" s="4">
        <v>15</v>
      </c>
      <c r="D909" s="4">
        <v>20</v>
      </c>
      <c r="E909" s="4">
        <v>0</v>
      </c>
      <c r="F909" s="4">
        <v>20</v>
      </c>
      <c r="G909" s="4">
        <v>0</v>
      </c>
      <c r="H909" s="4">
        <v>7.5</v>
      </c>
      <c r="I909" s="4">
        <v>10</v>
      </c>
      <c r="J909" s="4">
        <v>0</v>
      </c>
      <c r="K909" s="4">
        <v>0</v>
      </c>
      <c r="L909" s="4">
        <v>0</v>
      </c>
      <c r="M909" s="4">
        <v>10</v>
      </c>
    </row>
    <row r="910" spans="1:13">
      <c r="A910" s="3" t="s">
        <v>1455</v>
      </c>
      <c r="B910" s="4">
        <v>67</v>
      </c>
      <c r="C910" s="4">
        <v>30</v>
      </c>
      <c r="D910" s="4">
        <v>50.5</v>
      </c>
      <c r="E910" s="4">
        <v>42.5</v>
      </c>
      <c r="F910" s="4">
        <v>56.5</v>
      </c>
      <c r="G910" s="4">
        <v>55</v>
      </c>
      <c r="H910" s="4">
        <v>25</v>
      </c>
      <c r="I910" s="4">
        <v>40</v>
      </c>
      <c r="J910" s="4">
        <v>10</v>
      </c>
      <c r="K910" s="4">
        <v>73.5</v>
      </c>
      <c r="L910" s="4">
        <v>69</v>
      </c>
      <c r="M910" s="4">
        <v>51</v>
      </c>
    </row>
    <row r="911" spans="1:13">
      <c r="A911" s="3" t="s">
        <v>1456</v>
      </c>
      <c r="B911" s="4">
        <v>20</v>
      </c>
      <c r="C911" s="4">
        <v>25</v>
      </c>
      <c r="D911" s="4">
        <v>46</v>
      </c>
      <c r="E911" s="4">
        <v>78</v>
      </c>
      <c r="F911" s="4">
        <v>60</v>
      </c>
      <c r="G911" s="4">
        <v>85</v>
      </c>
      <c r="H911" s="4">
        <v>50</v>
      </c>
      <c r="I911" s="4">
        <v>53</v>
      </c>
      <c r="J911" s="4">
        <v>89</v>
      </c>
      <c r="K911" s="4">
        <v>85</v>
      </c>
      <c r="L911" s="4">
        <v>20</v>
      </c>
      <c r="M911" s="4">
        <v>95.5</v>
      </c>
    </row>
    <row r="912" spans="1:13">
      <c r="A912" s="3" t="s">
        <v>1457</v>
      </c>
      <c r="B912" s="4">
        <v>0</v>
      </c>
      <c r="C912" s="4">
        <v>0</v>
      </c>
      <c r="D912" s="4">
        <v>0</v>
      </c>
      <c r="E912" s="4">
        <v>11</v>
      </c>
      <c r="F912" s="4">
        <v>0</v>
      </c>
      <c r="G912" s="4">
        <v>0</v>
      </c>
      <c r="H912" s="4">
        <v>31</v>
      </c>
      <c r="I912" s="4">
        <v>0</v>
      </c>
      <c r="J912" s="4">
        <v>21</v>
      </c>
      <c r="K912" s="4">
        <v>0</v>
      </c>
      <c r="L912" s="4">
        <v>0</v>
      </c>
      <c r="M912" s="4">
        <v>0</v>
      </c>
    </row>
    <row r="913" spans="1:13">
      <c r="A913" s="3" t="s">
        <v>1458</v>
      </c>
      <c r="B913" s="4">
        <v>45</v>
      </c>
      <c r="C913" s="4">
        <v>186</v>
      </c>
      <c r="D913" s="4">
        <v>0</v>
      </c>
      <c r="E913" s="4">
        <v>111.5</v>
      </c>
      <c r="F913" s="4">
        <v>45</v>
      </c>
      <c r="G913" s="4">
        <v>45</v>
      </c>
      <c r="H913" s="4">
        <v>0</v>
      </c>
      <c r="I913" s="4">
        <v>0</v>
      </c>
      <c r="J913" s="4">
        <v>129.5</v>
      </c>
      <c r="K913" s="4">
        <v>0</v>
      </c>
      <c r="L913" s="4">
        <v>35</v>
      </c>
      <c r="M913" s="4">
        <v>4</v>
      </c>
    </row>
    <row r="914" spans="1:13">
      <c r="A914" s="3" t="s">
        <v>1459</v>
      </c>
      <c r="B914" s="4">
        <v>25</v>
      </c>
      <c r="C914" s="4">
        <v>55</v>
      </c>
      <c r="D914" s="4">
        <v>45</v>
      </c>
      <c r="E914" s="4">
        <v>70</v>
      </c>
      <c r="F914" s="4">
        <v>109.6</v>
      </c>
      <c r="G914" s="4">
        <v>54.5</v>
      </c>
      <c r="H914" s="4">
        <v>55</v>
      </c>
      <c r="I914" s="4">
        <v>30</v>
      </c>
      <c r="J914" s="4">
        <v>63</v>
      </c>
      <c r="K914" s="4">
        <v>77</v>
      </c>
      <c r="L914" s="4">
        <v>30</v>
      </c>
      <c r="M914" s="4">
        <v>60</v>
      </c>
    </row>
    <row r="915" spans="1:13">
      <c r="A915" s="3" t="s">
        <v>1460</v>
      </c>
      <c r="B915" s="4">
        <v>0</v>
      </c>
      <c r="C915" s="4">
        <v>15</v>
      </c>
      <c r="D915" s="4">
        <v>40</v>
      </c>
      <c r="E915" s="4">
        <v>15</v>
      </c>
      <c r="F915" s="4">
        <v>2.5</v>
      </c>
      <c r="G915" s="4">
        <v>0</v>
      </c>
      <c r="H915" s="4">
        <v>0</v>
      </c>
      <c r="I915" s="4">
        <v>0</v>
      </c>
      <c r="J915" s="4">
        <v>35</v>
      </c>
      <c r="K915" s="4">
        <v>0</v>
      </c>
      <c r="L915" s="4">
        <v>50</v>
      </c>
      <c r="M915" s="4">
        <v>37</v>
      </c>
    </row>
    <row r="916" spans="1:13">
      <c r="A916" s="3" t="s">
        <v>1461</v>
      </c>
      <c r="B916" s="4">
        <v>0</v>
      </c>
      <c r="C916" s="4">
        <v>0</v>
      </c>
      <c r="D916" s="4">
        <v>0</v>
      </c>
      <c r="E916" s="4">
        <v>0</v>
      </c>
      <c r="F916" s="4">
        <v>67.5</v>
      </c>
      <c r="G916" s="4">
        <v>42.5</v>
      </c>
      <c r="H916" s="4">
        <v>60</v>
      </c>
      <c r="I916" s="4">
        <v>70.75</v>
      </c>
      <c r="J916" s="4">
        <v>41.25</v>
      </c>
      <c r="K916" s="4">
        <v>37.5</v>
      </c>
      <c r="L916" s="4">
        <v>70</v>
      </c>
      <c r="M916" s="4">
        <v>139.1</v>
      </c>
    </row>
    <row r="917" spans="1:13">
      <c r="A917" s="3" t="s">
        <v>1462</v>
      </c>
      <c r="B917" s="4">
        <v>43</v>
      </c>
      <c r="C917" s="4">
        <v>0</v>
      </c>
      <c r="D917" s="4">
        <v>0</v>
      </c>
      <c r="E917" s="4">
        <v>20</v>
      </c>
      <c r="F917" s="4">
        <v>27.5</v>
      </c>
      <c r="G917" s="4">
        <v>40</v>
      </c>
      <c r="H917" s="4">
        <v>35</v>
      </c>
      <c r="I917" s="4">
        <v>15</v>
      </c>
      <c r="J917" s="4">
        <v>51</v>
      </c>
      <c r="K917" s="4">
        <v>15</v>
      </c>
      <c r="L917" s="4">
        <v>10</v>
      </c>
      <c r="M917" s="4">
        <v>104</v>
      </c>
    </row>
    <row r="918" spans="1:13">
      <c r="A918" s="3" t="s">
        <v>1463</v>
      </c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21</v>
      </c>
      <c r="J918" s="4">
        <v>0</v>
      </c>
      <c r="K918" s="4">
        <v>5</v>
      </c>
      <c r="L918" s="4">
        <v>7.5</v>
      </c>
      <c r="M918" s="4">
        <v>5</v>
      </c>
    </row>
    <row r="919" spans="1:13">
      <c r="A919" s="3" t="s">
        <v>1464</v>
      </c>
      <c r="B919" s="4">
        <v>0</v>
      </c>
      <c r="C919" s="4">
        <v>0</v>
      </c>
      <c r="D919" s="4">
        <v>24.9</v>
      </c>
      <c r="E919" s="4">
        <v>41</v>
      </c>
      <c r="F919" s="4">
        <v>31.3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</row>
    <row r="920" spans="1:13">
      <c r="A920" s="3" t="s">
        <v>1465</v>
      </c>
      <c r="B920" s="4">
        <v>17.5</v>
      </c>
      <c r="C920" s="4">
        <v>40</v>
      </c>
      <c r="D920" s="4">
        <v>28.5</v>
      </c>
      <c r="E920" s="4">
        <v>62.5</v>
      </c>
      <c r="F920" s="4">
        <v>2</v>
      </c>
      <c r="G920" s="4">
        <v>0</v>
      </c>
      <c r="H920" s="4">
        <v>0</v>
      </c>
      <c r="I920" s="4">
        <v>12</v>
      </c>
      <c r="J920" s="4">
        <v>27.5</v>
      </c>
      <c r="K920" s="4">
        <v>60</v>
      </c>
      <c r="L920" s="4">
        <v>20</v>
      </c>
      <c r="M920" s="4">
        <v>92.5</v>
      </c>
    </row>
    <row r="921" spans="1:13">
      <c r="A921" s="3" t="s">
        <v>1466</v>
      </c>
      <c r="B921" s="4">
        <v>81.5</v>
      </c>
      <c r="C921" s="4">
        <v>95.75</v>
      </c>
      <c r="D921" s="4">
        <v>152.5</v>
      </c>
      <c r="E921" s="4">
        <v>110.9</v>
      </c>
      <c r="F921" s="4">
        <v>92</v>
      </c>
      <c r="G921" s="4">
        <v>133</v>
      </c>
      <c r="H921" s="4">
        <v>95</v>
      </c>
      <c r="I921" s="4">
        <v>153.25</v>
      </c>
      <c r="J921" s="4">
        <v>179.5</v>
      </c>
      <c r="K921" s="4">
        <v>75</v>
      </c>
      <c r="L921" s="4">
        <v>107.75</v>
      </c>
      <c r="M921" s="4">
        <v>96.5</v>
      </c>
    </row>
    <row r="922" spans="1:13">
      <c r="A922" s="3" t="s">
        <v>1467</v>
      </c>
      <c r="B922" s="4">
        <v>42</v>
      </c>
      <c r="C922" s="4">
        <v>43.5</v>
      </c>
      <c r="D922" s="4">
        <v>42</v>
      </c>
      <c r="E922" s="4">
        <v>24</v>
      </c>
      <c r="F922" s="4">
        <v>42</v>
      </c>
      <c r="G922" s="4">
        <v>45.05</v>
      </c>
      <c r="H922" s="4">
        <v>5.5</v>
      </c>
      <c r="I922" s="4">
        <v>23</v>
      </c>
      <c r="J922" s="4">
        <v>59</v>
      </c>
      <c r="K922" s="4">
        <v>0</v>
      </c>
      <c r="L922" s="4">
        <v>85</v>
      </c>
      <c r="M922" s="4">
        <v>30</v>
      </c>
    </row>
    <row r="923" spans="1:13">
      <c r="A923" s="3" t="s">
        <v>1468</v>
      </c>
      <c r="B923" s="4">
        <v>10</v>
      </c>
      <c r="C923" s="4">
        <v>3</v>
      </c>
      <c r="D923" s="4">
        <v>50</v>
      </c>
      <c r="E923" s="4">
        <v>51</v>
      </c>
      <c r="F923" s="4">
        <v>22.5</v>
      </c>
      <c r="G923" s="4">
        <v>25</v>
      </c>
      <c r="H923" s="4">
        <v>31</v>
      </c>
      <c r="I923" s="4">
        <v>40</v>
      </c>
      <c r="J923" s="4">
        <v>50</v>
      </c>
      <c r="K923" s="4">
        <v>20</v>
      </c>
      <c r="L923" s="4">
        <v>45</v>
      </c>
      <c r="M923" s="4">
        <v>76</v>
      </c>
    </row>
    <row r="924" spans="1:13">
      <c r="A924" s="3" t="s">
        <v>1469</v>
      </c>
      <c r="B924" s="4">
        <v>30</v>
      </c>
      <c r="C924" s="4">
        <v>0</v>
      </c>
      <c r="D924" s="4">
        <v>0</v>
      </c>
      <c r="E924" s="4">
        <v>16.5</v>
      </c>
      <c r="F924" s="4">
        <v>21</v>
      </c>
      <c r="G924" s="4">
        <v>22.5</v>
      </c>
      <c r="H924" s="4">
        <v>0</v>
      </c>
      <c r="I924" s="4">
        <v>21</v>
      </c>
      <c r="J924" s="4">
        <v>51</v>
      </c>
      <c r="K924" s="4">
        <v>50</v>
      </c>
      <c r="L924" s="4">
        <v>0</v>
      </c>
      <c r="M924" s="4">
        <v>0</v>
      </c>
    </row>
    <row r="925" spans="1:13">
      <c r="A925" s="3" t="s">
        <v>1470</v>
      </c>
      <c r="B925" s="4">
        <v>103</v>
      </c>
      <c r="C925" s="4">
        <v>171</v>
      </c>
      <c r="D925" s="4">
        <v>190</v>
      </c>
      <c r="E925" s="4">
        <v>155</v>
      </c>
      <c r="F925" s="4">
        <v>95</v>
      </c>
      <c r="G925" s="4">
        <v>85</v>
      </c>
      <c r="H925" s="4">
        <v>80</v>
      </c>
      <c r="I925" s="4">
        <v>55</v>
      </c>
      <c r="J925" s="4">
        <v>177</v>
      </c>
      <c r="K925" s="4">
        <v>178.5</v>
      </c>
      <c r="L925" s="4">
        <v>196</v>
      </c>
      <c r="M925" s="4">
        <v>140</v>
      </c>
    </row>
    <row r="926" spans="1:13">
      <c r="A926" s="3" t="s">
        <v>1471</v>
      </c>
      <c r="B926" s="4">
        <v>104</v>
      </c>
      <c r="C926" s="4">
        <v>52.55</v>
      </c>
      <c r="D926" s="4">
        <v>156.25</v>
      </c>
      <c r="E926" s="4">
        <v>151.49999999999997</v>
      </c>
      <c r="F926" s="4">
        <v>105</v>
      </c>
      <c r="G926" s="4">
        <v>145</v>
      </c>
      <c r="H926" s="4">
        <v>50</v>
      </c>
      <c r="I926" s="4">
        <v>45</v>
      </c>
      <c r="J926" s="4">
        <v>57.65</v>
      </c>
      <c r="K926" s="4">
        <v>30</v>
      </c>
      <c r="L926" s="4">
        <v>111</v>
      </c>
      <c r="M926" s="4">
        <v>119.5</v>
      </c>
    </row>
    <row r="927" spans="1:13">
      <c r="A927" s="3" t="s">
        <v>1472</v>
      </c>
      <c r="B927" s="4">
        <v>20</v>
      </c>
      <c r="C927" s="4">
        <v>35</v>
      </c>
      <c r="D927" s="4">
        <v>55</v>
      </c>
      <c r="E927" s="4">
        <v>75</v>
      </c>
      <c r="F927" s="4">
        <v>77</v>
      </c>
      <c r="G927" s="4">
        <v>40</v>
      </c>
      <c r="H927" s="4">
        <v>55</v>
      </c>
      <c r="I927" s="4">
        <v>35</v>
      </c>
      <c r="J927" s="4">
        <v>68</v>
      </c>
      <c r="K927" s="4">
        <v>60</v>
      </c>
      <c r="L927" s="4">
        <v>89</v>
      </c>
      <c r="M927" s="4">
        <v>49</v>
      </c>
    </row>
    <row r="928" spans="1:13">
      <c r="A928" s="3" t="s">
        <v>1473</v>
      </c>
      <c r="B928" s="4">
        <v>14.5</v>
      </c>
      <c r="C928" s="4">
        <v>17.5</v>
      </c>
      <c r="D928" s="4">
        <v>42.5</v>
      </c>
      <c r="E928" s="4">
        <v>63.5</v>
      </c>
      <c r="F928" s="4">
        <v>42.25</v>
      </c>
      <c r="G928" s="4">
        <v>22.5</v>
      </c>
      <c r="H928" s="4">
        <v>32</v>
      </c>
      <c r="I928" s="4">
        <v>15</v>
      </c>
      <c r="J928" s="4">
        <v>18.7</v>
      </c>
      <c r="K928" s="4">
        <v>25.1</v>
      </c>
      <c r="L928" s="4">
        <v>12.5</v>
      </c>
      <c r="M928" s="4">
        <v>23.35</v>
      </c>
    </row>
    <row r="929" spans="1:13">
      <c r="A929" s="3" t="s">
        <v>1474</v>
      </c>
      <c r="B929" s="4">
        <v>4</v>
      </c>
      <c r="C929" s="4">
        <v>13.75</v>
      </c>
      <c r="D929" s="4">
        <v>11.5</v>
      </c>
      <c r="E929" s="4">
        <v>2.5</v>
      </c>
      <c r="F929" s="4">
        <v>7.5</v>
      </c>
      <c r="G929" s="4">
        <v>2.5</v>
      </c>
      <c r="H929" s="4">
        <v>0</v>
      </c>
      <c r="I929" s="4">
        <v>11.5</v>
      </c>
      <c r="J929" s="4">
        <v>18.5</v>
      </c>
      <c r="K929" s="4">
        <v>0</v>
      </c>
      <c r="L929" s="4">
        <v>1</v>
      </c>
      <c r="M929" s="4">
        <v>7</v>
      </c>
    </row>
    <row r="930" spans="1:13">
      <c r="A930" s="3" t="s">
        <v>1475</v>
      </c>
      <c r="B930" s="4">
        <v>0</v>
      </c>
      <c r="C930" s="4">
        <v>0</v>
      </c>
      <c r="D930" s="4">
        <v>0</v>
      </c>
      <c r="E930" s="4">
        <v>30</v>
      </c>
      <c r="F930" s="4">
        <v>43</v>
      </c>
      <c r="G930" s="4">
        <v>10</v>
      </c>
      <c r="H930" s="4">
        <v>0</v>
      </c>
      <c r="I930" s="4">
        <v>0</v>
      </c>
      <c r="J930" s="4">
        <v>37.5</v>
      </c>
      <c r="K930" s="4">
        <v>5</v>
      </c>
      <c r="L930" s="4">
        <v>55</v>
      </c>
      <c r="M930" s="4">
        <v>20</v>
      </c>
    </row>
    <row r="931" spans="1:13">
      <c r="A931" s="3" t="s">
        <v>1476</v>
      </c>
      <c r="B931" s="4">
        <v>0</v>
      </c>
      <c r="C931" s="4">
        <v>37</v>
      </c>
      <c r="D931" s="4">
        <v>62.5</v>
      </c>
      <c r="E931" s="4">
        <v>116.5</v>
      </c>
      <c r="F931" s="4">
        <v>103.75</v>
      </c>
      <c r="G931" s="4">
        <v>74.5</v>
      </c>
      <c r="H931" s="4">
        <v>62</v>
      </c>
      <c r="I931" s="4">
        <v>30</v>
      </c>
      <c r="J931" s="4">
        <v>83</v>
      </c>
      <c r="K931" s="4">
        <v>51</v>
      </c>
      <c r="L931" s="4">
        <v>67</v>
      </c>
      <c r="M931" s="4">
        <v>15</v>
      </c>
    </row>
    <row r="932" spans="1:13">
      <c r="A932" s="3" t="s">
        <v>1477</v>
      </c>
      <c r="B932" s="4">
        <v>60</v>
      </c>
      <c r="C932" s="4">
        <v>10</v>
      </c>
      <c r="D932" s="4">
        <v>10</v>
      </c>
      <c r="E932" s="4">
        <v>0</v>
      </c>
      <c r="F932" s="4">
        <v>35</v>
      </c>
      <c r="G932" s="4">
        <v>5</v>
      </c>
      <c r="H932" s="4">
        <v>20</v>
      </c>
      <c r="I932" s="4">
        <v>50</v>
      </c>
      <c r="J932" s="4">
        <v>85</v>
      </c>
      <c r="K932" s="4">
        <v>97.5</v>
      </c>
      <c r="L932" s="4">
        <v>15</v>
      </c>
      <c r="M932" s="4">
        <v>65</v>
      </c>
    </row>
    <row r="933" spans="1:13">
      <c r="A933" s="3" t="s">
        <v>1478</v>
      </c>
      <c r="B933" s="4">
        <v>101.5</v>
      </c>
      <c r="C933" s="4">
        <v>5</v>
      </c>
      <c r="D933" s="4">
        <v>135</v>
      </c>
      <c r="E933" s="4">
        <v>0</v>
      </c>
      <c r="F933" s="4">
        <v>45</v>
      </c>
      <c r="G933" s="4">
        <v>45</v>
      </c>
      <c r="H933" s="4">
        <v>65</v>
      </c>
      <c r="I933" s="4">
        <v>103.5</v>
      </c>
      <c r="J933" s="4">
        <v>130</v>
      </c>
      <c r="K933" s="4">
        <v>104</v>
      </c>
      <c r="L933" s="4">
        <v>247.5</v>
      </c>
      <c r="M933" s="4">
        <v>316.5</v>
      </c>
    </row>
    <row r="934" spans="1:13">
      <c r="A934" s="3" t="s">
        <v>1479</v>
      </c>
      <c r="B934" s="4">
        <v>47</v>
      </c>
      <c r="C934" s="4">
        <v>87</v>
      </c>
      <c r="D934" s="4">
        <v>25</v>
      </c>
      <c r="E934" s="4">
        <v>30</v>
      </c>
      <c r="F934" s="4">
        <v>0</v>
      </c>
      <c r="G934" s="4">
        <v>32.5</v>
      </c>
      <c r="H934" s="4">
        <v>0</v>
      </c>
      <c r="I934" s="4">
        <v>55</v>
      </c>
      <c r="J934" s="4">
        <v>55</v>
      </c>
      <c r="K934" s="4">
        <v>0</v>
      </c>
      <c r="L934" s="4">
        <v>0</v>
      </c>
      <c r="M934" s="4">
        <v>10</v>
      </c>
    </row>
    <row r="935" spans="1:13">
      <c r="A935" s="3" t="s">
        <v>1480</v>
      </c>
      <c r="B935" s="4">
        <v>0</v>
      </c>
      <c r="C935" s="4">
        <v>147</v>
      </c>
      <c r="D935" s="4">
        <v>234</v>
      </c>
      <c r="E935" s="4">
        <v>65</v>
      </c>
      <c r="F935" s="4">
        <v>90</v>
      </c>
      <c r="G935" s="4">
        <v>35.5</v>
      </c>
      <c r="H935" s="4">
        <v>70</v>
      </c>
      <c r="I935" s="4">
        <v>0</v>
      </c>
      <c r="J935" s="4">
        <v>75</v>
      </c>
      <c r="K935" s="4">
        <v>75</v>
      </c>
      <c r="L935" s="4">
        <v>30</v>
      </c>
      <c r="M935" s="4">
        <v>40</v>
      </c>
    </row>
    <row r="936" spans="1:13">
      <c r="A936" s="3" t="s">
        <v>1481</v>
      </c>
      <c r="B936" s="4">
        <v>160</v>
      </c>
      <c r="C936" s="4">
        <v>227.5</v>
      </c>
      <c r="D936" s="4">
        <v>170</v>
      </c>
      <c r="E936" s="4">
        <v>65</v>
      </c>
      <c r="F936" s="4">
        <v>200</v>
      </c>
      <c r="G936" s="4">
        <v>20</v>
      </c>
      <c r="H936" s="4">
        <v>130</v>
      </c>
      <c r="I936" s="4">
        <v>10</v>
      </c>
      <c r="J936" s="4">
        <v>124</v>
      </c>
      <c r="K936" s="4">
        <v>75</v>
      </c>
      <c r="L936" s="4">
        <v>70</v>
      </c>
      <c r="M936" s="4">
        <v>250</v>
      </c>
    </row>
    <row r="937" spans="1:13">
      <c r="A937" s="3" t="s">
        <v>1482</v>
      </c>
      <c r="B937" s="4">
        <v>10</v>
      </c>
      <c r="C937" s="4">
        <v>130</v>
      </c>
      <c r="D937" s="4">
        <v>150</v>
      </c>
      <c r="E937" s="4">
        <v>55</v>
      </c>
      <c r="F937" s="4">
        <v>105</v>
      </c>
      <c r="G937" s="4">
        <v>40</v>
      </c>
      <c r="H937" s="4">
        <v>80</v>
      </c>
      <c r="I937" s="4">
        <v>0</v>
      </c>
      <c r="J937" s="4">
        <v>83</v>
      </c>
      <c r="K937" s="4">
        <v>75</v>
      </c>
      <c r="L937" s="4">
        <v>20</v>
      </c>
      <c r="M937" s="4">
        <v>50</v>
      </c>
    </row>
    <row r="938" spans="1:13">
      <c r="A938" s="3" t="s">
        <v>1483</v>
      </c>
      <c r="B938" s="4">
        <v>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12</v>
      </c>
      <c r="I938" s="4">
        <v>0</v>
      </c>
      <c r="J938" s="4">
        <v>23</v>
      </c>
      <c r="K938" s="4">
        <v>20</v>
      </c>
      <c r="L938" s="4">
        <v>0</v>
      </c>
      <c r="M938" s="4">
        <v>0</v>
      </c>
    </row>
    <row r="939" spans="1:13">
      <c r="A939" s="3" t="s">
        <v>1484</v>
      </c>
      <c r="B939" s="4">
        <v>0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12.5</v>
      </c>
      <c r="K939" s="4">
        <v>0</v>
      </c>
      <c r="L939" s="4">
        <v>0</v>
      </c>
      <c r="M939" s="4">
        <v>0</v>
      </c>
    </row>
    <row r="940" spans="1:13">
      <c r="A940" s="3" t="s">
        <v>1485</v>
      </c>
      <c r="B940" s="4">
        <v>20</v>
      </c>
      <c r="C940" s="4">
        <v>20</v>
      </c>
      <c r="D940" s="4">
        <v>65</v>
      </c>
      <c r="E940" s="4">
        <v>40</v>
      </c>
      <c r="F940" s="4">
        <v>40</v>
      </c>
      <c r="G940" s="4">
        <v>35</v>
      </c>
      <c r="H940" s="4">
        <v>10</v>
      </c>
      <c r="I940" s="4">
        <v>20</v>
      </c>
      <c r="J940" s="4">
        <v>50</v>
      </c>
      <c r="K940" s="4">
        <v>53</v>
      </c>
      <c r="L940" s="4">
        <v>50.5</v>
      </c>
      <c r="M940" s="4">
        <v>60</v>
      </c>
    </row>
    <row r="941" spans="1:13">
      <c r="A941" s="3" t="s">
        <v>1486</v>
      </c>
      <c r="B941" s="4">
        <v>20</v>
      </c>
      <c r="C941" s="4">
        <v>0</v>
      </c>
      <c r="D941" s="4">
        <v>0</v>
      </c>
      <c r="E941" s="4">
        <v>12</v>
      </c>
      <c r="F941" s="4">
        <v>0</v>
      </c>
      <c r="G941" s="4">
        <v>15</v>
      </c>
      <c r="H941" s="4">
        <v>0</v>
      </c>
      <c r="I941" s="4">
        <v>0</v>
      </c>
      <c r="J941" s="4">
        <v>20</v>
      </c>
      <c r="K941" s="4">
        <v>0</v>
      </c>
      <c r="L941" s="4">
        <v>12</v>
      </c>
      <c r="M941" s="4">
        <v>15</v>
      </c>
    </row>
    <row r="942" spans="1:13">
      <c r="A942" s="3" t="s">
        <v>1487</v>
      </c>
      <c r="B942" s="4">
        <v>10</v>
      </c>
      <c r="C942" s="4">
        <v>0</v>
      </c>
      <c r="D942" s="4">
        <v>15</v>
      </c>
      <c r="E942" s="4">
        <v>25</v>
      </c>
      <c r="F942" s="4">
        <v>5</v>
      </c>
      <c r="G942" s="4">
        <v>15.5</v>
      </c>
      <c r="H942" s="4">
        <v>15</v>
      </c>
      <c r="I942" s="4">
        <v>7</v>
      </c>
      <c r="J942" s="4">
        <v>20</v>
      </c>
      <c r="K942" s="4">
        <v>22.5</v>
      </c>
      <c r="L942" s="4">
        <v>15</v>
      </c>
      <c r="M942" s="4">
        <v>22.5</v>
      </c>
    </row>
    <row r="943" spans="1:13">
      <c r="A943" s="3" t="s">
        <v>1488</v>
      </c>
      <c r="B943" s="4">
        <v>1</v>
      </c>
      <c r="C943" s="4">
        <v>20</v>
      </c>
      <c r="D943" s="4">
        <v>0</v>
      </c>
      <c r="E943" s="4">
        <v>10</v>
      </c>
      <c r="F943" s="4">
        <v>17.5</v>
      </c>
      <c r="G943" s="4">
        <v>10.5</v>
      </c>
      <c r="H943" s="4">
        <v>0</v>
      </c>
      <c r="I943" s="4">
        <v>0</v>
      </c>
      <c r="J943" s="4">
        <v>4.5</v>
      </c>
      <c r="K943" s="4">
        <v>7</v>
      </c>
      <c r="L943" s="4">
        <v>16</v>
      </c>
      <c r="M943" s="4">
        <v>0</v>
      </c>
    </row>
    <row r="944" spans="1:13">
      <c r="A944" s="3" t="s">
        <v>1489</v>
      </c>
      <c r="B944" s="4">
        <v>25</v>
      </c>
      <c r="C944" s="4">
        <v>0</v>
      </c>
      <c r="D944" s="4">
        <v>0</v>
      </c>
      <c r="E944" s="4">
        <v>35</v>
      </c>
      <c r="F944" s="4">
        <v>0</v>
      </c>
      <c r="G944" s="4">
        <v>0</v>
      </c>
      <c r="H944" s="4">
        <v>45</v>
      </c>
      <c r="I944" s="4">
        <v>25</v>
      </c>
      <c r="J944" s="4">
        <v>0</v>
      </c>
      <c r="K944" s="4">
        <v>40</v>
      </c>
      <c r="L944" s="4">
        <v>59</v>
      </c>
      <c r="M944" s="4">
        <v>97.5</v>
      </c>
    </row>
    <row r="945" spans="1:13">
      <c r="A945" s="3" t="s">
        <v>1490</v>
      </c>
      <c r="B945" s="4">
        <v>90</v>
      </c>
      <c r="C945" s="4">
        <v>60</v>
      </c>
      <c r="D945" s="4">
        <v>55</v>
      </c>
      <c r="E945" s="4">
        <v>60</v>
      </c>
      <c r="F945" s="4">
        <v>30</v>
      </c>
      <c r="G945" s="4">
        <v>60</v>
      </c>
      <c r="H945" s="4">
        <v>60</v>
      </c>
      <c r="I945" s="4">
        <v>10</v>
      </c>
      <c r="J945" s="4">
        <v>0</v>
      </c>
      <c r="K945" s="4">
        <v>0</v>
      </c>
      <c r="L945" s="4">
        <v>0</v>
      </c>
      <c r="M945" s="4">
        <v>0</v>
      </c>
    </row>
    <row r="946" spans="1:13">
      <c r="A946" s="3" t="s">
        <v>1491</v>
      </c>
      <c r="B946" s="4">
        <v>182</v>
      </c>
      <c r="C946" s="4">
        <v>310</v>
      </c>
      <c r="D946" s="4">
        <v>335</v>
      </c>
      <c r="E946" s="4">
        <v>136</v>
      </c>
      <c r="F946" s="4">
        <v>233.5</v>
      </c>
      <c r="G946" s="4">
        <v>82</v>
      </c>
      <c r="H946" s="4">
        <v>300.5</v>
      </c>
      <c r="I946" s="4">
        <v>0</v>
      </c>
      <c r="J946" s="4">
        <v>430.5</v>
      </c>
      <c r="K946" s="4">
        <v>115</v>
      </c>
      <c r="L946" s="4">
        <v>150.5</v>
      </c>
      <c r="M946" s="4">
        <v>444.5</v>
      </c>
    </row>
    <row r="947" spans="1:13">
      <c r="A947" s="3" t="s">
        <v>1492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20</v>
      </c>
      <c r="I947" s="4">
        <v>0</v>
      </c>
      <c r="J947" s="4">
        <v>40</v>
      </c>
      <c r="K947" s="4">
        <v>0</v>
      </c>
      <c r="L947" s="4">
        <v>0</v>
      </c>
      <c r="M947" s="4">
        <v>20</v>
      </c>
    </row>
    <row r="948" spans="1:13">
      <c r="A948" s="3" t="s">
        <v>1493</v>
      </c>
      <c r="B948" s="4">
        <v>35</v>
      </c>
      <c r="C948" s="4">
        <v>67</v>
      </c>
      <c r="D948" s="4">
        <v>25</v>
      </c>
      <c r="E948" s="4">
        <v>0</v>
      </c>
      <c r="F948" s="4">
        <v>0</v>
      </c>
      <c r="G948" s="4">
        <v>0</v>
      </c>
      <c r="H948" s="4">
        <v>25</v>
      </c>
      <c r="I948" s="4">
        <v>40</v>
      </c>
      <c r="J948" s="4">
        <v>40</v>
      </c>
      <c r="K948" s="4">
        <v>0</v>
      </c>
      <c r="L948" s="4">
        <v>35</v>
      </c>
      <c r="M948" s="4">
        <v>65</v>
      </c>
    </row>
    <row r="949" spans="1:13">
      <c r="A949" s="3" t="s">
        <v>1494</v>
      </c>
      <c r="B949" s="4">
        <v>10</v>
      </c>
      <c r="C949" s="4">
        <v>10</v>
      </c>
      <c r="D949" s="4">
        <v>10</v>
      </c>
      <c r="E949" s="4">
        <v>10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</row>
    <row r="950" spans="1:13">
      <c r="A950" s="3" t="s">
        <v>1495</v>
      </c>
      <c r="B950" s="4">
        <v>50</v>
      </c>
      <c r="C950" s="4">
        <v>31.5</v>
      </c>
      <c r="D950" s="4">
        <v>45</v>
      </c>
      <c r="E950" s="4">
        <v>30</v>
      </c>
      <c r="F950" s="4">
        <v>16</v>
      </c>
      <c r="G950" s="4">
        <v>17.5</v>
      </c>
      <c r="H950" s="4">
        <v>30</v>
      </c>
      <c r="I950" s="4">
        <v>10</v>
      </c>
      <c r="J950" s="4">
        <v>42.5</v>
      </c>
      <c r="K950" s="4">
        <v>55.5</v>
      </c>
      <c r="L950" s="4">
        <v>70</v>
      </c>
      <c r="M950" s="4">
        <v>77</v>
      </c>
    </row>
    <row r="951" spans="1:13">
      <c r="A951" s="3" t="s">
        <v>1496</v>
      </c>
      <c r="B951" s="4">
        <v>55.5</v>
      </c>
      <c r="C951" s="4">
        <v>20</v>
      </c>
      <c r="D951" s="4">
        <v>62</v>
      </c>
      <c r="E951" s="4">
        <v>62.5</v>
      </c>
      <c r="F951" s="4">
        <v>47.5</v>
      </c>
      <c r="G951" s="4">
        <v>52.5</v>
      </c>
      <c r="H951" s="4">
        <v>68.5</v>
      </c>
      <c r="I951" s="4">
        <v>35.5</v>
      </c>
      <c r="J951" s="4">
        <v>68</v>
      </c>
      <c r="K951" s="4">
        <v>87.5</v>
      </c>
      <c r="L951" s="4">
        <v>76.25</v>
      </c>
      <c r="M951" s="4">
        <v>139.44999999999999</v>
      </c>
    </row>
    <row r="952" spans="1:13">
      <c r="A952" s="3" t="s">
        <v>1497</v>
      </c>
      <c r="B952" s="4">
        <v>0</v>
      </c>
      <c r="C952" s="4">
        <v>20</v>
      </c>
      <c r="D952" s="4">
        <v>10</v>
      </c>
      <c r="E952" s="4">
        <v>17.5</v>
      </c>
      <c r="F952" s="4">
        <v>42.5</v>
      </c>
      <c r="G952" s="4">
        <v>10</v>
      </c>
      <c r="H952" s="4">
        <v>90</v>
      </c>
      <c r="I952" s="4">
        <v>20</v>
      </c>
      <c r="J952" s="4">
        <v>37.5</v>
      </c>
      <c r="K952" s="4">
        <v>120</v>
      </c>
      <c r="L952" s="4">
        <v>55.5</v>
      </c>
      <c r="M952" s="4">
        <v>4.5</v>
      </c>
    </row>
    <row r="953" spans="1:13">
      <c r="A953" s="3" t="s">
        <v>1498</v>
      </c>
      <c r="B953" s="4">
        <v>21</v>
      </c>
      <c r="C953" s="4">
        <v>70</v>
      </c>
      <c r="D953" s="4">
        <v>112</v>
      </c>
      <c r="E953" s="4">
        <v>154</v>
      </c>
      <c r="F953" s="4">
        <v>0</v>
      </c>
      <c r="G953" s="4">
        <v>20</v>
      </c>
      <c r="H953" s="4">
        <v>0</v>
      </c>
      <c r="I953" s="4">
        <v>42</v>
      </c>
      <c r="J953" s="4">
        <v>72</v>
      </c>
      <c r="K953" s="4">
        <v>77</v>
      </c>
      <c r="L953" s="4">
        <v>70</v>
      </c>
      <c r="M953" s="4">
        <v>45</v>
      </c>
    </row>
    <row r="954" spans="1:13">
      <c r="A954" s="3" t="s">
        <v>1499</v>
      </c>
      <c r="B954" s="4">
        <v>0</v>
      </c>
      <c r="C954" s="4">
        <v>25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</row>
    <row r="955" spans="1:13">
      <c r="A955" s="3" t="s">
        <v>1500</v>
      </c>
      <c r="B955" s="4">
        <v>0</v>
      </c>
      <c r="C955" s="4">
        <v>0</v>
      </c>
      <c r="D955" s="4">
        <v>40</v>
      </c>
      <c r="E955" s="4">
        <v>0</v>
      </c>
      <c r="F955" s="4">
        <v>0</v>
      </c>
      <c r="G955" s="4">
        <v>5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</row>
    <row r="956" spans="1:13">
      <c r="A956" s="3" t="s">
        <v>1501</v>
      </c>
      <c r="B956" s="4">
        <v>0</v>
      </c>
      <c r="C956" s="4">
        <v>25.75</v>
      </c>
      <c r="D956" s="4">
        <v>0</v>
      </c>
      <c r="E956" s="4">
        <v>18.5</v>
      </c>
      <c r="F956" s="4">
        <v>0</v>
      </c>
      <c r="G956" s="4">
        <v>20</v>
      </c>
      <c r="H956" s="4">
        <v>0</v>
      </c>
      <c r="I956" s="4">
        <v>5</v>
      </c>
      <c r="J956" s="4">
        <v>10</v>
      </c>
      <c r="K956" s="4">
        <v>0</v>
      </c>
      <c r="L956" s="4">
        <v>0</v>
      </c>
      <c r="M956" s="4">
        <v>49</v>
      </c>
    </row>
    <row r="957" spans="1:13">
      <c r="A957" s="3" t="s">
        <v>1502</v>
      </c>
      <c r="B957" s="4">
        <v>83</v>
      </c>
      <c r="C957" s="4">
        <v>85</v>
      </c>
      <c r="D957" s="4">
        <v>46</v>
      </c>
      <c r="E957" s="4">
        <v>20.5</v>
      </c>
      <c r="F957" s="4">
        <v>52</v>
      </c>
      <c r="G957" s="4">
        <v>20</v>
      </c>
      <c r="H957" s="4">
        <v>37.5</v>
      </c>
      <c r="I957" s="4">
        <v>19</v>
      </c>
      <c r="J957" s="4">
        <v>82.5</v>
      </c>
      <c r="K957" s="4">
        <v>55</v>
      </c>
      <c r="L957" s="4">
        <v>7.5</v>
      </c>
      <c r="M957" s="4">
        <v>115.5</v>
      </c>
    </row>
    <row r="958" spans="1:13">
      <c r="A958" s="3" t="s">
        <v>1503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10</v>
      </c>
      <c r="K958" s="4">
        <v>10</v>
      </c>
      <c r="L958" s="4">
        <v>0</v>
      </c>
      <c r="M958" s="4">
        <v>0</v>
      </c>
    </row>
    <row r="959" spans="1:13">
      <c r="A959" s="3" t="s">
        <v>1504</v>
      </c>
      <c r="B959" s="4">
        <v>0</v>
      </c>
      <c r="C959" s="4">
        <v>0</v>
      </c>
      <c r="D959" s="4">
        <v>0</v>
      </c>
      <c r="E959" s="4">
        <v>0</v>
      </c>
      <c r="F959" s="4">
        <v>5</v>
      </c>
      <c r="G959" s="4">
        <v>20</v>
      </c>
      <c r="H959" s="4">
        <v>10</v>
      </c>
      <c r="I959" s="4">
        <v>0</v>
      </c>
      <c r="J959" s="4">
        <v>52.5</v>
      </c>
      <c r="K959" s="4">
        <v>27</v>
      </c>
      <c r="L959" s="4">
        <v>21</v>
      </c>
      <c r="M959" s="4">
        <v>35</v>
      </c>
    </row>
    <row r="960" spans="1:13">
      <c r="A960" s="3" t="s">
        <v>1505</v>
      </c>
      <c r="B960" s="4">
        <v>25</v>
      </c>
      <c r="C960" s="4">
        <v>35</v>
      </c>
      <c r="D960" s="4">
        <v>66.25</v>
      </c>
      <c r="E960" s="4">
        <v>26</v>
      </c>
      <c r="F960" s="4">
        <v>35</v>
      </c>
      <c r="G960" s="4">
        <v>22.5</v>
      </c>
      <c r="H960" s="4">
        <v>63.5</v>
      </c>
      <c r="I960" s="4">
        <v>45</v>
      </c>
      <c r="J960" s="4">
        <v>39</v>
      </c>
      <c r="K960" s="4">
        <v>95</v>
      </c>
      <c r="L960" s="4">
        <v>77.5</v>
      </c>
      <c r="M960" s="4">
        <v>75</v>
      </c>
    </row>
    <row r="961" spans="1:13">
      <c r="A961" s="3" t="s">
        <v>1506</v>
      </c>
      <c r="B961" s="4">
        <v>0</v>
      </c>
      <c r="C961" s="4">
        <v>0</v>
      </c>
      <c r="D961" s="4">
        <v>0</v>
      </c>
      <c r="E961" s="4">
        <v>0</v>
      </c>
      <c r="F961" s="4">
        <v>0</v>
      </c>
      <c r="G961" s="4">
        <v>35</v>
      </c>
      <c r="H961" s="4">
        <v>10</v>
      </c>
      <c r="I961" s="4">
        <v>65</v>
      </c>
      <c r="J961" s="4">
        <v>76</v>
      </c>
      <c r="K961" s="4">
        <v>30</v>
      </c>
      <c r="L961" s="4">
        <v>0</v>
      </c>
      <c r="M961" s="4">
        <v>50</v>
      </c>
    </row>
    <row r="962" spans="1:13">
      <c r="A962" s="3" t="s">
        <v>1507</v>
      </c>
      <c r="B962" s="4">
        <v>20</v>
      </c>
      <c r="C962" s="4">
        <v>0</v>
      </c>
      <c r="D962" s="4">
        <v>0</v>
      </c>
      <c r="E962" s="4">
        <v>10</v>
      </c>
      <c r="F962" s="4">
        <v>10</v>
      </c>
      <c r="G962" s="4">
        <v>0</v>
      </c>
      <c r="H962" s="4">
        <v>22</v>
      </c>
      <c r="I962" s="4">
        <v>0</v>
      </c>
      <c r="J962" s="4">
        <v>10</v>
      </c>
      <c r="K962" s="4">
        <v>9.25</v>
      </c>
      <c r="L962" s="4">
        <v>10</v>
      </c>
      <c r="M962" s="4">
        <v>0</v>
      </c>
    </row>
    <row r="963" spans="1:13">
      <c r="A963" s="3" t="s">
        <v>1508</v>
      </c>
      <c r="B963" s="4">
        <v>1</v>
      </c>
      <c r="C963" s="4">
        <v>0</v>
      </c>
      <c r="D963" s="4">
        <v>20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</row>
    <row r="964" spans="1:13">
      <c r="A964" s="3" t="s">
        <v>1509</v>
      </c>
      <c r="B964" s="4">
        <v>1</v>
      </c>
      <c r="C964" s="4">
        <v>0</v>
      </c>
      <c r="D964" s="4">
        <v>1.25</v>
      </c>
      <c r="E964" s="4">
        <v>0</v>
      </c>
      <c r="F964" s="4">
        <v>29.25</v>
      </c>
      <c r="G964" s="4">
        <v>7.5</v>
      </c>
      <c r="H964" s="4">
        <v>10</v>
      </c>
      <c r="I964" s="4">
        <v>0</v>
      </c>
      <c r="J964" s="4">
        <v>2</v>
      </c>
      <c r="K964" s="4">
        <v>16</v>
      </c>
      <c r="L964" s="4">
        <v>0</v>
      </c>
      <c r="M964" s="4">
        <v>0</v>
      </c>
    </row>
    <row r="965" spans="1:13">
      <c r="A965" s="3" t="s">
        <v>1510</v>
      </c>
      <c r="B965" s="4">
        <v>85</v>
      </c>
      <c r="C965" s="4">
        <v>0</v>
      </c>
      <c r="D965" s="4">
        <v>25</v>
      </c>
      <c r="E965" s="4">
        <v>30</v>
      </c>
      <c r="F965" s="4">
        <v>30</v>
      </c>
      <c r="G965" s="4">
        <v>20</v>
      </c>
      <c r="H965" s="4">
        <v>18.5</v>
      </c>
      <c r="I965" s="4">
        <v>21.1</v>
      </c>
      <c r="J965" s="4">
        <v>30</v>
      </c>
      <c r="K965" s="4">
        <v>0</v>
      </c>
      <c r="L965" s="4">
        <v>75.5</v>
      </c>
      <c r="M965" s="4">
        <v>0</v>
      </c>
    </row>
    <row r="966" spans="1:13">
      <c r="A966" s="3" t="s">
        <v>1511</v>
      </c>
      <c r="B966" s="4">
        <v>23.75</v>
      </c>
      <c r="C966" s="4">
        <v>5</v>
      </c>
      <c r="D966" s="4">
        <v>33</v>
      </c>
      <c r="E966" s="4">
        <v>21</v>
      </c>
      <c r="F966" s="4">
        <v>7.5</v>
      </c>
      <c r="G966" s="4">
        <v>5</v>
      </c>
      <c r="H966" s="4">
        <v>0</v>
      </c>
      <c r="I966" s="4">
        <v>5</v>
      </c>
      <c r="J966" s="4">
        <v>7.5</v>
      </c>
      <c r="K966" s="4">
        <v>0</v>
      </c>
      <c r="L966" s="4">
        <v>0</v>
      </c>
      <c r="M966" s="4">
        <v>0</v>
      </c>
    </row>
    <row r="967" spans="1:13">
      <c r="A967" s="3" t="s">
        <v>1512</v>
      </c>
      <c r="B967" s="4">
        <v>0</v>
      </c>
      <c r="C967" s="4">
        <v>26</v>
      </c>
      <c r="D967" s="4">
        <v>16</v>
      </c>
      <c r="E967" s="4">
        <v>7.5</v>
      </c>
      <c r="F967" s="4">
        <v>0</v>
      </c>
      <c r="G967" s="4">
        <v>18</v>
      </c>
      <c r="H967" s="4">
        <v>12</v>
      </c>
      <c r="I967" s="4">
        <v>6</v>
      </c>
      <c r="J967" s="4">
        <v>0</v>
      </c>
      <c r="K967" s="4">
        <v>0</v>
      </c>
      <c r="L967" s="4">
        <v>0</v>
      </c>
      <c r="M967" s="4">
        <v>0</v>
      </c>
    </row>
    <row r="968" spans="1:13">
      <c r="A968" s="3" t="s">
        <v>1513</v>
      </c>
      <c r="B968" s="4">
        <v>10</v>
      </c>
      <c r="C968" s="4">
        <v>0</v>
      </c>
      <c r="D968" s="4">
        <v>0</v>
      </c>
      <c r="E968" s="4">
        <v>7.5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</row>
    <row r="969" spans="1:13">
      <c r="A969" s="3" t="s">
        <v>1514</v>
      </c>
      <c r="B969" s="4">
        <v>36</v>
      </c>
      <c r="C969" s="4">
        <v>40</v>
      </c>
      <c r="D969" s="4">
        <v>70</v>
      </c>
      <c r="E969" s="4">
        <v>86</v>
      </c>
      <c r="F969" s="4">
        <v>23.5</v>
      </c>
      <c r="G969" s="4">
        <v>40</v>
      </c>
      <c r="H969" s="4">
        <v>50</v>
      </c>
      <c r="I969" s="4">
        <v>0</v>
      </c>
      <c r="J969" s="4">
        <v>15</v>
      </c>
      <c r="K969" s="4">
        <v>45</v>
      </c>
      <c r="L969" s="4">
        <v>20</v>
      </c>
      <c r="M969" s="4">
        <v>46</v>
      </c>
    </row>
    <row r="970" spans="1:13">
      <c r="A970" s="3" t="s">
        <v>1515</v>
      </c>
      <c r="B970" s="4">
        <v>53</v>
      </c>
      <c r="C970" s="4">
        <v>15</v>
      </c>
      <c r="D970" s="4">
        <v>95.5</v>
      </c>
      <c r="E970" s="4">
        <v>102.5</v>
      </c>
      <c r="F970" s="4">
        <v>87.5</v>
      </c>
      <c r="G970" s="4">
        <v>70</v>
      </c>
      <c r="H970" s="4">
        <v>32.5</v>
      </c>
      <c r="I970" s="4">
        <v>60</v>
      </c>
      <c r="J970" s="4">
        <v>78</v>
      </c>
      <c r="K970" s="4">
        <v>80</v>
      </c>
      <c r="L970" s="4">
        <v>66.25</v>
      </c>
      <c r="M970" s="4">
        <v>37.5</v>
      </c>
    </row>
    <row r="971" spans="1:13">
      <c r="A971" s="3" t="s">
        <v>1516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8.5</v>
      </c>
      <c r="L971" s="4">
        <v>0</v>
      </c>
      <c r="M971" s="4">
        <v>0</v>
      </c>
    </row>
    <row r="972" spans="1:13">
      <c r="A972" s="3" t="s">
        <v>1517</v>
      </c>
      <c r="B972" s="4">
        <v>71.95</v>
      </c>
      <c r="C972" s="4">
        <v>66</v>
      </c>
      <c r="D972" s="4">
        <v>95</v>
      </c>
      <c r="E972" s="4">
        <v>73.55</v>
      </c>
      <c r="F972" s="4">
        <v>88.5</v>
      </c>
      <c r="G972" s="4">
        <v>113</v>
      </c>
      <c r="H972" s="4">
        <v>151</v>
      </c>
      <c r="I972" s="4">
        <v>91.5</v>
      </c>
      <c r="J972" s="4">
        <v>142.5</v>
      </c>
      <c r="K972" s="4">
        <v>151</v>
      </c>
      <c r="L972" s="4">
        <v>75</v>
      </c>
      <c r="M972" s="4">
        <v>142.9</v>
      </c>
    </row>
    <row r="973" spans="1:13">
      <c r="A973" s="3" t="s">
        <v>1518</v>
      </c>
      <c r="B973" s="4">
        <v>0</v>
      </c>
      <c r="C973" s="4">
        <v>10</v>
      </c>
      <c r="D973" s="4">
        <v>0</v>
      </c>
      <c r="E973" s="4">
        <v>20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</row>
    <row r="974" spans="1:13">
      <c r="A974" s="3" t="s">
        <v>1519</v>
      </c>
      <c r="B974" s="4">
        <v>166</v>
      </c>
      <c r="C974" s="4">
        <v>40.549999999999997</v>
      </c>
      <c r="D974" s="4">
        <v>105</v>
      </c>
      <c r="E974" s="4">
        <v>38.5</v>
      </c>
      <c r="F974" s="4">
        <v>79</v>
      </c>
      <c r="G974" s="4">
        <v>106.5</v>
      </c>
      <c r="H974" s="4">
        <v>67.5</v>
      </c>
      <c r="I974" s="4">
        <v>40</v>
      </c>
      <c r="J974" s="4">
        <v>73.5</v>
      </c>
      <c r="K974" s="4">
        <v>41</v>
      </c>
      <c r="L974" s="4">
        <v>36</v>
      </c>
      <c r="M974" s="4">
        <v>106.5</v>
      </c>
    </row>
    <row r="975" spans="1:13">
      <c r="A975" s="3" t="s">
        <v>1520</v>
      </c>
      <c r="B975" s="4">
        <v>0</v>
      </c>
      <c r="C975" s="4">
        <v>20</v>
      </c>
      <c r="D975" s="4">
        <v>60</v>
      </c>
      <c r="E975" s="4">
        <v>55</v>
      </c>
      <c r="F975" s="4">
        <v>20</v>
      </c>
      <c r="G975" s="4">
        <v>20</v>
      </c>
      <c r="H975" s="4">
        <v>32</v>
      </c>
      <c r="I975" s="4">
        <v>42</v>
      </c>
      <c r="J975" s="4">
        <v>20</v>
      </c>
      <c r="K975" s="4">
        <v>40</v>
      </c>
      <c r="L975" s="4">
        <v>20</v>
      </c>
      <c r="M975" s="4">
        <v>0</v>
      </c>
    </row>
    <row r="976" spans="1:13">
      <c r="A976" s="3" t="s">
        <v>1521</v>
      </c>
      <c r="B976" s="4">
        <v>0</v>
      </c>
      <c r="C976" s="4">
        <v>0</v>
      </c>
      <c r="D976" s="4">
        <v>0</v>
      </c>
      <c r="E976" s="4">
        <v>20</v>
      </c>
      <c r="F976" s="4">
        <v>45</v>
      </c>
      <c r="G976" s="4">
        <v>105</v>
      </c>
      <c r="H976" s="4">
        <v>35</v>
      </c>
      <c r="I976" s="4">
        <v>70</v>
      </c>
      <c r="J976" s="4">
        <v>0</v>
      </c>
      <c r="K976" s="4">
        <v>0</v>
      </c>
      <c r="L976" s="4">
        <v>0</v>
      </c>
      <c r="M976" s="4">
        <v>35</v>
      </c>
    </row>
    <row r="977" spans="1:13">
      <c r="A977" s="3" t="s">
        <v>1522</v>
      </c>
      <c r="B977" s="4">
        <v>0</v>
      </c>
      <c r="C977" s="4">
        <v>0</v>
      </c>
      <c r="D977" s="4">
        <v>20</v>
      </c>
      <c r="E977" s="4">
        <v>16</v>
      </c>
      <c r="F977" s="4">
        <v>1</v>
      </c>
      <c r="G977" s="4">
        <v>0</v>
      </c>
      <c r="H977" s="4">
        <v>22.5</v>
      </c>
      <c r="I977" s="4">
        <v>10</v>
      </c>
      <c r="J977" s="4">
        <v>32.5</v>
      </c>
      <c r="K977" s="4">
        <v>15</v>
      </c>
      <c r="L977" s="4">
        <v>35</v>
      </c>
      <c r="M977" s="4">
        <v>23</v>
      </c>
    </row>
    <row r="978" spans="1:13">
      <c r="A978" s="3" t="s">
        <v>1523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10</v>
      </c>
      <c r="K978" s="4">
        <v>0</v>
      </c>
      <c r="L978" s="4">
        <v>0</v>
      </c>
      <c r="M978" s="4">
        <v>0</v>
      </c>
    </row>
    <row r="979" spans="1:13">
      <c r="A979" s="3" t="s">
        <v>1524</v>
      </c>
      <c r="B979" s="4">
        <v>196</v>
      </c>
      <c r="C979" s="4">
        <v>182.5</v>
      </c>
      <c r="D979" s="4">
        <v>196.25</v>
      </c>
      <c r="E979" s="4">
        <v>149</v>
      </c>
      <c r="F979" s="4">
        <v>130.5</v>
      </c>
      <c r="G979" s="4">
        <v>194</v>
      </c>
      <c r="H979" s="4">
        <v>209.5</v>
      </c>
      <c r="I979" s="4">
        <v>143</v>
      </c>
      <c r="J979" s="4">
        <v>259</v>
      </c>
      <c r="K979" s="4">
        <v>171.25</v>
      </c>
      <c r="L979" s="4">
        <v>170.5</v>
      </c>
      <c r="M979" s="4">
        <v>281.45</v>
      </c>
    </row>
    <row r="980" spans="1:13">
      <c r="A980" s="3" t="s">
        <v>1525</v>
      </c>
      <c r="B980" s="4">
        <v>0</v>
      </c>
      <c r="C980" s="4">
        <v>0</v>
      </c>
      <c r="D980" s="4">
        <v>0</v>
      </c>
      <c r="E980" s="4">
        <v>3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</row>
    <row r="981" spans="1:13">
      <c r="A981" s="3" t="s">
        <v>1526</v>
      </c>
      <c r="B981" s="4">
        <v>40</v>
      </c>
      <c r="C981" s="4">
        <v>51</v>
      </c>
      <c r="D981" s="4">
        <v>0</v>
      </c>
      <c r="E981" s="4">
        <v>30</v>
      </c>
      <c r="F981" s="4">
        <v>37</v>
      </c>
      <c r="G981" s="4">
        <v>20</v>
      </c>
      <c r="H981" s="4">
        <v>23</v>
      </c>
      <c r="I981" s="4">
        <v>17.5</v>
      </c>
      <c r="J981" s="4">
        <v>10</v>
      </c>
      <c r="K981" s="4">
        <v>0</v>
      </c>
      <c r="L981" s="4">
        <v>0</v>
      </c>
      <c r="M981" s="4">
        <v>10</v>
      </c>
    </row>
    <row r="982" spans="1:13">
      <c r="A982" s="3" t="s">
        <v>1527</v>
      </c>
      <c r="B982" s="4">
        <v>0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27</v>
      </c>
    </row>
    <row r="983" spans="1:13">
      <c r="A983" s="3" t="s">
        <v>1528</v>
      </c>
      <c r="B983" s="4">
        <v>31.5</v>
      </c>
      <c r="C983" s="4">
        <v>20</v>
      </c>
      <c r="D983" s="4">
        <v>7.5</v>
      </c>
      <c r="E983" s="4">
        <v>56.5</v>
      </c>
      <c r="F983" s="4">
        <v>42</v>
      </c>
      <c r="G983" s="4">
        <v>49</v>
      </c>
      <c r="H983" s="4">
        <v>17.5</v>
      </c>
      <c r="I983" s="4">
        <v>0</v>
      </c>
      <c r="J983" s="4">
        <v>33</v>
      </c>
      <c r="K983" s="4">
        <v>21</v>
      </c>
      <c r="L983" s="4">
        <v>15.5</v>
      </c>
      <c r="M983" s="4">
        <v>35</v>
      </c>
    </row>
    <row r="984" spans="1:13">
      <c r="A984" s="3" t="s">
        <v>1529</v>
      </c>
      <c r="B984" s="4">
        <v>10</v>
      </c>
      <c r="C984" s="4">
        <v>60</v>
      </c>
      <c r="D984" s="4">
        <v>25</v>
      </c>
      <c r="E984" s="4">
        <v>39</v>
      </c>
      <c r="F984" s="4">
        <v>40</v>
      </c>
      <c r="G984" s="4">
        <v>13</v>
      </c>
      <c r="H984" s="4">
        <v>20</v>
      </c>
      <c r="I984" s="4">
        <v>50</v>
      </c>
      <c r="J984" s="4">
        <v>57.5</v>
      </c>
      <c r="K984" s="4">
        <v>37.5</v>
      </c>
      <c r="L984" s="4">
        <v>43.5</v>
      </c>
      <c r="M984" s="4">
        <v>34</v>
      </c>
    </row>
    <row r="985" spans="1:13">
      <c r="A985" s="3" t="s">
        <v>1530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2.5</v>
      </c>
      <c r="H985" s="4">
        <v>0</v>
      </c>
      <c r="I985" s="4">
        <v>0</v>
      </c>
      <c r="J985" s="4">
        <v>5</v>
      </c>
      <c r="K985" s="4">
        <v>0</v>
      </c>
      <c r="L985" s="4">
        <v>0</v>
      </c>
      <c r="M985" s="4">
        <v>0</v>
      </c>
    </row>
    <row r="986" spans="1:13">
      <c r="A986" s="3" t="s">
        <v>1531</v>
      </c>
      <c r="B986" s="4">
        <v>80</v>
      </c>
      <c r="C986" s="4">
        <v>80</v>
      </c>
      <c r="D986" s="4">
        <v>95</v>
      </c>
      <c r="E986" s="4">
        <v>90</v>
      </c>
      <c r="F986" s="4">
        <v>50</v>
      </c>
      <c r="G986" s="4">
        <v>50</v>
      </c>
      <c r="H986" s="4">
        <v>100</v>
      </c>
      <c r="I986" s="4">
        <v>150</v>
      </c>
      <c r="J986" s="4">
        <v>163</v>
      </c>
      <c r="K986" s="4">
        <v>160</v>
      </c>
      <c r="L986" s="4">
        <v>115</v>
      </c>
      <c r="M986" s="4">
        <v>115</v>
      </c>
    </row>
    <row r="987" spans="1:13">
      <c r="A987" s="3" t="s">
        <v>1532</v>
      </c>
      <c r="B987" s="4">
        <v>177</v>
      </c>
      <c r="C987" s="4">
        <v>141.25</v>
      </c>
      <c r="D987" s="4">
        <v>155</v>
      </c>
      <c r="E987" s="4">
        <v>140</v>
      </c>
      <c r="F987" s="4">
        <v>107.5</v>
      </c>
      <c r="G987" s="4">
        <v>110</v>
      </c>
      <c r="H987" s="4">
        <v>103.5</v>
      </c>
      <c r="I987" s="4">
        <v>10</v>
      </c>
      <c r="J987" s="4">
        <v>0</v>
      </c>
      <c r="K987" s="4">
        <v>0</v>
      </c>
      <c r="L987" s="4">
        <v>0</v>
      </c>
      <c r="M987" s="4">
        <v>0</v>
      </c>
    </row>
    <row r="988" spans="1:13">
      <c r="A988" s="3" t="s">
        <v>1533</v>
      </c>
      <c r="B988" s="4">
        <v>25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</row>
    <row r="989" spans="1:13">
      <c r="A989" s="3" t="s">
        <v>1534</v>
      </c>
      <c r="B989" s="4">
        <v>33.5</v>
      </c>
      <c r="C989" s="4">
        <v>33.75</v>
      </c>
      <c r="D989" s="4">
        <v>91.75</v>
      </c>
      <c r="E989" s="4">
        <v>83.5</v>
      </c>
      <c r="F989" s="4">
        <v>85.5</v>
      </c>
      <c r="G989" s="4">
        <v>85.5</v>
      </c>
      <c r="H989" s="4">
        <v>38.9</v>
      </c>
      <c r="I989" s="4">
        <v>44.25</v>
      </c>
      <c r="J989" s="4">
        <v>85.25</v>
      </c>
      <c r="K989" s="4">
        <v>117.25</v>
      </c>
      <c r="L989" s="4">
        <v>63.3</v>
      </c>
      <c r="M989" s="4">
        <v>161.25</v>
      </c>
    </row>
    <row r="990" spans="1:13">
      <c r="A990" s="3" t="s">
        <v>1535</v>
      </c>
      <c r="B990" s="4">
        <v>50</v>
      </c>
      <c r="C990" s="4">
        <v>49.5</v>
      </c>
      <c r="D990" s="4">
        <v>101</v>
      </c>
      <c r="E990" s="4">
        <v>77</v>
      </c>
      <c r="F990" s="4">
        <v>60.5</v>
      </c>
      <c r="G990" s="4">
        <v>50.75</v>
      </c>
      <c r="H990" s="4">
        <v>55.5</v>
      </c>
      <c r="I990" s="4">
        <v>35</v>
      </c>
      <c r="J990" s="4">
        <v>50.1</v>
      </c>
      <c r="K990" s="4">
        <v>32</v>
      </c>
      <c r="L990" s="4">
        <v>62.45</v>
      </c>
      <c r="M990" s="4">
        <v>93.95</v>
      </c>
    </row>
    <row r="991" spans="1:13">
      <c r="A991" s="3" t="s">
        <v>1536</v>
      </c>
      <c r="B991" s="4">
        <v>3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</row>
    <row r="992" spans="1:13">
      <c r="A992" s="3" t="s">
        <v>1537</v>
      </c>
      <c r="B992" s="4">
        <v>0</v>
      </c>
      <c r="C992" s="4">
        <v>30</v>
      </c>
      <c r="D992" s="4">
        <v>30</v>
      </c>
      <c r="E992" s="4">
        <v>67</v>
      </c>
      <c r="F992" s="4">
        <v>15</v>
      </c>
      <c r="G992" s="4">
        <v>47</v>
      </c>
      <c r="H992" s="4">
        <v>20</v>
      </c>
      <c r="I992" s="4">
        <v>0</v>
      </c>
      <c r="J992" s="4">
        <v>15</v>
      </c>
      <c r="K992" s="4">
        <v>65</v>
      </c>
      <c r="L992" s="4">
        <v>63.5</v>
      </c>
      <c r="M992" s="4">
        <v>50</v>
      </c>
    </row>
    <row r="993" spans="1:13">
      <c r="A993" s="3" t="s">
        <v>1538</v>
      </c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35</v>
      </c>
    </row>
    <row r="994" spans="1:13">
      <c r="A994" s="3" t="s">
        <v>1539</v>
      </c>
      <c r="B994" s="4">
        <v>36</v>
      </c>
      <c r="C994" s="4">
        <v>20</v>
      </c>
      <c r="D994" s="4">
        <v>118.75</v>
      </c>
      <c r="E994" s="4">
        <v>149</v>
      </c>
      <c r="F994" s="4">
        <v>76</v>
      </c>
      <c r="G994" s="4">
        <v>92</v>
      </c>
      <c r="H994" s="4">
        <v>55</v>
      </c>
      <c r="I994" s="4">
        <v>149</v>
      </c>
      <c r="J994" s="4">
        <v>98.5</v>
      </c>
      <c r="K994" s="4">
        <v>95.5</v>
      </c>
      <c r="L994" s="4">
        <v>124.5</v>
      </c>
      <c r="M994" s="4">
        <v>151</v>
      </c>
    </row>
    <row r="995" spans="1:13">
      <c r="A995" s="3" t="s">
        <v>1540</v>
      </c>
      <c r="B995" s="4">
        <v>14</v>
      </c>
      <c r="C995" s="4">
        <v>30</v>
      </c>
      <c r="D995" s="4">
        <v>30</v>
      </c>
      <c r="E995" s="4">
        <v>13</v>
      </c>
      <c r="F995" s="4">
        <v>1</v>
      </c>
      <c r="G995" s="4">
        <v>20</v>
      </c>
      <c r="H995" s="4">
        <v>0</v>
      </c>
      <c r="I995" s="4">
        <v>0</v>
      </c>
      <c r="J995" s="4">
        <v>0</v>
      </c>
      <c r="K995" s="4">
        <v>10</v>
      </c>
      <c r="L995" s="4">
        <v>0</v>
      </c>
      <c r="M995" s="4">
        <v>20</v>
      </c>
    </row>
    <row r="996" spans="1:13">
      <c r="A996" s="3" t="s">
        <v>1541</v>
      </c>
      <c r="B996" s="4">
        <v>0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35</v>
      </c>
      <c r="L996" s="4">
        <v>0</v>
      </c>
      <c r="M996" s="4">
        <v>0</v>
      </c>
    </row>
    <row r="997" spans="1:13">
      <c r="A997" s="3" t="s">
        <v>1542</v>
      </c>
      <c r="B997" s="4">
        <v>54</v>
      </c>
      <c r="C997" s="4">
        <v>67</v>
      </c>
      <c r="D997" s="4">
        <v>40</v>
      </c>
      <c r="E997" s="4">
        <v>37</v>
      </c>
      <c r="F997" s="4">
        <v>30</v>
      </c>
      <c r="G997" s="4">
        <v>25</v>
      </c>
      <c r="H997" s="4">
        <v>40</v>
      </c>
      <c r="I997" s="4">
        <v>5</v>
      </c>
      <c r="J997" s="4">
        <v>20</v>
      </c>
      <c r="K997" s="4">
        <v>15</v>
      </c>
      <c r="L997" s="4">
        <v>88</v>
      </c>
      <c r="M997" s="4">
        <v>54</v>
      </c>
    </row>
    <row r="998" spans="1:13">
      <c r="A998" s="3" t="s">
        <v>1543</v>
      </c>
      <c r="B998" s="4">
        <v>16</v>
      </c>
      <c r="C998" s="4">
        <v>22.5</v>
      </c>
      <c r="D998" s="4">
        <v>15</v>
      </c>
      <c r="E998" s="4">
        <v>54</v>
      </c>
      <c r="F998" s="4">
        <v>20</v>
      </c>
      <c r="G998" s="4">
        <v>19</v>
      </c>
      <c r="H998" s="4">
        <v>10</v>
      </c>
      <c r="I998" s="4">
        <v>11</v>
      </c>
      <c r="J998" s="4">
        <v>40</v>
      </c>
      <c r="K998" s="4">
        <v>25</v>
      </c>
      <c r="L998" s="4">
        <v>26</v>
      </c>
      <c r="M998" s="4">
        <v>144</v>
      </c>
    </row>
    <row r="999" spans="1:13">
      <c r="A999" s="3" t="s">
        <v>1544</v>
      </c>
      <c r="B999" s="4">
        <v>16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</row>
    <row r="1000" spans="1:13">
      <c r="A1000" s="3" t="s">
        <v>1545</v>
      </c>
      <c r="B1000" s="4">
        <v>35</v>
      </c>
      <c r="C1000" s="4">
        <v>29.5</v>
      </c>
      <c r="D1000" s="4">
        <v>0</v>
      </c>
      <c r="E1000" s="4">
        <v>0</v>
      </c>
      <c r="F1000" s="4">
        <v>0</v>
      </c>
      <c r="G1000" s="4">
        <v>5</v>
      </c>
      <c r="H1000" s="4">
        <v>0</v>
      </c>
      <c r="I1000" s="4">
        <v>25</v>
      </c>
      <c r="J1000" s="4">
        <v>15</v>
      </c>
      <c r="K1000" s="4">
        <v>0</v>
      </c>
      <c r="L1000" s="4">
        <v>0</v>
      </c>
      <c r="M1000" s="4">
        <v>20</v>
      </c>
    </row>
    <row r="1001" spans="1:13">
      <c r="A1001" s="3" t="s">
        <v>1546</v>
      </c>
      <c r="B1001" s="4">
        <v>37</v>
      </c>
      <c r="C1001" s="4">
        <v>60</v>
      </c>
      <c r="D1001" s="4">
        <v>50</v>
      </c>
      <c r="E1001" s="4">
        <v>72</v>
      </c>
      <c r="F1001" s="4">
        <v>77</v>
      </c>
      <c r="G1001" s="4">
        <v>38</v>
      </c>
      <c r="H1001" s="4">
        <v>20</v>
      </c>
      <c r="I1001" s="4">
        <v>24</v>
      </c>
      <c r="J1001" s="4">
        <v>69.5</v>
      </c>
      <c r="K1001" s="4">
        <v>55</v>
      </c>
      <c r="L1001" s="4">
        <v>52.5</v>
      </c>
      <c r="M1001" s="4">
        <v>45</v>
      </c>
    </row>
    <row r="1002" spans="1:13">
      <c r="A1002" s="3" t="s">
        <v>1547</v>
      </c>
      <c r="B1002" s="4">
        <v>30</v>
      </c>
      <c r="C1002" s="4">
        <v>10</v>
      </c>
      <c r="D1002" s="4">
        <v>0</v>
      </c>
      <c r="E1002" s="4">
        <v>20</v>
      </c>
      <c r="F1002" s="4">
        <v>85</v>
      </c>
      <c r="G1002" s="4">
        <v>0</v>
      </c>
      <c r="H1002" s="4">
        <v>0</v>
      </c>
      <c r="I1002" s="4">
        <v>0</v>
      </c>
      <c r="J1002" s="4">
        <v>52.5</v>
      </c>
      <c r="K1002" s="4">
        <v>0</v>
      </c>
      <c r="L1002" s="4">
        <v>131.85</v>
      </c>
      <c r="M1002" s="4">
        <v>141</v>
      </c>
    </row>
    <row r="1003" spans="1:13">
      <c r="A1003" s="3" t="s">
        <v>1548</v>
      </c>
      <c r="B1003" s="4">
        <v>170</v>
      </c>
      <c r="C1003" s="4">
        <v>177</v>
      </c>
      <c r="D1003" s="4">
        <v>152</v>
      </c>
      <c r="E1003" s="4">
        <v>65</v>
      </c>
      <c r="F1003" s="4">
        <v>135</v>
      </c>
      <c r="G1003" s="4">
        <v>42</v>
      </c>
      <c r="H1003" s="4">
        <v>101</v>
      </c>
      <c r="I1003" s="4">
        <v>45</v>
      </c>
      <c r="J1003" s="4">
        <v>171</v>
      </c>
      <c r="K1003" s="4">
        <v>95</v>
      </c>
      <c r="L1003" s="4">
        <v>90</v>
      </c>
      <c r="M1003" s="4">
        <v>97</v>
      </c>
    </row>
    <row r="1004" spans="1:13">
      <c r="A1004" s="3" t="s">
        <v>1549</v>
      </c>
      <c r="B1004" s="4">
        <v>20</v>
      </c>
      <c r="C1004" s="4">
        <v>35</v>
      </c>
      <c r="D1004" s="4">
        <v>20</v>
      </c>
      <c r="E1004" s="4">
        <v>27</v>
      </c>
      <c r="F1004" s="4">
        <v>30</v>
      </c>
      <c r="G1004" s="4">
        <v>6</v>
      </c>
      <c r="H1004" s="4">
        <v>22</v>
      </c>
      <c r="I1004" s="4">
        <v>10</v>
      </c>
      <c r="J1004" s="4">
        <v>8</v>
      </c>
      <c r="K1004" s="4">
        <v>20</v>
      </c>
      <c r="L1004" s="4">
        <v>20</v>
      </c>
      <c r="M1004" s="4">
        <v>30</v>
      </c>
    </row>
    <row r="1005" spans="1:13">
      <c r="A1005" s="3" t="s">
        <v>1550</v>
      </c>
      <c r="B1005" s="4">
        <v>0</v>
      </c>
      <c r="C1005" s="4">
        <v>30</v>
      </c>
      <c r="D1005" s="4">
        <v>65</v>
      </c>
      <c r="E1005" s="4">
        <v>30</v>
      </c>
      <c r="F1005" s="4">
        <v>42.5</v>
      </c>
      <c r="G1005" s="4">
        <v>52.5</v>
      </c>
      <c r="H1005" s="4">
        <v>82.85</v>
      </c>
      <c r="I1005" s="4">
        <v>75</v>
      </c>
      <c r="J1005" s="4">
        <v>55</v>
      </c>
      <c r="K1005" s="4">
        <v>45</v>
      </c>
      <c r="L1005" s="4">
        <v>136.5</v>
      </c>
      <c r="M1005" s="4">
        <v>55</v>
      </c>
    </row>
    <row r="1006" spans="1:13">
      <c r="A1006" s="3" t="s">
        <v>1551</v>
      </c>
      <c r="B1006" s="4">
        <v>0</v>
      </c>
      <c r="C1006" s="4">
        <v>26</v>
      </c>
      <c r="D1006" s="4">
        <v>45</v>
      </c>
      <c r="E1006" s="4">
        <v>13</v>
      </c>
      <c r="F1006" s="4">
        <v>9</v>
      </c>
      <c r="G1006" s="4">
        <v>22</v>
      </c>
      <c r="H1006" s="4">
        <v>12</v>
      </c>
      <c r="I1006" s="4">
        <v>12</v>
      </c>
      <c r="J1006" s="4">
        <v>10</v>
      </c>
      <c r="K1006" s="4">
        <v>32</v>
      </c>
      <c r="L1006" s="4">
        <v>29</v>
      </c>
      <c r="M1006" s="4">
        <v>86</v>
      </c>
    </row>
    <row r="1007" spans="1:13">
      <c r="A1007" s="3" t="s">
        <v>1552</v>
      </c>
      <c r="B1007" s="4">
        <v>66.8</v>
      </c>
      <c r="C1007" s="4">
        <v>198</v>
      </c>
      <c r="D1007" s="4">
        <v>45.5</v>
      </c>
      <c r="E1007" s="4">
        <v>131.25</v>
      </c>
      <c r="F1007" s="4">
        <v>54.75</v>
      </c>
      <c r="G1007" s="4">
        <v>73</v>
      </c>
      <c r="H1007" s="4">
        <v>15</v>
      </c>
      <c r="I1007" s="4">
        <v>0</v>
      </c>
      <c r="J1007" s="4">
        <v>60</v>
      </c>
      <c r="K1007" s="4">
        <v>30</v>
      </c>
      <c r="L1007" s="4">
        <v>15</v>
      </c>
      <c r="M1007" s="4">
        <v>80</v>
      </c>
    </row>
    <row r="1008" spans="1:13">
      <c r="A1008" s="3" t="s">
        <v>1553</v>
      </c>
      <c r="B1008" s="4">
        <v>0</v>
      </c>
      <c r="C1008" s="4">
        <v>0</v>
      </c>
      <c r="D1008" s="4">
        <v>0</v>
      </c>
      <c r="E1008" s="4">
        <v>17.5</v>
      </c>
      <c r="F1008" s="4">
        <v>4</v>
      </c>
      <c r="G1008" s="4">
        <v>26.5</v>
      </c>
      <c r="H1008" s="4">
        <v>7.5</v>
      </c>
      <c r="I1008" s="4">
        <v>0</v>
      </c>
      <c r="J1008" s="4">
        <v>0</v>
      </c>
      <c r="K1008" s="4">
        <v>0</v>
      </c>
      <c r="L1008" s="4">
        <v>26.5</v>
      </c>
      <c r="M1008" s="4">
        <v>0</v>
      </c>
    </row>
    <row r="1009" spans="1:13">
      <c r="A1009" s="3" t="s">
        <v>1554</v>
      </c>
      <c r="B1009" s="4">
        <v>0</v>
      </c>
      <c r="C1009" s="4">
        <v>0</v>
      </c>
      <c r="D1009" s="4">
        <v>0</v>
      </c>
      <c r="E1009" s="4">
        <v>10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</row>
    <row r="1010" spans="1:13">
      <c r="A1010" s="3" t="s">
        <v>1555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19.600000000000001</v>
      </c>
      <c r="L1010" s="4">
        <v>19</v>
      </c>
      <c r="M1010" s="4">
        <v>5</v>
      </c>
    </row>
    <row r="1011" spans="1:13">
      <c r="A1011" s="3" t="s">
        <v>1556</v>
      </c>
      <c r="B1011" s="4">
        <v>0</v>
      </c>
      <c r="C1011" s="4">
        <v>40</v>
      </c>
      <c r="D1011" s="4">
        <v>0</v>
      </c>
      <c r="E1011" s="4">
        <v>0</v>
      </c>
      <c r="F1011" s="4">
        <v>0</v>
      </c>
      <c r="G1011" s="4">
        <v>0</v>
      </c>
      <c r="H1011" s="4">
        <v>5</v>
      </c>
      <c r="I1011" s="4">
        <v>0</v>
      </c>
      <c r="J1011" s="4">
        <v>0</v>
      </c>
      <c r="K1011" s="4">
        <v>5</v>
      </c>
      <c r="L1011" s="4">
        <v>5</v>
      </c>
      <c r="M1011" s="4">
        <v>0</v>
      </c>
    </row>
    <row r="1012" spans="1:13">
      <c r="A1012" s="3" t="s">
        <v>1557</v>
      </c>
      <c r="B1012" s="4">
        <v>0</v>
      </c>
      <c r="C1012" s="4">
        <v>15</v>
      </c>
      <c r="D1012" s="4">
        <v>0</v>
      </c>
      <c r="E1012" s="4">
        <v>41</v>
      </c>
      <c r="F1012" s="4">
        <v>0</v>
      </c>
      <c r="G1012" s="4">
        <v>35</v>
      </c>
      <c r="H1012" s="4">
        <v>0</v>
      </c>
      <c r="I1012" s="4">
        <v>0</v>
      </c>
      <c r="J1012" s="4">
        <v>18</v>
      </c>
      <c r="K1012" s="4">
        <v>0</v>
      </c>
      <c r="L1012" s="4">
        <v>0</v>
      </c>
      <c r="M1012" s="4">
        <v>5</v>
      </c>
    </row>
    <row r="1013" spans="1:13">
      <c r="A1013" s="3" t="s">
        <v>1558</v>
      </c>
      <c r="B1013" s="4">
        <v>8</v>
      </c>
      <c r="C1013" s="4">
        <v>0</v>
      </c>
      <c r="D1013" s="4">
        <v>5</v>
      </c>
      <c r="E1013" s="4">
        <v>5</v>
      </c>
      <c r="F1013" s="4">
        <v>10</v>
      </c>
      <c r="G1013" s="4">
        <v>0</v>
      </c>
      <c r="H1013" s="4">
        <v>5</v>
      </c>
      <c r="I1013" s="4">
        <v>12.5</v>
      </c>
      <c r="J1013" s="4">
        <v>14</v>
      </c>
      <c r="K1013" s="4">
        <v>20</v>
      </c>
      <c r="L1013" s="4">
        <v>14.5</v>
      </c>
      <c r="M1013" s="4">
        <v>25</v>
      </c>
    </row>
    <row r="1014" spans="1:13">
      <c r="A1014" s="3" t="s">
        <v>1559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57</v>
      </c>
    </row>
    <row r="1015" spans="1:13">
      <c r="A1015" s="3" t="s">
        <v>1560</v>
      </c>
      <c r="B1015" s="4">
        <v>0</v>
      </c>
      <c r="C1015" s="4">
        <v>0</v>
      </c>
      <c r="D1015" s="4">
        <v>20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</row>
    <row r="1016" spans="1:13">
      <c r="A1016" s="3" t="s">
        <v>1561</v>
      </c>
      <c r="B1016" s="4">
        <v>0</v>
      </c>
      <c r="C1016" s="4">
        <v>0</v>
      </c>
      <c r="D1016" s="4">
        <v>0</v>
      </c>
      <c r="E1016" s="4">
        <v>0</v>
      </c>
      <c r="F1016" s="4">
        <v>9.5</v>
      </c>
      <c r="G1016" s="4">
        <v>16</v>
      </c>
      <c r="H1016" s="4">
        <v>7</v>
      </c>
      <c r="I1016" s="4">
        <v>0</v>
      </c>
      <c r="J1016" s="4">
        <v>25</v>
      </c>
      <c r="K1016" s="4">
        <v>0</v>
      </c>
      <c r="L1016" s="4">
        <v>0</v>
      </c>
      <c r="M1016" s="4">
        <v>0</v>
      </c>
    </row>
    <row r="1017" spans="1:13">
      <c r="A1017" s="3" t="s">
        <v>1562</v>
      </c>
      <c r="B1017" s="4">
        <v>15</v>
      </c>
      <c r="C1017" s="4">
        <v>15</v>
      </c>
      <c r="D1017" s="4">
        <v>15</v>
      </c>
      <c r="E1017" s="4">
        <v>26.25</v>
      </c>
      <c r="F1017" s="4">
        <v>15</v>
      </c>
      <c r="G1017" s="4">
        <v>15</v>
      </c>
      <c r="H1017" s="4">
        <v>15</v>
      </c>
      <c r="I1017" s="4">
        <v>15</v>
      </c>
      <c r="J1017" s="4">
        <v>0</v>
      </c>
      <c r="K1017" s="4">
        <v>0</v>
      </c>
      <c r="L1017" s="4">
        <v>0</v>
      </c>
      <c r="M1017" s="4">
        <v>0</v>
      </c>
    </row>
    <row r="1018" spans="1:13">
      <c r="A1018" s="3" t="s">
        <v>1563</v>
      </c>
      <c r="B1018" s="4">
        <v>0</v>
      </c>
      <c r="C1018" s="4">
        <v>35</v>
      </c>
      <c r="D1018" s="4">
        <v>49</v>
      </c>
      <c r="E1018" s="4">
        <v>9</v>
      </c>
      <c r="F1018" s="4">
        <v>41</v>
      </c>
      <c r="G1018" s="4">
        <v>0</v>
      </c>
      <c r="H1018" s="4">
        <v>20</v>
      </c>
      <c r="I1018" s="4">
        <v>15</v>
      </c>
      <c r="J1018" s="4">
        <v>28.5</v>
      </c>
      <c r="K1018" s="4">
        <v>15</v>
      </c>
      <c r="L1018" s="4">
        <v>60</v>
      </c>
      <c r="M1018" s="4">
        <v>20</v>
      </c>
    </row>
    <row r="1019" spans="1:13">
      <c r="A1019" s="3" t="s">
        <v>1564</v>
      </c>
      <c r="B1019" s="4">
        <v>33.5</v>
      </c>
      <c r="C1019" s="4">
        <v>55</v>
      </c>
      <c r="D1019" s="4">
        <v>95</v>
      </c>
      <c r="E1019" s="4">
        <v>154.80000000000001</v>
      </c>
      <c r="F1019" s="4">
        <v>234.5</v>
      </c>
      <c r="G1019" s="4">
        <v>206.25</v>
      </c>
      <c r="H1019" s="4">
        <v>109</v>
      </c>
      <c r="I1019" s="4">
        <v>145</v>
      </c>
      <c r="J1019" s="4">
        <v>110</v>
      </c>
      <c r="K1019" s="4">
        <v>150</v>
      </c>
      <c r="L1019" s="4">
        <v>115</v>
      </c>
      <c r="M1019" s="4">
        <v>74.849999999999994</v>
      </c>
    </row>
    <row r="1020" spans="1:13">
      <c r="A1020" s="3" t="s">
        <v>1565</v>
      </c>
      <c r="B1020" s="4">
        <v>51.5</v>
      </c>
      <c r="C1020" s="4">
        <v>0</v>
      </c>
      <c r="D1020" s="4">
        <v>0</v>
      </c>
      <c r="E1020" s="4">
        <v>61.5</v>
      </c>
      <c r="F1020" s="4">
        <v>30</v>
      </c>
      <c r="G1020" s="4">
        <v>0</v>
      </c>
      <c r="H1020" s="4">
        <v>90</v>
      </c>
      <c r="I1020" s="4">
        <v>60</v>
      </c>
      <c r="J1020" s="4">
        <v>56.25</v>
      </c>
      <c r="K1020" s="4">
        <v>50</v>
      </c>
      <c r="L1020" s="4">
        <v>51</v>
      </c>
      <c r="M1020" s="4">
        <v>30</v>
      </c>
    </row>
    <row r="1021" spans="1:13">
      <c r="A1021" s="3" t="s">
        <v>1566</v>
      </c>
      <c r="B1021" s="4">
        <v>0</v>
      </c>
      <c r="C1021" s="4">
        <v>10</v>
      </c>
      <c r="D1021" s="4">
        <v>10</v>
      </c>
      <c r="E1021" s="4">
        <v>9.5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5</v>
      </c>
      <c r="M1021" s="4">
        <v>45.25</v>
      </c>
    </row>
    <row r="1022" spans="1:13">
      <c r="A1022" s="3" t="s">
        <v>1567</v>
      </c>
      <c r="B1022" s="4">
        <v>20</v>
      </c>
      <c r="C1022" s="4">
        <v>40</v>
      </c>
      <c r="D1022" s="4">
        <v>20</v>
      </c>
      <c r="E1022" s="4">
        <v>37.5</v>
      </c>
      <c r="F1022" s="4">
        <v>41</v>
      </c>
      <c r="G1022" s="4">
        <v>40</v>
      </c>
      <c r="H1022" s="4">
        <v>10</v>
      </c>
      <c r="I1022" s="4">
        <v>60</v>
      </c>
      <c r="J1022" s="4">
        <v>10</v>
      </c>
      <c r="K1022" s="4">
        <v>0</v>
      </c>
      <c r="L1022" s="4">
        <v>10</v>
      </c>
      <c r="M1022" s="4">
        <v>10</v>
      </c>
    </row>
    <row r="1023" spans="1:13">
      <c r="A1023" s="3" t="s">
        <v>1568</v>
      </c>
      <c r="B1023" s="4">
        <v>0</v>
      </c>
      <c r="C1023" s="4">
        <v>0</v>
      </c>
      <c r="D1023" s="4">
        <v>0</v>
      </c>
      <c r="E1023" s="4">
        <v>11</v>
      </c>
      <c r="F1023" s="4">
        <v>0</v>
      </c>
      <c r="G1023" s="4">
        <v>0</v>
      </c>
      <c r="H1023" s="4">
        <v>50</v>
      </c>
      <c r="I1023" s="4">
        <v>0</v>
      </c>
      <c r="J1023" s="4">
        <v>63</v>
      </c>
      <c r="K1023" s="4">
        <v>30</v>
      </c>
      <c r="L1023" s="4">
        <v>25</v>
      </c>
      <c r="M1023" s="4">
        <v>246.25</v>
      </c>
    </row>
    <row r="1024" spans="1:13">
      <c r="A1024" s="3" t="s">
        <v>1569</v>
      </c>
      <c r="B1024" s="4">
        <v>43</v>
      </c>
      <c r="C1024" s="4">
        <v>18.850000000000001</v>
      </c>
      <c r="D1024" s="4">
        <v>136.5</v>
      </c>
      <c r="E1024" s="4">
        <v>17.5</v>
      </c>
      <c r="F1024" s="4">
        <v>115</v>
      </c>
      <c r="G1024" s="4">
        <v>42</v>
      </c>
      <c r="H1024" s="4">
        <v>65</v>
      </c>
      <c r="I1024" s="4">
        <v>12</v>
      </c>
      <c r="J1024" s="4">
        <v>37.5</v>
      </c>
      <c r="K1024" s="4">
        <v>133</v>
      </c>
      <c r="L1024" s="4">
        <v>27</v>
      </c>
      <c r="M1024" s="4">
        <v>15</v>
      </c>
    </row>
    <row r="1025" spans="1:13">
      <c r="A1025" s="3" t="s">
        <v>1570</v>
      </c>
      <c r="B1025" s="4">
        <v>100</v>
      </c>
      <c r="C1025" s="4">
        <v>80</v>
      </c>
      <c r="D1025" s="4">
        <v>36</v>
      </c>
      <c r="E1025" s="4">
        <v>127.5</v>
      </c>
      <c r="F1025" s="4">
        <v>26</v>
      </c>
      <c r="G1025" s="4">
        <v>0</v>
      </c>
      <c r="H1025" s="4">
        <v>0</v>
      </c>
      <c r="I1025" s="4">
        <v>10</v>
      </c>
      <c r="J1025" s="4">
        <v>30</v>
      </c>
      <c r="K1025" s="4">
        <v>33.5</v>
      </c>
      <c r="L1025" s="4">
        <v>58.5</v>
      </c>
      <c r="M1025" s="4">
        <v>35</v>
      </c>
    </row>
    <row r="1026" spans="1:13">
      <c r="A1026" s="3" t="s">
        <v>1571</v>
      </c>
      <c r="B1026" s="4">
        <v>17.5</v>
      </c>
      <c r="C1026" s="4">
        <v>62.5</v>
      </c>
      <c r="D1026" s="4">
        <v>144</v>
      </c>
      <c r="E1026" s="4">
        <v>30</v>
      </c>
      <c r="F1026" s="4">
        <v>0</v>
      </c>
      <c r="G1026" s="4">
        <v>17.5</v>
      </c>
      <c r="H1026" s="4">
        <v>0</v>
      </c>
      <c r="I1026" s="4">
        <v>15</v>
      </c>
      <c r="J1026" s="4">
        <v>40</v>
      </c>
      <c r="K1026" s="4">
        <v>45</v>
      </c>
      <c r="L1026" s="4">
        <v>36</v>
      </c>
      <c r="M1026" s="4">
        <v>22</v>
      </c>
    </row>
    <row r="1027" spans="1:13">
      <c r="A1027" s="3" t="s">
        <v>1572</v>
      </c>
      <c r="B1027" s="4">
        <v>55</v>
      </c>
      <c r="C1027" s="4">
        <v>55</v>
      </c>
      <c r="D1027" s="4">
        <v>95</v>
      </c>
      <c r="E1027" s="4">
        <v>40</v>
      </c>
      <c r="F1027" s="4">
        <v>70</v>
      </c>
      <c r="G1027" s="4">
        <v>30</v>
      </c>
      <c r="H1027" s="4">
        <v>25</v>
      </c>
      <c r="I1027" s="4">
        <v>45</v>
      </c>
      <c r="J1027" s="4">
        <v>80</v>
      </c>
      <c r="K1027" s="4">
        <v>60</v>
      </c>
      <c r="L1027" s="4">
        <v>20</v>
      </c>
      <c r="M1027" s="4">
        <v>40</v>
      </c>
    </row>
    <row r="1028" spans="1:13">
      <c r="A1028" s="3" t="s">
        <v>1573</v>
      </c>
      <c r="B1028" s="4">
        <v>0</v>
      </c>
      <c r="C1028" s="4">
        <v>0</v>
      </c>
      <c r="D1028" s="4">
        <v>0</v>
      </c>
      <c r="E1028" s="4">
        <v>0</v>
      </c>
      <c r="F1028" s="4">
        <v>30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</row>
    <row r="1029" spans="1:13">
      <c r="A1029" s="3" t="s">
        <v>1574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45</v>
      </c>
      <c r="J1029" s="4">
        <v>10</v>
      </c>
      <c r="K1029" s="4">
        <v>0</v>
      </c>
      <c r="L1029" s="4">
        <v>0</v>
      </c>
      <c r="M1029" s="4">
        <v>0</v>
      </c>
    </row>
    <row r="1030" spans="1:13">
      <c r="A1030" s="3" t="s">
        <v>1575</v>
      </c>
      <c r="B1030" s="4">
        <v>0</v>
      </c>
      <c r="C1030" s="4">
        <v>0</v>
      </c>
      <c r="D1030" s="4">
        <v>10</v>
      </c>
      <c r="E1030" s="4">
        <v>10</v>
      </c>
      <c r="F1030" s="4">
        <v>30</v>
      </c>
      <c r="G1030" s="4">
        <v>35</v>
      </c>
      <c r="H1030" s="4">
        <v>25</v>
      </c>
      <c r="I1030" s="4">
        <v>25</v>
      </c>
      <c r="J1030" s="4">
        <v>0</v>
      </c>
      <c r="K1030" s="4">
        <v>0</v>
      </c>
      <c r="L1030" s="4">
        <v>8.5</v>
      </c>
      <c r="M1030" s="4">
        <v>16</v>
      </c>
    </row>
    <row r="1031" spans="1:13">
      <c r="A1031" s="3" t="s">
        <v>1576</v>
      </c>
      <c r="B1031" s="4">
        <v>43.5</v>
      </c>
      <c r="C1031" s="4">
        <v>30</v>
      </c>
      <c r="D1031" s="4">
        <v>30</v>
      </c>
      <c r="E1031" s="4">
        <v>20</v>
      </c>
      <c r="F1031" s="4">
        <v>15</v>
      </c>
      <c r="G1031" s="4">
        <v>123.5</v>
      </c>
      <c r="H1031" s="4">
        <v>85</v>
      </c>
      <c r="I1031" s="4">
        <v>60</v>
      </c>
      <c r="J1031" s="4">
        <v>0</v>
      </c>
      <c r="K1031" s="4">
        <v>20</v>
      </c>
      <c r="L1031" s="4">
        <v>60</v>
      </c>
      <c r="M1031" s="4">
        <v>139.5</v>
      </c>
    </row>
    <row r="1032" spans="1:13">
      <c r="A1032" s="3" t="s">
        <v>1577</v>
      </c>
      <c r="B1032" s="4">
        <v>15</v>
      </c>
      <c r="C1032" s="4">
        <v>20</v>
      </c>
      <c r="D1032" s="4">
        <v>73</v>
      </c>
      <c r="E1032" s="4">
        <v>30</v>
      </c>
      <c r="F1032" s="4">
        <v>62</v>
      </c>
      <c r="G1032" s="4">
        <v>0</v>
      </c>
      <c r="H1032" s="4">
        <v>50</v>
      </c>
      <c r="I1032" s="4">
        <v>5</v>
      </c>
      <c r="J1032" s="4">
        <v>57</v>
      </c>
      <c r="K1032" s="4">
        <v>0</v>
      </c>
      <c r="L1032" s="4">
        <v>0</v>
      </c>
      <c r="M1032" s="4">
        <v>5</v>
      </c>
    </row>
    <row r="1033" spans="1:13">
      <c r="A1033" s="3" t="s">
        <v>1578</v>
      </c>
      <c r="B1033" s="4">
        <v>0</v>
      </c>
      <c r="C1033" s="4">
        <v>0</v>
      </c>
      <c r="D1033" s="4">
        <v>21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</row>
    <row r="1034" spans="1:13">
      <c r="A1034" s="3" t="s">
        <v>1579</v>
      </c>
      <c r="B1034" s="4">
        <v>0</v>
      </c>
      <c r="C1034" s="4">
        <v>0</v>
      </c>
      <c r="D1034" s="4">
        <v>0</v>
      </c>
      <c r="E1034" s="4">
        <v>21</v>
      </c>
      <c r="F1034" s="4">
        <v>20</v>
      </c>
      <c r="G1034" s="4">
        <v>0</v>
      </c>
      <c r="H1034" s="4">
        <v>10</v>
      </c>
      <c r="I1034" s="4">
        <v>0</v>
      </c>
      <c r="J1034" s="4">
        <v>35</v>
      </c>
      <c r="K1034" s="4">
        <v>6</v>
      </c>
      <c r="L1034" s="4">
        <v>0</v>
      </c>
      <c r="M1034" s="4">
        <v>5</v>
      </c>
    </row>
    <row r="1035" spans="1:13">
      <c r="A1035" s="3" t="s">
        <v>1580</v>
      </c>
      <c r="B1035" s="4">
        <v>15</v>
      </c>
      <c r="C1035" s="4">
        <v>25</v>
      </c>
      <c r="D1035" s="4">
        <v>0</v>
      </c>
      <c r="E1035" s="4">
        <v>73.5</v>
      </c>
      <c r="F1035" s="4">
        <v>47.5</v>
      </c>
      <c r="G1035" s="4">
        <v>59</v>
      </c>
      <c r="H1035" s="4">
        <v>25</v>
      </c>
      <c r="I1035" s="4">
        <v>7</v>
      </c>
      <c r="J1035" s="4">
        <v>38</v>
      </c>
      <c r="K1035" s="4">
        <v>30</v>
      </c>
      <c r="L1035" s="4">
        <v>70</v>
      </c>
      <c r="M1035" s="4">
        <v>80</v>
      </c>
    </row>
    <row r="1036" spans="1:13">
      <c r="A1036" s="3" t="s">
        <v>1581</v>
      </c>
      <c r="B1036" s="4">
        <v>30</v>
      </c>
      <c r="C1036" s="4">
        <v>15</v>
      </c>
      <c r="D1036" s="4">
        <v>63</v>
      </c>
      <c r="E1036" s="4">
        <v>40</v>
      </c>
      <c r="F1036" s="4">
        <v>20</v>
      </c>
      <c r="G1036" s="4">
        <v>10</v>
      </c>
      <c r="H1036" s="4">
        <v>85</v>
      </c>
      <c r="I1036" s="4">
        <v>70</v>
      </c>
      <c r="J1036" s="4">
        <v>30</v>
      </c>
      <c r="K1036" s="4">
        <v>35</v>
      </c>
      <c r="L1036" s="4">
        <v>70</v>
      </c>
      <c r="M1036" s="4">
        <v>116.5</v>
      </c>
    </row>
    <row r="1037" spans="1:13">
      <c r="A1037" s="3" t="s">
        <v>1582</v>
      </c>
      <c r="B1037" s="4">
        <v>70</v>
      </c>
      <c r="C1037" s="4">
        <v>122</v>
      </c>
      <c r="D1037" s="4">
        <v>160</v>
      </c>
      <c r="E1037" s="4">
        <v>3</v>
      </c>
      <c r="F1037" s="4">
        <v>107</v>
      </c>
      <c r="G1037" s="4">
        <v>104</v>
      </c>
      <c r="H1037" s="4">
        <v>71</v>
      </c>
      <c r="I1037" s="4">
        <v>0</v>
      </c>
      <c r="J1037" s="4">
        <v>107</v>
      </c>
      <c r="K1037" s="4">
        <v>70</v>
      </c>
      <c r="L1037" s="4">
        <v>85</v>
      </c>
      <c r="M1037" s="4">
        <v>100</v>
      </c>
    </row>
    <row r="1038" spans="1:13">
      <c r="A1038" s="3" t="s">
        <v>1583</v>
      </c>
      <c r="B1038" s="4">
        <v>21</v>
      </c>
      <c r="C1038" s="4">
        <v>0</v>
      </c>
      <c r="D1038" s="4">
        <v>27.5</v>
      </c>
      <c r="E1038" s="4">
        <v>45</v>
      </c>
      <c r="F1038" s="4">
        <v>27.5</v>
      </c>
      <c r="G1038" s="4">
        <v>25</v>
      </c>
      <c r="H1038" s="4">
        <v>5</v>
      </c>
      <c r="I1038" s="4">
        <v>15</v>
      </c>
      <c r="J1038" s="4">
        <v>35</v>
      </c>
      <c r="K1038" s="4">
        <v>10</v>
      </c>
      <c r="L1038" s="4">
        <v>12.5</v>
      </c>
      <c r="M1038" s="4">
        <v>15</v>
      </c>
    </row>
    <row r="1039" spans="1:13">
      <c r="A1039" s="3" t="s">
        <v>1584</v>
      </c>
      <c r="B1039" s="4">
        <v>0</v>
      </c>
      <c r="C1039" s="4">
        <v>0</v>
      </c>
      <c r="D1039" s="4">
        <v>0</v>
      </c>
      <c r="E1039" s="4">
        <v>4</v>
      </c>
      <c r="F1039" s="4">
        <v>21</v>
      </c>
      <c r="G1039" s="4">
        <v>9</v>
      </c>
      <c r="H1039" s="4">
        <v>0</v>
      </c>
      <c r="I1039" s="4">
        <v>5</v>
      </c>
      <c r="J1039" s="4">
        <v>7.5</v>
      </c>
      <c r="K1039" s="4">
        <v>0</v>
      </c>
      <c r="L1039" s="4">
        <v>0</v>
      </c>
      <c r="M1039" s="4">
        <v>17.5</v>
      </c>
    </row>
    <row r="1040" spans="1:13">
      <c r="A1040" s="3" t="s">
        <v>1585</v>
      </c>
      <c r="B1040" s="4">
        <v>44</v>
      </c>
      <c r="C1040" s="4">
        <v>72</v>
      </c>
      <c r="D1040" s="4">
        <v>252.5</v>
      </c>
      <c r="E1040" s="4">
        <v>157</v>
      </c>
      <c r="F1040" s="4">
        <v>108.5</v>
      </c>
      <c r="G1040" s="4">
        <v>150</v>
      </c>
      <c r="H1040" s="4">
        <v>55.5</v>
      </c>
      <c r="I1040" s="4">
        <v>35</v>
      </c>
      <c r="J1040" s="4">
        <v>192</v>
      </c>
      <c r="K1040" s="4">
        <v>67.5</v>
      </c>
      <c r="L1040" s="4">
        <v>124.5</v>
      </c>
      <c r="M1040" s="4">
        <v>131</v>
      </c>
    </row>
    <row r="1041" spans="1:13">
      <c r="A1041" s="3" t="s">
        <v>1586</v>
      </c>
      <c r="B1041" s="4">
        <v>0</v>
      </c>
      <c r="C1041" s="4">
        <v>0</v>
      </c>
      <c r="D1041" s="4">
        <v>0</v>
      </c>
      <c r="E1041" s="4">
        <v>0</v>
      </c>
      <c r="F1041" s="4">
        <v>0</v>
      </c>
      <c r="G1041" s="4">
        <v>6</v>
      </c>
      <c r="H1041" s="4">
        <v>5</v>
      </c>
      <c r="I1041" s="4">
        <v>0</v>
      </c>
      <c r="J1041" s="4">
        <v>10</v>
      </c>
      <c r="K1041" s="4">
        <v>0</v>
      </c>
      <c r="L1041" s="4">
        <v>10</v>
      </c>
      <c r="M1041" s="4">
        <v>0</v>
      </c>
    </row>
    <row r="1042" spans="1:13">
      <c r="A1042" s="3" t="s">
        <v>1587</v>
      </c>
      <c r="B1042" s="4">
        <v>100</v>
      </c>
      <c r="C1042" s="4">
        <v>80</v>
      </c>
      <c r="D1042" s="4">
        <v>170</v>
      </c>
      <c r="E1042" s="4">
        <v>89.5</v>
      </c>
      <c r="F1042" s="4">
        <v>39</v>
      </c>
      <c r="G1042" s="4">
        <v>93.8</v>
      </c>
      <c r="H1042" s="4">
        <v>15</v>
      </c>
      <c r="I1042" s="4">
        <v>96.2</v>
      </c>
      <c r="J1042" s="4">
        <v>60</v>
      </c>
      <c r="K1042" s="4">
        <v>87.5</v>
      </c>
      <c r="L1042" s="4">
        <v>100</v>
      </c>
      <c r="M1042" s="4">
        <v>160</v>
      </c>
    </row>
    <row r="1043" spans="1:13">
      <c r="A1043" s="3" t="s">
        <v>1588</v>
      </c>
      <c r="B1043" s="4">
        <v>140</v>
      </c>
      <c r="C1043" s="4">
        <v>65</v>
      </c>
      <c r="D1043" s="4">
        <v>25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15</v>
      </c>
      <c r="L1043" s="4">
        <v>30</v>
      </c>
      <c r="M1043" s="4">
        <v>125</v>
      </c>
    </row>
    <row r="1044" spans="1:13">
      <c r="A1044" s="3" t="s">
        <v>1589</v>
      </c>
      <c r="B1044" s="4">
        <v>0</v>
      </c>
      <c r="C1044" s="4">
        <v>0</v>
      </c>
      <c r="D1044" s="4">
        <v>25</v>
      </c>
      <c r="E1044" s="4">
        <v>0</v>
      </c>
      <c r="F1044" s="4">
        <v>0</v>
      </c>
      <c r="G1044" s="4">
        <v>0</v>
      </c>
      <c r="H1044" s="4">
        <v>0</v>
      </c>
      <c r="I1044" s="4">
        <v>30</v>
      </c>
      <c r="J1044" s="4">
        <v>0</v>
      </c>
      <c r="K1044" s="4">
        <v>15</v>
      </c>
      <c r="L1044" s="4">
        <v>0</v>
      </c>
      <c r="M1044" s="4">
        <v>0</v>
      </c>
    </row>
    <row r="1045" spans="1:13">
      <c r="A1045" s="3" t="s">
        <v>1590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56</v>
      </c>
      <c r="J1045" s="4">
        <v>0</v>
      </c>
      <c r="K1045" s="4">
        <v>0</v>
      </c>
      <c r="L1045" s="4">
        <v>0</v>
      </c>
      <c r="M1045" s="4">
        <v>0</v>
      </c>
    </row>
    <row r="1046" spans="1:13">
      <c r="A1046" s="3" t="s">
        <v>1591</v>
      </c>
      <c r="B1046" s="4">
        <v>78</v>
      </c>
      <c r="C1046" s="4">
        <v>54</v>
      </c>
      <c r="D1046" s="4">
        <v>60</v>
      </c>
      <c r="E1046" s="4">
        <v>20</v>
      </c>
      <c r="F1046" s="4">
        <v>60</v>
      </c>
      <c r="G1046" s="4">
        <v>25</v>
      </c>
      <c r="H1046" s="4">
        <v>55</v>
      </c>
      <c r="I1046" s="4">
        <v>20</v>
      </c>
      <c r="J1046" s="4">
        <v>75</v>
      </c>
      <c r="K1046" s="4">
        <v>35</v>
      </c>
      <c r="L1046" s="4">
        <v>20</v>
      </c>
      <c r="M1046" s="4">
        <v>50</v>
      </c>
    </row>
    <row r="1047" spans="1:13">
      <c r="A1047" s="3" t="s">
        <v>1592</v>
      </c>
      <c r="B1047" s="4">
        <v>60</v>
      </c>
      <c r="C1047" s="4">
        <v>60</v>
      </c>
      <c r="D1047" s="4">
        <v>60</v>
      </c>
      <c r="E1047" s="4">
        <v>20</v>
      </c>
      <c r="F1047" s="4">
        <v>20</v>
      </c>
      <c r="G1047" s="4">
        <v>0</v>
      </c>
      <c r="H1047" s="4">
        <v>20</v>
      </c>
      <c r="I1047" s="4">
        <v>70</v>
      </c>
      <c r="J1047" s="4">
        <v>90</v>
      </c>
      <c r="K1047" s="4">
        <v>50</v>
      </c>
      <c r="L1047" s="4">
        <v>105</v>
      </c>
      <c r="M1047" s="4">
        <v>145</v>
      </c>
    </row>
    <row r="1048" spans="1:13">
      <c r="A1048" s="3" t="s">
        <v>1593</v>
      </c>
      <c r="B1048" s="4">
        <v>0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10</v>
      </c>
      <c r="I1048" s="4">
        <v>0</v>
      </c>
      <c r="J1048" s="4">
        <v>0</v>
      </c>
      <c r="K1048" s="4">
        <v>5</v>
      </c>
      <c r="L1048" s="4">
        <v>0</v>
      </c>
      <c r="M1048" s="4">
        <v>0</v>
      </c>
    </row>
    <row r="1049" spans="1:13">
      <c r="A1049" s="3" t="s">
        <v>1594</v>
      </c>
      <c r="B1049" s="4">
        <v>166</v>
      </c>
      <c r="C1049" s="4">
        <v>235</v>
      </c>
      <c r="D1049" s="4">
        <v>211</v>
      </c>
      <c r="E1049" s="4">
        <v>171</v>
      </c>
      <c r="F1049" s="4">
        <v>402</v>
      </c>
      <c r="G1049" s="4">
        <v>290</v>
      </c>
      <c r="H1049" s="4">
        <v>245</v>
      </c>
      <c r="I1049" s="4">
        <v>245</v>
      </c>
      <c r="J1049" s="4">
        <v>347</v>
      </c>
      <c r="K1049" s="4">
        <v>326</v>
      </c>
      <c r="L1049" s="4">
        <v>336</v>
      </c>
      <c r="M1049" s="4">
        <v>415</v>
      </c>
    </row>
    <row r="1050" spans="1:13">
      <c r="A1050" s="3" t="s">
        <v>1595</v>
      </c>
      <c r="B1050" s="4">
        <v>0</v>
      </c>
      <c r="C1050" s="4">
        <v>0</v>
      </c>
      <c r="D1050" s="4">
        <v>25</v>
      </c>
      <c r="E1050" s="4">
        <v>20</v>
      </c>
      <c r="F1050" s="4">
        <v>10</v>
      </c>
      <c r="G1050" s="4">
        <v>10</v>
      </c>
      <c r="H1050" s="4">
        <v>20</v>
      </c>
      <c r="I1050" s="4">
        <v>0</v>
      </c>
      <c r="J1050" s="4">
        <v>0</v>
      </c>
      <c r="K1050" s="4">
        <v>20</v>
      </c>
      <c r="L1050" s="4">
        <v>20</v>
      </c>
      <c r="M1050" s="4">
        <v>0</v>
      </c>
    </row>
    <row r="1051" spans="1:13">
      <c r="A1051" s="3" t="s">
        <v>1596</v>
      </c>
      <c r="B1051" s="4">
        <v>48.6</v>
      </c>
      <c r="C1051" s="4">
        <v>82</v>
      </c>
      <c r="D1051" s="4">
        <v>52.5</v>
      </c>
      <c r="E1051" s="4">
        <v>15</v>
      </c>
      <c r="F1051" s="4">
        <v>14.5</v>
      </c>
      <c r="G1051" s="4">
        <v>40</v>
      </c>
      <c r="H1051" s="4">
        <v>20</v>
      </c>
      <c r="I1051" s="4">
        <v>15</v>
      </c>
      <c r="J1051" s="4">
        <v>25</v>
      </c>
      <c r="K1051" s="4">
        <v>27.25</v>
      </c>
      <c r="L1051" s="4">
        <v>17</v>
      </c>
      <c r="M1051" s="4">
        <v>50</v>
      </c>
    </row>
    <row r="1052" spans="1:13">
      <c r="A1052" s="3" t="s">
        <v>1597</v>
      </c>
      <c r="B1052" s="4">
        <v>5</v>
      </c>
      <c r="C1052" s="4">
        <v>10</v>
      </c>
      <c r="D1052" s="4">
        <v>31.25</v>
      </c>
      <c r="E1052" s="4">
        <v>27.5</v>
      </c>
      <c r="F1052" s="4">
        <v>50</v>
      </c>
      <c r="G1052" s="4">
        <v>50.5</v>
      </c>
      <c r="H1052" s="4">
        <v>19.75</v>
      </c>
      <c r="I1052" s="4">
        <v>12.5</v>
      </c>
      <c r="J1052" s="4">
        <v>37</v>
      </c>
      <c r="K1052" s="4">
        <v>30</v>
      </c>
      <c r="L1052" s="4">
        <v>27.5</v>
      </c>
      <c r="M1052" s="4">
        <v>59</v>
      </c>
    </row>
    <row r="1053" spans="1:13">
      <c r="A1053" s="3" t="s">
        <v>1598</v>
      </c>
      <c r="B1053" s="4">
        <v>17</v>
      </c>
      <c r="C1053" s="4">
        <v>0</v>
      </c>
      <c r="D1053" s="4">
        <v>7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</row>
    <row r="1054" spans="1:13">
      <c r="A1054" s="3" t="s">
        <v>1599</v>
      </c>
      <c r="B1054" s="4">
        <v>24</v>
      </c>
      <c r="C1054" s="4">
        <v>20</v>
      </c>
      <c r="D1054" s="4">
        <v>33</v>
      </c>
      <c r="E1054" s="4">
        <v>21.5</v>
      </c>
      <c r="F1054" s="4">
        <v>61.5</v>
      </c>
      <c r="G1054" s="4">
        <v>47</v>
      </c>
      <c r="H1054" s="4">
        <v>25</v>
      </c>
      <c r="I1054" s="4">
        <v>15</v>
      </c>
      <c r="J1054" s="4">
        <v>45</v>
      </c>
      <c r="K1054" s="4">
        <v>52.5</v>
      </c>
      <c r="L1054" s="4">
        <v>30</v>
      </c>
      <c r="M1054" s="4">
        <v>30</v>
      </c>
    </row>
    <row r="1055" spans="1:13">
      <c r="A1055" s="3" t="s">
        <v>1600</v>
      </c>
      <c r="B1055" s="4">
        <v>30</v>
      </c>
      <c r="C1055" s="4">
        <v>10</v>
      </c>
      <c r="D1055" s="4">
        <v>94</v>
      </c>
      <c r="E1055" s="4">
        <v>62.75</v>
      </c>
      <c r="F1055" s="4">
        <v>86</v>
      </c>
      <c r="G1055" s="4">
        <v>55</v>
      </c>
      <c r="H1055" s="4">
        <v>20</v>
      </c>
      <c r="I1055" s="4">
        <v>20</v>
      </c>
      <c r="J1055" s="4">
        <v>112.5</v>
      </c>
      <c r="K1055" s="4">
        <v>22.5</v>
      </c>
      <c r="L1055" s="4">
        <v>38.5</v>
      </c>
      <c r="M1055" s="4">
        <v>98.75</v>
      </c>
    </row>
    <row r="1056" spans="1:13">
      <c r="A1056" s="3" t="s">
        <v>1601</v>
      </c>
      <c r="B1056" s="4">
        <v>0</v>
      </c>
      <c r="C1056" s="4">
        <v>0</v>
      </c>
      <c r="D1056" s="4">
        <v>0</v>
      </c>
      <c r="E1056" s="4">
        <v>0</v>
      </c>
      <c r="F1056" s="4">
        <v>0</v>
      </c>
      <c r="G1056" s="4">
        <v>1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</row>
    <row r="1057" spans="1:13">
      <c r="A1057" s="3" t="s">
        <v>1602</v>
      </c>
      <c r="B1057" s="4">
        <v>0</v>
      </c>
      <c r="C1057" s="4">
        <v>15</v>
      </c>
      <c r="D1057" s="4">
        <v>10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20</v>
      </c>
      <c r="K1057" s="4">
        <v>0</v>
      </c>
      <c r="L1057" s="4">
        <v>0</v>
      </c>
      <c r="M1057" s="4">
        <v>0</v>
      </c>
    </row>
    <row r="1058" spans="1:13">
      <c r="A1058" s="3" t="s">
        <v>1603</v>
      </c>
      <c r="B1058" s="4">
        <v>72.5</v>
      </c>
      <c r="C1058" s="4">
        <v>54</v>
      </c>
      <c r="D1058" s="4">
        <v>44</v>
      </c>
      <c r="E1058" s="4">
        <v>46</v>
      </c>
      <c r="F1058" s="4">
        <v>78.900000000000006</v>
      </c>
      <c r="G1058" s="4">
        <v>33</v>
      </c>
      <c r="H1058" s="4">
        <v>30</v>
      </c>
      <c r="I1058" s="4">
        <v>0</v>
      </c>
      <c r="J1058" s="4">
        <v>11</v>
      </c>
      <c r="K1058" s="4">
        <v>32</v>
      </c>
      <c r="L1058" s="4">
        <v>74.5</v>
      </c>
      <c r="M1058" s="4">
        <v>126</v>
      </c>
    </row>
    <row r="1059" spans="1:13">
      <c r="A1059" s="3" t="s">
        <v>1604</v>
      </c>
      <c r="B1059" s="4">
        <v>0</v>
      </c>
      <c r="C1059" s="4">
        <v>0</v>
      </c>
      <c r="D1059" s="4">
        <v>0</v>
      </c>
      <c r="E1059" s="4">
        <v>12</v>
      </c>
      <c r="F1059" s="4">
        <v>98</v>
      </c>
      <c r="G1059" s="4">
        <v>11</v>
      </c>
      <c r="H1059" s="4">
        <v>0</v>
      </c>
      <c r="I1059" s="4">
        <v>0</v>
      </c>
      <c r="J1059" s="4">
        <v>0</v>
      </c>
      <c r="K1059" s="4">
        <v>0</v>
      </c>
      <c r="L1059" s="4">
        <v>40</v>
      </c>
      <c r="M1059" s="4">
        <v>20</v>
      </c>
    </row>
    <row r="1060" spans="1:13">
      <c r="A1060" s="3" t="s">
        <v>1605</v>
      </c>
      <c r="B1060" s="4">
        <v>10</v>
      </c>
      <c r="C1060" s="4">
        <v>15</v>
      </c>
      <c r="D1060" s="4">
        <v>25</v>
      </c>
      <c r="E1060" s="4">
        <v>62.5</v>
      </c>
      <c r="F1060" s="4">
        <v>45</v>
      </c>
      <c r="G1060" s="4">
        <v>10</v>
      </c>
      <c r="H1060" s="4">
        <v>0</v>
      </c>
      <c r="I1060" s="4">
        <v>0</v>
      </c>
      <c r="J1060" s="4">
        <v>7.5</v>
      </c>
      <c r="K1060" s="4">
        <v>120</v>
      </c>
      <c r="L1060" s="4">
        <v>30</v>
      </c>
      <c r="M1060" s="4">
        <v>80</v>
      </c>
    </row>
    <row r="1061" spans="1:13">
      <c r="A1061" s="3" t="s">
        <v>1606</v>
      </c>
      <c r="B1061" s="4">
        <v>116</v>
      </c>
      <c r="C1061" s="4">
        <v>61</v>
      </c>
      <c r="D1061" s="4">
        <v>63</v>
      </c>
      <c r="E1061" s="4">
        <v>134.5</v>
      </c>
      <c r="F1061" s="4">
        <v>115</v>
      </c>
      <c r="G1061" s="4">
        <v>65</v>
      </c>
      <c r="H1061" s="4">
        <v>44.5</v>
      </c>
      <c r="I1061" s="4">
        <v>30</v>
      </c>
      <c r="J1061" s="4">
        <v>98</v>
      </c>
      <c r="K1061" s="4">
        <v>45</v>
      </c>
      <c r="L1061" s="4">
        <v>85</v>
      </c>
      <c r="M1061" s="4">
        <v>15</v>
      </c>
    </row>
    <row r="1062" spans="1:13">
      <c r="A1062" s="3" t="s">
        <v>1607</v>
      </c>
      <c r="B1062" s="4">
        <v>45</v>
      </c>
      <c r="C1062" s="4">
        <v>81</v>
      </c>
      <c r="D1062" s="4">
        <v>162</v>
      </c>
      <c r="E1062" s="4">
        <v>95</v>
      </c>
      <c r="F1062" s="4">
        <v>95</v>
      </c>
      <c r="G1062" s="4">
        <v>100</v>
      </c>
      <c r="H1062" s="4">
        <v>110</v>
      </c>
      <c r="I1062" s="4">
        <v>80</v>
      </c>
      <c r="J1062" s="4">
        <v>115</v>
      </c>
      <c r="K1062" s="4">
        <v>210</v>
      </c>
      <c r="L1062" s="4">
        <v>210</v>
      </c>
      <c r="M1062" s="4">
        <v>190</v>
      </c>
    </row>
    <row r="1063" spans="1:13">
      <c r="A1063" s="3" t="s">
        <v>1608</v>
      </c>
      <c r="B1063" s="4">
        <v>0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10</v>
      </c>
      <c r="M1063" s="4">
        <v>70</v>
      </c>
    </row>
    <row r="1064" spans="1:13">
      <c r="A1064" s="3" t="s">
        <v>1609</v>
      </c>
      <c r="B1064" s="4">
        <v>42.65</v>
      </c>
      <c r="C1064" s="4">
        <v>40</v>
      </c>
      <c r="D1064" s="4">
        <v>45.8</v>
      </c>
      <c r="E1064" s="4">
        <v>79.45</v>
      </c>
      <c r="F1064" s="4">
        <v>55.3</v>
      </c>
      <c r="G1064" s="4">
        <v>59.25</v>
      </c>
      <c r="H1064" s="4">
        <v>85.25</v>
      </c>
      <c r="I1064" s="4">
        <v>32.5</v>
      </c>
      <c r="J1064" s="4">
        <v>34.5</v>
      </c>
      <c r="K1064" s="4">
        <v>70.5</v>
      </c>
      <c r="L1064" s="4">
        <v>92.5</v>
      </c>
      <c r="M1064" s="4">
        <v>45</v>
      </c>
    </row>
    <row r="1065" spans="1:13">
      <c r="A1065" s="3" t="s">
        <v>1610</v>
      </c>
      <c r="B1065" s="4">
        <v>10</v>
      </c>
      <c r="C1065" s="4">
        <v>35</v>
      </c>
      <c r="D1065" s="4">
        <v>37.5</v>
      </c>
      <c r="E1065" s="4">
        <v>10.5</v>
      </c>
      <c r="F1065" s="4">
        <v>16.55</v>
      </c>
      <c r="G1065" s="4">
        <v>0</v>
      </c>
      <c r="H1065" s="4">
        <v>0</v>
      </c>
      <c r="I1065" s="4">
        <v>13</v>
      </c>
      <c r="J1065" s="4">
        <v>25.75</v>
      </c>
      <c r="K1065" s="4">
        <v>20</v>
      </c>
      <c r="L1065" s="4">
        <v>0</v>
      </c>
      <c r="M1065" s="4">
        <v>21</v>
      </c>
    </row>
    <row r="1066" spans="1:13">
      <c r="A1066" s="3" t="s">
        <v>1611</v>
      </c>
      <c r="B1066" s="4">
        <v>0</v>
      </c>
      <c r="C1066" s="4">
        <v>11</v>
      </c>
      <c r="D1066" s="4">
        <v>5</v>
      </c>
      <c r="E1066" s="4">
        <v>38.5</v>
      </c>
      <c r="F1066" s="4">
        <v>17.5</v>
      </c>
      <c r="G1066" s="4">
        <v>10</v>
      </c>
      <c r="H1066" s="4">
        <v>15</v>
      </c>
      <c r="I1066" s="4">
        <v>34.5</v>
      </c>
      <c r="J1066" s="4">
        <v>67.25</v>
      </c>
      <c r="K1066" s="4">
        <v>45</v>
      </c>
      <c r="L1066" s="4">
        <v>32.5</v>
      </c>
      <c r="M1066" s="4">
        <v>65.25</v>
      </c>
    </row>
    <row r="1067" spans="1:13">
      <c r="A1067" s="3" t="s">
        <v>1612</v>
      </c>
      <c r="B1067" s="4">
        <v>35</v>
      </c>
      <c r="C1067" s="4">
        <v>0</v>
      </c>
      <c r="D1067" s="4">
        <v>15</v>
      </c>
      <c r="E1067" s="4">
        <v>0</v>
      </c>
      <c r="F1067" s="4">
        <v>3</v>
      </c>
      <c r="G1067" s="4">
        <v>3</v>
      </c>
      <c r="H1067" s="4">
        <v>0</v>
      </c>
      <c r="I1067" s="4">
        <v>0</v>
      </c>
      <c r="J1067" s="4">
        <v>3</v>
      </c>
      <c r="K1067" s="4">
        <v>0</v>
      </c>
      <c r="L1067" s="4">
        <v>0</v>
      </c>
      <c r="M1067" s="4">
        <v>0</v>
      </c>
    </row>
    <row r="1068" spans="1:13">
      <c r="A1068" s="3" t="s">
        <v>1613</v>
      </c>
      <c r="B1068" s="4">
        <v>10</v>
      </c>
      <c r="C1068" s="4">
        <v>0</v>
      </c>
      <c r="D1068" s="4">
        <v>5</v>
      </c>
      <c r="E1068" s="4">
        <v>10</v>
      </c>
      <c r="F1068" s="4">
        <v>0</v>
      </c>
      <c r="G1068" s="4">
        <v>10</v>
      </c>
      <c r="H1068" s="4">
        <v>0</v>
      </c>
      <c r="I1068" s="4">
        <v>0</v>
      </c>
      <c r="J1068" s="4">
        <v>0</v>
      </c>
      <c r="K1068" s="4">
        <v>20</v>
      </c>
      <c r="L1068" s="4">
        <v>0</v>
      </c>
      <c r="M1068" s="4">
        <v>12.5</v>
      </c>
    </row>
    <row r="1069" spans="1:13">
      <c r="A1069" s="3" t="s">
        <v>1614</v>
      </c>
      <c r="B1069" s="4">
        <v>46</v>
      </c>
      <c r="C1069" s="4">
        <v>45</v>
      </c>
      <c r="D1069" s="4">
        <v>20</v>
      </c>
      <c r="E1069" s="4">
        <v>37</v>
      </c>
      <c r="F1069" s="4">
        <v>53</v>
      </c>
      <c r="G1069" s="4">
        <v>15</v>
      </c>
      <c r="H1069" s="4">
        <v>33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</row>
    <row r="1070" spans="1:13">
      <c r="A1070" s="3" t="s">
        <v>1615</v>
      </c>
      <c r="B1070" s="4">
        <v>45</v>
      </c>
      <c r="C1070" s="4">
        <v>50</v>
      </c>
      <c r="D1070" s="4">
        <v>15</v>
      </c>
      <c r="E1070" s="4">
        <v>35</v>
      </c>
      <c r="F1070" s="4">
        <v>30</v>
      </c>
      <c r="G1070" s="4">
        <v>41</v>
      </c>
      <c r="H1070" s="4">
        <v>20</v>
      </c>
      <c r="I1070" s="4">
        <v>60</v>
      </c>
      <c r="J1070" s="4">
        <v>66</v>
      </c>
      <c r="K1070" s="4">
        <v>30</v>
      </c>
      <c r="L1070" s="4">
        <v>40</v>
      </c>
      <c r="M1070" s="4">
        <v>174</v>
      </c>
    </row>
    <row r="1071" spans="1:13">
      <c r="A1071" s="3" t="s">
        <v>1616</v>
      </c>
      <c r="B1071" s="4">
        <v>15</v>
      </c>
      <c r="C1071" s="4">
        <v>10</v>
      </c>
      <c r="D1071" s="4">
        <v>0</v>
      </c>
      <c r="E1071" s="4">
        <v>7.5</v>
      </c>
      <c r="F1071" s="4">
        <v>0</v>
      </c>
      <c r="G1071" s="4">
        <v>0</v>
      </c>
      <c r="H1071" s="4">
        <v>10</v>
      </c>
      <c r="I1071" s="4">
        <v>25</v>
      </c>
      <c r="J1071" s="4">
        <v>30</v>
      </c>
      <c r="K1071" s="4">
        <v>40</v>
      </c>
      <c r="L1071" s="4">
        <v>30</v>
      </c>
      <c r="M1071" s="4">
        <v>20</v>
      </c>
    </row>
    <row r="1072" spans="1:13">
      <c r="A1072" s="3" t="s">
        <v>1617</v>
      </c>
      <c r="B1072" s="4">
        <v>0</v>
      </c>
      <c r="C1072" s="4">
        <v>0</v>
      </c>
      <c r="D1072" s="4">
        <v>0</v>
      </c>
      <c r="E1072" s="4">
        <v>6.5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</row>
    <row r="1073" spans="1:13">
      <c r="A1073" s="3" t="s">
        <v>1618</v>
      </c>
      <c r="B1073" s="4">
        <v>0</v>
      </c>
      <c r="C1073" s="4">
        <v>10</v>
      </c>
      <c r="D1073" s="4">
        <v>20</v>
      </c>
      <c r="E1073" s="4">
        <v>25</v>
      </c>
      <c r="F1073" s="4">
        <v>15</v>
      </c>
      <c r="G1073" s="4">
        <v>22.5</v>
      </c>
      <c r="H1073" s="4">
        <v>15</v>
      </c>
      <c r="I1073" s="4">
        <v>25</v>
      </c>
      <c r="J1073" s="4">
        <v>33</v>
      </c>
      <c r="K1073" s="4">
        <v>15</v>
      </c>
      <c r="L1073" s="4">
        <v>55</v>
      </c>
      <c r="M1073" s="4">
        <v>65</v>
      </c>
    </row>
    <row r="1074" spans="1:13">
      <c r="A1074" s="3" t="s">
        <v>1619</v>
      </c>
      <c r="B1074" s="4">
        <v>0</v>
      </c>
      <c r="C1074" s="4">
        <v>0</v>
      </c>
      <c r="D1074" s="4">
        <v>0</v>
      </c>
      <c r="E1074" s="4">
        <v>0</v>
      </c>
      <c r="F1074" s="4">
        <v>15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</row>
    <row r="1075" spans="1:13">
      <c r="A1075" s="3" t="s">
        <v>1620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105</v>
      </c>
      <c r="I1075" s="4">
        <v>0</v>
      </c>
      <c r="J1075" s="4">
        <v>0</v>
      </c>
      <c r="K1075" s="4">
        <v>0</v>
      </c>
      <c r="L1075" s="4">
        <v>0</v>
      </c>
      <c r="M1075" s="4">
        <v>123.5</v>
      </c>
    </row>
    <row r="1076" spans="1:13">
      <c r="A1076" s="3" t="s">
        <v>1621</v>
      </c>
      <c r="B1076" s="4">
        <v>30</v>
      </c>
      <c r="C1076" s="4">
        <v>20</v>
      </c>
      <c r="D1076" s="4">
        <v>45</v>
      </c>
      <c r="E1076" s="4">
        <v>10</v>
      </c>
      <c r="F1076" s="4">
        <v>27.5</v>
      </c>
      <c r="G1076" s="4">
        <v>35</v>
      </c>
      <c r="H1076" s="4">
        <v>28.5</v>
      </c>
      <c r="I1076" s="4">
        <v>25</v>
      </c>
      <c r="J1076" s="4">
        <v>15</v>
      </c>
      <c r="K1076" s="4">
        <v>39.5</v>
      </c>
      <c r="L1076" s="4">
        <v>99</v>
      </c>
      <c r="M1076" s="4">
        <v>39</v>
      </c>
    </row>
    <row r="1077" spans="1:13">
      <c r="A1077" s="3" t="s">
        <v>1622</v>
      </c>
      <c r="B1077" s="4">
        <v>7.5</v>
      </c>
      <c r="C1077" s="4">
        <v>20</v>
      </c>
      <c r="D1077" s="4">
        <v>52.5</v>
      </c>
      <c r="E1077" s="4">
        <v>54</v>
      </c>
      <c r="F1077" s="4">
        <v>3.5</v>
      </c>
      <c r="G1077" s="4">
        <v>6</v>
      </c>
      <c r="H1077" s="4">
        <v>0</v>
      </c>
      <c r="I1077" s="4">
        <v>0</v>
      </c>
      <c r="J1077" s="4">
        <v>0</v>
      </c>
      <c r="K1077" s="4">
        <v>0</v>
      </c>
      <c r="L1077" s="4">
        <v>7.5</v>
      </c>
      <c r="M1077" s="4">
        <v>0</v>
      </c>
    </row>
    <row r="1078" spans="1:13">
      <c r="A1078" s="3" t="s">
        <v>1623</v>
      </c>
      <c r="B1078" s="4">
        <v>48.5</v>
      </c>
      <c r="C1078" s="4">
        <v>15</v>
      </c>
      <c r="D1078" s="4">
        <v>0</v>
      </c>
      <c r="E1078" s="4">
        <v>19</v>
      </c>
      <c r="F1078" s="4">
        <v>15</v>
      </c>
      <c r="G1078" s="4">
        <v>7.5</v>
      </c>
      <c r="H1078" s="4">
        <v>12.5</v>
      </c>
      <c r="I1078" s="4">
        <v>25</v>
      </c>
      <c r="J1078" s="4">
        <v>25</v>
      </c>
      <c r="K1078" s="4">
        <v>25</v>
      </c>
      <c r="L1078" s="4">
        <v>48</v>
      </c>
      <c r="M1078" s="4">
        <v>32</v>
      </c>
    </row>
    <row r="1079" spans="1:13">
      <c r="A1079" s="3" t="s">
        <v>1624</v>
      </c>
      <c r="B1079" s="4">
        <v>0</v>
      </c>
      <c r="C1079" s="4">
        <v>0</v>
      </c>
      <c r="D1079" s="4">
        <v>20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</row>
    <row r="1080" spans="1:13">
      <c r="A1080" s="3" t="s">
        <v>1625</v>
      </c>
      <c r="B1080" s="4">
        <v>47.5</v>
      </c>
      <c r="C1080" s="4">
        <v>0</v>
      </c>
      <c r="D1080" s="4">
        <v>65.5</v>
      </c>
      <c r="E1080" s="4">
        <v>93</v>
      </c>
      <c r="F1080" s="4">
        <v>10</v>
      </c>
      <c r="G1080" s="4">
        <v>104</v>
      </c>
      <c r="H1080" s="4">
        <v>35</v>
      </c>
      <c r="I1080" s="4">
        <v>0</v>
      </c>
      <c r="J1080" s="4">
        <v>48</v>
      </c>
      <c r="K1080" s="4">
        <v>15</v>
      </c>
      <c r="L1080" s="4">
        <v>70</v>
      </c>
      <c r="M1080" s="4">
        <v>147.35</v>
      </c>
    </row>
    <row r="1081" spans="1:13">
      <c r="A1081" s="3" t="s">
        <v>1626</v>
      </c>
      <c r="B1081" s="4">
        <v>20</v>
      </c>
      <c r="C1081" s="4">
        <v>30</v>
      </c>
      <c r="D1081" s="4">
        <v>111</v>
      </c>
      <c r="E1081" s="4">
        <v>48.5</v>
      </c>
      <c r="F1081" s="4">
        <v>5</v>
      </c>
      <c r="G1081" s="4">
        <v>17.5</v>
      </c>
      <c r="H1081" s="4">
        <v>25</v>
      </c>
      <c r="I1081" s="4">
        <v>0</v>
      </c>
      <c r="J1081" s="4">
        <v>12.5</v>
      </c>
      <c r="K1081" s="4">
        <v>50</v>
      </c>
      <c r="L1081" s="4">
        <v>35</v>
      </c>
      <c r="M1081" s="4">
        <v>65</v>
      </c>
    </row>
    <row r="1082" spans="1:13">
      <c r="A1082" s="3" t="s">
        <v>1627</v>
      </c>
      <c r="B1082" s="4">
        <v>100</v>
      </c>
      <c r="C1082" s="4">
        <v>103.5</v>
      </c>
      <c r="D1082" s="4">
        <v>100</v>
      </c>
      <c r="E1082" s="4">
        <v>83.5</v>
      </c>
      <c r="F1082" s="4">
        <v>40</v>
      </c>
      <c r="G1082" s="4">
        <v>22.5</v>
      </c>
      <c r="H1082" s="4">
        <v>40</v>
      </c>
      <c r="I1082" s="4">
        <v>15</v>
      </c>
      <c r="J1082" s="4">
        <v>76</v>
      </c>
      <c r="K1082" s="4">
        <v>7.5</v>
      </c>
      <c r="L1082" s="4">
        <v>30</v>
      </c>
      <c r="M1082" s="4">
        <v>10</v>
      </c>
    </row>
    <row r="1083" spans="1:13">
      <c r="A1083" s="3" t="s">
        <v>1628</v>
      </c>
      <c r="B1083" s="4">
        <v>50</v>
      </c>
      <c r="C1083" s="4">
        <v>41</v>
      </c>
      <c r="D1083" s="4">
        <v>45</v>
      </c>
      <c r="E1083" s="4">
        <v>42.5</v>
      </c>
      <c r="F1083" s="4">
        <v>37.5</v>
      </c>
      <c r="G1083" s="4">
        <v>15</v>
      </c>
      <c r="H1083" s="4">
        <v>22</v>
      </c>
      <c r="I1083" s="4">
        <v>1</v>
      </c>
      <c r="J1083" s="4">
        <v>24.5</v>
      </c>
      <c r="K1083" s="4">
        <v>28.5</v>
      </c>
      <c r="L1083" s="4">
        <v>31</v>
      </c>
      <c r="M1083" s="4">
        <v>74</v>
      </c>
    </row>
    <row r="1084" spans="1:13">
      <c r="A1084" s="3" t="s">
        <v>1629</v>
      </c>
      <c r="B1084" s="4">
        <v>45</v>
      </c>
      <c r="C1084" s="4">
        <v>42</v>
      </c>
      <c r="D1084" s="4">
        <v>81.5</v>
      </c>
      <c r="E1084" s="4">
        <v>64.25</v>
      </c>
      <c r="F1084" s="4">
        <v>66.5</v>
      </c>
      <c r="G1084" s="4">
        <v>47.5</v>
      </c>
      <c r="H1084" s="4">
        <v>31</v>
      </c>
      <c r="I1084" s="4">
        <v>30</v>
      </c>
      <c r="J1084" s="4">
        <v>25</v>
      </c>
      <c r="K1084" s="4">
        <v>25</v>
      </c>
      <c r="L1084" s="4">
        <v>46.5</v>
      </c>
      <c r="M1084" s="4">
        <v>84</v>
      </c>
    </row>
    <row r="1085" spans="1:13">
      <c r="A1085" s="3" t="s">
        <v>1630</v>
      </c>
      <c r="B1085" s="4">
        <v>0</v>
      </c>
      <c r="C1085" s="4">
        <v>10</v>
      </c>
      <c r="D1085" s="4">
        <v>35</v>
      </c>
      <c r="E1085" s="4">
        <v>41.85</v>
      </c>
      <c r="F1085" s="4">
        <v>65</v>
      </c>
      <c r="G1085" s="4">
        <v>82.5</v>
      </c>
      <c r="H1085" s="4">
        <v>25</v>
      </c>
      <c r="I1085" s="4">
        <v>27</v>
      </c>
      <c r="J1085" s="4">
        <v>62.5</v>
      </c>
      <c r="K1085" s="4">
        <v>30</v>
      </c>
      <c r="L1085" s="4">
        <v>0</v>
      </c>
      <c r="M1085" s="4">
        <v>21</v>
      </c>
    </row>
    <row r="1086" spans="1:13">
      <c r="A1086" s="3" t="s">
        <v>1631</v>
      </c>
      <c r="B1086" s="4">
        <v>45</v>
      </c>
      <c r="C1086" s="4">
        <v>30.25</v>
      </c>
      <c r="D1086" s="4">
        <v>33</v>
      </c>
      <c r="E1086" s="4">
        <v>49.75</v>
      </c>
      <c r="F1086" s="4">
        <v>27</v>
      </c>
      <c r="G1086" s="4">
        <v>40.9</v>
      </c>
      <c r="H1086" s="4">
        <v>46.5</v>
      </c>
      <c r="I1086" s="4">
        <v>31.85</v>
      </c>
      <c r="J1086" s="4">
        <v>82.5</v>
      </c>
      <c r="K1086" s="4">
        <v>57.5</v>
      </c>
      <c r="L1086" s="4">
        <v>37.5</v>
      </c>
      <c r="M1086" s="4">
        <v>60.15</v>
      </c>
    </row>
    <row r="1087" spans="1:13">
      <c r="A1087" s="3" t="s">
        <v>1632</v>
      </c>
      <c r="B1087" s="4">
        <v>0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10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</row>
    <row r="1088" spans="1:13">
      <c r="A1088" s="3" t="s">
        <v>1633</v>
      </c>
      <c r="B1088" s="4">
        <v>25</v>
      </c>
      <c r="C1088" s="4">
        <v>0</v>
      </c>
      <c r="D1088" s="4">
        <v>20</v>
      </c>
      <c r="E1088" s="4">
        <v>25</v>
      </c>
      <c r="F1088" s="4">
        <v>0</v>
      </c>
      <c r="G1088" s="4">
        <v>11</v>
      </c>
      <c r="H1088" s="4">
        <v>0</v>
      </c>
      <c r="I1088" s="4">
        <v>10</v>
      </c>
      <c r="J1088" s="4">
        <v>0</v>
      </c>
      <c r="K1088" s="4">
        <v>20</v>
      </c>
      <c r="L1088" s="4">
        <v>0</v>
      </c>
      <c r="M1088" s="4">
        <v>15</v>
      </c>
    </row>
    <row r="1089" spans="1:13">
      <c r="A1089" s="3" t="s">
        <v>1634</v>
      </c>
      <c r="B1089" s="4">
        <v>0</v>
      </c>
      <c r="C1089" s="4">
        <v>50</v>
      </c>
      <c r="D1089" s="4">
        <v>30</v>
      </c>
      <c r="E1089" s="4">
        <v>30</v>
      </c>
      <c r="F1089" s="4">
        <v>10</v>
      </c>
      <c r="G1089" s="4">
        <v>32</v>
      </c>
      <c r="H1089" s="4">
        <v>27.5</v>
      </c>
      <c r="I1089" s="4">
        <v>40</v>
      </c>
      <c r="J1089" s="4">
        <v>55</v>
      </c>
      <c r="K1089" s="4">
        <v>35</v>
      </c>
      <c r="L1089" s="4">
        <v>164</v>
      </c>
      <c r="M1089" s="4">
        <v>150</v>
      </c>
    </row>
    <row r="1090" spans="1:13">
      <c r="A1090" s="3" t="s">
        <v>1635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67.5</v>
      </c>
      <c r="H1090" s="4">
        <v>46.25</v>
      </c>
      <c r="I1090" s="4">
        <v>22.5</v>
      </c>
      <c r="J1090" s="4">
        <v>23</v>
      </c>
      <c r="K1090" s="4">
        <v>0</v>
      </c>
      <c r="L1090" s="4">
        <v>0</v>
      </c>
      <c r="M1090" s="4">
        <v>0</v>
      </c>
    </row>
    <row r="1091" spans="1:13">
      <c r="A1091" s="3" t="s">
        <v>1636</v>
      </c>
      <c r="B1091" s="4">
        <v>117</v>
      </c>
      <c r="C1091" s="4">
        <v>80.5</v>
      </c>
      <c r="D1091" s="4">
        <v>110.75</v>
      </c>
      <c r="E1091" s="4">
        <v>66</v>
      </c>
      <c r="F1091" s="4">
        <v>134.5</v>
      </c>
      <c r="G1091" s="4">
        <v>80</v>
      </c>
      <c r="H1091" s="4">
        <v>134.15</v>
      </c>
      <c r="I1091" s="4">
        <v>124</v>
      </c>
      <c r="J1091" s="4">
        <v>165.75</v>
      </c>
      <c r="K1091" s="4">
        <v>121.5</v>
      </c>
      <c r="L1091" s="4">
        <v>65</v>
      </c>
      <c r="M1091" s="4">
        <v>10</v>
      </c>
    </row>
    <row r="1092" spans="1:13">
      <c r="A1092" s="3" t="s">
        <v>1637</v>
      </c>
      <c r="B1092" s="4">
        <v>30</v>
      </c>
      <c r="C1092" s="4">
        <v>5</v>
      </c>
      <c r="D1092" s="4">
        <v>25</v>
      </c>
      <c r="E1092" s="4">
        <v>33</v>
      </c>
      <c r="F1092" s="4">
        <v>67.699999999999989</v>
      </c>
      <c r="G1092" s="4">
        <v>51.75</v>
      </c>
      <c r="H1092" s="4">
        <v>50.05</v>
      </c>
      <c r="I1092" s="4">
        <v>10</v>
      </c>
      <c r="J1092" s="4">
        <v>34.5</v>
      </c>
      <c r="K1092" s="4">
        <v>11.5</v>
      </c>
      <c r="L1092" s="4">
        <v>8</v>
      </c>
      <c r="M1092" s="4">
        <v>74.5</v>
      </c>
    </row>
    <row r="1093" spans="1:13">
      <c r="A1093" s="3" t="s">
        <v>1638</v>
      </c>
      <c r="B1093" s="4">
        <v>10</v>
      </c>
      <c r="C1093" s="4">
        <v>76</v>
      </c>
      <c r="D1093" s="4">
        <v>69</v>
      </c>
      <c r="E1093" s="4">
        <v>67</v>
      </c>
      <c r="F1093" s="4">
        <v>24.5</v>
      </c>
      <c r="G1093" s="4">
        <v>45</v>
      </c>
      <c r="H1093" s="4">
        <v>50</v>
      </c>
      <c r="I1093" s="4">
        <v>10</v>
      </c>
      <c r="J1093" s="4">
        <v>57.5</v>
      </c>
      <c r="K1093" s="4">
        <v>50</v>
      </c>
      <c r="L1093" s="4">
        <v>15</v>
      </c>
      <c r="M1093" s="4">
        <v>0</v>
      </c>
    </row>
    <row r="1094" spans="1:13">
      <c r="A1094" s="3" t="s">
        <v>1639</v>
      </c>
      <c r="B1094" s="4">
        <v>17</v>
      </c>
      <c r="C1094" s="4">
        <v>10</v>
      </c>
      <c r="D1094" s="4">
        <v>17.5</v>
      </c>
      <c r="E1094" s="4">
        <v>24</v>
      </c>
      <c r="F1094" s="4">
        <v>30</v>
      </c>
      <c r="G1094" s="4">
        <v>15</v>
      </c>
      <c r="H1094" s="4">
        <v>20</v>
      </c>
      <c r="I1094" s="4">
        <v>0</v>
      </c>
      <c r="J1094" s="4">
        <v>43</v>
      </c>
      <c r="K1094" s="4">
        <v>69</v>
      </c>
      <c r="L1094" s="4">
        <v>158.75</v>
      </c>
      <c r="M1094" s="4">
        <v>0</v>
      </c>
    </row>
    <row r="1095" spans="1:13">
      <c r="A1095" s="3" t="s">
        <v>1640</v>
      </c>
      <c r="B1095" s="4">
        <v>0</v>
      </c>
      <c r="C1095" s="4">
        <v>10</v>
      </c>
      <c r="D1095" s="4">
        <v>10</v>
      </c>
      <c r="E1095" s="4">
        <v>20</v>
      </c>
      <c r="F1095" s="4">
        <v>0</v>
      </c>
      <c r="G1095" s="4">
        <v>10</v>
      </c>
      <c r="H1095" s="4">
        <v>35</v>
      </c>
      <c r="I1095" s="4">
        <v>22</v>
      </c>
      <c r="J1095" s="4">
        <v>5</v>
      </c>
      <c r="K1095" s="4">
        <v>28</v>
      </c>
      <c r="L1095" s="4">
        <v>10</v>
      </c>
      <c r="M1095" s="4">
        <v>66</v>
      </c>
    </row>
    <row r="1096" spans="1:13">
      <c r="A1096" s="3" t="s">
        <v>1641</v>
      </c>
      <c r="B1096" s="4">
        <v>97</v>
      </c>
      <c r="C1096" s="4">
        <v>115.5</v>
      </c>
      <c r="D1096" s="4">
        <v>88</v>
      </c>
      <c r="E1096" s="4">
        <v>98.25</v>
      </c>
      <c r="F1096" s="4">
        <v>134</v>
      </c>
      <c r="G1096" s="4">
        <v>40</v>
      </c>
      <c r="H1096" s="4">
        <v>19</v>
      </c>
      <c r="I1096" s="4">
        <v>10</v>
      </c>
      <c r="J1096" s="4">
        <v>37.75</v>
      </c>
      <c r="K1096" s="4">
        <v>82.5</v>
      </c>
      <c r="L1096" s="4">
        <v>64</v>
      </c>
      <c r="M1096" s="4">
        <v>115</v>
      </c>
    </row>
    <row r="1097" spans="1:13">
      <c r="A1097" s="3" t="s">
        <v>1642</v>
      </c>
      <c r="B1097" s="4">
        <v>93.5</v>
      </c>
      <c r="C1097" s="4">
        <v>117.5</v>
      </c>
      <c r="D1097" s="4">
        <v>126.5</v>
      </c>
      <c r="E1097" s="4">
        <v>51</v>
      </c>
      <c r="F1097" s="4">
        <v>60.5</v>
      </c>
      <c r="G1097" s="4">
        <v>57.25</v>
      </c>
      <c r="H1097" s="4">
        <v>111.05</v>
      </c>
      <c r="I1097" s="4">
        <v>45</v>
      </c>
      <c r="J1097" s="4">
        <v>110.5</v>
      </c>
      <c r="K1097" s="4">
        <v>62</v>
      </c>
      <c r="L1097" s="4">
        <v>122</v>
      </c>
      <c r="M1097" s="4">
        <v>203</v>
      </c>
    </row>
    <row r="1098" spans="1:13">
      <c r="A1098" s="3" t="s">
        <v>1643</v>
      </c>
      <c r="B1098" s="4">
        <v>45.85</v>
      </c>
      <c r="C1098" s="4">
        <v>50</v>
      </c>
      <c r="D1098" s="4">
        <v>55</v>
      </c>
      <c r="E1098" s="4">
        <v>30</v>
      </c>
      <c r="F1098" s="4">
        <v>35</v>
      </c>
      <c r="G1098" s="4">
        <v>27.5</v>
      </c>
      <c r="H1098" s="4">
        <v>15</v>
      </c>
      <c r="I1098" s="4">
        <v>9.5</v>
      </c>
      <c r="J1098" s="4">
        <v>14</v>
      </c>
      <c r="K1098" s="4">
        <v>33</v>
      </c>
      <c r="L1098" s="4">
        <v>65</v>
      </c>
      <c r="M1098" s="4">
        <v>53</v>
      </c>
    </row>
    <row r="1099" spans="1:13">
      <c r="A1099" s="3" t="s">
        <v>1644</v>
      </c>
      <c r="B1099" s="4">
        <v>8</v>
      </c>
      <c r="C1099" s="4">
        <v>0</v>
      </c>
      <c r="D1099" s="4">
        <v>64</v>
      </c>
      <c r="E1099" s="4">
        <v>67</v>
      </c>
      <c r="F1099" s="4">
        <v>39.5</v>
      </c>
      <c r="G1099" s="4">
        <v>21</v>
      </c>
      <c r="H1099" s="4">
        <v>80</v>
      </c>
      <c r="I1099" s="4">
        <v>30</v>
      </c>
      <c r="J1099" s="4">
        <v>75</v>
      </c>
      <c r="K1099" s="4">
        <v>32.5</v>
      </c>
      <c r="L1099" s="4">
        <v>40</v>
      </c>
      <c r="M1099" s="4">
        <v>156</v>
      </c>
    </row>
    <row r="1100" spans="1:13">
      <c r="A1100" s="3" t="s">
        <v>1645</v>
      </c>
      <c r="B1100" s="4">
        <v>20</v>
      </c>
      <c r="C1100" s="4">
        <v>50</v>
      </c>
      <c r="D1100" s="4">
        <v>20</v>
      </c>
      <c r="E1100" s="4">
        <v>35</v>
      </c>
      <c r="F1100" s="4">
        <v>8</v>
      </c>
      <c r="G1100" s="4">
        <v>24</v>
      </c>
      <c r="H1100" s="4">
        <v>0</v>
      </c>
      <c r="I1100" s="4">
        <v>0</v>
      </c>
      <c r="J1100" s="4">
        <v>15</v>
      </c>
      <c r="K1100" s="4">
        <v>0</v>
      </c>
      <c r="L1100" s="4">
        <v>0</v>
      </c>
      <c r="M1100" s="4">
        <v>0</v>
      </c>
    </row>
    <row r="1101" spans="1:13">
      <c r="A1101" s="3" t="s">
        <v>1646</v>
      </c>
      <c r="B1101" s="4">
        <v>10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10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</row>
    <row r="1102" spans="1:13">
      <c r="A1102" s="3" t="s">
        <v>1647</v>
      </c>
      <c r="B1102" s="4">
        <v>75</v>
      </c>
      <c r="C1102" s="4">
        <v>0</v>
      </c>
      <c r="D1102" s="4">
        <v>52</v>
      </c>
      <c r="E1102" s="4">
        <v>45</v>
      </c>
      <c r="F1102" s="4">
        <v>10</v>
      </c>
      <c r="G1102" s="4">
        <v>20</v>
      </c>
      <c r="H1102" s="4">
        <v>10</v>
      </c>
      <c r="I1102" s="4">
        <v>35</v>
      </c>
      <c r="J1102" s="4">
        <v>70</v>
      </c>
      <c r="K1102" s="4">
        <v>90</v>
      </c>
      <c r="L1102" s="4">
        <v>35</v>
      </c>
      <c r="M1102" s="4">
        <v>77</v>
      </c>
    </row>
    <row r="1103" spans="1:13">
      <c r="A1103" s="3" t="s">
        <v>1648</v>
      </c>
      <c r="B1103" s="4">
        <v>88.5</v>
      </c>
      <c r="C1103" s="4">
        <v>136</v>
      </c>
      <c r="D1103" s="4">
        <v>144</v>
      </c>
      <c r="E1103" s="4">
        <v>87.75</v>
      </c>
      <c r="F1103" s="4">
        <v>51</v>
      </c>
      <c r="G1103" s="4">
        <v>68.5</v>
      </c>
      <c r="H1103" s="4">
        <v>47.25</v>
      </c>
      <c r="I1103" s="4">
        <v>55.75</v>
      </c>
      <c r="J1103" s="4">
        <v>42.5</v>
      </c>
      <c r="K1103" s="4">
        <v>86</v>
      </c>
      <c r="L1103" s="4">
        <v>42</v>
      </c>
      <c r="M1103" s="4">
        <v>120</v>
      </c>
    </row>
    <row r="1104" spans="1:13">
      <c r="A1104" s="3" t="s">
        <v>1649</v>
      </c>
      <c r="B1104" s="4">
        <v>80</v>
      </c>
      <c r="C1104" s="4">
        <v>70</v>
      </c>
      <c r="D1104" s="4">
        <v>75</v>
      </c>
      <c r="E1104" s="4">
        <v>100</v>
      </c>
      <c r="F1104" s="4">
        <v>60</v>
      </c>
      <c r="G1104" s="4">
        <v>85</v>
      </c>
      <c r="H1104" s="4">
        <v>65</v>
      </c>
      <c r="I1104" s="4">
        <v>30</v>
      </c>
      <c r="J1104" s="4">
        <v>95</v>
      </c>
      <c r="K1104" s="4">
        <v>80</v>
      </c>
      <c r="L1104" s="4">
        <v>150</v>
      </c>
      <c r="M1104" s="4">
        <v>61</v>
      </c>
    </row>
    <row r="1105" spans="1:13">
      <c r="A1105" s="3" t="s">
        <v>1650</v>
      </c>
      <c r="B1105" s="4">
        <v>60</v>
      </c>
      <c r="C1105" s="4">
        <v>0</v>
      </c>
      <c r="D1105" s="4">
        <v>35</v>
      </c>
      <c r="E1105" s="4">
        <v>102.5</v>
      </c>
      <c r="F1105" s="4">
        <v>88</v>
      </c>
      <c r="G1105" s="4">
        <v>64</v>
      </c>
      <c r="H1105" s="4">
        <v>59</v>
      </c>
      <c r="I1105" s="4">
        <v>53</v>
      </c>
      <c r="J1105" s="4">
        <v>98.1</v>
      </c>
      <c r="K1105" s="4">
        <v>79</v>
      </c>
      <c r="L1105" s="4">
        <v>122</v>
      </c>
      <c r="M1105" s="4">
        <v>47</v>
      </c>
    </row>
    <row r="1106" spans="1:13">
      <c r="A1106" s="3" t="s">
        <v>1651</v>
      </c>
      <c r="B1106" s="4">
        <v>61.5</v>
      </c>
      <c r="C1106" s="4">
        <v>128</v>
      </c>
      <c r="D1106" s="4">
        <v>100</v>
      </c>
      <c r="E1106" s="4">
        <v>107</v>
      </c>
      <c r="F1106" s="4">
        <v>31.5</v>
      </c>
      <c r="G1106" s="4">
        <v>105</v>
      </c>
      <c r="H1106" s="4">
        <v>95</v>
      </c>
      <c r="I1106" s="4">
        <v>136.5</v>
      </c>
      <c r="J1106" s="4">
        <v>122.5</v>
      </c>
      <c r="K1106" s="4">
        <v>55</v>
      </c>
      <c r="L1106" s="4">
        <v>60</v>
      </c>
      <c r="M1106" s="4">
        <v>189</v>
      </c>
    </row>
    <row r="1107" spans="1:13">
      <c r="A1107" s="3" t="s">
        <v>1652</v>
      </c>
      <c r="B1107" s="4">
        <v>0</v>
      </c>
      <c r="C1107" s="4">
        <v>10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</row>
    <row r="1108" spans="1:13">
      <c r="A1108" s="3" t="s">
        <v>1653</v>
      </c>
      <c r="B1108" s="4">
        <v>26.65</v>
      </c>
      <c r="C1108" s="4">
        <v>112</v>
      </c>
      <c r="D1108" s="4">
        <v>76.5</v>
      </c>
      <c r="E1108" s="4">
        <v>118</v>
      </c>
      <c r="F1108" s="4">
        <v>118</v>
      </c>
      <c r="G1108" s="4">
        <v>101</v>
      </c>
      <c r="H1108" s="4">
        <v>95</v>
      </c>
      <c r="I1108" s="4">
        <v>84.75</v>
      </c>
      <c r="J1108" s="4">
        <v>68</v>
      </c>
      <c r="K1108" s="4">
        <v>126.5</v>
      </c>
      <c r="L1108" s="4">
        <v>55</v>
      </c>
      <c r="M1108" s="4">
        <v>90</v>
      </c>
    </row>
    <row r="1109" spans="1:13">
      <c r="A1109" s="3" t="s">
        <v>1654</v>
      </c>
      <c r="B1109" s="4">
        <v>20</v>
      </c>
      <c r="C1109" s="4">
        <v>32.5</v>
      </c>
      <c r="D1109" s="4">
        <v>0</v>
      </c>
      <c r="E1109" s="4">
        <v>19</v>
      </c>
      <c r="F1109" s="4">
        <v>20</v>
      </c>
      <c r="G1109" s="4">
        <v>25</v>
      </c>
      <c r="H1109" s="4">
        <v>65</v>
      </c>
      <c r="I1109" s="4">
        <v>0</v>
      </c>
      <c r="J1109" s="4">
        <v>95</v>
      </c>
      <c r="K1109" s="4">
        <v>45</v>
      </c>
      <c r="L1109" s="4">
        <v>42</v>
      </c>
      <c r="M1109" s="4">
        <v>37</v>
      </c>
    </row>
    <row r="1110" spans="1:13">
      <c r="A1110" s="3" t="s">
        <v>1655</v>
      </c>
      <c r="B1110" s="4">
        <v>171</v>
      </c>
      <c r="C1110" s="4">
        <v>140</v>
      </c>
      <c r="D1110" s="4">
        <v>164</v>
      </c>
      <c r="E1110" s="4">
        <v>453</v>
      </c>
      <c r="F1110" s="4">
        <v>234</v>
      </c>
      <c r="G1110" s="4">
        <v>90</v>
      </c>
      <c r="H1110" s="4">
        <v>186</v>
      </c>
      <c r="I1110" s="4">
        <v>154</v>
      </c>
      <c r="J1110" s="4">
        <v>202</v>
      </c>
      <c r="K1110" s="4">
        <v>209</v>
      </c>
      <c r="L1110" s="4">
        <v>244.5</v>
      </c>
      <c r="M1110" s="4">
        <v>401</v>
      </c>
    </row>
    <row r="1111" spans="1:13">
      <c r="A1111" s="3" t="s">
        <v>1656</v>
      </c>
      <c r="B1111" s="4">
        <v>0</v>
      </c>
      <c r="C1111" s="4">
        <v>10</v>
      </c>
      <c r="D1111" s="4">
        <v>25</v>
      </c>
      <c r="E1111" s="4">
        <v>25.85</v>
      </c>
      <c r="F1111" s="4">
        <v>0</v>
      </c>
      <c r="G1111" s="4">
        <v>2.5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</row>
    <row r="1112" spans="1:13">
      <c r="A1112" s="3" t="s">
        <v>1657</v>
      </c>
      <c r="B1112" s="4">
        <v>99</v>
      </c>
      <c r="C1112" s="4">
        <v>63</v>
      </c>
      <c r="D1112" s="4">
        <v>82.25</v>
      </c>
      <c r="E1112" s="4">
        <v>139</v>
      </c>
      <c r="F1112" s="4">
        <v>54</v>
      </c>
      <c r="G1112" s="4">
        <v>76.5</v>
      </c>
      <c r="H1112" s="4">
        <v>93.9</v>
      </c>
      <c r="I1112" s="4">
        <v>37</v>
      </c>
      <c r="J1112" s="4">
        <v>100</v>
      </c>
      <c r="K1112" s="4">
        <v>79</v>
      </c>
      <c r="L1112" s="4">
        <v>75</v>
      </c>
      <c r="M1112" s="4">
        <v>103</v>
      </c>
    </row>
    <row r="1113" spans="1:13">
      <c r="A1113" s="3" t="s">
        <v>1658</v>
      </c>
      <c r="B1113" s="4">
        <v>0</v>
      </c>
      <c r="C1113" s="4">
        <v>80</v>
      </c>
      <c r="D1113" s="4">
        <v>46</v>
      </c>
      <c r="E1113" s="4">
        <v>10.5</v>
      </c>
      <c r="F1113" s="4">
        <v>32.5</v>
      </c>
      <c r="G1113" s="4">
        <v>15</v>
      </c>
      <c r="H1113" s="4">
        <v>17.5</v>
      </c>
      <c r="I1113" s="4">
        <v>15</v>
      </c>
      <c r="J1113" s="4">
        <v>17.5</v>
      </c>
      <c r="K1113" s="4">
        <v>34.5</v>
      </c>
      <c r="L1113" s="4">
        <v>79</v>
      </c>
      <c r="M1113" s="4">
        <v>61</v>
      </c>
    </row>
    <row r="1114" spans="1:13">
      <c r="A1114" s="3" t="s">
        <v>1659</v>
      </c>
      <c r="B1114" s="4">
        <v>0</v>
      </c>
      <c r="C1114" s="4">
        <v>25</v>
      </c>
      <c r="D1114" s="4">
        <v>30</v>
      </c>
      <c r="E1114" s="4">
        <v>57</v>
      </c>
      <c r="F1114" s="4">
        <v>99.5</v>
      </c>
      <c r="G1114" s="4">
        <v>15</v>
      </c>
      <c r="H1114" s="4">
        <v>95</v>
      </c>
      <c r="I1114" s="4">
        <v>105</v>
      </c>
      <c r="J1114" s="4">
        <v>213.5</v>
      </c>
      <c r="K1114" s="4">
        <v>81.5</v>
      </c>
      <c r="L1114" s="4">
        <v>30</v>
      </c>
      <c r="M1114" s="4">
        <v>52.5</v>
      </c>
    </row>
    <row r="1115" spans="1:13">
      <c r="A1115" s="3" t="s">
        <v>1660</v>
      </c>
      <c r="B1115" s="4">
        <v>0</v>
      </c>
      <c r="C1115" s="4">
        <v>0</v>
      </c>
      <c r="D1115" s="4">
        <v>0</v>
      </c>
      <c r="E1115" s="4">
        <v>0</v>
      </c>
      <c r="F1115" s="4">
        <v>15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</row>
    <row r="1116" spans="1:13">
      <c r="A1116" s="3" t="s">
        <v>1661</v>
      </c>
      <c r="B1116" s="4">
        <v>0</v>
      </c>
      <c r="C1116" s="4">
        <v>0</v>
      </c>
      <c r="D1116" s="4">
        <v>0</v>
      </c>
      <c r="E1116" s="4">
        <v>0</v>
      </c>
      <c r="F1116" s="4">
        <v>0</v>
      </c>
      <c r="G1116" s="4">
        <v>31</v>
      </c>
      <c r="H1116" s="4">
        <v>31</v>
      </c>
      <c r="I1116" s="4">
        <v>62</v>
      </c>
      <c r="J1116" s="4">
        <v>56</v>
      </c>
      <c r="K1116" s="4">
        <v>20</v>
      </c>
      <c r="L1116" s="4">
        <v>22</v>
      </c>
      <c r="M1116" s="4">
        <v>0</v>
      </c>
    </row>
    <row r="1117" spans="1:13">
      <c r="A1117" s="3" t="s">
        <v>1662</v>
      </c>
      <c r="B1117" s="4">
        <v>0</v>
      </c>
      <c r="C1117" s="4">
        <v>38.5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10</v>
      </c>
      <c r="K1117" s="4">
        <v>0</v>
      </c>
      <c r="L1117" s="4">
        <v>0</v>
      </c>
      <c r="M1117" s="4">
        <v>0</v>
      </c>
    </row>
    <row r="1118" spans="1:13">
      <c r="A1118" s="3" t="s">
        <v>1663</v>
      </c>
      <c r="B1118" s="4">
        <v>100</v>
      </c>
      <c r="C1118" s="4">
        <v>25</v>
      </c>
      <c r="D1118" s="4">
        <v>35</v>
      </c>
      <c r="E1118" s="4">
        <v>55</v>
      </c>
      <c r="F1118" s="4">
        <v>98</v>
      </c>
      <c r="G1118" s="4">
        <v>20</v>
      </c>
      <c r="H1118" s="4">
        <v>60</v>
      </c>
      <c r="I1118" s="4">
        <v>0</v>
      </c>
      <c r="J1118" s="4">
        <v>40</v>
      </c>
      <c r="K1118" s="4">
        <v>45</v>
      </c>
      <c r="L1118" s="4">
        <v>65</v>
      </c>
      <c r="M1118" s="4">
        <v>70</v>
      </c>
    </row>
    <row r="1119" spans="1:13">
      <c r="A1119" s="3" t="s">
        <v>1664</v>
      </c>
      <c r="B1119" s="4">
        <v>35</v>
      </c>
      <c r="C1119" s="4">
        <v>15</v>
      </c>
      <c r="D1119" s="4">
        <v>40</v>
      </c>
      <c r="E1119" s="4">
        <v>0</v>
      </c>
      <c r="F1119" s="4">
        <v>39</v>
      </c>
      <c r="G1119" s="4">
        <v>0</v>
      </c>
      <c r="H1119" s="4">
        <v>25</v>
      </c>
      <c r="I1119" s="4">
        <v>20</v>
      </c>
      <c r="J1119" s="4">
        <v>15</v>
      </c>
      <c r="K1119" s="4">
        <v>20</v>
      </c>
      <c r="L1119" s="4">
        <v>0</v>
      </c>
      <c r="M1119" s="4">
        <v>0</v>
      </c>
    </row>
    <row r="1120" spans="1:13">
      <c r="A1120" s="3" t="s">
        <v>1665</v>
      </c>
      <c r="B1120" s="4">
        <v>0</v>
      </c>
      <c r="C1120" s="4">
        <v>0</v>
      </c>
      <c r="D1120" s="4">
        <v>20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</row>
    <row r="1121" spans="1:13">
      <c r="A1121" s="3" t="s">
        <v>1666</v>
      </c>
      <c r="B1121" s="4">
        <v>10</v>
      </c>
      <c r="C1121" s="4">
        <v>50</v>
      </c>
      <c r="D1121" s="4">
        <v>40</v>
      </c>
      <c r="E1121" s="4">
        <v>89</v>
      </c>
      <c r="F1121" s="4">
        <v>52.5</v>
      </c>
      <c r="G1121" s="4">
        <v>50</v>
      </c>
      <c r="H1121" s="4">
        <v>10</v>
      </c>
      <c r="I1121" s="4">
        <v>40</v>
      </c>
      <c r="J1121" s="4">
        <v>53</v>
      </c>
      <c r="K1121" s="4">
        <v>55</v>
      </c>
      <c r="L1121" s="4">
        <v>80</v>
      </c>
      <c r="M1121" s="4">
        <v>117.25</v>
      </c>
    </row>
    <row r="1122" spans="1:13">
      <c r="A1122" s="3" t="s">
        <v>1667</v>
      </c>
      <c r="B1122" s="4">
        <v>4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</row>
    <row r="1123" spans="1:13">
      <c r="A1123" s="3" t="s">
        <v>1668</v>
      </c>
      <c r="B1123" s="4">
        <v>0</v>
      </c>
      <c r="C1123" s="4">
        <v>0</v>
      </c>
      <c r="D1123" s="4">
        <v>10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</row>
    <row r="1124" spans="1:13">
      <c r="A1124" s="3" t="s">
        <v>1669</v>
      </c>
      <c r="B1124" s="4">
        <v>115</v>
      </c>
      <c r="C1124" s="4">
        <v>0</v>
      </c>
      <c r="D1124" s="4">
        <v>10</v>
      </c>
      <c r="E1124" s="4">
        <v>0</v>
      </c>
      <c r="F1124" s="4">
        <v>44</v>
      </c>
      <c r="G1124" s="4">
        <v>74</v>
      </c>
      <c r="H1124" s="4">
        <v>0</v>
      </c>
      <c r="I1124" s="4">
        <v>0</v>
      </c>
      <c r="J1124" s="4">
        <v>115</v>
      </c>
      <c r="K1124" s="4">
        <v>0</v>
      </c>
      <c r="L1124" s="4">
        <v>0</v>
      </c>
      <c r="M1124" s="4">
        <v>43</v>
      </c>
    </row>
    <row r="1125" spans="1:13">
      <c r="A1125" s="3" t="s">
        <v>1670</v>
      </c>
      <c r="B1125" s="4">
        <v>49.5</v>
      </c>
      <c r="C1125" s="4">
        <v>50</v>
      </c>
      <c r="D1125" s="4">
        <v>15</v>
      </c>
      <c r="E1125" s="4">
        <v>16</v>
      </c>
      <c r="F1125" s="4">
        <v>0</v>
      </c>
      <c r="G1125" s="4">
        <v>0</v>
      </c>
      <c r="H1125" s="4">
        <v>39</v>
      </c>
      <c r="I1125" s="4">
        <v>0</v>
      </c>
      <c r="J1125" s="4">
        <v>77.5</v>
      </c>
      <c r="K1125" s="4">
        <v>0</v>
      </c>
      <c r="L1125" s="4">
        <v>45</v>
      </c>
      <c r="M1125" s="4">
        <v>161</v>
      </c>
    </row>
    <row r="1126" spans="1:13">
      <c r="A1126" s="3" t="s">
        <v>1671</v>
      </c>
      <c r="B1126" s="4">
        <v>25</v>
      </c>
      <c r="C1126" s="4">
        <v>0</v>
      </c>
      <c r="D1126" s="4">
        <v>79</v>
      </c>
      <c r="E1126" s="4">
        <v>58.5</v>
      </c>
      <c r="F1126" s="4">
        <v>68.5</v>
      </c>
      <c r="G1126" s="4">
        <v>70.5</v>
      </c>
      <c r="H1126" s="4">
        <v>34</v>
      </c>
      <c r="I1126" s="4">
        <v>22</v>
      </c>
      <c r="J1126" s="4">
        <v>54.5</v>
      </c>
      <c r="K1126" s="4">
        <v>40</v>
      </c>
      <c r="L1126" s="4">
        <v>38</v>
      </c>
      <c r="M1126" s="4">
        <v>81</v>
      </c>
    </row>
    <row r="1127" spans="1:13">
      <c r="A1127" s="3" t="s">
        <v>1672</v>
      </c>
      <c r="B1127" s="4">
        <v>0</v>
      </c>
      <c r="C1127" s="4">
        <v>0</v>
      </c>
      <c r="D1127" s="4">
        <v>0</v>
      </c>
      <c r="E1127" s="4">
        <v>0</v>
      </c>
      <c r="F1127" s="4">
        <v>1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</row>
    <row r="1128" spans="1:13">
      <c r="A1128" s="3" t="s">
        <v>1673</v>
      </c>
      <c r="B1128" s="4">
        <v>77</v>
      </c>
      <c r="C1128" s="4">
        <v>35</v>
      </c>
      <c r="D1128" s="4">
        <v>126</v>
      </c>
      <c r="E1128" s="4">
        <v>160</v>
      </c>
      <c r="F1128" s="4">
        <v>181.75</v>
      </c>
      <c r="G1128" s="4">
        <v>150.5</v>
      </c>
      <c r="H1128" s="4">
        <v>69.400000000000006</v>
      </c>
      <c r="I1128" s="4">
        <v>133.25</v>
      </c>
      <c r="J1128" s="4">
        <v>328</v>
      </c>
      <c r="K1128" s="4">
        <v>240.5</v>
      </c>
      <c r="L1128" s="4">
        <v>242.25</v>
      </c>
      <c r="M1128" s="4">
        <v>244</v>
      </c>
    </row>
    <row r="1129" spans="1:13">
      <c r="A1129" s="3" t="s">
        <v>1674</v>
      </c>
      <c r="B1129" s="4">
        <v>124.5</v>
      </c>
      <c r="C1129" s="4">
        <v>161.5</v>
      </c>
      <c r="D1129" s="4">
        <v>121.4</v>
      </c>
      <c r="E1129" s="4">
        <v>112.25</v>
      </c>
      <c r="F1129" s="4">
        <v>133</v>
      </c>
      <c r="G1129" s="4">
        <v>66</v>
      </c>
      <c r="H1129" s="4">
        <v>65</v>
      </c>
      <c r="I1129" s="4">
        <v>120.25</v>
      </c>
      <c r="J1129" s="4">
        <v>56</v>
      </c>
      <c r="K1129" s="4">
        <v>230.5</v>
      </c>
      <c r="L1129" s="4">
        <v>50</v>
      </c>
      <c r="M1129" s="4">
        <v>25</v>
      </c>
    </row>
    <row r="1130" spans="1:13">
      <c r="A1130" s="3" t="s">
        <v>1675</v>
      </c>
      <c r="B1130" s="4">
        <v>55.5</v>
      </c>
      <c r="C1130" s="4">
        <v>27.5</v>
      </c>
      <c r="D1130" s="4">
        <v>52</v>
      </c>
      <c r="E1130" s="4">
        <v>23</v>
      </c>
      <c r="F1130" s="4">
        <v>39.5</v>
      </c>
      <c r="G1130" s="4">
        <v>30</v>
      </c>
      <c r="H1130" s="4">
        <v>15</v>
      </c>
      <c r="I1130" s="4">
        <v>10</v>
      </c>
      <c r="J1130" s="4">
        <v>25.5</v>
      </c>
      <c r="K1130" s="4">
        <v>17</v>
      </c>
      <c r="L1130" s="4">
        <v>42</v>
      </c>
      <c r="M1130" s="4">
        <v>64.5</v>
      </c>
    </row>
    <row r="1131" spans="1:13">
      <c r="A1131" s="3" t="s">
        <v>1676</v>
      </c>
      <c r="B1131" s="4">
        <v>0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20</v>
      </c>
      <c r="K1131" s="4">
        <v>0</v>
      </c>
      <c r="L1131" s="4">
        <v>0</v>
      </c>
      <c r="M1131" s="4">
        <v>0</v>
      </c>
    </row>
    <row r="1132" spans="1:13">
      <c r="A1132" s="3" t="s">
        <v>1677</v>
      </c>
      <c r="B1132" s="4">
        <v>5</v>
      </c>
      <c r="C1132" s="4">
        <v>5</v>
      </c>
      <c r="D1132" s="4">
        <v>10</v>
      </c>
      <c r="E1132" s="4">
        <v>5</v>
      </c>
      <c r="F1132" s="4">
        <v>11</v>
      </c>
      <c r="G1132" s="4">
        <v>6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</row>
    <row r="1133" spans="1:13">
      <c r="A1133" s="3" t="s">
        <v>1678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10</v>
      </c>
      <c r="L1133" s="4">
        <v>23</v>
      </c>
      <c r="M1133" s="4">
        <v>0</v>
      </c>
    </row>
    <row r="1134" spans="1:13">
      <c r="A1134" s="3" t="s">
        <v>1679</v>
      </c>
      <c r="B1134" s="4">
        <v>81.25</v>
      </c>
      <c r="C1134" s="4">
        <v>68.5</v>
      </c>
      <c r="D1134" s="4">
        <v>151.5</v>
      </c>
      <c r="E1134" s="4">
        <v>87</v>
      </c>
      <c r="F1134" s="4">
        <v>110</v>
      </c>
      <c r="G1134" s="4">
        <v>142.5</v>
      </c>
      <c r="H1134" s="4">
        <v>68</v>
      </c>
      <c r="I1134" s="4">
        <v>65</v>
      </c>
      <c r="J1134" s="4">
        <v>159.75</v>
      </c>
      <c r="K1134" s="4">
        <v>142.1</v>
      </c>
      <c r="L1134" s="4">
        <v>118.35</v>
      </c>
      <c r="M1134" s="4">
        <v>90</v>
      </c>
    </row>
    <row r="1135" spans="1:13">
      <c r="A1135" s="3" t="s">
        <v>1680</v>
      </c>
      <c r="B1135" s="4">
        <v>23</v>
      </c>
      <c r="C1135" s="4">
        <v>20</v>
      </c>
      <c r="D1135" s="4">
        <v>10</v>
      </c>
      <c r="E1135" s="4">
        <v>35</v>
      </c>
      <c r="F1135" s="4">
        <v>28.95</v>
      </c>
      <c r="G1135" s="4">
        <v>29</v>
      </c>
      <c r="H1135" s="4">
        <v>44.5</v>
      </c>
      <c r="I1135" s="4">
        <v>20</v>
      </c>
      <c r="J1135" s="4">
        <v>42.5</v>
      </c>
      <c r="K1135" s="4">
        <v>35</v>
      </c>
      <c r="L1135" s="4">
        <v>48</v>
      </c>
      <c r="M1135" s="4">
        <v>36</v>
      </c>
    </row>
    <row r="1136" spans="1:13">
      <c r="A1136" s="3" t="s">
        <v>1681</v>
      </c>
      <c r="B1136" s="4">
        <v>0</v>
      </c>
      <c r="C1136" s="4">
        <v>0</v>
      </c>
      <c r="D1136" s="4">
        <v>0</v>
      </c>
      <c r="E1136" s="4">
        <v>0</v>
      </c>
      <c r="F1136" s="4">
        <v>7</v>
      </c>
      <c r="G1136" s="4">
        <v>7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</row>
    <row r="1137" spans="1:13">
      <c r="A1137" s="3" t="s">
        <v>1682</v>
      </c>
      <c r="B1137" s="4">
        <v>91.5</v>
      </c>
      <c r="C1137" s="4">
        <v>70</v>
      </c>
      <c r="D1137" s="4">
        <v>52.5</v>
      </c>
      <c r="E1137" s="4">
        <v>70</v>
      </c>
      <c r="F1137" s="4">
        <v>0</v>
      </c>
      <c r="G1137" s="4">
        <v>18</v>
      </c>
      <c r="H1137" s="4">
        <v>0</v>
      </c>
      <c r="I1137" s="4">
        <v>20</v>
      </c>
      <c r="J1137" s="4">
        <v>56</v>
      </c>
      <c r="K1137" s="4">
        <v>30</v>
      </c>
      <c r="L1137" s="4">
        <v>55</v>
      </c>
      <c r="M1137" s="4">
        <v>10</v>
      </c>
    </row>
    <row r="1138" spans="1:13">
      <c r="A1138" s="3" t="s">
        <v>1683</v>
      </c>
      <c r="B1138" s="4">
        <v>20</v>
      </c>
      <c r="C1138" s="4">
        <v>10</v>
      </c>
      <c r="D1138" s="4">
        <v>50</v>
      </c>
      <c r="E1138" s="4">
        <v>28</v>
      </c>
      <c r="F1138" s="4">
        <v>0</v>
      </c>
      <c r="G1138" s="4">
        <v>20</v>
      </c>
      <c r="H1138" s="4">
        <v>15</v>
      </c>
      <c r="I1138" s="4">
        <v>0</v>
      </c>
      <c r="J1138" s="4">
        <v>14</v>
      </c>
      <c r="K1138" s="4">
        <v>0</v>
      </c>
      <c r="L1138" s="4">
        <v>0</v>
      </c>
      <c r="M1138" s="4">
        <v>0</v>
      </c>
    </row>
    <row r="1139" spans="1:13">
      <c r="A1139" s="3" t="s">
        <v>1684</v>
      </c>
      <c r="B1139" s="4">
        <v>10</v>
      </c>
      <c r="C1139" s="4">
        <v>0</v>
      </c>
      <c r="D1139" s="4">
        <v>35</v>
      </c>
      <c r="E1139" s="4">
        <v>20</v>
      </c>
      <c r="F1139" s="4">
        <v>0</v>
      </c>
      <c r="G1139" s="4">
        <v>40</v>
      </c>
      <c r="H1139" s="4">
        <v>0</v>
      </c>
      <c r="I1139" s="4">
        <v>20</v>
      </c>
      <c r="J1139" s="4">
        <v>30</v>
      </c>
      <c r="K1139" s="4">
        <v>19.45</v>
      </c>
      <c r="L1139" s="4">
        <v>40</v>
      </c>
      <c r="M1139" s="4">
        <v>30</v>
      </c>
    </row>
    <row r="1140" spans="1:13">
      <c r="A1140" s="3" t="s">
        <v>1685</v>
      </c>
      <c r="B1140" s="4">
        <v>28</v>
      </c>
      <c r="C1140" s="4">
        <v>12</v>
      </c>
      <c r="D1140" s="4">
        <v>0</v>
      </c>
      <c r="E1140" s="4">
        <v>10</v>
      </c>
      <c r="F1140" s="4">
        <v>12</v>
      </c>
      <c r="G1140" s="4">
        <v>7.5</v>
      </c>
      <c r="H1140" s="4">
        <v>30</v>
      </c>
      <c r="I1140" s="4">
        <v>10</v>
      </c>
      <c r="J1140" s="4">
        <v>39.75</v>
      </c>
      <c r="K1140" s="4">
        <v>7.5</v>
      </c>
      <c r="L1140" s="4">
        <v>3.05</v>
      </c>
      <c r="M1140" s="4">
        <v>35</v>
      </c>
    </row>
    <row r="1141" spans="1:13">
      <c r="A1141" s="3" t="s">
        <v>1686</v>
      </c>
      <c r="B1141" s="4">
        <v>5</v>
      </c>
      <c r="C1141" s="4">
        <v>5</v>
      </c>
      <c r="D1141" s="4">
        <v>0</v>
      </c>
      <c r="E1141" s="4">
        <v>10</v>
      </c>
      <c r="F1141" s="4">
        <v>0</v>
      </c>
      <c r="G1141" s="4">
        <v>0</v>
      </c>
      <c r="H1141" s="4">
        <v>0</v>
      </c>
      <c r="I1141" s="4">
        <v>0</v>
      </c>
      <c r="J1141" s="4">
        <v>11</v>
      </c>
      <c r="K1141" s="4">
        <v>9</v>
      </c>
      <c r="L1141" s="4">
        <v>6</v>
      </c>
      <c r="M1141" s="4">
        <v>10</v>
      </c>
    </row>
    <row r="1142" spans="1:13">
      <c r="A1142" s="3" t="s">
        <v>1687</v>
      </c>
      <c r="B1142" s="4">
        <v>10</v>
      </c>
      <c r="C1142" s="4">
        <v>27.5</v>
      </c>
      <c r="D1142" s="4">
        <v>57</v>
      </c>
      <c r="E1142" s="4">
        <v>29.5</v>
      </c>
      <c r="F1142" s="4">
        <v>4.5</v>
      </c>
      <c r="G1142" s="4">
        <v>50</v>
      </c>
      <c r="H1142" s="4">
        <v>40</v>
      </c>
      <c r="I1142" s="4">
        <v>0</v>
      </c>
      <c r="J1142" s="4">
        <v>30</v>
      </c>
      <c r="K1142" s="4">
        <v>30</v>
      </c>
      <c r="L1142" s="4">
        <v>0</v>
      </c>
      <c r="M1142" s="4">
        <v>0</v>
      </c>
    </row>
    <row r="1143" spans="1:13">
      <c r="A1143" s="3" t="s">
        <v>1688</v>
      </c>
      <c r="B1143" s="4">
        <v>0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10</v>
      </c>
      <c r="K1143" s="4">
        <v>0</v>
      </c>
      <c r="L1143" s="4">
        <v>0</v>
      </c>
      <c r="M1143" s="4">
        <v>0</v>
      </c>
    </row>
    <row r="1144" spans="1:13">
      <c r="A1144" s="3" t="s">
        <v>1689</v>
      </c>
      <c r="B1144" s="4">
        <v>34.5</v>
      </c>
      <c r="C1144" s="4">
        <v>35</v>
      </c>
      <c r="D1144" s="4">
        <v>51.5</v>
      </c>
      <c r="E1144" s="4">
        <v>46</v>
      </c>
      <c r="F1144" s="4">
        <v>30.5</v>
      </c>
      <c r="G1144" s="4">
        <v>45</v>
      </c>
      <c r="H1144" s="4">
        <v>10</v>
      </c>
      <c r="I1144" s="4">
        <v>8.4499999999999993</v>
      </c>
      <c r="J1144" s="4">
        <v>53.5</v>
      </c>
      <c r="K1144" s="4">
        <v>0</v>
      </c>
      <c r="L1144" s="4">
        <v>0</v>
      </c>
      <c r="M1144" s="4">
        <v>3</v>
      </c>
    </row>
    <row r="1145" spans="1:13">
      <c r="A1145" s="3" t="s">
        <v>1690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15</v>
      </c>
      <c r="M1145" s="4">
        <v>0</v>
      </c>
    </row>
    <row r="1146" spans="1:13">
      <c r="A1146" s="3" t="s">
        <v>1691</v>
      </c>
      <c r="B1146" s="4">
        <v>12</v>
      </c>
      <c r="C1146" s="4">
        <v>24</v>
      </c>
      <c r="D1146" s="4">
        <v>57</v>
      </c>
      <c r="E1146" s="4">
        <v>15</v>
      </c>
      <c r="F1146" s="4">
        <v>15</v>
      </c>
      <c r="G1146" s="4">
        <v>15</v>
      </c>
      <c r="H1146" s="4">
        <v>0</v>
      </c>
      <c r="I1146" s="4">
        <v>25</v>
      </c>
      <c r="J1146" s="4">
        <v>40</v>
      </c>
      <c r="K1146" s="4">
        <v>45</v>
      </c>
      <c r="L1146" s="4">
        <v>22.5</v>
      </c>
      <c r="M1146" s="4">
        <v>50</v>
      </c>
    </row>
    <row r="1147" spans="1:13">
      <c r="A1147" s="3" t="s">
        <v>1692</v>
      </c>
      <c r="B1147" s="4">
        <v>45</v>
      </c>
      <c r="C1147" s="4">
        <v>75</v>
      </c>
      <c r="D1147" s="4">
        <v>257</v>
      </c>
      <c r="E1147" s="4">
        <v>21</v>
      </c>
      <c r="F1147" s="4">
        <v>60</v>
      </c>
      <c r="G1147" s="4">
        <v>0</v>
      </c>
      <c r="H1147" s="4">
        <v>60</v>
      </c>
      <c r="I1147" s="4">
        <v>20</v>
      </c>
      <c r="J1147" s="4">
        <v>152</v>
      </c>
      <c r="K1147" s="4">
        <v>97</v>
      </c>
      <c r="L1147" s="4">
        <v>35</v>
      </c>
      <c r="M1147" s="4">
        <v>134</v>
      </c>
    </row>
    <row r="1148" spans="1:13">
      <c r="A1148" s="3" t="s">
        <v>1693</v>
      </c>
      <c r="B1148" s="4">
        <v>94.5</v>
      </c>
      <c r="C1148" s="4">
        <v>72.5</v>
      </c>
      <c r="D1148" s="4">
        <v>95</v>
      </c>
      <c r="E1148" s="4">
        <v>60</v>
      </c>
      <c r="F1148" s="4">
        <v>37.5</v>
      </c>
      <c r="G1148" s="4">
        <v>13.5</v>
      </c>
      <c r="H1148" s="4">
        <v>33.5</v>
      </c>
      <c r="I1148" s="4">
        <v>25</v>
      </c>
      <c r="J1148" s="4">
        <v>52.5</v>
      </c>
      <c r="K1148" s="4">
        <v>42</v>
      </c>
      <c r="L1148" s="4">
        <v>40</v>
      </c>
      <c r="M1148" s="4">
        <v>55</v>
      </c>
    </row>
    <row r="1149" spans="1:13">
      <c r="A1149" s="3" t="s">
        <v>1694</v>
      </c>
      <c r="B1149" s="4">
        <v>50</v>
      </c>
      <c r="C1149" s="4">
        <v>30</v>
      </c>
      <c r="D1149" s="4">
        <v>49.5</v>
      </c>
      <c r="E1149" s="4">
        <v>30</v>
      </c>
      <c r="F1149" s="4">
        <v>10</v>
      </c>
      <c r="G1149" s="4">
        <v>20</v>
      </c>
      <c r="H1149" s="4">
        <v>10</v>
      </c>
      <c r="I1149" s="4">
        <v>10</v>
      </c>
      <c r="J1149" s="4">
        <v>10</v>
      </c>
      <c r="K1149" s="4">
        <v>50</v>
      </c>
      <c r="L1149" s="4">
        <v>32.5</v>
      </c>
      <c r="M1149" s="4">
        <v>89.25</v>
      </c>
    </row>
    <row r="1150" spans="1:13">
      <c r="A1150" s="3" t="s">
        <v>1695</v>
      </c>
      <c r="B1150" s="4">
        <v>0</v>
      </c>
      <c r="C1150" s="4">
        <v>0</v>
      </c>
      <c r="D1150" s="4">
        <v>0</v>
      </c>
      <c r="E1150" s="4">
        <v>0</v>
      </c>
      <c r="F1150" s="4">
        <v>0</v>
      </c>
      <c r="G1150" s="4">
        <v>10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</row>
    <row r="1151" spans="1:13">
      <c r="A1151" s="3" t="s">
        <v>1696</v>
      </c>
      <c r="B1151" s="4">
        <v>0</v>
      </c>
      <c r="C1151" s="4">
        <v>0</v>
      </c>
      <c r="D1151" s="4">
        <v>5</v>
      </c>
      <c r="E1151" s="4">
        <v>0</v>
      </c>
      <c r="F1151" s="4">
        <v>0</v>
      </c>
      <c r="G1151" s="4">
        <v>7.3</v>
      </c>
      <c r="H1151" s="4">
        <v>15</v>
      </c>
      <c r="I1151" s="4">
        <v>0</v>
      </c>
      <c r="J1151" s="4">
        <v>5</v>
      </c>
      <c r="K1151" s="4">
        <v>25</v>
      </c>
      <c r="L1151" s="4">
        <v>0</v>
      </c>
      <c r="M1151" s="4">
        <v>15</v>
      </c>
    </row>
    <row r="1152" spans="1:13">
      <c r="A1152" s="3" t="s">
        <v>1697</v>
      </c>
      <c r="B1152" s="4">
        <v>0</v>
      </c>
      <c r="C1152" s="4">
        <v>0</v>
      </c>
      <c r="D1152" s="4">
        <v>0</v>
      </c>
      <c r="E1152" s="4">
        <v>11</v>
      </c>
      <c r="F1152" s="4">
        <v>27</v>
      </c>
      <c r="G1152" s="4">
        <v>31</v>
      </c>
      <c r="H1152" s="4">
        <v>31</v>
      </c>
      <c r="I1152" s="4">
        <v>0</v>
      </c>
      <c r="J1152" s="4">
        <v>15</v>
      </c>
      <c r="K1152" s="4">
        <v>0</v>
      </c>
      <c r="L1152" s="4">
        <v>31</v>
      </c>
      <c r="M1152" s="4">
        <v>0</v>
      </c>
    </row>
    <row r="1153" spans="1:13">
      <c r="A1153" s="3" t="s">
        <v>1698</v>
      </c>
      <c r="B1153" s="4">
        <v>31</v>
      </c>
      <c r="C1153" s="4">
        <v>80</v>
      </c>
      <c r="D1153" s="4">
        <v>84</v>
      </c>
      <c r="E1153" s="4">
        <v>90</v>
      </c>
      <c r="F1153" s="4">
        <v>82.5</v>
      </c>
      <c r="G1153" s="4">
        <v>85.5</v>
      </c>
      <c r="H1153" s="4">
        <v>20</v>
      </c>
      <c r="I1153" s="4">
        <v>55</v>
      </c>
      <c r="J1153" s="4">
        <v>89</v>
      </c>
      <c r="K1153" s="4">
        <v>65</v>
      </c>
      <c r="L1153" s="4">
        <v>67.5</v>
      </c>
      <c r="M1153" s="4">
        <v>80</v>
      </c>
    </row>
    <row r="1154" spans="1:13">
      <c r="A1154" s="3" t="s">
        <v>1699</v>
      </c>
      <c r="B1154" s="4">
        <v>0</v>
      </c>
      <c r="C1154" s="4">
        <v>40</v>
      </c>
      <c r="D1154" s="4">
        <v>10</v>
      </c>
      <c r="E1154" s="4">
        <v>27.5</v>
      </c>
      <c r="F1154" s="4">
        <v>7.5</v>
      </c>
      <c r="G1154" s="4">
        <v>20</v>
      </c>
      <c r="H1154" s="4">
        <v>15</v>
      </c>
      <c r="I1154" s="4">
        <v>8</v>
      </c>
      <c r="J1154" s="4">
        <v>0</v>
      </c>
      <c r="K1154" s="4">
        <v>0</v>
      </c>
      <c r="L1154" s="4">
        <v>2.5</v>
      </c>
      <c r="M1154" s="4">
        <v>0</v>
      </c>
    </row>
    <row r="1155" spans="1:13">
      <c r="A1155" s="3" t="s">
        <v>1700</v>
      </c>
      <c r="B1155" s="4">
        <v>0</v>
      </c>
      <c r="C1155" s="4">
        <v>0</v>
      </c>
      <c r="D1155" s="4">
        <v>0</v>
      </c>
      <c r="E1155" s="4">
        <v>0</v>
      </c>
      <c r="F1155" s="4">
        <v>0</v>
      </c>
      <c r="G1155" s="4">
        <v>5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50</v>
      </c>
    </row>
    <row r="1156" spans="1:13">
      <c r="A1156" s="3" t="s">
        <v>1701</v>
      </c>
      <c r="B1156" s="4">
        <v>165</v>
      </c>
      <c r="C1156" s="4">
        <v>119.5</v>
      </c>
      <c r="D1156" s="4">
        <v>234.1</v>
      </c>
      <c r="E1156" s="4">
        <v>181</v>
      </c>
      <c r="F1156" s="4">
        <v>105.25</v>
      </c>
      <c r="G1156" s="4">
        <v>45</v>
      </c>
      <c r="H1156" s="4">
        <v>15</v>
      </c>
      <c r="I1156" s="4">
        <v>32</v>
      </c>
      <c r="J1156" s="4">
        <v>211</v>
      </c>
      <c r="K1156" s="4">
        <v>160.5</v>
      </c>
      <c r="L1156" s="4">
        <v>199</v>
      </c>
      <c r="M1156" s="4">
        <v>156</v>
      </c>
    </row>
    <row r="1157" spans="1:13">
      <c r="A1157" s="3" t="s">
        <v>1702</v>
      </c>
      <c r="B1157" s="4">
        <v>0</v>
      </c>
      <c r="C1157" s="4">
        <v>20</v>
      </c>
      <c r="D1157" s="4">
        <v>75</v>
      </c>
      <c r="E1157" s="4">
        <v>35</v>
      </c>
      <c r="F1157" s="4">
        <v>2.5</v>
      </c>
      <c r="G1157" s="4">
        <v>0</v>
      </c>
      <c r="H1157" s="4">
        <v>25</v>
      </c>
      <c r="I1157" s="4">
        <v>30</v>
      </c>
      <c r="J1157" s="4">
        <v>0</v>
      </c>
      <c r="K1157" s="4">
        <v>0</v>
      </c>
      <c r="L1157" s="4">
        <v>35</v>
      </c>
      <c r="M1157" s="4">
        <v>20</v>
      </c>
    </row>
    <row r="1158" spans="1:13">
      <c r="A1158" s="3" t="s">
        <v>1703</v>
      </c>
      <c r="B1158" s="4">
        <v>20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</row>
    <row r="1159" spans="1:13">
      <c r="A1159" s="3" t="s">
        <v>1704</v>
      </c>
      <c r="B1159" s="4">
        <v>45</v>
      </c>
      <c r="C1159" s="4">
        <v>80</v>
      </c>
      <c r="D1159" s="4">
        <v>30</v>
      </c>
      <c r="E1159" s="4">
        <v>44.5</v>
      </c>
      <c r="F1159" s="4">
        <v>30</v>
      </c>
      <c r="G1159" s="4">
        <v>39</v>
      </c>
      <c r="H1159" s="4">
        <v>75</v>
      </c>
      <c r="I1159" s="4">
        <v>0</v>
      </c>
      <c r="J1159" s="4">
        <v>46</v>
      </c>
      <c r="K1159" s="4">
        <v>50</v>
      </c>
      <c r="L1159" s="4">
        <v>15</v>
      </c>
      <c r="M1159" s="4">
        <v>150</v>
      </c>
    </row>
    <row r="1160" spans="1:13">
      <c r="A1160" s="3" t="s">
        <v>1705</v>
      </c>
      <c r="B1160" s="4">
        <v>10</v>
      </c>
      <c r="C1160" s="4">
        <v>20</v>
      </c>
      <c r="D1160" s="4">
        <v>76</v>
      </c>
      <c r="E1160" s="4">
        <v>35</v>
      </c>
      <c r="F1160" s="4">
        <v>12.5</v>
      </c>
      <c r="G1160" s="4">
        <v>25</v>
      </c>
      <c r="H1160" s="4">
        <v>20</v>
      </c>
      <c r="I1160" s="4">
        <v>0</v>
      </c>
      <c r="J1160" s="4">
        <v>15</v>
      </c>
      <c r="K1160" s="4">
        <v>0</v>
      </c>
      <c r="L1160" s="4">
        <v>15</v>
      </c>
      <c r="M1160" s="4">
        <v>70</v>
      </c>
    </row>
    <row r="1161" spans="1:13">
      <c r="A1161" s="3" t="s">
        <v>1706</v>
      </c>
      <c r="B1161" s="4">
        <v>0</v>
      </c>
      <c r="C1161" s="4">
        <v>5</v>
      </c>
      <c r="D1161" s="4">
        <v>58</v>
      </c>
      <c r="E1161" s="4">
        <v>7.5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12.5</v>
      </c>
    </row>
    <row r="1162" spans="1:13">
      <c r="A1162" s="3" t="s">
        <v>1707</v>
      </c>
      <c r="B1162" s="4">
        <v>35</v>
      </c>
      <c r="C1162" s="4">
        <v>0</v>
      </c>
      <c r="D1162" s="4">
        <v>0</v>
      </c>
      <c r="E1162" s="4">
        <v>35</v>
      </c>
      <c r="F1162" s="4">
        <v>0</v>
      </c>
      <c r="G1162" s="4">
        <v>22</v>
      </c>
      <c r="H1162" s="4">
        <v>0</v>
      </c>
      <c r="I1162" s="4">
        <v>0</v>
      </c>
      <c r="J1162" s="4">
        <v>30</v>
      </c>
      <c r="K1162" s="4">
        <v>0</v>
      </c>
      <c r="L1162" s="4">
        <v>0</v>
      </c>
      <c r="M1162" s="4">
        <v>0</v>
      </c>
    </row>
    <row r="1163" spans="1:13">
      <c r="A1163" s="3" t="s">
        <v>1708</v>
      </c>
      <c r="B1163" s="4">
        <v>0</v>
      </c>
      <c r="C1163" s="4">
        <v>67</v>
      </c>
      <c r="D1163" s="4">
        <v>77</v>
      </c>
      <c r="E1163" s="4">
        <v>129</v>
      </c>
      <c r="F1163" s="4">
        <v>20</v>
      </c>
      <c r="G1163" s="4">
        <v>67.5</v>
      </c>
      <c r="H1163" s="4">
        <v>65</v>
      </c>
      <c r="I1163" s="4">
        <v>0</v>
      </c>
      <c r="J1163" s="4">
        <v>70</v>
      </c>
      <c r="K1163" s="4">
        <v>20</v>
      </c>
      <c r="L1163" s="4">
        <v>125</v>
      </c>
      <c r="M1163" s="4">
        <v>76.5</v>
      </c>
    </row>
    <row r="1164" spans="1:13">
      <c r="A1164" s="3" t="s">
        <v>1709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15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</row>
    <row r="1165" spans="1:13">
      <c r="A1165" s="3" t="s">
        <v>1710</v>
      </c>
      <c r="B1165" s="4">
        <v>144.5</v>
      </c>
      <c r="C1165" s="4">
        <v>70</v>
      </c>
      <c r="D1165" s="4">
        <v>104.1</v>
      </c>
      <c r="E1165" s="4">
        <v>93.25</v>
      </c>
      <c r="F1165" s="4">
        <v>110</v>
      </c>
      <c r="G1165" s="4">
        <v>155.05000000000001</v>
      </c>
      <c r="H1165" s="4">
        <v>176.5</v>
      </c>
      <c r="I1165" s="4">
        <v>100</v>
      </c>
      <c r="J1165" s="4">
        <v>100</v>
      </c>
      <c r="K1165" s="4">
        <v>72.5</v>
      </c>
      <c r="L1165" s="4">
        <v>137.75</v>
      </c>
      <c r="M1165" s="4">
        <v>159</v>
      </c>
    </row>
    <row r="1166" spans="1:13">
      <c r="A1166" s="3" t="s">
        <v>1711</v>
      </c>
      <c r="B1166" s="4">
        <v>0</v>
      </c>
      <c r="C1166" s="4">
        <v>0</v>
      </c>
      <c r="D1166" s="4">
        <v>10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</row>
    <row r="1167" spans="1:13">
      <c r="A1167" s="3" t="s">
        <v>1712</v>
      </c>
      <c r="B1167" s="4">
        <v>105</v>
      </c>
      <c r="C1167" s="4">
        <v>25</v>
      </c>
      <c r="D1167" s="4">
        <v>0</v>
      </c>
      <c r="E1167" s="4">
        <v>40</v>
      </c>
      <c r="F1167" s="4">
        <v>35</v>
      </c>
      <c r="G1167" s="4">
        <v>50</v>
      </c>
      <c r="H1167" s="4">
        <v>0</v>
      </c>
      <c r="I1167" s="4">
        <v>35</v>
      </c>
      <c r="J1167" s="4">
        <v>30</v>
      </c>
      <c r="K1167" s="4">
        <v>0</v>
      </c>
      <c r="L1167" s="4">
        <v>0</v>
      </c>
      <c r="M1167" s="4">
        <v>0</v>
      </c>
    </row>
    <row r="1168" spans="1:13">
      <c r="A1168" s="3" t="s">
        <v>1713</v>
      </c>
      <c r="B1168" s="4">
        <v>4.5</v>
      </c>
      <c r="C1168" s="4">
        <v>15</v>
      </c>
      <c r="D1168" s="4">
        <v>46.5</v>
      </c>
      <c r="E1168" s="4">
        <v>2</v>
      </c>
      <c r="F1168" s="4">
        <v>22.5</v>
      </c>
      <c r="G1168" s="4">
        <v>15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16.649999999999999</v>
      </c>
    </row>
    <row r="1169" spans="1:13">
      <c r="A1169" s="3" t="s">
        <v>1714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30</v>
      </c>
      <c r="K1169" s="4">
        <v>15</v>
      </c>
      <c r="L1169" s="4">
        <v>20</v>
      </c>
      <c r="M1169" s="4">
        <v>0</v>
      </c>
    </row>
    <row r="1170" spans="1:13">
      <c r="A1170" s="3" t="s">
        <v>1715</v>
      </c>
      <c r="B1170" s="4">
        <v>57.5</v>
      </c>
      <c r="C1170" s="4">
        <v>84.25</v>
      </c>
      <c r="D1170" s="4">
        <v>89.5</v>
      </c>
      <c r="E1170" s="4">
        <v>46.25</v>
      </c>
      <c r="F1170" s="4">
        <v>68</v>
      </c>
      <c r="G1170" s="4">
        <v>65.5</v>
      </c>
      <c r="H1170" s="4">
        <v>80</v>
      </c>
      <c r="I1170" s="4">
        <v>61</v>
      </c>
      <c r="J1170" s="4">
        <v>45</v>
      </c>
      <c r="K1170" s="4">
        <v>49.35</v>
      </c>
      <c r="L1170" s="4">
        <v>7.9</v>
      </c>
      <c r="M1170" s="4">
        <v>70.5</v>
      </c>
    </row>
    <row r="1171" spans="1:13">
      <c r="A1171" s="3" t="s">
        <v>1716</v>
      </c>
      <c r="B1171" s="4">
        <v>5</v>
      </c>
      <c r="C1171" s="4">
        <v>2.5</v>
      </c>
      <c r="D1171" s="4">
        <v>0</v>
      </c>
      <c r="E1171" s="4">
        <v>5</v>
      </c>
      <c r="F1171" s="4">
        <v>15</v>
      </c>
      <c r="G1171" s="4">
        <v>0</v>
      </c>
      <c r="H1171" s="4">
        <v>0</v>
      </c>
      <c r="I1171" s="4">
        <v>2.5</v>
      </c>
      <c r="J1171" s="4">
        <v>10</v>
      </c>
      <c r="K1171" s="4">
        <v>11.5</v>
      </c>
      <c r="L1171" s="4">
        <v>0</v>
      </c>
      <c r="M1171" s="4">
        <v>0</v>
      </c>
    </row>
    <row r="1172" spans="1:13">
      <c r="A1172" s="3" t="s">
        <v>1717</v>
      </c>
      <c r="B1172" s="4">
        <v>15</v>
      </c>
      <c r="C1172" s="4">
        <v>15</v>
      </c>
      <c r="D1172" s="4">
        <v>40</v>
      </c>
      <c r="E1172" s="4">
        <v>60</v>
      </c>
      <c r="F1172" s="4">
        <v>15</v>
      </c>
      <c r="G1172" s="4">
        <v>37.5</v>
      </c>
      <c r="H1172" s="4">
        <v>103</v>
      </c>
      <c r="I1172" s="4">
        <v>0</v>
      </c>
      <c r="J1172" s="4">
        <v>41</v>
      </c>
      <c r="K1172" s="4">
        <v>34.5</v>
      </c>
      <c r="L1172" s="4">
        <v>40.200000000000003</v>
      </c>
      <c r="M1172" s="4">
        <v>51</v>
      </c>
    </row>
    <row r="1173" spans="1:13">
      <c r="A1173" s="3" t="s">
        <v>1718</v>
      </c>
      <c r="B1173" s="4">
        <v>40</v>
      </c>
      <c r="C1173" s="4">
        <v>10</v>
      </c>
      <c r="D1173" s="4">
        <v>37</v>
      </c>
      <c r="E1173" s="4">
        <v>17</v>
      </c>
      <c r="F1173" s="4">
        <v>44.25</v>
      </c>
      <c r="G1173" s="4">
        <v>15</v>
      </c>
      <c r="H1173" s="4">
        <v>16.25</v>
      </c>
      <c r="I1173" s="4">
        <v>27.5</v>
      </c>
      <c r="J1173" s="4">
        <v>34</v>
      </c>
      <c r="K1173" s="4">
        <v>17.5</v>
      </c>
      <c r="L1173" s="4">
        <v>42.5</v>
      </c>
      <c r="M1173" s="4">
        <v>35.5</v>
      </c>
    </row>
    <row r="1174" spans="1:13">
      <c r="A1174" s="3" t="s">
        <v>1719</v>
      </c>
      <c r="B1174" s="4">
        <v>120</v>
      </c>
      <c r="C1174" s="4">
        <v>110</v>
      </c>
      <c r="D1174" s="4">
        <v>104.5</v>
      </c>
      <c r="E1174" s="4">
        <v>101</v>
      </c>
      <c r="F1174" s="4">
        <v>87.5</v>
      </c>
      <c r="G1174" s="4">
        <v>32.5</v>
      </c>
      <c r="H1174" s="4">
        <v>80</v>
      </c>
      <c r="I1174" s="4">
        <v>0</v>
      </c>
      <c r="J1174" s="4">
        <v>57.5</v>
      </c>
      <c r="K1174" s="4">
        <v>41</v>
      </c>
      <c r="L1174" s="4">
        <v>75</v>
      </c>
      <c r="M1174" s="4">
        <v>130</v>
      </c>
    </row>
    <row r="1175" spans="1:13">
      <c r="A1175" s="3" t="s">
        <v>1720</v>
      </c>
      <c r="B1175" s="4">
        <v>0</v>
      </c>
      <c r="C1175" s="4">
        <v>27</v>
      </c>
      <c r="D1175" s="4">
        <v>50</v>
      </c>
      <c r="E1175" s="4">
        <v>60</v>
      </c>
      <c r="F1175" s="4">
        <v>75</v>
      </c>
      <c r="G1175" s="4">
        <v>50</v>
      </c>
      <c r="H1175" s="4">
        <v>0</v>
      </c>
      <c r="I1175" s="4">
        <v>25</v>
      </c>
      <c r="J1175" s="4">
        <v>20</v>
      </c>
      <c r="K1175" s="4">
        <v>15</v>
      </c>
      <c r="L1175" s="4">
        <v>45</v>
      </c>
      <c r="M1175" s="4">
        <v>20</v>
      </c>
    </row>
    <row r="1176" spans="1:13">
      <c r="A1176" s="3" t="s">
        <v>1721</v>
      </c>
      <c r="B1176" s="4">
        <v>52.5</v>
      </c>
      <c r="C1176" s="4">
        <v>48</v>
      </c>
      <c r="D1176" s="4">
        <v>39</v>
      </c>
      <c r="E1176" s="4">
        <v>30</v>
      </c>
      <c r="F1176" s="4">
        <v>12.5</v>
      </c>
      <c r="G1176" s="4">
        <v>55</v>
      </c>
      <c r="H1176" s="4">
        <v>15</v>
      </c>
      <c r="I1176" s="4">
        <v>10</v>
      </c>
      <c r="J1176" s="4">
        <v>32.5</v>
      </c>
      <c r="K1176" s="4">
        <v>46</v>
      </c>
      <c r="L1176" s="4">
        <v>25.5</v>
      </c>
      <c r="M1176" s="4">
        <v>55</v>
      </c>
    </row>
    <row r="1177" spans="1:13">
      <c r="A1177" s="3" t="s">
        <v>1722</v>
      </c>
      <c r="B1177" s="4">
        <v>0</v>
      </c>
      <c r="C1177" s="4">
        <v>10</v>
      </c>
      <c r="D1177" s="4">
        <v>0</v>
      </c>
      <c r="E1177" s="4">
        <v>10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</row>
    <row r="1178" spans="1:13">
      <c r="A1178" s="3" t="s">
        <v>1723</v>
      </c>
      <c r="B1178" s="4">
        <v>37.5</v>
      </c>
      <c r="C1178" s="4">
        <v>54</v>
      </c>
      <c r="D1178" s="4">
        <v>60</v>
      </c>
      <c r="E1178" s="4">
        <v>0</v>
      </c>
      <c r="F1178" s="4">
        <v>30</v>
      </c>
      <c r="G1178" s="4">
        <v>15</v>
      </c>
      <c r="H1178" s="4">
        <v>37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</row>
    <row r="1179" spans="1:13">
      <c r="A1179" s="3" t="s">
        <v>1724</v>
      </c>
      <c r="B1179" s="4">
        <v>10</v>
      </c>
      <c r="C1179" s="4">
        <v>10.5</v>
      </c>
      <c r="D1179" s="4">
        <v>27.75</v>
      </c>
      <c r="E1179" s="4">
        <v>12</v>
      </c>
      <c r="F1179" s="4">
        <v>21</v>
      </c>
      <c r="G1179" s="4">
        <v>19</v>
      </c>
      <c r="H1179" s="4">
        <v>15.5</v>
      </c>
      <c r="I1179" s="4">
        <v>10</v>
      </c>
      <c r="J1179" s="4">
        <v>38.5</v>
      </c>
      <c r="K1179" s="4">
        <v>0</v>
      </c>
      <c r="L1179" s="4">
        <v>14.5</v>
      </c>
      <c r="M1179" s="4">
        <v>42.5</v>
      </c>
    </row>
    <row r="1180" spans="1:13">
      <c r="A1180" s="3" t="s">
        <v>1725</v>
      </c>
      <c r="B1180" s="4">
        <v>41.5</v>
      </c>
      <c r="C1180" s="4">
        <v>42</v>
      </c>
      <c r="D1180" s="4">
        <v>42</v>
      </c>
      <c r="E1180" s="4">
        <v>51</v>
      </c>
      <c r="F1180" s="4">
        <v>20</v>
      </c>
      <c r="G1180" s="4">
        <v>75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108.95</v>
      </c>
    </row>
    <row r="1181" spans="1:13">
      <c r="A1181" s="3" t="s">
        <v>1726</v>
      </c>
      <c r="B1181" s="4">
        <v>45</v>
      </c>
      <c r="C1181" s="4">
        <v>0</v>
      </c>
      <c r="D1181" s="4">
        <v>41</v>
      </c>
      <c r="E1181" s="4">
        <v>30</v>
      </c>
      <c r="F1181" s="4">
        <v>50</v>
      </c>
      <c r="G1181" s="4">
        <v>30</v>
      </c>
      <c r="H1181" s="4">
        <v>20</v>
      </c>
      <c r="I1181" s="4">
        <v>15</v>
      </c>
      <c r="J1181" s="4">
        <v>25</v>
      </c>
      <c r="K1181" s="4">
        <v>0</v>
      </c>
      <c r="L1181" s="4">
        <v>10</v>
      </c>
      <c r="M1181" s="4">
        <v>0</v>
      </c>
    </row>
    <row r="1182" spans="1:13">
      <c r="A1182" s="3" t="s">
        <v>1727</v>
      </c>
      <c r="B1182" s="4">
        <v>104</v>
      </c>
      <c r="C1182" s="4">
        <v>129.5</v>
      </c>
      <c r="D1182" s="4">
        <v>110</v>
      </c>
      <c r="E1182" s="4">
        <v>92</v>
      </c>
      <c r="F1182" s="4">
        <v>5</v>
      </c>
      <c r="G1182" s="4">
        <v>55</v>
      </c>
      <c r="H1182" s="4">
        <v>122</v>
      </c>
      <c r="I1182" s="4">
        <v>0</v>
      </c>
      <c r="J1182" s="4">
        <v>137</v>
      </c>
      <c r="K1182" s="4">
        <v>58</v>
      </c>
      <c r="L1182" s="4">
        <v>77</v>
      </c>
      <c r="M1182" s="4">
        <v>15</v>
      </c>
    </row>
    <row r="1183" spans="1:13">
      <c r="A1183" s="3" t="s">
        <v>1728</v>
      </c>
      <c r="B1183" s="4">
        <v>14.5</v>
      </c>
      <c r="C1183" s="4">
        <v>15</v>
      </c>
      <c r="D1183" s="4">
        <v>20.5</v>
      </c>
      <c r="E1183" s="4">
        <v>38</v>
      </c>
      <c r="F1183" s="4">
        <v>15</v>
      </c>
      <c r="G1183" s="4">
        <v>19</v>
      </c>
      <c r="H1183" s="4">
        <v>10</v>
      </c>
      <c r="I1183" s="4">
        <v>5</v>
      </c>
      <c r="J1183" s="4">
        <v>22.5</v>
      </c>
      <c r="K1183" s="4">
        <v>25</v>
      </c>
      <c r="L1183" s="4">
        <v>29</v>
      </c>
      <c r="M1183" s="4">
        <v>7.5</v>
      </c>
    </row>
    <row r="1184" spans="1:13">
      <c r="A1184" s="3" t="s">
        <v>1729</v>
      </c>
      <c r="B1184" s="4">
        <v>81</v>
      </c>
      <c r="C1184" s="4">
        <v>52.35</v>
      </c>
      <c r="D1184" s="4">
        <v>242.55</v>
      </c>
      <c r="E1184" s="4">
        <v>133.5</v>
      </c>
      <c r="F1184" s="4">
        <v>8.25</v>
      </c>
      <c r="G1184" s="4">
        <v>101</v>
      </c>
      <c r="H1184" s="4">
        <v>50.5</v>
      </c>
      <c r="I1184" s="4">
        <v>90.5</v>
      </c>
      <c r="J1184" s="4">
        <v>150.75</v>
      </c>
      <c r="K1184" s="4">
        <v>153.5</v>
      </c>
      <c r="L1184" s="4">
        <v>181</v>
      </c>
      <c r="M1184" s="4">
        <v>192.25</v>
      </c>
    </row>
    <row r="1185" spans="1:13">
      <c r="A1185" s="3" t="s">
        <v>1730</v>
      </c>
      <c r="B1185" s="4">
        <v>68</v>
      </c>
      <c r="C1185" s="4">
        <v>50</v>
      </c>
      <c r="D1185" s="4">
        <v>114.5</v>
      </c>
      <c r="E1185" s="4">
        <v>93.5</v>
      </c>
      <c r="F1185" s="4">
        <v>127.75</v>
      </c>
      <c r="G1185" s="4">
        <v>110.5</v>
      </c>
      <c r="H1185" s="4">
        <v>82.5</v>
      </c>
      <c r="I1185" s="4">
        <v>34.5</v>
      </c>
      <c r="J1185" s="4">
        <v>106</v>
      </c>
      <c r="K1185" s="4">
        <v>80.75</v>
      </c>
      <c r="L1185" s="4">
        <v>100.25</v>
      </c>
      <c r="M1185" s="4">
        <v>167</v>
      </c>
    </row>
    <row r="1186" spans="1:13">
      <c r="A1186" s="3" t="s">
        <v>1731</v>
      </c>
      <c r="B1186" s="4">
        <v>10</v>
      </c>
      <c r="C1186" s="4">
        <v>0</v>
      </c>
      <c r="D1186" s="4">
        <v>0</v>
      </c>
      <c r="E1186" s="4">
        <v>22.5</v>
      </c>
      <c r="F1186" s="4">
        <v>35</v>
      </c>
      <c r="G1186" s="4">
        <v>35</v>
      </c>
      <c r="H1186" s="4">
        <v>40</v>
      </c>
      <c r="I1186" s="4">
        <v>27.5</v>
      </c>
      <c r="J1186" s="4">
        <v>32.5</v>
      </c>
      <c r="K1186" s="4">
        <v>0</v>
      </c>
      <c r="L1186" s="4">
        <v>21</v>
      </c>
      <c r="M1186" s="4">
        <v>0</v>
      </c>
    </row>
    <row r="1187" spans="1:13">
      <c r="A1187" s="3" t="s">
        <v>1732</v>
      </c>
      <c r="B1187" s="4">
        <v>10</v>
      </c>
      <c r="C1187" s="4">
        <v>0</v>
      </c>
      <c r="D1187" s="4">
        <v>25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</row>
    <row r="1188" spans="1:13">
      <c r="A1188" s="3" t="s">
        <v>1733</v>
      </c>
      <c r="B1188" s="4">
        <v>25</v>
      </c>
      <c r="C1188" s="4">
        <v>45</v>
      </c>
      <c r="D1188" s="4">
        <v>25</v>
      </c>
      <c r="E1188" s="4">
        <v>55</v>
      </c>
      <c r="F1188" s="4">
        <v>45.5</v>
      </c>
      <c r="G1188" s="4">
        <v>40</v>
      </c>
      <c r="H1188" s="4">
        <v>40</v>
      </c>
      <c r="I1188" s="4">
        <v>20</v>
      </c>
      <c r="J1188" s="4">
        <v>45</v>
      </c>
      <c r="K1188" s="4">
        <v>35</v>
      </c>
      <c r="L1188" s="4">
        <v>25</v>
      </c>
      <c r="M1188" s="4">
        <v>15</v>
      </c>
    </row>
    <row r="1189" spans="1:13">
      <c r="A1189" s="3" t="s">
        <v>1734</v>
      </c>
      <c r="B1189" s="4">
        <v>25</v>
      </c>
      <c r="C1189" s="4">
        <v>25</v>
      </c>
      <c r="D1189" s="4">
        <v>0</v>
      </c>
      <c r="E1189" s="4">
        <v>17.5</v>
      </c>
      <c r="F1189" s="4">
        <v>35</v>
      </c>
      <c r="G1189" s="4">
        <v>0</v>
      </c>
      <c r="H1189" s="4">
        <v>0</v>
      </c>
      <c r="I1189" s="4">
        <v>0</v>
      </c>
      <c r="J1189" s="4">
        <v>15</v>
      </c>
      <c r="K1189" s="4">
        <v>0</v>
      </c>
      <c r="L1189" s="4">
        <v>51</v>
      </c>
      <c r="M1189" s="4">
        <v>131</v>
      </c>
    </row>
    <row r="1190" spans="1:13">
      <c r="A1190" s="3" t="s">
        <v>1735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10</v>
      </c>
      <c r="J1190" s="4">
        <v>0</v>
      </c>
      <c r="K1190" s="4">
        <v>0</v>
      </c>
      <c r="L1190" s="4">
        <v>0</v>
      </c>
      <c r="M1190" s="4">
        <v>0</v>
      </c>
    </row>
    <row r="1191" spans="1:13">
      <c r="A1191" s="3" t="s">
        <v>1736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50</v>
      </c>
      <c r="M1191" s="4">
        <v>104</v>
      </c>
    </row>
    <row r="1192" spans="1:13">
      <c r="A1192" s="3" t="s">
        <v>1737</v>
      </c>
      <c r="B1192" s="4">
        <v>10</v>
      </c>
      <c r="C1192" s="4">
        <v>10</v>
      </c>
      <c r="D1192" s="4">
        <v>24.5</v>
      </c>
      <c r="E1192" s="4">
        <v>22</v>
      </c>
      <c r="F1192" s="4">
        <v>8</v>
      </c>
      <c r="G1192" s="4">
        <v>15.75</v>
      </c>
      <c r="H1192" s="4">
        <v>2.5</v>
      </c>
      <c r="I1192" s="4">
        <v>10</v>
      </c>
      <c r="J1192" s="4">
        <v>10</v>
      </c>
      <c r="K1192" s="4">
        <v>18.5</v>
      </c>
      <c r="L1192" s="4">
        <v>11.5</v>
      </c>
      <c r="M1192" s="4">
        <v>18</v>
      </c>
    </row>
    <row r="1193" spans="1:13">
      <c r="A1193" s="3" t="s">
        <v>1738</v>
      </c>
      <c r="B1193" s="4">
        <v>0</v>
      </c>
      <c r="C1193" s="4">
        <v>15</v>
      </c>
      <c r="D1193" s="4">
        <v>20</v>
      </c>
      <c r="E1193" s="4">
        <v>42.5</v>
      </c>
      <c r="F1193" s="4">
        <v>20</v>
      </c>
      <c r="G1193" s="4">
        <v>19</v>
      </c>
      <c r="H1193" s="4">
        <v>27</v>
      </c>
      <c r="I1193" s="4">
        <v>15</v>
      </c>
      <c r="J1193" s="4">
        <v>30</v>
      </c>
      <c r="K1193" s="4">
        <v>0</v>
      </c>
      <c r="L1193" s="4">
        <v>10</v>
      </c>
      <c r="M1193" s="4">
        <v>15.25</v>
      </c>
    </row>
    <row r="1194" spans="1:13">
      <c r="A1194" s="3" t="s">
        <v>1739</v>
      </c>
      <c r="B1194" s="4">
        <v>50</v>
      </c>
      <c r="C1194" s="4">
        <v>0</v>
      </c>
      <c r="D1194" s="4">
        <v>5</v>
      </c>
      <c r="E1194" s="4">
        <v>62.5</v>
      </c>
      <c r="F1194" s="4">
        <v>20</v>
      </c>
      <c r="G1194" s="4">
        <v>15</v>
      </c>
      <c r="H1194" s="4">
        <v>10</v>
      </c>
      <c r="I1194" s="4">
        <v>20</v>
      </c>
      <c r="J1194" s="4">
        <v>22.5</v>
      </c>
      <c r="K1194" s="4">
        <v>55</v>
      </c>
      <c r="L1194" s="4">
        <v>0</v>
      </c>
      <c r="M1194" s="4">
        <v>32.5</v>
      </c>
    </row>
    <row r="1195" spans="1:13">
      <c r="A1195" s="3" t="s">
        <v>1740</v>
      </c>
      <c r="B1195" s="4">
        <v>20</v>
      </c>
      <c r="C1195" s="4">
        <v>40</v>
      </c>
      <c r="D1195" s="4">
        <v>25</v>
      </c>
      <c r="E1195" s="4">
        <v>20</v>
      </c>
      <c r="F1195" s="4">
        <v>30</v>
      </c>
      <c r="G1195" s="4">
        <v>45</v>
      </c>
      <c r="H1195" s="4">
        <v>0</v>
      </c>
      <c r="I1195" s="4">
        <v>0</v>
      </c>
      <c r="J1195" s="4">
        <v>30.2</v>
      </c>
      <c r="K1195" s="4">
        <v>10</v>
      </c>
      <c r="L1195" s="4">
        <v>10</v>
      </c>
      <c r="M1195" s="4">
        <v>6.75</v>
      </c>
    </row>
    <row r="1196" spans="1:13">
      <c r="A1196" s="3" t="s">
        <v>1741</v>
      </c>
      <c r="B1196" s="4">
        <v>15.6</v>
      </c>
      <c r="C1196" s="4">
        <v>23.75</v>
      </c>
      <c r="D1196" s="4">
        <v>27.5</v>
      </c>
      <c r="E1196" s="4">
        <v>40</v>
      </c>
      <c r="F1196" s="4">
        <v>20.5</v>
      </c>
      <c r="G1196" s="4">
        <v>74.5</v>
      </c>
      <c r="H1196" s="4">
        <v>10</v>
      </c>
      <c r="I1196" s="4">
        <v>37.5</v>
      </c>
      <c r="J1196" s="4">
        <v>142.5</v>
      </c>
      <c r="K1196" s="4">
        <v>35</v>
      </c>
      <c r="L1196" s="4">
        <v>30.5</v>
      </c>
      <c r="M1196" s="4">
        <v>42.5</v>
      </c>
    </row>
    <row r="1197" spans="1:13">
      <c r="A1197" s="3" t="s">
        <v>1742</v>
      </c>
      <c r="B1197" s="4">
        <v>0</v>
      </c>
      <c r="C1197" s="4">
        <v>0</v>
      </c>
      <c r="D1197" s="4">
        <v>0</v>
      </c>
      <c r="E1197" s="4">
        <v>10</v>
      </c>
      <c r="F1197" s="4">
        <v>35</v>
      </c>
      <c r="G1197" s="4">
        <v>0</v>
      </c>
      <c r="H1197" s="4">
        <v>0</v>
      </c>
      <c r="I1197" s="4">
        <v>0</v>
      </c>
      <c r="J1197" s="4">
        <v>0</v>
      </c>
      <c r="K1197" s="4">
        <v>193.55</v>
      </c>
      <c r="L1197" s="4">
        <v>139.25</v>
      </c>
      <c r="M1197" s="4">
        <v>171.75</v>
      </c>
    </row>
    <row r="1198" spans="1:13">
      <c r="A1198" s="3" t="s">
        <v>1743</v>
      </c>
      <c r="B1198" s="4">
        <v>22</v>
      </c>
      <c r="C1198" s="4">
        <v>30</v>
      </c>
      <c r="D1198" s="4">
        <v>50</v>
      </c>
      <c r="E1198" s="4">
        <v>81</v>
      </c>
      <c r="F1198" s="4">
        <v>61</v>
      </c>
      <c r="G1198" s="4">
        <v>0</v>
      </c>
      <c r="H1198" s="4">
        <v>0</v>
      </c>
      <c r="I1198" s="4">
        <v>0</v>
      </c>
      <c r="J1198" s="4">
        <v>20</v>
      </c>
      <c r="K1198" s="4">
        <v>0</v>
      </c>
      <c r="L1198" s="4">
        <v>10</v>
      </c>
      <c r="M1198" s="4">
        <v>10</v>
      </c>
    </row>
    <row r="1199" spans="1:13">
      <c r="A1199" s="3" t="s">
        <v>1744</v>
      </c>
      <c r="B1199" s="4">
        <v>135</v>
      </c>
      <c r="C1199" s="4">
        <v>108</v>
      </c>
      <c r="D1199" s="4">
        <v>117</v>
      </c>
      <c r="E1199" s="4">
        <v>132.5</v>
      </c>
      <c r="F1199" s="4">
        <v>65</v>
      </c>
      <c r="G1199" s="4">
        <v>106</v>
      </c>
      <c r="H1199" s="4">
        <v>60</v>
      </c>
      <c r="I1199" s="4">
        <v>50</v>
      </c>
      <c r="J1199" s="4">
        <v>132.5</v>
      </c>
      <c r="K1199" s="4">
        <v>145</v>
      </c>
      <c r="L1199" s="4">
        <v>88.5</v>
      </c>
      <c r="M1199" s="4">
        <v>102</v>
      </c>
    </row>
    <row r="1200" spans="1:13">
      <c r="A1200" s="3" t="s">
        <v>1745</v>
      </c>
      <c r="B1200" s="4">
        <v>35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</row>
    <row r="1201" spans="1:13">
      <c r="A1201" s="3" t="s">
        <v>1746</v>
      </c>
      <c r="B1201" s="4">
        <v>117.6</v>
      </c>
      <c r="C1201" s="4">
        <v>40</v>
      </c>
      <c r="D1201" s="4">
        <v>133.75</v>
      </c>
      <c r="E1201" s="4">
        <v>93.4</v>
      </c>
      <c r="F1201" s="4">
        <v>70.5</v>
      </c>
      <c r="G1201" s="4">
        <v>94.95</v>
      </c>
      <c r="H1201" s="4">
        <v>117</v>
      </c>
      <c r="I1201" s="4">
        <v>80</v>
      </c>
      <c r="J1201" s="4">
        <v>85</v>
      </c>
      <c r="K1201" s="4">
        <v>15</v>
      </c>
      <c r="L1201" s="4">
        <v>39.450000000000003</v>
      </c>
      <c r="M1201" s="4">
        <v>50</v>
      </c>
    </row>
    <row r="1202" spans="1:13">
      <c r="A1202" s="3" t="s">
        <v>1747</v>
      </c>
      <c r="B1202" s="4">
        <v>73</v>
      </c>
      <c r="C1202" s="4">
        <v>30</v>
      </c>
      <c r="D1202" s="4">
        <v>25</v>
      </c>
      <c r="E1202" s="4">
        <v>60</v>
      </c>
      <c r="F1202" s="4">
        <v>62.5</v>
      </c>
      <c r="G1202" s="4">
        <v>72.5</v>
      </c>
      <c r="H1202" s="4">
        <v>63.5</v>
      </c>
      <c r="I1202" s="4">
        <v>35</v>
      </c>
      <c r="J1202" s="4">
        <v>108.5</v>
      </c>
      <c r="K1202" s="4">
        <v>78.5</v>
      </c>
      <c r="L1202" s="4">
        <v>112.5</v>
      </c>
      <c r="M1202" s="4">
        <v>186</v>
      </c>
    </row>
    <row r="1203" spans="1:13">
      <c r="A1203" s="3" t="s">
        <v>1748</v>
      </c>
      <c r="B1203" s="4">
        <v>45</v>
      </c>
      <c r="C1203" s="4">
        <v>20</v>
      </c>
      <c r="D1203" s="4">
        <v>30</v>
      </c>
      <c r="E1203" s="4">
        <v>0</v>
      </c>
      <c r="F1203" s="4">
        <v>30</v>
      </c>
      <c r="G1203" s="4">
        <v>30</v>
      </c>
      <c r="H1203" s="4">
        <v>10</v>
      </c>
      <c r="I1203" s="4">
        <v>30</v>
      </c>
      <c r="J1203" s="4">
        <v>40</v>
      </c>
      <c r="K1203" s="4">
        <v>20</v>
      </c>
      <c r="L1203" s="4">
        <v>30</v>
      </c>
      <c r="M1203" s="4">
        <v>10</v>
      </c>
    </row>
    <row r="1204" spans="1:13">
      <c r="A1204" s="3" t="s">
        <v>1749</v>
      </c>
      <c r="B1204" s="4">
        <v>20</v>
      </c>
      <c r="C1204" s="4">
        <v>0</v>
      </c>
      <c r="D1204" s="4">
        <v>49</v>
      </c>
      <c r="E1204" s="4">
        <v>21</v>
      </c>
      <c r="F1204" s="4">
        <v>26.5</v>
      </c>
      <c r="G1204" s="4">
        <v>0</v>
      </c>
      <c r="H1204" s="4">
        <v>0</v>
      </c>
      <c r="I1204" s="4">
        <v>20</v>
      </c>
      <c r="J1204" s="4">
        <v>30</v>
      </c>
      <c r="K1204" s="4">
        <v>0</v>
      </c>
      <c r="L1204" s="4">
        <v>54.5</v>
      </c>
      <c r="M1204" s="4">
        <v>0</v>
      </c>
    </row>
    <row r="1205" spans="1:13">
      <c r="A1205" s="3" t="s">
        <v>1750</v>
      </c>
      <c r="B1205" s="4">
        <v>60</v>
      </c>
      <c r="C1205" s="4">
        <v>20</v>
      </c>
      <c r="D1205" s="4">
        <v>50</v>
      </c>
      <c r="E1205" s="4">
        <v>0</v>
      </c>
      <c r="F1205" s="4">
        <v>60</v>
      </c>
      <c r="G1205" s="4">
        <v>40</v>
      </c>
      <c r="H1205" s="4">
        <v>98</v>
      </c>
      <c r="I1205" s="4">
        <v>20</v>
      </c>
      <c r="J1205" s="4">
        <v>50</v>
      </c>
      <c r="K1205" s="4">
        <v>48</v>
      </c>
      <c r="L1205" s="4">
        <v>30</v>
      </c>
      <c r="M1205" s="4">
        <v>125</v>
      </c>
    </row>
    <row r="1206" spans="1:13">
      <c r="A1206" s="3" t="s">
        <v>1751</v>
      </c>
      <c r="B1206" s="4">
        <v>102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</row>
    <row r="1207" spans="1:13">
      <c r="A1207" s="3" t="s">
        <v>1752</v>
      </c>
      <c r="B1207" s="4">
        <v>10</v>
      </c>
      <c r="C1207" s="4">
        <v>25</v>
      </c>
      <c r="D1207" s="4">
        <v>45</v>
      </c>
      <c r="E1207" s="4">
        <v>73.5</v>
      </c>
      <c r="F1207" s="4">
        <v>30</v>
      </c>
      <c r="G1207" s="4">
        <v>27</v>
      </c>
      <c r="H1207" s="4">
        <v>37.5</v>
      </c>
      <c r="I1207" s="4">
        <v>40</v>
      </c>
      <c r="J1207" s="4">
        <v>52</v>
      </c>
      <c r="K1207" s="4">
        <v>77.5</v>
      </c>
      <c r="L1207" s="4">
        <v>72</v>
      </c>
      <c r="M1207" s="4">
        <v>54.25</v>
      </c>
    </row>
    <row r="1208" spans="1:13">
      <c r="A1208" s="3" t="s">
        <v>1753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50</v>
      </c>
      <c r="K1208" s="4">
        <v>85</v>
      </c>
      <c r="L1208" s="4">
        <v>94</v>
      </c>
      <c r="M1208" s="4">
        <v>45</v>
      </c>
    </row>
    <row r="1209" spans="1:13">
      <c r="A1209" s="3" t="s">
        <v>1754</v>
      </c>
      <c r="B1209" s="4">
        <v>0</v>
      </c>
      <c r="C1209" s="4">
        <v>0</v>
      </c>
      <c r="D1209" s="4">
        <v>5</v>
      </c>
      <c r="E1209" s="4">
        <v>7.5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</row>
    <row r="1210" spans="1:13">
      <c r="A1210" s="3" t="s">
        <v>1755</v>
      </c>
      <c r="B1210" s="4">
        <v>52.5</v>
      </c>
      <c r="C1210" s="4">
        <v>75.5</v>
      </c>
      <c r="D1210" s="4">
        <v>77.5</v>
      </c>
      <c r="E1210" s="4">
        <v>32.5</v>
      </c>
      <c r="F1210" s="4">
        <v>55</v>
      </c>
      <c r="G1210" s="4">
        <v>56.5</v>
      </c>
      <c r="H1210" s="4">
        <v>20</v>
      </c>
      <c r="I1210" s="4">
        <v>41</v>
      </c>
      <c r="J1210" s="4">
        <v>10</v>
      </c>
      <c r="K1210" s="4">
        <v>55</v>
      </c>
      <c r="L1210" s="4">
        <v>41.5</v>
      </c>
      <c r="M1210" s="4">
        <v>0</v>
      </c>
    </row>
    <row r="1211" spans="1:13">
      <c r="A1211" s="3" t="s">
        <v>1756</v>
      </c>
      <c r="B1211" s="4">
        <v>0</v>
      </c>
      <c r="C1211" s="4">
        <v>0</v>
      </c>
      <c r="D1211" s="4">
        <v>0</v>
      </c>
      <c r="E1211" s="4">
        <v>28.5</v>
      </c>
      <c r="F1211" s="4">
        <v>20</v>
      </c>
      <c r="G1211" s="4">
        <v>0</v>
      </c>
      <c r="H1211" s="4">
        <v>6</v>
      </c>
      <c r="I1211" s="4">
        <v>30</v>
      </c>
      <c r="J1211" s="4">
        <v>20</v>
      </c>
      <c r="K1211" s="4">
        <v>6</v>
      </c>
      <c r="L1211" s="4">
        <v>0</v>
      </c>
      <c r="M1211" s="4">
        <v>21</v>
      </c>
    </row>
    <row r="1212" spans="1:13">
      <c r="A1212" s="3" t="s">
        <v>1757</v>
      </c>
      <c r="B1212" s="4">
        <v>50</v>
      </c>
      <c r="C1212" s="4">
        <v>0</v>
      </c>
      <c r="D1212" s="4">
        <v>0</v>
      </c>
      <c r="E1212" s="4">
        <v>55</v>
      </c>
      <c r="F1212" s="4">
        <v>0</v>
      </c>
      <c r="G1212" s="4">
        <v>0</v>
      </c>
      <c r="H1212" s="4">
        <v>35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</row>
    <row r="1213" spans="1:13">
      <c r="A1213" s="3" t="s">
        <v>1758</v>
      </c>
      <c r="B1213" s="4">
        <v>20</v>
      </c>
      <c r="C1213" s="4">
        <v>45</v>
      </c>
      <c r="D1213" s="4">
        <v>60</v>
      </c>
      <c r="E1213" s="4">
        <v>40</v>
      </c>
      <c r="F1213" s="4">
        <v>27.5</v>
      </c>
      <c r="G1213" s="4">
        <v>0</v>
      </c>
      <c r="H1213" s="4">
        <v>40</v>
      </c>
      <c r="I1213" s="4">
        <v>15</v>
      </c>
      <c r="J1213" s="4">
        <v>25</v>
      </c>
      <c r="K1213" s="4">
        <v>30</v>
      </c>
      <c r="L1213" s="4">
        <v>10</v>
      </c>
      <c r="M1213" s="4">
        <v>7.5</v>
      </c>
    </row>
    <row r="1214" spans="1:13">
      <c r="A1214" s="3" t="s">
        <v>1759</v>
      </c>
      <c r="B1214" s="4">
        <v>35</v>
      </c>
      <c r="C1214" s="4">
        <v>30</v>
      </c>
      <c r="D1214" s="4">
        <v>40</v>
      </c>
      <c r="E1214" s="4">
        <v>26</v>
      </c>
      <c r="F1214" s="4">
        <v>37.5</v>
      </c>
      <c r="G1214" s="4">
        <v>20</v>
      </c>
      <c r="H1214" s="4">
        <v>30</v>
      </c>
      <c r="I1214" s="4">
        <v>30</v>
      </c>
      <c r="J1214" s="4">
        <v>12.5</v>
      </c>
      <c r="K1214" s="4">
        <v>12.5</v>
      </c>
      <c r="L1214" s="4">
        <v>30</v>
      </c>
      <c r="M1214" s="4">
        <v>31</v>
      </c>
    </row>
    <row r="1215" spans="1:13">
      <c r="A1215" s="3" t="s">
        <v>1760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32</v>
      </c>
      <c r="I1215" s="4">
        <v>61</v>
      </c>
      <c r="J1215" s="4">
        <v>32</v>
      </c>
      <c r="K1215" s="4">
        <v>13</v>
      </c>
      <c r="L1215" s="4">
        <v>32</v>
      </c>
      <c r="M1215" s="4">
        <v>82</v>
      </c>
    </row>
    <row r="1216" spans="1:13">
      <c r="A1216" s="3" t="s">
        <v>1761</v>
      </c>
      <c r="B1216" s="4">
        <v>81</v>
      </c>
      <c r="C1216" s="4">
        <v>112</v>
      </c>
      <c r="D1216" s="4">
        <v>98.5</v>
      </c>
      <c r="E1216" s="4">
        <v>93.5</v>
      </c>
      <c r="F1216" s="4">
        <v>51.5</v>
      </c>
      <c r="G1216" s="4">
        <v>59</v>
      </c>
      <c r="H1216" s="4">
        <v>15</v>
      </c>
      <c r="I1216" s="4">
        <v>90</v>
      </c>
      <c r="J1216" s="4">
        <v>119</v>
      </c>
      <c r="K1216" s="4">
        <v>25</v>
      </c>
      <c r="L1216" s="4">
        <v>48</v>
      </c>
      <c r="M1216" s="4">
        <v>115</v>
      </c>
    </row>
    <row r="1217" spans="1:13">
      <c r="A1217" s="3" t="s">
        <v>1762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31.5</v>
      </c>
    </row>
    <row r="1218" spans="1:13">
      <c r="A1218" s="3" t="s">
        <v>1763</v>
      </c>
      <c r="B1218" s="4">
        <v>206</v>
      </c>
      <c r="C1218" s="4">
        <v>238.5</v>
      </c>
      <c r="D1218" s="4">
        <v>201.5</v>
      </c>
      <c r="E1218" s="4">
        <v>235</v>
      </c>
      <c r="F1218" s="4">
        <v>147</v>
      </c>
      <c r="G1218" s="4">
        <v>247.25</v>
      </c>
      <c r="H1218" s="4">
        <v>190</v>
      </c>
      <c r="I1218" s="4">
        <v>184</v>
      </c>
      <c r="J1218" s="4">
        <v>204.5</v>
      </c>
      <c r="K1218" s="4">
        <v>224</v>
      </c>
      <c r="L1218" s="4">
        <v>120</v>
      </c>
      <c r="M1218" s="4">
        <v>225</v>
      </c>
    </row>
    <row r="1219" spans="1:13">
      <c r="A1219" s="3" t="s">
        <v>1764</v>
      </c>
      <c r="B1219" s="4">
        <v>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20</v>
      </c>
      <c r="M1219" s="4">
        <v>0</v>
      </c>
    </row>
    <row r="1220" spans="1:13">
      <c r="A1220" s="3" t="s">
        <v>1765</v>
      </c>
      <c r="B1220" s="4">
        <v>0</v>
      </c>
      <c r="C1220" s="4">
        <v>0</v>
      </c>
      <c r="D1220" s="4">
        <v>12</v>
      </c>
      <c r="E1220" s="4">
        <v>15</v>
      </c>
      <c r="F1220" s="4">
        <v>13</v>
      </c>
      <c r="G1220" s="4">
        <v>15</v>
      </c>
      <c r="H1220" s="4">
        <v>32</v>
      </c>
      <c r="I1220" s="4">
        <v>28</v>
      </c>
      <c r="J1220" s="4">
        <v>73</v>
      </c>
      <c r="K1220" s="4">
        <v>60</v>
      </c>
      <c r="L1220" s="4">
        <v>50</v>
      </c>
      <c r="M1220" s="4">
        <v>80</v>
      </c>
    </row>
    <row r="1221" spans="1:13">
      <c r="A1221" s="3" t="s">
        <v>1766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15</v>
      </c>
      <c r="L1221" s="4">
        <v>0</v>
      </c>
      <c r="M1221" s="4">
        <v>0</v>
      </c>
    </row>
    <row r="1222" spans="1:13">
      <c r="A1222" s="3" t="s">
        <v>1767</v>
      </c>
      <c r="B1222" s="4">
        <v>45</v>
      </c>
      <c r="C1222" s="4">
        <v>5</v>
      </c>
      <c r="D1222" s="4">
        <v>12</v>
      </c>
      <c r="E1222" s="4">
        <v>0</v>
      </c>
      <c r="F1222" s="4">
        <v>10</v>
      </c>
      <c r="G1222" s="4">
        <v>0</v>
      </c>
      <c r="H1222" s="4">
        <v>2.0499999999999998</v>
      </c>
      <c r="I1222" s="4">
        <v>10</v>
      </c>
      <c r="J1222" s="4">
        <v>0</v>
      </c>
      <c r="K1222" s="4">
        <v>0</v>
      </c>
      <c r="L1222" s="4">
        <v>20</v>
      </c>
      <c r="M1222" s="4">
        <v>10</v>
      </c>
    </row>
    <row r="1223" spans="1:13">
      <c r="A1223" s="3" t="s">
        <v>1768</v>
      </c>
      <c r="B1223" s="4">
        <v>12</v>
      </c>
      <c r="C1223" s="4">
        <v>15</v>
      </c>
      <c r="D1223" s="4">
        <v>29</v>
      </c>
      <c r="E1223" s="4">
        <v>35</v>
      </c>
      <c r="F1223" s="4">
        <v>20</v>
      </c>
      <c r="G1223" s="4">
        <v>34</v>
      </c>
      <c r="H1223" s="4">
        <v>0</v>
      </c>
      <c r="I1223" s="4">
        <v>10</v>
      </c>
      <c r="J1223" s="4">
        <v>42</v>
      </c>
      <c r="K1223" s="4">
        <v>0</v>
      </c>
      <c r="L1223" s="4">
        <v>12.5</v>
      </c>
      <c r="M1223" s="4">
        <v>73</v>
      </c>
    </row>
    <row r="1224" spans="1:13">
      <c r="A1224" s="3" t="s">
        <v>1769</v>
      </c>
      <c r="B1224" s="4">
        <v>0</v>
      </c>
      <c r="C1224" s="4">
        <v>0</v>
      </c>
      <c r="D1224" s="4">
        <v>0</v>
      </c>
      <c r="E1224" s="4">
        <v>10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</row>
    <row r="1225" spans="1:13">
      <c r="A1225" s="3" t="s">
        <v>1770</v>
      </c>
      <c r="B1225" s="4">
        <v>0</v>
      </c>
      <c r="C1225" s="4">
        <v>0</v>
      </c>
      <c r="D1225" s="4">
        <v>15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10</v>
      </c>
      <c r="L1225" s="4">
        <v>5</v>
      </c>
      <c r="M1225" s="4">
        <v>25</v>
      </c>
    </row>
    <row r="1226" spans="1:13">
      <c r="A1226" s="3" t="s">
        <v>1771</v>
      </c>
      <c r="B1226" s="4">
        <v>0</v>
      </c>
      <c r="C1226" s="4">
        <v>12</v>
      </c>
      <c r="D1226" s="4">
        <v>0</v>
      </c>
      <c r="E1226" s="4">
        <v>2</v>
      </c>
      <c r="F1226" s="4">
        <v>0</v>
      </c>
      <c r="G1226" s="4">
        <v>0</v>
      </c>
      <c r="H1226" s="4">
        <v>0</v>
      </c>
      <c r="I1226" s="4">
        <v>0</v>
      </c>
      <c r="J1226" s="4">
        <v>10</v>
      </c>
      <c r="K1226" s="4">
        <v>13</v>
      </c>
      <c r="L1226" s="4">
        <v>0</v>
      </c>
      <c r="M1226" s="4">
        <v>7.5</v>
      </c>
    </row>
    <row r="1227" spans="1:13">
      <c r="A1227" s="3" t="s">
        <v>1772</v>
      </c>
      <c r="B1227" s="4">
        <v>42</v>
      </c>
      <c r="C1227" s="4">
        <v>72</v>
      </c>
      <c r="D1227" s="4">
        <v>62.5</v>
      </c>
      <c r="E1227" s="4">
        <v>50</v>
      </c>
      <c r="F1227" s="4">
        <v>50</v>
      </c>
      <c r="G1227" s="4">
        <v>60</v>
      </c>
      <c r="H1227" s="4">
        <v>33.5</v>
      </c>
      <c r="I1227" s="4">
        <v>25</v>
      </c>
      <c r="J1227" s="4">
        <v>37.5</v>
      </c>
      <c r="K1227" s="4">
        <v>20</v>
      </c>
      <c r="L1227" s="4">
        <v>5</v>
      </c>
      <c r="M1227" s="4">
        <v>27.5</v>
      </c>
    </row>
    <row r="1228" spans="1:13">
      <c r="A1228" s="3" t="s">
        <v>1773</v>
      </c>
      <c r="B1228" s="4">
        <v>0</v>
      </c>
      <c r="C1228" s="4">
        <v>0</v>
      </c>
      <c r="D1228" s="4">
        <v>10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</row>
    <row r="1229" spans="1:13">
      <c r="A1229" s="3" t="s">
        <v>1774</v>
      </c>
      <c r="B1229" s="4">
        <v>72.5</v>
      </c>
      <c r="C1229" s="4">
        <v>52</v>
      </c>
      <c r="D1229" s="4">
        <v>13.5</v>
      </c>
      <c r="E1229" s="4">
        <v>35</v>
      </c>
      <c r="F1229" s="4">
        <v>15</v>
      </c>
      <c r="G1229" s="4">
        <v>15</v>
      </c>
      <c r="H1229" s="4">
        <v>0</v>
      </c>
      <c r="I1229" s="4">
        <v>25</v>
      </c>
      <c r="J1229" s="4">
        <v>25</v>
      </c>
      <c r="K1229" s="4">
        <v>25</v>
      </c>
      <c r="L1229" s="4">
        <v>45</v>
      </c>
      <c r="M1229" s="4">
        <v>97</v>
      </c>
    </row>
    <row r="1230" spans="1:13">
      <c r="A1230" s="3" t="s">
        <v>1775</v>
      </c>
      <c r="B1230" s="4">
        <v>129.44999999999999</v>
      </c>
      <c r="C1230" s="4">
        <v>35</v>
      </c>
      <c r="D1230" s="4">
        <v>170.5</v>
      </c>
      <c r="E1230" s="4">
        <v>186</v>
      </c>
      <c r="F1230" s="4">
        <v>190</v>
      </c>
      <c r="G1230" s="4">
        <v>110.5</v>
      </c>
      <c r="H1230" s="4">
        <v>51.25</v>
      </c>
      <c r="I1230" s="4">
        <v>92.5</v>
      </c>
      <c r="J1230" s="4">
        <v>116.5</v>
      </c>
      <c r="K1230" s="4">
        <v>72.5</v>
      </c>
      <c r="L1230" s="4">
        <v>117.25</v>
      </c>
      <c r="M1230" s="4">
        <v>158</v>
      </c>
    </row>
    <row r="1231" spans="1:13">
      <c r="A1231" s="3" t="s">
        <v>1776</v>
      </c>
      <c r="B1231" s="4">
        <v>47.5</v>
      </c>
      <c r="C1231" s="4">
        <v>0</v>
      </c>
      <c r="D1231" s="4">
        <v>35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50</v>
      </c>
    </row>
    <row r="1232" spans="1:13">
      <c r="A1232" s="3" t="s">
        <v>1777</v>
      </c>
      <c r="B1232" s="4">
        <v>30.25</v>
      </c>
      <c r="C1232" s="4">
        <v>14.3</v>
      </c>
      <c r="D1232" s="4">
        <v>32.450000000000003</v>
      </c>
      <c r="E1232" s="4">
        <v>17.5</v>
      </c>
      <c r="F1232" s="4">
        <v>20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</row>
    <row r="1233" spans="1:13">
      <c r="A1233" s="3" t="s">
        <v>1778</v>
      </c>
      <c r="B1233" s="4">
        <v>0</v>
      </c>
      <c r="C1233" s="4">
        <v>0</v>
      </c>
      <c r="D1233" s="4">
        <v>0</v>
      </c>
      <c r="E1233" s="4">
        <v>25.5</v>
      </c>
      <c r="F1233" s="4">
        <v>0</v>
      </c>
      <c r="G1233" s="4">
        <v>0</v>
      </c>
      <c r="H1233" s="4">
        <v>0</v>
      </c>
      <c r="I1233" s="4">
        <v>15.5</v>
      </c>
      <c r="J1233" s="4">
        <v>0</v>
      </c>
      <c r="K1233" s="4">
        <v>24</v>
      </c>
      <c r="L1233" s="4">
        <v>10</v>
      </c>
      <c r="M1233" s="4">
        <v>50</v>
      </c>
    </row>
    <row r="1234" spans="1:13">
      <c r="A1234" s="3" t="s">
        <v>1779</v>
      </c>
      <c r="B1234" s="4">
        <v>45</v>
      </c>
      <c r="C1234" s="4">
        <v>0</v>
      </c>
      <c r="D1234" s="4">
        <v>45</v>
      </c>
      <c r="E1234" s="4">
        <v>62.5</v>
      </c>
      <c r="F1234" s="4">
        <v>10</v>
      </c>
      <c r="G1234" s="4">
        <v>40</v>
      </c>
      <c r="H1234" s="4">
        <v>25</v>
      </c>
      <c r="I1234" s="4">
        <v>10</v>
      </c>
      <c r="J1234" s="4">
        <v>25</v>
      </c>
      <c r="K1234" s="4">
        <v>40</v>
      </c>
      <c r="L1234" s="4">
        <v>40</v>
      </c>
      <c r="M1234" s="4">
        <v>50</v>
      </c>
    </row>
    <row r="1235" spans="1:13">
      <c r="A1235" s="3" t="s">
        <v>1780</v>
      </c>
      <c r="B1235" s="4">
        <v>20</v>
      </c>
      <c r="C1235" s="4">
        <v>10</v>
      </c>
      <c r="D1235" s="4">
        <v>45</v>
      </c>
      <c r="E1235" s="4">
        <v>50</v>
      </c>
      <c r="F1235" s="4">
        <v>45</v>
      </c>
      <c r="G1235" s="4">
        <v>38.5</v>
      </c>
      <c r="H1235" s="4">
        <v>45</v>
      </c>
      <c r="I1235" s="4">
        <v>40</v>
      </c>
      <c r="J1235" s="4">
        <v>20</v>
      </c>
      <c r="K1235" s="4">
        <v>0</v>
      </c>
      <c r="L1235" s="4">
        <v>0</v>
      </c>
      <c r="M1235" s="4">
        <v>30</v>
      </c>
    </row>
    <row r="1236" spans="1:13">
      <c r="A1236" s="3" t="s">
        <v>1781</v>
      </c>
      <c r="B1236" s="4">
        <v>0</v>
      </c>
      <c r="C1236" s="4">
        <v>10</v>
      </c>
      <c r="D1236" s="4">
        <v>10</v>
      </c>
      <c r="E1236" s="4">
        <v>46</v>
      </c>
      <c r="F1236" s="4">
        <v>20</v>
      </c>
      <c r="G1236" s="4">
        <v>15</v>
      </c>
      <c r="H1236" s="4">
        <v>15</v>
      </c>
      <c r="I1236" s="4">
        <v>20</v>
      </c>
      <c r="J1236" s="4">
        <v>49</v>
      </c>
      <c r="K1236" s="4">
        <v>0</v>
      </c>
      <c r="L1236" s="4">
        <v>30</v>
      </c>
      <c r="M1236" s="4">
        <v>30</v>
      </c>
    </row>
    <row r="1237" spans="1:13">
      <c r="A1237" s="3" t="s">
        <v>1782</v>
      </c>
      <c r="B1237" s="4">
        <v>20</v>
      </c>
      <c r="C1237" s="4">
        <v>39.5</v>
      </c>
      <c r="D1237" s="4">
        <v>60</v>
      </c>
      <c r="E1237" s="4">
        <v>37.5</v>
      </c>
      <c r="F1237" s="4">
        <v>43</v>
      </c>
      <c r="G1237" s="4">
        <v>37</v>
      </c>
      <c r="H1237" s="4">
        <v>0</v>
      </c>
      <c r="I1237" s="4">
        <v>0</v>
      </c>
      <c r="J1237" s="4">
        <v>0</v>
      </c>
      <c r="K1237" s="4">
        <v>0</v>
      </c>
      <c r="L1237" s="4">
        <v>10</v>
      </c>
      <c r="M1237" s="4">
        <v>0</v>
      </c>
    </row>
    <row r="1238" spans="1:13">
      <c r="A1238" s="3" t="s">
        <v>1783</v>
      </c>
      <c r="B1238" s="4">
        <v>0</v>
      </c>
      <c r="C1238" s="4">
        <v>0</v>
      </c>
      <c r="D1238" s="4">
        <v>0</v>
      </c>
      <c r="E1238" s="4">
        <v>0</v>
      </c>
      <c r="F1238" s="4">
        <v>20</v>
      </c>
      <c r="G1238" s="4">
        <v>0</v>
      </c>
      <c r="H1238" s="4">
        <v>20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</row>
    <row r="1239" spans="1:13">
      <c r="A1239" s="3" t="s">
        <v>1784</v>
      </c>
      <c r="B1239" s="4">
        <v>35</v>
      </c>
      <c r="C1239" s="4">
        <v>30</v>
      </c>
      <c r="D1239" s="4">
        <v>93</v>
      </c>
      <c r="E1239" s="4">
        <v>100.5</v>
      </c>
      <c r="F1239" s="4">
        <v>65</v>
      </c>
      <c r="G1239" s="4">
        <v>48.5</v>
      </c>
      <c r="H1239" s="4">
        <v>54</v>
      </c>
      <c r="I1239" s="4">
        <v>31</v>
      </c>
      <c r="J1239" s="4">
        <v>0</v>
      </c>
      <c r="K1239" s="4">
        <v>0</v>
      </c>
      <c r="L1239" s="4">
        <v>16</v>
      </c>
      <c r="M1239" s="4">
        <v>13</v>
      </c>
    </row>
    <row r="1240" spans="1:13">
      <c r="A1240" s="3" t="s">
        <v>1785</v>
      </c>
      <c r="B1240" s="4">
        <v>0</v>
      </c>
      <c r="C1240" s="4">
        <v>10</v>
      </c>
      <c r="D1240" s="4">
        <v>0</v>
      </c>
      <c r="E1240" s="4">
        <v>25</v>
      </c>
      <c r="F1240" s="4">
        <v>30</v>
      </c>
      <c r="G1240" s="4">
        <v>20</v>
      </c>
      <c r="H1240" s="4">
        <v>20</v>
      </c>
      <c r="I1240" s="4">
        <v>20</v>
      </c>
      <c r="J1240" s="4">
        <v>0</v>
      </c>
      <c r="K1240" s="4">
        <v>0</v>
      </c>
      <c r="L1240" s="4">
        <v>15</v>
      </c>
      <c r="M1240" s="4">
        <v>40.700000000000003</v>
      </c>
    </row>
    <row r="1241" spans="1:13">
      <c r="A1241" s="3" t="s">
        <v>1786</v>
      </c>
      <c r="B1241" s="4">
        <v>70</v>
      </c>
      <c r="C1241" s="4">
        <v>75</v>
      </c>
      <c r="D1241" s="4">
        <v>110</v>
      </c>
      <c r="E1241" s="4">
        <v>80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</row>
    <row r="1242" spans="1:13">
      <c r="A1242" s="3" t="s">
        <v>1787</v>
      </c>
      <c r="B1242" s="4">
        <v>0</v>
      </c>
      <c r="C1242" s="4">
        <v>0</v>
      </c>
      <c r="D1242" s="4">
        <v>10</v>
      </c>
      <c r="E1242" s="4">
        <v>15</v>
      </c>
      <c r="F1242" s="4">
        <v>20</v>
      </c>
      <c r="G1242" s="4">
        <v>0</v>
      </c>
      <c r="H1242" s="4">
        <v>0</v>
      </c>
      <c r="I1242" s="4">
        <v>10</v>
      </c>
      <c r="J1242" s="4">
        <v>10</v>
      </c>
      <c r="K1242" s="4">
        <v>0</v>
      </c>
      <c r="L1242" s="4">
        <v>5</v>
      </c>
      <c r="M1242" s="4">
        <v>40</v>
      </c>
    </row>
    <row r="1243" spans="1:13">
      <c r="A1243" s="3" t="s">
        <v>1788</v>
      </c>
      <c r="B1243" s="4">
        <v>20</v>
      </c>
      <c r="C1243" s="4">
        <v>43</v>
      </c>
      <c r="D1243" s="4">
        <v>47</v>
      </c>
      <c r="E1243" s="4">
        <v>40</v>
      </c>
      <c r="F1243" s="4">
        <v>50.5</v>
      </c>
      <c r="G1243" s="4">
        <v>20</v>
      </c>
      <c r="H1243" s="4">
        <v>40</v>
      </c>
      <c r="I1243" s="4">
        <v>65</v>
      </c>
      <c r="J1243" s="4">
        <v>27.5</v>
      </c>
      <c r="K1243" s="4">
        <v>30</v>
      </c>
      <c r="L1243" s="4">
        <v>7.5</v>
      </c>
      <c r="M1243" s="4">
        <v>32.5</v>
      </c>
    </row>
    <row r="1244" spans="1:13">
      <c r="A1244" s="3" t="s">
        <v>1789</v>
      </c>
      <c r="B1244" s="4">
        <v>133.55000000000001</v>
      </c>
      <c r="C1244" s="4">
        <v>149</v>
      </c>
      <c r="D1244" s="4">
        <v>137</v>
      </c>
      <c r="E1244" s="4">
        <v>135</v>
      </c>
      <c r="F1244" s="4">
        <v>50</v>
      </c>
      <c r="G1244" s="4">
        <v>131.5</v>
      </c>
      <c r="H1244" s="4">
        <v>86</v>
      </c>
      <c r="I1244" s="4">
        <v>104</v>
      </c>
      <c r="J1244" s="4">
        <v>121.25</v>
      </c>
      <c r="K1244" s="4">
        <v>35</v>
      </c>
      <c r="L1244" s="4">
        <v>52.5</v>
      </c>
      <c r="M1244" s="4">
        <v>65</v>
      </c>
    </row>
    <row r="1245" spans="1:13">
      <c r="A1245" s="3" t="s">
        <v>1790</v>
      </c>
      <c r="B1245" s="4">
        <v>0</v>
      </c>
      <c r="C1245" s="4">
        <v>7.5</v>
      </c>
      <c r="D1245" s="4">
        <v>20</v>
      </c>
      <c r="E1245" s="4">
        <v>7.5</v>
      </c>
      <c r="F1245" s="4">
        <v>24</v>
      </c>
      <c r="G1245" s="4">
        <v>15</v>
      </c>
      <c r="H1245" s="4">
        <v>30</v>
      </c>
      <c r="I1245" s="4">
        <v>15</v>
      </c>
      <c r="J1245" s="4">
        <v>7.5</v>
      </c>
      <c r="K1245" s="4">
        <v>15</v>
      </c>
      <c r="L1245" s="4">
        <v>0</v>
      </c>
      <c r="M1245" s="4">
        <v>0</v>
      </c>
    </row>
    <row r="1246" spans="1:13">
      <c r="A1246" s="3" t="s">
        <v>1791</v>
      </c>
      <c r="B1246" s="4">
        <v>10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</row>
    <row r="1247" spans="1:13">
      <c r="A1247" s="3" t="s">
        <v>1792</v>
      </c>
      <c r="B1247" s="4">
        <v>43</v>
      </c>
      <c r="C1247" s="4">
        <v>40</v>
      </c>
      <c r="D1247" s="4">
        <v>10</v>
      </c>
      <c r="E1247" s="4">
        <v>80</v>
      </c>
      <c r="F1247" s="4">
        <v>121</v>
      </c>
      <c r="G1247" s="4">
        <v>76.5</v>
      </c>
      <c r="H1247" s="4">
        <v>68.5</v>
      </c>
      <c r="I1247" s="4">
        <v>8</v>
      </c>
      <c r="J1247" s="4">
        <v>36</v>
      </c>
      <c r="K1247" s="4">
        <v>77</v>
      </c>
      <c r="L1247" s="4">
        <v>69</v>
      </c>
      <c r="M1247" s="4">
        <v>85</v>
      </c>
    </row>
    <row r="1248" spans="1:13">
      <c r="A1248" s="3" t="s">
        <v>1793</v>
      </c>
      <c r="B1248" s="4">
        <v>0</v>
      </c>
      <c r="C1248" s="4">
        <v>4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</row>
    <row r="1249" spans="1:13">
      <c r="A1249" s="3" t="s">
        <v>1794</v>
      </c>
      <c r="B1249" s="4">
        <v>25</v>
      </c>
      <c r="C1249" s="4">
        <v>5</v>
      </c>
      <c r="D1249" s="4">
        <v>15</v>
      </c>
      <c r="E1249" s="4">
        <v>15</v>
      </c>
      <c r="F1249" s="4">
        <v>20</v>
      </c>
      <c r="G1249" s="4">
        <v>22.5</v>
      </c>
      <c r="H1249" s="4">
        <v>15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</row>
    <row r="1250" spans="1:13">
      <c r="A1250" s="3" t="s">
        <v>1795</v>
      </c>
      <c r="B1250" s="4">
        <v>31</v>
      </c>
      <c r="C1250" s="4">
        <v>25</v>
      </c>
      <c r="D1250" s="4">
        <v>50</v>
      </c>
      <c r="E1250" s="4">
        <v>30</v>
      </c>
      <c r="F1250" s="4">
        <v>30</v>
      </c>
      <c r="G1250" s="4">
        <v>20</v>
      </c>
      <c r="H1250" s="4">
        <v>50</v>
      </c>
      <c r="I1250" s="4">
        <v>21</v>
      </c>
      <c r="J1250" s="4">
        <v>36</v>
      </c>
      <c r="K1250" s="4">
        <v>50</v>
      </c>
      <c r="L1250" s="4">
        <v>30</v>
      </c>
      <c r="M1250" s="4">
        <v>90</v>
      </c>
    </row>
    <row r="1251" spans="1:13">
      <c r="A1251" s="3" t="s">
        <v>1796</v>
      </c>
      <c r="B1251" s="4">
        <v>0</v>
      </c>
      <c r="C1251" s="4">
        <v>0</v>
      </c>
      <c r="D1251" s="4">
        <v>0</v>
      </c>
      <c r="E1251" s="4">
        <v>23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</row>
    <row r="1252" spans="1:13">
      <c r="A1252" s="3" t="s">
        <v>1797</v>
      </c>
      <c r="B1252" s="4">
        <v>124.5</v>
      </c>
      <c r="C1252" s="4">
        <v>113</v>
      </c>
      <c r="D1252" s="4">
        <v>92</v>
      </c>
      <c r="E1252" s="4">
        <v>0</v>
      </c>
      <c r="F1252" s="4">
        <v>0</v>
      </c>
      <c r="G1252" s="4">
        <v>45</v>
      </c>
      <c r="H1252" s="4">
        <v>65</v>
      </c>
      <c r="I1252" s="4">
        <v>70</v>
      </c>
      <c r="J1252" s="4">
        <v>45</v>
      </c>
      <c r="K1252" s="4">
        <v>40</v>
      </c>
      <c r="L1252" s="4">
        <v>0</v>
      </c>
      <c r="M1252" s="4">
        <v>45</v>
      </c>
    </row>
    <row r="1253" spans="1:13">
      <c r="A1253" s="3" t="s">
        <v>1798</v>
      </c>
      <c r="B1253" s="4">
        <v>0</v>
      </c>
      <c r="C1253" s="4">
        <v>0</v>
      </c>
      <c r="D1253" s="4">
        <v>0</v>
      </c>
      <c r="E1253" s="4">
        <v>10</v>
      </c>
      <c r="F1253" s="4">
        <v>15</v>
      </c>
      <c r="G1253" s="4">
        <v>0</v>
      </c>
      <c r="H1253" s="4">
        <v>40</v>
      </c>
      <c r="I1253" s="4">
        <v>68</v>
      </c>
      <c r="J1253" s="4">
        <v>50</v>
      </c>
      <c r="K1253" s="4">
        <v>25</v>
      </c>
      <c r="L1253" s="4">
        <v>82</v>
      </c>
      <c r="M1253" s="4">
        <v>55</v>
      </c>
    </row>
    <row r="1254" spans="1:13">
      <c r="A1254" s="3" t="s">
        <v>1799</v>
      </c>
      <c r="B1254" s="4">
        <v>36.5</v>
      </c>
      <c r="C1254" s="4">
        <v>42</v>
      </c>
      <c r="D1254" s="4">
        <v>50</v>
      </c>
      <c r="E1254" s="4">
        <v>62.5</v>
      </c>
      <c r="F1254" s="4">
        <v>37.5</v>
      </c>
      <c r="G1254" s="4">
        <v>50</v>
      </c>
      <c r="H1254" s="4">
        <v>35</v>
      </c>
      <c r="I1254" s="4">
        <v>34</v>
      </c>
      <c r="J1254" s="4">
        <v>70</v>
      </c>
      <c r="K1254" s="4">
        <v>65</v>
      </c>
      <c r="L1254" s="4">
        <v>47.5</v>
      </c>
      <c r="M1254" s="4">
        <v>132.25</v>
      </c>
    </row>
    <row r="1255" spans="1:13">
      <c r="A1255" s="3" t="s">
        <v>1800</v>
      </c>
      <c r="B1255" s="4">
        <v>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20</v>
      </c>
      <c r="K1255" s="4">
        <v>39.5</v>
      </c>
      <c r="L1255" s="4">
        <v>20.5</v>
      </c>
      <c r="M1255" s="4">
        <v>17.5</v>
      </c>
    </row>
    <row r="1256" spans="1:13">
      <c r="A1256" s="3" t="s">
        <v>1801</v>
      </c>
      <c r="B1256" s="4">
        <v>43.5</v>
      </c>
      <c r="C1256" s="4">
        <v>59.5</v>
      </c>
      <c r="D1256" s="4">
        <v>57</v>
      </c>
      <c r="E1256" s="4">
        <v>31.5</v>
      </c>
      <c r="F1256" s="4">
        <v>55</v>
      </c>
      <c r="G1256" s="4">
        <v>17.5</v>
      </c>
      <c r="H1256" s="4">
        <v>25</v>
      </c>
      <c r="I1256" s="4">
        <v>0</v>
      </c>
      <c r="J1256" s="4">
        <v>41.5</v>
      </c>
      <c r="K1256" s="4">
        <v>63</v>
      </c>
      <c r="L1256" s="4">
        <v>60</v>
      </c>
      <c r="M1256" s="4">
        <v>50</v>
      </c>
    </row>
    <row r="1257" spans="1:13">
      <c r="A1257" s="3" t="s">
        <v>1802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11</v>
      </c>
    </row>
    <row r="1258" spans="1:13">
      <c r="A1258" s="3" t="s">
        <v>1803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15</v>
      </c>
      <c r="K1258" s="4">
        <v>41.5</v>
      </c>
      <c r="L1258" s="4">
        <v>65</v>
      </c>
      <c r="M1258" s="4">
        <v>70</v>
      </c>
    </row>
    <row r="1259" spans="1:13">
      <c r="A1259" s="3" t="s">
        <v>1804</v>
      </c>
      <c r="B1259" s="4">
        <v>10</v>
      </c>
      <c r="C1259" s="4">
        <v>20</v>
      </c>
      <c r="D1259" s="4">
        <v>15</v>
      </c>
      <c r="E1259" s="4">
        <v>40</v>
      </c>
      <c r="F1259" s="4">
        <v>20</v>
      </c>
      <c r="G1259" s="4">
        <v>0</v>
      </c>
      <c r="H1259" s="4">
        <v>0</v>
      </c>
      <c r="I1259" s="4">
        <v>0</v>
      </c>
      <c r="J1259" s="4">
        <v>20</v>
      </c>
      <c r="K1259" s="4">
        <v>0</v>
      </c>
      <c r="L1259" s="4">
        <v>0</v>
      </c>
      <c r="M1259" s="4">
        <v>0</v>
      </c>
    </row>
    <row r="1260" spans="1:13">
      <c r="A1260" s="3" t="s">
        <v>1805</v>
      </c>
      <c r="B1260" s="4">
        <v>167</v>
      </c>
      <c r="C1260" s="4">
        <v>80</v>
      </c>
      <c r="D1260" s="4">
        <v>155</v>
      </c>
      <c r="E1260" s="4">
        <v>111</v>
      </c>
      <c r="F1260" s="4">
        <v>90</v>
      </c>
      <c r="G1260" s="4">
        <v>184.5</v>
      </c>
      <c r="H1260" s="4">
        <v>94.5</v>
      </c>
      <c r="I1260" s="4">
        <v>63.9</v>
      </c>
      <c r="J1260" s="4">
        <v>151</v>
      </c>
      <c r="K1260" s="4">
        <v>133.5</v>
      </c>
      <c r="L1260" s="4">
        <v>117</v>
      </c>
      <c r="M1260" s="4">
        <v>46.5</v>
      </c>
    </row>
    <row r="1261" spans="1:13">
      <c r="A1261" s="3" t="s">
        <v>1806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10</v>
      </c>
      <c r="K1261" s="4">
        <v>0</v>
      </c>
      <c r="L1261" s="4">
        <v>0</v>
      </c>
      <c r="M1261" s="4">
        <v>0</v>
      </c>
    </row>
    <row r="1262" spans="1:13">
      <c r="A1262" s="3" t="s">
        <v>1807</v>
      </c>
      <c r="B1262" s="4">
        <v>17.5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</row>
    <row r="1263" spans="1:13">
      <c r="A1263" s="3" t="s">
        <v>1808</v>
      </c>
      <c r="B1263" s="4">
        <v>0</v>
      </c>
      <c r="C1263" s="4">
        <v>20</v>
      </c>
      <c r="D1263" s="4">
        <v>27.5</v>
      </c>
      <c r="E1263" s="4">
        <v>17</v>
      </c>
      <c r="F1263" s="4">
        <v>34.1</v>
      </c>
      <c r="G1263" s="4">
        <v>52.85</v>
      </c>
      <c r="H1263" s="4">
        <v>17.5</v>
      </c>
      <c r="I1263" s="4">
        <v>35</v>
      </c>
      <c r="J1263" s="4">
        <v>61.5</v>
      </c>
      <c r="K1263" s="4">
        <v>9</v>
      </c>
      <c r="L1263" s="4">
        <v>0</v>
      </c>
      <c r="M1263" s="4">
        <v>0</v>
      </c>
    </row>
    <row r="1264" spans="1:13">
      <c r="A1264" s="3" t="s">
        <v>1809</v>
      </c>
      <c r="B1264" s="4">
        <v>45</v>
      </c>
      <c r="C1264" s="4">
        <v>105</v>
      </c>
      <c r="D1264" s="4">
        <v>55</v>
      </c>
      <c r="E1264" s="4">
        <v>45</v>
      </c>
      <c r="F1264" s="4">
        <v>70</v>
      </c>
      <c r="G1264" s="4">
        <v>25</v>
      </c>
      <c r="H1264" s="4">
        <v>30</v>
      </c>
      <c r="I1264" s="4">
        <v>15</v>
      </c>
      <c r="J1264" s="4">
        <v>85</v>
      </c>
      <c r="K1264" s="4">
        <v>70</v>
      </c>
      <c r="L1264" s="4">
        <v>95</v>
      </c>
      <c r="M1264" s="4">
        <v>166</v>
      </c>
    </row>
    <row r="1265" spans="1:13">
      <c r="A1265" s="3" t="s">
        <v>1810</v>
      </c>
      <c r="B1265" s="4">
        <v>50.75</v>
      </c>
      <c r="C1265" s="4">
        <v>20</v>
      </c>
      <c r="D1265" s="4">
        <v>182.5</v>
      </c>
      <c r="E1265" s="4">
        <v>52.25</v>
      </c>
      <c r="F1265" s="4">
        <v>63</v>
      </c>
      <c r="G1265" s="4">
        <v>71.650000000000006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</row>
    <row r="1266" spans="1:13">
      <c r="A1266" s="3" t="s">
        <v>1811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5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</row>
    <row r="1267" spans="1:13">
      <c r="A1267" s="3" t="s">
        <v>1812</v>
      </c>
      <c r="B1267" s="4">
        <v>20</v>
      </c>
      <c r="C1267" s="4">
        <v>70</v>
      </c>
      <c r="D1267" s="4">
        <v>40</v>
      </c>
      <c r="E1267" s="4">
        <v>30</v>
      </c>
      <c r="F1267" s="4">
        <v>20</v>
      </c>
      <c r="G1267" s="4">
        <v>40</v>
      </c>
      <c r="H1267" s="4">
        <v>0</v>
      </c>
      <c r="I1267" s="4">
        <v>0</v>
      </c>
      <c r="J1267" s="4">
        <v>40</v>
      </c>
      <c r="K1267" s="4">
        <v>61</v>
      </c>
      <c r="L1267" s="4">
        <v>55</v>
      </c>
      <c r="M1267" s="4">
        <v>90.55</v>
      </c>
    </row>
    <row r="1268" spans="1:13">
      <c r="A1268" s="3" t="s">
        <v>1813</v>
      </c>
      <c r="B1268" s="4">
        <v>70</v>
      </c>
      <c r="C1268" s="4">
        <v>105</v>
      </c>
      <c r="D1268" s="4">
        <v>60</v>
      </c>
      <c r="E1268" s="4">
        <v>0</v>
      </c>
      <c r="F1268" s="4">
        <v>35</v>
      </c>
      <c r="G1268" s="4">
        <v>35</v>
      </c>
      <c r="H1268" s="4">
        <v>71</v>
      </c>
      <c r="I1268" s="4">
        <v>0</v>
      </c>
      <c r="J1268" s="4">
        <v>65</v>
      </c>
      <c r="K1268" s="4">
        <v>40</v>
      </c>
      <c r="L1268" s="4">
        <v>20</v>
      </c>
      <c r="M1268" s="4">
        <v>99</v>
      </c>
    </row>
    <row r="1269" spans="1:13">
      <c r="A1269" s="3" t="s">
        <v>1814</v>
      </c>
      <c r="B1269" s="4">
        <v>35</v>
      </c>
      <c r="C1269" s="4">
        <v>44</v>
      </c>
      <c r="D1269" s="4">
        <v>40</v>
      </c>
      <c r="E1269" s="4">
        <v>0</v>
      </c>
      <c r="F1269" s="4">
        <v>0</v>
      </c>
      <c r="G1269" s="4">
        <v>65</v>
      </c>
      <c r="H1269" s="4">
        <v>0</v>
      </c>
      <c r="I1269" s="4">
        <v>0</v>
      </c>
      <c r="J1269" s="4">
        <v>0</v>
      </c>
      <c r="K1269" s="4">
        <v>40</v>
      </c>
      <c r="L1269" s="4">
        <v>80</v>
      </c>
      <c r="M1269" s="4">
        <v>25</v>
      </c>
    </row>
    <row r="1270" spans="1:13">
      <c r="A1270" s="3" t="s">
        <v>1815</v>
      </c>
      <c r="B1270" s="4">
        <v>10</v>
      </c>
      <c r="C1270" s="4">
        <v>0</v>
      </c>
      <c r="D1270" s="4">
        <v>0</v>
      </c>
      <c r="E1270" s="4">
        <v>20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10</v>
      </c>
      <c r="L1270" s="4">
        <v>0</v>
      </c>
      <c r="M1270" s="4">
        <v>5</v>
      </c>
    </row>
    <row r="1271" spans="1:13">
      <c r="A1271" s="3" t="s">
        <v>1816</v>
      </c>
      <c r="B1271" s="4">
        <v>25</v>
      </c>
      <c r="C1271" s="4">
        <v>45</v>
      </c>
      <c r="D1271" s="4">
        <v>37</v>
      </c>
      <c r="E1271" s="4">
        <v>0</v>
      </c>
      <c r="F1271" s="4">
        <v>15</v>
      </c>
      <c r="G1271" s="4">
        <v>20</v>
      </c>
      <c r="H1271" s="4">
        <v>0</v>
      </c>
      <c r="I1271" s="4">
        <v>10</v>
      </c>
      <c r="J1271" s="4">
        <v>15</v>
      </c>
      <c r="K1271" s="4">
        <v>10</v>
      </c>
      <c r="L1271" s="4">
        <v>31</v>
      </c>
      <c r="M1271" s="4">
        <v>0</v>
      </c>
    </row>
    <row r="1272" spans="1:13">
      <c r="A1272" s="3" t="s">
        <v>1817</v>
      </c>
      <c r="B1272" s="4">
        <v>63</v>
      </c>
      <c r="C1272" s="4">
        <v>60</v>
      </c>
      <c r="D1272" s="4">
        <v>16.5</v>
      </c>
      <c r="E1272" s="4">
        <v>20</v>
      </c>
      <c r="F1272" s="4">
        <v>51</v>
      </c>
      <c r="G1272" s="4">
        <v>14</v>
      </c>
      <c r="H1272" s="4">
        <v>15</v>
      </c>
      <c r="I1272" s="4">
        <v>10</v>
      </c>
      <c r="J1272" s="4">
        <v>1</v>
      </c>
      <c r="K1272" s="4">
        <v>35</v>
      </c>
      <c r="L1272" s="4">
        <v>21</v>
      </c>
      <c r="M1272" s="4">
        <v>98.75</v>
      </c>
    </row>
    <row r="1273" spans="1:13">
      <c r="A1273" s="3" t="s">
        <v>1818</v>
      </c>
      <c r="B1273" s="4">
        <v>0</v>
      </c>
      <c r="C1273" s="4">
        <v>0</v>
      </c>
      <c r="D1273" s="4">
        <v>0</v>
      </c>
      <c r="E1273" s="4">
        <v>0</v>
      </c>
      <c r="F1273" s="4">
        <v>102.5</v>
      </c>
      <c r="G1273" s="4">
        <v>310</v>
      </c>
      <c r="H1273" s="4">
        <v>0</v>
      </c>
      <c r="I1273" s="4">
        <v>25</v>
      </c>
      <c r="J1273" s="4">
        <v>77.5</v>
      </c>
      <c r="K1273" s="4">
        <v>115</v>
      </c>
      <c r="L1273" s="4">
        <v>0</v>
      </c>
      <c r="M1273" s="4">
        <v>0</v>
      </c>
    </row>
    <row r="1274" spans="1:13">
      <c r="A1274" s="3" t="s">
        <v>1819</v>
      </c>
      <c r="B1274" s="4">
        <v>73</v>
      </c>
      <c r="C1274" s="4">
        <v>89</v>
      </c>
      <c r="D1274" s="4">
        <v>61.5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</row>
    <row r="1275" spans="1:13">
      <c r="A1275" s="3" t="s">
        <v>1820</v>
      </c>
      <c r="B1275" s="4">
        <v>31</v>
      </c>
      <c r="C1275" s="4">
        <v>30</v>
      </c>
      <c r="D1275" s="4">
        <v>0</v>
      </c>
      <c r="E1275" s="4">
        <v>15</v>
      </c>
      <c r="F1275" s="4">
        <v>22.5</v>
      </c>
      <c r="G1275" s="4">
        <v>0</v>
      </c>
      <c r="H1275" s="4">
        <v>10</v>
      </c>
      <c r="I1275" s="4">
        <v>0</v>
      </c>
      <c r="J1275" s="4">
        <v>10</v>
      </c>
      <c r="K1275" s="4">
        <v>0</v>
      </c>
      <c r="L1275" s="4">
        <v>0</v>
      </c>
      <c r="M1275" s="4">
        <v>0</v>
      </c>
    </row>
    <row r="1276" spans="1:13">
      <c r="A1276" s="3" t="s">
        <v>1821</v>
      </c>
      <c r="B1276" s="4">
        <v>1.3</v>
      </c>
      <c r="C1276" s="4">
        <v>0</v>
      </c>
      <c r="D1276" s="4">
        <v>0</v>
      </c>
      <c r="E1276" s="4">
        <v>21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</row>
    <row r="1277" spans="1:13">
      <c r="A1277" s="3" t="s">
        <v>1822</v>
      </c>
      <c r="B1277" s="4">
        <v>89.5</v>
      </c>
      <c r="C1277" s="4">
        <v>61</v>
      </c>
      <c r="D1277" s="4">
        <v>66</v>
      </c>
      <c r="E1277" s="4">
        <v>38</v>
      </c>
      <c r="F1277" s="4">
        <v>56.75</v>
      </c>
      <c r="G1277" s="4">
        <v>10</v>
      </c>
      <c r="H1277" s="4">
        <v>0</v>
      </c>
      <c r="I1277" s="4">
        <v>0</v>
      </c>
      <c r="J1277" s="4">
        <v>21</v>
      </c>
      <c r="K1277" s="4">
        <v>35.5</v>
      </c>
      <c r="L1277" s="4">
        <v>26</v>
      </c>
      <c r="M1277" s="4">
        <v>15</v>
      </c>
    </row>
    <row r="1278" spans="1:13">
      <c r="A1278" s="3" t="s">
        <v>1823</v>
      </c>
      <c r="B1278" s="4">
        <v>20</v>
      </c>
      <c r="C1278" s="4">
        <v>10</v>
      </c>
      <c r="D1278" s="4">
        <v>312</v>
      </c>
      <c r="E1278" s="4">
        <v>3</v>
      </c>
      <c r="F1278" s="4">
        <v>33</v>
      </c>
      <c r="G1278" s="4">
        <v>1</v>
      </c>
      <c r="H1278" s="4">
        <v>135</v>
      </c>
      <c r="I1278" s="4">
        <v>0</v>
      </c>
      <c r="J1278" s="4">
        <v>55</v>
      </c>
      <c r="K1278" s="4">
        <v>0</v>
      </c>
      <c r="L1278" s="4">
        <v>0</v>
      </c>
      <c r="M1278" s="4">
        <v>31</v>
      </c>
    </row>
    <row r="1279" spans="1:13">
      <c r="A1279" s="3" t="s">
        <v>1824</v>
      </c>
      <c r="B1279" s="4">
        <v>110.5</v>
      </c>
      <c r="C1279" s="4">
        <v>50</v>
      </c>
      <c r="D1279" s="4">
        <v>65.5</v>
      </c>
      <c r="E1279" s="4">
        <v>71.849999999999994</v>
      </c>
      <c r="F1279" s="4">
        <v>104</v>
      </c>
      <c r="G1279" s="4">
        <v>60</v>
      </c>
      <c r="H1279" s="4">
        <v>38</v>
      </c>
      <c r="I1279" s="4">
        <v>52</v>
      </c>
      <c r="J1279" s="4">
        <v>41</v>
      </c>
      <c r="K1279" s="4">
        <v>66.5</v>
      </c>
      <c r="L1279" s="4">
        <v>134</v>
      </c>
      <c r="M1279" s="4">
        <v>199.5</v>
      </c>
    </row>
    <row r="1280" spans="1:13">
      <c r="A1280" s="3" t="s">
        <v>1825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103</v>
      </c>
      <c r="K1280" s="4">
        <v>153</v>
      </c>
      <c r="L1280" s="4">
        <v>101</v>
      </c>
      <c r="M1280" s="4">
        <v>101</v>
      </c>
    </row>
    <row r="1281" spans="1:13">
      <c r="A1281" s="3" t="s">
        <v>1826</v>
      </c>
      <c r="B1281" s="4">
        <v>30</v>
      </c>
      <c r="C1281" s="4">
        <v>15</v>
      </c>
      <c r="D1281" s="4">
        <v>15</v>
      </c>
      <c r="E1281" s="4">
        <v>21</v>
      </c>
      <c r="F1281" s="4">
        <v>43.5</v>
      </c>
      <c r="G1281" s="4">
        <v>15.5</v>
      </c>
      <c r="H1281" s="4">
        <v>20</v>
      </c>
      <c r="I1281" s="4">
        <v>20</v>
      </c>
      <c r="J1281" s="4">
        <v>42.5</v>
      </c>
      <c r="K1281" s="4">
        <v>43</v>
      </c>
      <c r="L1281" s="4">
        <v>41</v>
      </c>
      <c r="M1281" s="4">
        <v>100</v>
      </c>
    </row>
    <row r="1282" spans="1:13">
      <c r="A1282" s="3" t="s">
        <v>1827</v>
      </c>
      <c r="B1282" s="4">
        <v>0</v>
      </c>
      <c r="C1282" s="4">
        <v>15</v>
      </c>
      <c r="D1282" s="4">
        <v>20</v>
      </c>
      <c r="E1282" s="4">
        <v>0</v>
      </c>
      <c r="F1282" s="4">
        <v>15</v>
      </c>
      <c r="G1282" s="4">
        <v>0</v>
      </c>
      <c r="H1282" s="4">
        <v>0</v>
      </c>
      <c r="I1282" s="4">
        <v>0</v>
      </c>
      <c r="J1282" s="4">
        <v>10</v>
      </c>
      <c r="K1282" s="4">
        <v>15</v>
      </c>
      <c r="L1282" s="4">
        <v>17.5</v>
      </c>
      <c r="M1282" s="4">
        <v>17</v>
      </c>
    </row>
    <row r="1283" spans="1:13">
      <c r="A1283" s="3" t="s">
        <v>1828</v>
      </c>
      <c r="B1283" s="4">
        <v>0</v>
      </c>
      <c r="C1283" s="4">
        <v>35</v>
      </c>
      <c r="D1283" s="4">
        <v>122.5</v>
      </c>
      <c r="E1283" s="4">
        <v>90</v>
      </c>
      <c r="F1283" s="4">
        <v>20</v>
      </c>
      <c r="G1283" s="4">
        <v>25</v>
      </c>
      <c r="H1283" s="4">
        <v>40</v>
      </c>
      <c r="I1283" s="4">
        <v>69.5</v>
      </c>
      <c r="J1283" s="4">
        <v>30</v>
      </c>
      <c r="K1283" s="4">
        <v>5</v>
      </c>
      <c r="L1283" s="4">
        <v>29.5</v>
      </c>
      <c r="M1283" s="4">
        <v>140</v>
      </c>
    </row>
    <row r="1284" spans="1:13">
      <c r="A1284" s="3" t="s">
        <v>1829</v>
      </c>
      <c r="B1284" s="4">
        <v>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5</v>
      </c>
      <c r="M1284" s="4">
        <v>0</v>
      </c>
    </row>
    <row r="1285" spans="1:13">
      <c r="A1285" s="3" t="s">
        <v>1830</v>
      </c>
      <c r="B1285" s="4">
        <v>40</v>
      </c>
      <c r="C1285" s="4">
        <v>10</v>
      </c>
      <c r="D1285" s="4">
        <v>40</v>
      </c>
      <c r="E1285" s="4">
        <v>80</v>
      </c>
      <c r="F1285" s="4">
        <v>155</v>
      </c>
      <c r="G1285" s="4">
        <v>71</v>
      </c>
      <c r="H1285" s="4">
        <v>30</v>
      </c>
      <c r="I1285" s="4">
        <v>30</v>
      </c>
      <c r="J1285" s="4">
        <v>0</v>
      </c>
      <c r="K1285" s="4">
        <v>0</v>
      </c>
      <c r="L1285" s="4">
        <v>0</v>
      </c>
      <c r="M1285" s="4">
        <v>0</v>
      </c>
    </row>
    <row r="1286" spans="1:13">
      <c r="A1286" s="3" t="s">
        <v>1831</v>
      </c>
      <c r="B1286" s="4">
        <v>52.5</v>
      </c>
      <c r="C1286" s="4">
        <v>77.5</v>
      </c>
      <c r="D1286" s="4">
        <v>78</v>
      </c>
      <c r="E1286" s="4">
        <v>85</v>
      </c>
      <c r="F1286" s="4">
        <v>40.5</v>
      </c>
      <c r="G1286" s="4">
        <v>7.5</v>
      </c>
      <c r="H1286" s="4">
        <v>0</v>
      </c>
      <c r="I1286" s="4">
        <v>45</v>
      </c>
      <c r="J1286" s="4">
        <v>25</v>
      </c>
      <c r="K1286" s="4">
        <v>26.5</v>
      </c>
      <c r="L1286" s="4">
        <v>20</v>
      </c>
      <c r="M1286" s="4">
        <v>41</v>
      </c>
    </row>
    <row r="1287" spans="1:13">
      <c r="A1287" s="3" t="s">
        <v>1832</v>
      </c>
      <c r="B1287" s="4">
        <v>20</v>
      </c>
      <c r="C1287" s="4">
        <v>20</v>
      </c>
      <c r="D1287" s="4">
        <v>0</v>
      </c>
      <c r="E1287" s="4">
        <v>0</v>
      </c>
      <c r="F1287" s="4">
        <v>12.95</v>
      </c>
      <c r="G1287" s="4">
        <v>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</row>
    <row r="1288" spans="1:13">
      <c r="A1288" s="3" t="s">
        <v>1833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15</v>
      </c>
    </row>
    <row r="1289" spans="1:13">
      <c r="A1289" s="3" t="s">
        <v>1834</v>
      </c>
      <c r="B1289" s="4">
        <v>13</v>
      </c>
      <c r="C1289" s="4">
        <v>0</v>
      </c>
      <c r="D1289" s="4">
        <v>10</v>
      </c>
      <c r="E1289" s="4">
        <v>10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</row>
    <row r="1290" spans="1:13">
      <c r="A1290" s="3" t="s">
        <v>1835</v>
      </c>
      <c r="B1290" s="4">
        <v>17.5</v>
      </c>
      <c r="C1290" s="4">
        <v>60</v>
      </c>
      <c r="D1290" s="4">
        <v>115</v>
      </c>
      <c r="E1290" s="4">
        <v>1</v>
      </c>
      <c r="F1290" s="4">
        <v>39.5</v>
      </c>
      <c r="G1290" s="4">
        <v>47</v>
      </c>
      <c r="H1290" s="4">
        <v>15</v>
      </c>
      <c r="I1290" s="4">
        <v>29.75</v>
      </c>
      <c r="J1290" s="4">
        <v>160.44999999999999</v>
      </c>
      <c r="K1290" s="4">
        <v>174</v>
      </c>
      <c r="L1290" s="4">
        <v>92</v>
      </c>
      <c r="M1290" s="4">
        <v>176.75</v>
      </c>
    </row>
    <row r="1291" spans="1:13">
      <c r="A1291" s="3" t="s">
        <v>1836</v>
      </c>
      <c r="B1291" s="4">
        <v>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105</v>
      </c>
      <c r="L1291" s="4">
        <v>32</v>
      </c>
      <c r="M1291" s="4">
        <v>42</v>
      </c>
    </row>
    <row r="1292" spans="1:13">
      <c r="A1292" s="3" t="s">
        <v>1837</v>
      </c>
      <c r="B1292" s="4">
        <v>0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25</v>
      </c>
      <c r="M1292" s="4">
        <v>0</v>
      </c>
    </row>
    <row r="1293" spans="1:13">
      <c r="A1293" s="3" t="s">
        <v>1838</v>
      </c>
      <c r="B1293" s="4">
        <v>0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34</v>
      </c>
      <c r="L1293" s="4">
        <v>0</v>
      </c>
      <c r="M1293" s="4">
        <v>0</v>
      </c>
    </row>
    <row r="1294" spans="1:13">
      <c r="A1294" s="3" t="s">
        <v>1839</v>
      </c>
      <c r="B1294" s="4">
        <v>147</v>
      </c>
      <c r="C1294" s="4">
        <v>126</v>
      </c>
      <c r="D1294" s="4">
        <v>146.5</v>
      </c>
      <c r="E1294" s="4">
        <v>154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</row>
    <row r="1295" spans="1:13">
      <c r="A1295" s="3" t="s">
        <v>1840</v>
      </c>
      <c r="B1295" s="4">
        <v>0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20</v>
      </c>
      <c r="L1295" s="4">
        <v>0</v>
      </c>
      <c r="M1295" s="4">
        <v>20</v>
      </c>
    </row>
    <row r="1296" spans="1:13">
      <c r="A1296" s="3" t="s">
        <v>1841</v>
      </c>
      <c r="B1296" s="4">
        <v>11.5</v>
      </c>
      <c r="C1296" s="4">
        <v>30</v>
      </c>
      <c r="D1296" s="4">
        <v>39</v>
      </c>
      <c r="E1296" s="4">
        <v>7</v>
      </c>
      <c r="F1296" s="4">
        <v>1</v>
      </c>
      <c r="G1296" s="4">
        <v>0</v>
      </c>
      <c r="H1296" s="4">
        <v>0</v>
      </c>
      <c r="I1296" s="4">
        <v>0</v>
      </c>
      <c r="J1296" s="4">
        <v>0</v>
      </c>
      <c r="K1296" s="4">
        <v>20</v>
      </c>
      <c r="L1296" s="4">
        <v>0</v>
      </c>
      <c r="M1296" s="4">
        <v>0</v>
      </c>
    </row>
    <row r="1297" spans="1:13">
      <c r="A1297" s="3" t="s">
        <v>1842</v>
      </c>
      <c r="B1297" s="4">
        <v>62.5</v>
      </c>
      <c r="C1297" s="4">
        <v>67.5</v>
      </c>
      <c r="D1297" s="4">
        <v>20</v>
      </c>
      <c r="E1297" s="4">
        <v>0</v>
      </c>
      <c r="F1297" s="4">
        <v>53</v>
      </c>
      <c r="G1297" s="4">
        <v>3</v>
      </c>
      <c r="H1297" s="4">
        <v>1</v>
      </c>
      <c r="I1297" s="4">
        <v>0</v>
      </c>
      <c r="J1297" s="4">
        <v>104</v>
      </c>
      <c r="K1297" s="4">
        <v>51</v>
      </c>
      <c r="L1297" s="4">
        <v>63</v>
      </c>
      <c r="M1297" s="4">
        <v>0</v>
      </c>
    </row>
    <row r="1298" spans="1:13">
      <c r="A1298" s="3" t="s">
        <v>1843</v>
      </c>
      <c r="B1298" s="4">
        <v>90.25</v>
      </c>
      <c r="C1298" s="4">
        <v>40</v>
      </c>
      <c r="D1298" s="4">
        <v>90</v>
      </c>
      <c r="E1298" s="4">
        <v>125</v>
      </c>
      <c r="F1298" s="4">
        <v>35</v>
      </c>
      <c r="G1298" s="4">
        <v>40</v>
      </c>
      <c r="H1298" s="4">
        <v>105</v>
      </c>
      <c r="I1298" s="4">
        <v>11</v>
      </c>
      <c r="J1298" s="4">
        <v>30</v>
      </c>
      <c r="K1298" s="4">
        <v>0</v>
      </c>
      <c r="L1298" s="4">
        <v>40</v>
      </c>
      <c r="M1298" s="4">
        <v>25</v>
      </c>
    </row>
    <row r="1299" spans="1:13">
      <c r="A1299" s="3" t="s">
        <v>1844</v>
      </c>
      <c r="B1299" s="4">
        <v>122.1</v>
      </c>
      <c r="C1299" s="4">
        <v>75</v>
      </c>
      <c r="D1299" s="4">
        <v>142</v>
      </c>
      <c r="E1299" s="4">
        <v>15</v>
      </c>
      <c r="F1299" s="4">
        <v>45</v>
      </c>
      <c r="G1299" s="4">
        <v>0</v>
      </c>
      <c r="H1299" s="4">
        <v>25</v>
      </c>
      <c r="I1299" s="4">
        <v>70</v>
      </c>
      <c r="J1299" s="4">
        <v>97</v>
      </c>
      <c r="K1299" s="4">
        <v>105</v>
      </c>
      <c r="L1299" s="4">
        <v>64</v>
      </c>
      <c r="M1299" s="4">
        <v>154</v>
      </c>
    </row>
    <row r="1300" spans="1:13">
      <c r="A1300" s="3" t="s">
        <v>1845</v>
      </c>
      <c r="B1300" s="4">
        <v>41</v>
      </c>
      <c r="C1300" s="4">
        <v>40.5</v>
      </c>
      <c r="D1300" s="4">
        <v>41.5</v>
      </c>
      <c r="E1300" s="4">
        <v>0</v>
      </c>
      <c r="F1300" s="4">
        <v>22.25</v>
      </c>
      <c r="G1300" s="4">
        <v>42.5</v>
      </c>
      <c r="H1300" s="4">
        <v>45</v>
      </c>
      <c r="I1300" s="4">
        <v>10.5</v>
      </c>
      <c r="J1300" s="4">
        <v>30</v>
      </c>
      <c r="K1300" s="4">
        <v>13.5</v>
      </c>
      <c r="L1300" s="4">
        <v>20</v>
      </c>
      <c r="M1300" s="4">
        <v>0</v>
      </c>
    </row>
    <row r="1301" spans="1:13">
      <c r="A1301" s="3" t="s">
        <v>1846</v>
      </c>
      <c r="B1301" s="4">
        <v>0</v>
      </c>
      <c r="C1301" s="4">
        <v>15</v>
      </c>
      <c r="D1301" s="4">
        <v>0</v>
      </c>
      <c r="E1301" s="4">
        <v>25</v>
      </c>
      <c r="F1301" s="4">
        <v>10</v>
      </c>
      <c r="G1301" s="4">
        <v>10</v>
      </c>
      <c r="H1301" s="4">
        <v>0</v>
      </c>
      <c r="I1301" s="4">
        <v>0</v>
      </c>
      <c r="J1301" s="4">
        <v>20</v>
      </c>
      <c r="K1301" s="4">
        <v>7.5</v>
      </c>
      <c r="L1301" s="4">
        <v>0</v>
      </c>
      <c r="M1301" s="4">
        <v>10</v>
      </c>
    </row>
    <row r="1302" spans="1:13">
      <c r="A1302" s="3" t="s">
        <v>1847</v>
      </c>
      <c r="B1302" s="4">
        <v>40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</row>
    <row r="1303" spans="1:13">
      <c r="A1303" s="3" t="s">
        <v>1848</v>
      </c>
      <c r="B1303" s="4">
        <v>0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26.2</v>
      </c>
      <c r="I1303" s="4">
        <v>9.75</v>
      </c>
      <c r="J1303" s="4">
        <v>10</v>
      </c>
      <c r="K1303" s="4">
        <v>0</v>
      </c>
      <c r="L1303" s="4">
        <v>0</v>
      </c>
      <c r="M1303" s="4">
        <v>0</v>
      </c>
    </row>
    <row r="1304" spans="1:13">
      <c r="A1304" s="3" t="s">
        <v>1849</v>
      </c>
      <c r="B1304" s="4">
        <v>18.25</v>
      </c>
      <c r="C1304" s="4">
        <v>26</v>
      </c>
      <c r="D1304" s="4">
        <v>0</v>
      </c>
      <c r="E1304" s="4">
        <v>0</v>
      </c>
      <c r="F1304" s="4">
        <v>0</v>
      </c>
      <c r="G1304" s="4">
        <v>0</v>
      </c>
      <c r="H1304" s="4">
        <v>39</v>
      </c>
      <c r="I1304" s="4">
        <v>20</v>
      </c>
      <c r="J1304" s="4">
        <v>40.5</v>
      </c>
      <c r="K1304" s="4">
        <v>25.5</v>
      </c>
      <c r="L1304" s="4">
        <v>30</v>
      </c>
      <c r="M1304" s="4">
        <v>101</v>
      </c>
    </row>
    <row r="1305" spans="1:13">
      <c r="A1305" s="3" t="s">
        <v>1850</v>
      </c>
      <c r="B1305" s="4">
        <v>50</v>
      </c>
      <c r="C1305" s="4">
        <v>20.5</v>
      </c>
      <c r="D1305" s="4">
        <v>12</v>
      </c>
      <c r="E1305" s="4">
        <v>34.5</v>
      </c>
      <c r="F1305" s="4">
        <v>12.5</v>
      </c>
      <c r="G1305" s="4">
        <v>7.5</v>
      </c>
      <c r="H1305" s="4">
        <v>7.5</v>
      </c>
      <c r="I1305" s="4">
        <v>12.5</v>
      </c>
      <c r="J1305" s="4">
        <v>2.5</v>
      </c>
      <c r="K1305" s="4">
        <v>17.5</v>
      </c>
      <c r="L1305" s="4">
        <v>10</v>
      </c>
      <c r="M1305" s="4">
        <v>5</v>
      </c>
    </row>
    <row r="1306" spans="1:13">
      <c r="A1306" s="3" t="s">
        <v>1851</v>
      </c>
      <c r="B1306" s="4">
        <v>55</v>
      </c>
      <c r="C1306" s="4">
        <v>0</v>
      </c>
      <c r="D1306" s="4">
        <v>0</v>
      </c>
      <c r="E1306" s="4">
        <v>7</v>
      </c>
      <c r="F1306" s="4">
        <v>0</v>
      </c>
      <c r="G1306" s="4">
        <v>0</v>
      </c>
      <c r="H1306" s="4">
        <v>0</v>
      </c>
      <c r="I1306" s="4">
        <v>0</v>
      </c>
      <c r="J1306" s="4">
        <v>5</v>
      </c>
      <c r="K1306" s="4">
        <v>0</v>
      </c>
      <c r="L1306" s="4">
        <v>0</v>
      </c>
      <c r="M1306" s="4">
        <v>0</v>
      </c>
    </row>
    <row r="1307" spans="1:13">
      <c r="A1307" s="3" t="s">
        <v>1852</v>
      </c>
      <c r="B1307" s="4">
        <v>30</v>
      </c>
      <c r="C1307" s="4">
        <v>35</v>
      </c>
      <c r="D1307" s="4">
        <v>30.5</v>
      </c>
      <c r="E1307" s="4">
        <v>22.5</v>
      </c>
      <c r="F1307" s="4">
        <v>5</v>
      </c>
      <c r="G1307" s="4">
        <v>5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</row>
    <row r="1308" spans="1:13">
      <c r="A1308" s="3" t="s">
        <v>1853</v>
      </c>
      <c r="B1308" s="4">
        <v>0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7.5</v>
      </c>
      <c r="I1308" s="4">
        <v>0</v>
      </c>
      <c r="J1308" s="4">
        <v>25.5</v>
      </c>
      <c r="K1308" s="4">
        <v>35</v>
      </c>
      <c r="L1308" s="4">
        <v>30</v>
      </c>
      <c r="M1308" s="4">
        <v>30</v>
      </c>
    </row>
    <row r="1309" spans="1:13">
      <c r="A1309" s="3" t="s">
        <v>1854</v>
      </c>
      <c r="B1309" s="4">
        <v>5</v>
      </c>
      <c r="C1309" s="4">
        <v>0</v>
      </c>
      <c r="D1309" s="4">
        <v>101.75</v>
      </c>
      <c r="E1309" s="4">
        <v>24.5</v>
      </c>
      <c r="F1309" s="4">
        <v>31</v>
      </c>
      <c r="G1309" s="4">
        <v>53</v>
      </c>
      <c r="H1309" s="4">
        <v>137</v>
      </c>
      <c r="I1309" s="4">
        <v>0</v>
      </c>
      <c r="J1309" s="4">
        <v>64.5</v>
      </c>
      <c r="K1309" s="4">
        <v>51</v>
      </c>
      <c r="L1309" s="4">
        <v>75</v>
      </c>
      <c r="M1309" s="4">
        <v>104.80000000000001</v>
      </c>
    </row>
    <row r="1310" spans="1:13">
      <c r="A1310" s="3" t="s">
        <v>1855</v>
      </c>
      <c r="B1310" s="4">
        <v>60.5</v>
      </c>
      <c r="C1310" s="4">
        <v>32.25</v>
      </c>
      <c r="D1310" s="4">
        <v>31.5</v>
      </c>
      <c r="E1310" s="4">
        <v>17</v>
      </c>
      <c r="F1310" s="4">
        <v>52.25</v>
      </c>
      <c r="G1310" s="4">
        <v>56.25</v>
      </c>
      <c r="H1310" s="4">
        <v>12</v>
      </c>
      <c r="I1310" s="4">
        <v>10</v>
      </c>
      <c r="J1310" s="4">
        <v>28</v>
      </c>
      <c r="K1310" s="4">
        <v>28.5</v>
      </c>
      <c r="L1310" s="4">
        <v>53.5</v>
      </c>
      <c r="M1310" s="4">
        <v>58</v>
      </c>
    </row>
    <row r="1311" spans="1:13">
      <c r="A1311" s="3" t="s">
        <v>1856</v>
      </c>
      <c r="B1311" s="4">
        <v>0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15</v>
      </c>
      <c r="K1311" s="4">
        <v>0</v>
      </c>
      <c r="L1311" s="4">
        <v>0</v>
      </c>
      <c r="M1311" s="4">
        <v>0</v>
      </c>
    </row>
    <row r="1312" spans="1:13">
      <c r="A1312" s="3" t="s">
        <v>1857</v>
      </c>
      <c r="B1312" s="4">
        <v>17.5</v>
      </c>
      <c r="C1312" s="4">
        <v>25</v>
      </c>
      <c r="D1312" s="4">
        <v>28</v>
      </c>
      <c r="E1312" s="4">
        <v>17.5</v>
      </c>
      <c r="F1312" s="4">
        <v>30</v>
      </c>
      <c r="G1312" s="4">
        <v>7.5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</row>
    <row r="1313" spans="1:13">
      <c r="A1313" s="3" t="s">
        <v>1858</v>
      </c>
      <c r="B1313" s="4">
        <v>0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26</v>
      </c>
      <c r="M1313" s="4">
        <v>77.25</v>
      </c>
    </row>
    <row r="1314" spans="1:13">
      <c r="A1314" s="3" t="s">
        <v>1859</v>
      </c>
      <c r="B1314" s="4">
        <v>25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</row>
    <row r="1315" spans="1:13">
      <c r="A1315" s="3" t="s">
        <v>1860</v>
      </c>
      <c r="B1315" s="4">
        <v>10</v>
      </c>
      <c r="C1315" s="4">
        <v>10</v>
      </c>
      <c r="D1315" s="4">
        <v>20</v>
      </c>
      <c r="E1315" s="4">
        <v>0</v>
      </c>
      <c r="F1315" s="4">
        <v>0</v>
      </c>
      <c r="G1315" s="4">
        <v>5</v>
      </c>
      <c r="H1315" s="4">
        <v>0</v>
      </c>
      <c r="I1315" s="4">
        <v>0</v>
      </c>
      <c r="J1315" s="4">
        <v>10</v>
      </c>
      <c r="K1315" s="4">
        <v>10</v>
      </c>
      <c r="L1315" s="4">
        <v>15</v>
      </c>
      <c r="M1315" s="4">
        <v>25</v>
      </c>
    </row>
    <row r="1316" spans="1:13">
      <c r="A1316" s="3" t="s">
        <v>1861</v>
      </c>
      <c r="B1316" s="4">
        <v>87.5</v>
      </c>
      <c r="C1316" s="4">
        <v>75</v>
      </c>
      <c r="D1316" s="4">
        <v>40</v>
      </c>
      <c r="E1316" s="4">
        <v>24</v>
      </c>
      <c r="F1316" s="4">
        <v>20</v>
      </c>
      <c r="G1316" s="4">
        <v>15</v>
      </c>
      <c r="H1316" s="4">
        <v>0</v>
      </c>
      <c r="I1316" s="4">
        <v>25</v>
      </c>
      <c r="J1316" s="4">
        <v>0</v>
      </c>
      <c r="K1316" s="4">
        <v>0</v>
      </c>
      <c r="L1316" s="4">
        <v>0</v>
      </c>
      <c r="M1316" s="4">
        <v>0</v>
      </c>
    </row>
    <row r="1317" spans="1:13">
      <c r="A1317" s="3" t="s">
        <v>1862</v>
      </c>
      <c r="B1317" s="4">
        <v>0</v>
      </c>
      <c r="C1317" s="4">
        <v>0</v>
      </c>
      <c r="D1317" s="4">
        <v>0</v>
      </c>
      <c r="E1317" s="4">
        <v>102</v>
      </c>
      <c r="F1317" s="4">
        <v>57</v>
      </c>
      <c r="G1317" s="4">
        <v>107</v>
      </c>
      <c r="H1317" s="4">
        <v>58</v>
      </c>
      <c r="I1317" s="4">
        <v>0</v>
      </c>
      <c r="J1317" s="4">
        <v>102.1</v>
      </c>
      <c r="K1317" s="4">
        <v>51</v>
      </c>
      <c r="L1317" s="4">
        <v>133</v>
      </c>
      <c r="M1317" s="4">
        <v>155</v>
      </c>
    </row>
    <row r="1318" spans="1:13">
      <c r="A1318" s="3" t="s">
        <v>1863</v>
      </c>
      <c r="B1318" s="4">
        <v>17.5</v>
      </c>
      <c r="C1318" s="4">
        <v>43.5</v>
      </c>
      <c r="D1318" s="4">
        <v>39</v>
      </c>
      <c r="E1318" s="4">
        <v>17.5</v>
      </c>
      <c r="F1318" s="4">
        <v>11</v>
      </c>
      <c r="G1318" s="4">
        <v>35</v>
      </c>
      <c r="H1318" s="4">
        <v>15</v>
      </c>
      <c r="I1318" s="4">
        <v>13</v>
      </c>
      <c r="J1318" s="4">
        <v>24.5</v>
      </c>
      <c r="K1318" s="4">
        <v>42</v>
      </c>
      <c r="L1318" s="4">
        <v>25</v>
      </c>
      <c r="M1318" s="4">
        <v>37.5</v>
      </c>
    </row>
    <row r="1319" spans="1:13">
      <c r="A1319" s="3" t="s">
        <v>1864</v>
      </c>
      <c r="B1319" s="4">
        <v>0</v>
      </c>
      <c r="C1319" s="4">
        <v>20</v>
      </c>
      <c r="D1319" s="4">
        <v>15</v>
      </c>
      <c r="E1319" s="4">
        <v>17.5</v>
      </c>
      <c r="F1319" s="4">
        <v>12</v>
      </c>
      <c r="G1319" s="4">
        <v>18</v>
      </c>
      <c r="H1319" s="4">
        <v>9</v>
      </c>
      <c r="I1319" s="4">
        <v>4</v>
      </c>
      <c r="J1319" s="4">
        <v>17.5</v>
      </c>
      <c r="K1319" s="4">
        <v>10</v>
      </c>
      <c r="L1319" s="4">
        <v>17.5</v>
      </c>
      <c r="M1319" s="4">
        <v>0</v>
      </c>
    </row>
    <row r="1320" spans="1:13">
      <c r="A1320" s="3" t="s">
        <v>1865</v>
      </c>
      <c r="B1320" s="4">
        <v>10</v>
      </c>
      <c r="C1320" s="4">
        <v>0</v>
      </c>
      <c r="D1320" s="4">
        <v>0</v>
      </c>
      <c r="E1320" s="4">
        <v>12.5</v>
      </c>
      <c r="F1320" s="4">
        <v>12</v>
      </c>
      <c r="G1320" s="4">
        <v>0</v>
      </c>
      <c r="H1320" s="4">
        <v>0</v>
      </c>
      <c r="I1320" s="4">
        <v>0</v>
      </c>
      <c r="J1320" s="4">
        <v>10</v>
      </c>
      <c r="K1320" s="4">
        <v>0</v>
      </c>
      <c r="L1320" s="4">
        <v>0</v>
      </c>
      <c r="M1320" s="4">
        <v>0</v>
      </c>
    </row>
    <row r="1321" spans="1:13">
      <c r="A1321" s="3" t="s">
        <v>1866</v>
      </c>
      <c r="B1321" s="4">
        <v>30</v>
      </c>
      <c r="C1321" s="4">
        <v>25</v>
      </c>
      <c r="D1321" s="4">
        <v>55</v>
      </c>
      <c r="E1321" s="4">
        <v>21</v>
      </c>
      <c r="F1321" s="4">
        <v>35</v>
      </c>
      <c r="G1321" s="4">
        <v>15</v>
      </c>
      <c r="H1321" s="4">
        <v>45</v>
      </c>
      <c r="I1321" s="4">
        <v>55</v>
      </c>
      <c r="J1321" s="4">
        <v>55</v>
      </c>
      <c r="K1321" s="4">
        <v>50</v>
      </c>
      <c r="L1321" s="4">
        <v>55</v>
      </c>
      <c r="M1321" s="4">
        <v>95</v>
      </c>
    </row>
    <row r="1322" spans="1:13">
      <c r="A1322" s="3" t="s">
        <v>1867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51</v>
      </c>
    </row>
    <row r="1323" spans="1:13">
      <c r="A1323" s="3" t="s">
        <v>1868</v>
      </c>
      <c r="B1323" s="4">
        <v>0</v>
      </c>
      <c r="C1323" s="4">
        <v>0</v>
      </c>
      <c r="D1323" s="4">
        <v>0</v>
      </c>
      <c r="E1323" s="4">
        <v>20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</row>
    <row r="1324" spans="1:13">
      <c r="A1324" s="3" t="s">
        <v>1869</v>
      </c>
      <c r="B1324" s="4">
        <v>20</v>
      </c>
      <c r="C1324" s="4">
        <v>10</v>
      </c>
      <c r="D1324" s="4">
        <v>30</v>
      </c>
      <c r="E1324" s="4">
        <v>20</v>
      </c>
      <c r="F1324" s="4">
        <v>0</v>
      </c>
      <c r="G1324" s="4">
        <v>14</v>
      </c>
      <c r="H1324" s="4">
        <v>12.5</v>
      </c>
      <c r="I1324" s="4">
        <v>0</v>
      </c>
      <c r="J1324" s="4">
        <v>0</v>
      </c>
      <c r="K1324" s="4">
        <v>8</v>
      </c>
      <c r="L1324" s="4">
        <v>14.5</v>
      </c>
      <c r="M1324" s="4">
        <v>23.6</v>
      </c>
    </row>
    <row r="1325" spans="1:13">
      <c r="A1325" s="3" t="s">
        <v>1870</v>
      </c>
      <c r="B1325" s="4">
        <v>10</v>
      </c>
      <c r="C1325" s="4">
        <v>20</v>
      </c>
      <c r="D1325" s="4">
        <v>19.5</v>
      </c>
      <c r="E1325" s="4">
        <v>22.5</v>
      </c>
      <c r="F1325" s="4">
        <v>16</v>
      </c>
      <c r="G1325" s="4">
        <v>20</v>
      </c>
      <c r="H1325" s="4">
        <v>7.5</v>
      </c>
      <c r="I1325" s="4">
        <v>0</v>
      </c>
      <c r="J1325" s="4">
        <v>30</v>
      </c>
      <c r="K1325" s="4">
        <v>0</v>
      </c>
      <c r="L1325" s="4">
        <v>44.5</v>
      </c>
      <c r="M1325" s="4">
        <v>1</v>
      </c>
    </row>
    <row r="1326" spans="1:13">
      <c r="A1326" s="3" t="s">
        <v>1871</v>
      </c>
      <c r="B1326" s="4">
        <v>12.5</v>
      </c>
      <c r="C1326" s="4">
        <v>45.5</v>
      </c>
      <c r="D1326" s="4">
        <v>59</v>
      </c>
      <c r="E1326" s="4">
        <v>61.5</v>
      </c>
      <c r="F1326" s="4">
        <v>93.9</v>
      </c>
      <c r="G1326" s="4">
        <v>70</v>
      </c>
      <c r="H1326" s="4">
        <v>45</v>
      </c>
      <c r="I1326" s="4">
        <v>47</v>
      </c>
      <c r="J1326" s="4">
        <v>85</v>
      </c>
      <c r="K1326" s="4">
        <v>104.5</v>
      </c>
      <c r="L1326" s="4">
        <v>64</v>
      </c>
      <c r="M1326" s="4">
        <v>213.6</v>
      </c>
    </row>
    <row r="1327" spans="1:13">
      <c r="A1327" s="3" t="s">
        <v>1872</v>
      </c>
      <c r="B1327" s="4">
        <v>64</v>
      </c>
      <c r="C1327" s="4">
        <v>85</v>
      </c>
      <c r="D1327" s="4">
        <v>145.5</v>
      </c>
      <c r="E1327" s="4">
        <v>123.85</v>
      </c>
      <c r="F1327" s="4">
        <v>87</v>
      </c>
      <c r="G1327" s="4">
        <v>125</v>
      </c>
      <c r="H1327" s="4">
        <v>125</v>
      </c>
      <c r="I1327" s="4">
        <v>80</v>
      </c>
      <c r="J1327" s="4">
        <v>62.5</v>
      </c>
      <c r="K1327" s="4">
        <v>90</v>
      </c>
      <c r="L1327" s="4">
        <v>62</v>
      </c>
      <c r="M1327" s="4">
        <v>158.20000000000002</v>
      </c>
    </row>
    <row r="1328" spans="1:13">
      <c r="A1328" s="3" t="s">
        <v>1873</v>
      </c>
      <c r="B1328" s="4">
        <v>0</v>
      </c>
      <c r="C1328" s="4">
        <v>5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</row>
    <row r="1329" spans="1:13">
      <c r="A1329" s="3" t="s">
        <v>1874</v>
      </c>
      <c r="B1329" s="4">
        <v>90</v>
      </c>
      <c r="C1329" s="4">
        <v>29.5</v>
      </c>
      <c r="D1329" s="4">
        <v>124</v>
      </c>
      <c r="E1329" s="4">
        <v>25</v>
      </c>
      <c r="F1329" s="4">
        <v>29</v>
      </c>
      <c r="G1329" s="4">
        <v>60</v>
      </c>
      <c r="H1329" s="4">
        <v>70</v>
      </c>
      <c r="I1329" s="4">
        <v>45</v>
      </c>
      <c r="J1329" s="4">
        <v>95</v>
      </c>
      <c r="K1329" s="4">
        <v>45</v>
      </c>
      <c r="L1329" s="4">
        <v>90</v>
      </c>
      <c r="M1329" s="4">
        <v>190</v>
      </c>
    </row>
    <row r="1330" spans="1:13">
      <c r="A1330" s="3" t="s">
        <v>1875</v>
      </c>
      <c r="B1330" s="4">
        <v>79</v>
      </c>
      <c r="C1330" s="4">
        <v>10</v>
      </c>
      <c r="D1330" s="4">
        <v>0</v>
      </c>
      <c r="E1330" s="4">
        <v>107.65</v>
      </c>
      <c r="F1330" s="4">
        <v>57.5</v>
      </c>
      <c r="G1330" s="4">
        <v>31.5</v>
      </c>
      <c r="H1330" s="4">
        <v>12.5</v>
      </c>
      <c r="I1330" s="4">
        <v>0</v>
      </c>
      <c r="J1330" s="4">
        <v>0</v>
      </c>
      <c r="K1330" s="4">
        <v>0</v>
      </c>
      <c r="L1330" s="4">
        <v>0</v>
      </c>
      <c r="M1330" s="4">
        <v>20</v>
      </c>
    </row>
    <row r="1331" spans="1:13">
      <c r="A1331" s="3" t="s">
        <v>1876</v>
      </c>
      <c r="B1331" s="4">
        <v>50</v>
      </c>
      <c r="C1331" s="4">
        <v>10</v>
      </c>
      <c r="D1331" s="4">
        <v>50</v>
      </c>
      <c r="E1331" s="4">
        <v>44</v>
      </c>
      <c r="F1331" s="4">
        <v>39.099999999999994</v>
      </c>
      <c r="G1331" s="4">
        <v>41</v>
      </c>
      <c r="H1331" s="4">
        <v>20</v>
      </c>
      <c r="I1331" s="4">
        <v>30</v>
      </c>
      <c r="J1331" s="4">
        <v>20</v>
      </c>
      <c r="K1331" s="4">
        <v>0</v>
      </c>
      <c r="L1331" s="4">
        <v>30</v>
      </c>
      <c r="M1331" s="4">
        <v>125.45</v>
      </c>
    </row>
    <row r="1332" spans="1:13">
      <c r="A1332" s="3" t="s">
        <v>1877</v>
      </c>
      <c r="B1332" s="4">
        <v>100.75</v>
      </c>
      <c r="C1332" s="4">
        <v>96.5</v>
      </c>
      <c r="D1332" s="4">
        <v>123.45</v>
      </c>
      <c r="E1332" s="4">
        <v>110.75</v>
      </c>
      <c r="F1332" s="4">
        <v>87.75</v>
      </c>
      <c r="G1332" s="4">
        <v>97.5</v>
      </c>
      <c r="H1332" s="4">
        <v>72.5</v>
      </c>
      <c r="I1332" s="4">
        <v>51.75</v>
      </c>
      <c r="J1332" s="4">
        <v>140.5</v>
      </c>
      <c r="K1332" s="4">
        <v>134.25</v>
      </c>
      <c r="L1332" s="4">
        <v>69.5</v>
      </c>
      <c r="M1332" s="4">
        <v>134</v>
      </c>
    </row>
    <row r="1333" spans="1:13">
      <c r="A1333" s="3" t="s">
        <v>1878</v>
      </c>
      <c r="B1333" s="4">
        <v>37.5</v>
      </c>
      <c r="C1333" s="4">
        <v>53</v>
      </c>
      <c r="D1333" s="4">
        <v>66</v>
      </c>
      <c r="E1333" s="4">
        <v>62</v>
      </c>
      <c r="F1333" s="4">
        <v>35</v>
      </c>
      <c r="G1333" s="4">
        <v>7.5</v>
      </c>
      <c r="H1333" s="4">
        <v>30</v>
      </c>
      <c r="I1333" s="4">
        <v>15</v>
      </c>
      <c r="J1333" s="4">
        <v>35</v>
      </c>
      <c r="K1333" s="4">
        <v>15</v>
      </c>
      <c r="L1333" s="4">
        <v>33</v>
      </c>
      <c r="M1333" s="4">
        <v>35</v>
      </c>
    </row>
    <row r="1334" spans="1:13">
      <c r="A1334" s="3" t="s">
        <v>1879</v>
      </c>
      <c r="B1334" s="4">
        <v>65</v>
      </c>
      <c r="C1334" s="4">
        <v>30</v>
      </c>
      <c r="D1334" s="4">
        <v>22.5</v>
      </c>
      <c r="E1334" s="4">
        <v>30</v>
      </c>
      <c r="F1334" s="4">
        <v>50</v>
      </c>
      <c r="G1334" s="4">
        <v>40</v>
      </c>
      <c r="H1334" s="4">
        <v>50</v>
      </c>
      <c r="I1334" s="4">
        <v>35</v>
      </c>
      <c r="J1334" s="4">
        <v>42</v>
      </c>
      <c r="K1334" s="4">
        <v>0</v>
      </c>
      <c r="L1334" s="4">
        <v>55</v>
      </c>
      <c r="M1334" s="4">
        <v>0</v>
      </c>
    </row>
    <row r="1335" spans="1:13">
      <c r="A1335" s="3" t="s">
        <v>1880</v>
      </c>
      <c r="B1335" s="4">
        <v>9</v>
      </c>
      <c r="C1335" s="4">
        <v>0</v>
      </c>
      <c r="D1335" s="4">
        <v>10</v>
      </c>
      <c r="E1335" s="4">
        <v>20</v>
      </c>
      <c r="F1335" s="4">
        <v>2.5</v>
      </c>
      <c r="G1335" s="4">
        <v>0</v>
      </c>
      <c r="H1335" s="4">
        <v>10</v>
      </c>
      <c r="I1335" s="4">
        <v>10</v>
      </c>
      <c r="J1335" s="4">
        <v>0</v>
      </c>
      <c r="K1335" s="4">
        <v>0</v>
      </c>
      <c r="L1335" s="4">
        <v>10</v>
      </c>
      <c r="M1335" s="4">
        <v>7.5</v>
      </c>
    </row>
    <row r="1336" spans="1:13">
      <c r="A1336" s="3" t="s">
        <v>1881</v>
      </c>
      <c r="B1336" s="4">
        <v>25</v>
      </c>
      <c r="C1336" s="4">
        <v>57.5</v>
      </c>
      <c r="D1336" s="4">
        <v>15</v>
      </c>
      <c r="E1336" s="4">
        <v>40</v>
      </c>
      <c r="F1336" s="4">
        <v>10</v>
      </c>
      <c r="G1336" s="4">
        <v>10</v>
      </c>
      <c r="H1336" s="4">
        <v>27</v>
      </c>
      <c r="I1336" s="4">
        <v>0</v>
      </c>
      <c r="J1336" s="4">
        <v>50</v>
      </c>
      <c r="K1336" s="4">
        <v>45</v>
      </c>
      <c r="L1336" s="4">
        <v>0</v>
      </c>
      <c r="M1336" s="4">
        <v>122.5</v>
      </c>
    </row>
    <row r="1337" spans="1:13">
      <c r="A1337" s="3" t="s">
        <v>1882</v>
      </c>
      <c r="B1337" s="4">
        <v>35</v>
      </c>
      <c r="C1337" s="4">
        <v>0</v>
      </c>
      <c r="D1337" s="4">
        <v>34</v>
      </c>
      <c r="E1337" s="4">
        <v>20</v>
      </c>
      <c r="F1337" s="4">
        <v>25</v>
      </c>
      <c r="G1337" s="4">
        <v>20</v>
      </c>
      <c r="H1337" s="4">
        <v>10</v>
      </c>
      <c r="I1337" s="4">
        <v>0</v>
      </c>
      <c r="J1337" s="4">
        <v>10</v>
      </c>
      <c r="K1337" s="4">
        <v>35</v>
      </c>
      <c r="L1337" s="4">
        <v>0</v>
      </c>
      <c r="M1337" s="4">
        <v>20</v>
      </c>
    </row>
    <row r="1338" spans="1:13">
      <c r="A1338" s="3" t="s">
        <v>1883</v>
      </c>
      <c r="B1338" s="4">
        <v>0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20</v>
      </c>
      <c r="M1338" s="4">
        <v>0</v>
      </c>
    </row>
    <row r="1339" spans="1:13">
      <c r="A1339" s="3" t="s">
        <v>1884</v>
      </c>
      <c r="B1339" s="4">
        <v>53</v>
      </c>
      <c r="C1339" s="4">
        <v>30</v>
      </c>
      <c r="D1339" s="4">
        <v>65</v>
      </c>
      <c r="E1339" s="4">
        <v>21.5</v>
      </c>
      <c r="F1339" s="4">
        <v>58.75</v>
      </c>
      <c r="G1339" s="4">
        <v>35</v>
      </c>
      <c r="H1339" s="4">
        <v>35</v>
      </c>
      <c r="I1339" s="4">
        <v>20</v>
      </c>
      <c r="J1339" s="4">
        <v>86.5</v>
      </c>
      <c r="K1339" s="4">
        <v>40</v>
      </c>
      <c r="L1339" s="4">
        <v>41.5</v>
      </c>
      <c r="M1339" s="4">
        <v>50</v>
      </c>
    </row>
    <row r="1340" spans="1:13">
      <c r="A1340" s="3" t="s">
        <v>1885</v>
      </c>
      <c r="B1340" s="4">
        <v>8</v>
      </c>
      <c r="C1340" s="4">
        <v>0</v>
      </c>
      <c r="D1340" s="4">
        <v>8</v>
      </c>
      <c r="E1340" s="4">
        <v>0</v>
      </c>
      <c r="F1340" s="4">
        <v>0</v>
      </c>
      <c r="G1340" s="4">
        <v>22.5</v>
      </c>
      <c r="H1340" s="4">
        <v>22</v>
      </c>
      <c r="I1340" s="4">
        <v>20.5</v>
      </c>
      <c r="J1340" s="4">
        <v>22.5</v>
      </c>
      <c r="K1340" s="4">
        <v>36.5</v>
      </c>
      <c r="L1340" s="4">
        <v>37</v>
      </c>
      <c r="M1340" s="4">
        <v>95</v>
      </c>
    </row>
    <row r="1341" spans="1:13">
      <c r="A1341" s="3" t="s">
        <v>1886</v>
      </c>
      <c r="B1341" s="4">
        <v>0</v>
      </c>
      <c r="C1341" s="4">
        <v>0</v>
      </c>
      <c r="D1341" s="4">
        <v>0</v>
      </c>
      <c r="E1341" s="4">
        <v>0</v>
      </c>
      <c r="F1341" s="4">
        <v>74</v>
      </c>
      <c r="G1341" s="4">
        <v>63</v>
      </c>
      <c r="H1341" s="4">
        <v>30</v>
      </c>
      <c r="I1341" s="4">
        <v>45</v>
      </c>
      <c r="J1341" s="4">
        <v>60</v>
      </c>
      <c r="K1341" s="4">
        <v>78.5</v>
      </c>
      <c r="L1341" s="4">
        <v>40</v>
      </c>
      <c r="M1341" s="4">
        <v>20</v>
      </c>
    </row>
    <row r="1342" spans="1:13">
      <c r="A1342" s="3" t="s">
        <v>1887</v>
      </c>
      <c r="B1342" s="4">
        <v>0</v>
      </c>
      <c r="C1342" s="4">
        <v>5</v>
      </c>
      <c r="D1342" s="4">
        <v>25</v>
      </c>
      <c r="E1342" s="4">
        <v>14</v>
      </c>
      <c r="F1342" s="4">
        <v>10</v>
      </c>
      <c r="G1342" s="4">
        <v>0</v>
      </c>
      <c r="H1342" s="4">
        <v>20</v>
      </c>
      <c r="I1342" s="4">
        <v>21</v>
      </c>
      <c r="J1342" s="4">
        <v>33</v>
      </c>
      <c r="K1342" s="4">
        <v>52</v>
      </c>
      <c r="L1342" s="4">
        <v>25</v>
      </c>
      <c r="M1342" s="4">
        <v>21</v>
      </c>
    </row>
    <row r="1343" spans="1:13">
      <c r="A1343" s="3" t="s">
        <v>1888</v>
      </c>
      <c r="B1343" s="4">
        <v>26</v>
      </c>
      <c r="C1343" s="4">
        <v>10</v>
      </c>
      <c r="D1343" s="4">
        <v>35</v>
      </c>
      <c r="E1343" s="4">
        <v>40</v>
      </c>
      <c r="F1343" s="4">
        <v>63.5</v>
      </c>
      <c r="G1343" s="4">
        <v>20</v>
      </c>
      <c r="H1343" s="4">
        <v>20</v>
      </c>
      <c r="I1343" s="4">
        <v>10</v>
      </c>
      <c r="J1343" s="4">
        <v>32.5</v>
      </c>
      <c r="K1343" s="4">
        <v>10</v>
      </c>
      <c r="L1343" s="4">
        <v>15</v>
      </c>
      <c r="M1343" s="4">
        <v>55</v>
      </c>
    </row>
    <row r="1344" spans="1:13">
      <c r="A1344" s="3" t="s">
        <v>1889</v>
      </c>
      <c r="B1344" s="4">
        <v>200</v>
      </c>
      <c r="C1344" s="4">
        <v>42.5</v>
      </c>
      <c r="D1344" s="4">
        <v>30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</row>
    <row r="1345" spans="1:13">
      <c r="A1345" s="3" t="s">
        <v>1890</v>
      </c>
      <c r="B1345" s="4">
        <v>59</v>
      </c>
      <c r="C1345" s="4">
        <v>10</v>
      </c>
      <c r="D1345" s="4">
        <v>88</v>
      </c>
      <c r="E1345" s="4">
        <v>129.30000000000001</v>
      </c>
      <c r="F1345" s="4">
        <v>72.75</v>
      </c>
      <c r="G1345" s="4">
        <v>35</v>
      </c>
      <c r="H1345" s="4">
        <v>47.5</v>
      </c>
      <c r="I1345" s="4">
        <v>22.5</v>
      </c>
      <c r="J1345" s="4">
        <v>58</v>
      </c>
      <c r="K1345" s="4">
        <v>32.75</v>
      </c>
      <c r="L1345" s="4">
        <v>34.5</v>
      </c>
      <c r="M1345" s="4">
        <v>23.5</v>
      </c>
    </row>
    <row r="1346" spans="1:13">
      <c r="A1346" s="3" t="s">
        <v>1891</v>
      </c>
      <c r="B1346" s="4">
        <v>5</v>
      </c>
      <c r="C1346" s="4">
        <v>0</v>
      </c>
      <c r="D1346" s="4">
        <v>1</v>
      </c>
      <c r="E1346" s="4">
        <v>0</v>
      </c>
      <c r="F1346" s="4">
        <v>7</v>
      </c>
      <c r="G1346" s="4">
        <v>7.5</v>
      </c>
      <c r="H1346" s="4">
        <v>0</v>
      </c>
      <c r="I1346" s="4">
        <v>0</v>
      </c>
      <c r="J1346" s="4">
        <v>1</v>
      </c>
      <c r="K1346" s="4">
        <v>0</v>
      </c>
      <c r="L1346" s="4">
        <v>0</v>
      </c>
      <c r="M1346" s="4">
        <v>0</v>
      </c>
    </row>
    <row r="1347" spans="1:13">
      <c r="A1347" s="3" t="s">
        <v>1892</v>
      </c>
      <c r="B1347" s="4">
        <v>27.5</v>
      </c>
      <c r="C1347" s="4">
        <v>37</v>
      </c>
      <c r="D1347" s="4">
        <v>34</v>
      </c>
      <c r="E1347" s="4">
        <v>58.5</v>
      </c>
      <c r="F1347" s="4">
        <v>41.5</v>
      </c>
      <c r="G1347" s="4">
        <v>42</v>
      </c>
      <c r="H1347" s="4">
        <v>30</v>
      </c>
      <c r="I1347" s="4">
        <v>30</v>
      </c>
      <c r="J1347" s="4">
        <v>50</v>
      </c>
      <c r="K1347" s="4">
        <v>105.5</v>
      </c>
      <c r="L1347" s="4">
        <v>105</v>
      </c>
      <c r="M1347" s="4">
        <v>135</v>
      </c>
    </row>
    <row r="1348" spans="1:13">
      <c r="A1348" s="3" t="s">
        <v>1893</v>
      </c>
      <c r="B1348" s="4">
        <v>37.5</v>
      </c>
      <c r="C1348" s="4">
        <v>38</v>
      </c>
      <c r="D1348" s="4">
        <v>15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</row>
    <row r="1349" spans="1:13">
      <c r="A1349" s="3" t="s">
        <v>1894</v>
      </c>
      <c r="B1349" s="4">
        <v>83.9</v>
      </c>
      <c r="C1349" s="4">
        <v>70</v>
      </c>
      <c r="D1349" s="4">
        <v>105</v>
      </c>
      <c r="E1349" s="4">
        <v>54.5</v>
      </c>
      <c r="F1349" s="4">
        <v>82.5</v>
      </c>
      <c r="G1349" s="4">
        <v>57.5</v>
      </c>
      <c r="H1349" s="4">
        <v>50</v>
      </c>
      <c r="I1349" s="4">
        <v>72</v>
      </c>
      <c r="J1349" s="4">
        <v>124.5</v>
      </c>
      <c r="K1349" s="4">
        <v>80</v>
      </c>
      <c r="L1349" s="4">
        <v>27.5</v>
      </c>
      <c r="M1349" s="4">
        <v>95.5</v>
      </c>
    </row>
    <row r="1350" spans="1:13">
      <c r="A1350" s="3" t="s">
        <v>1895</v>
      </c>
      <c r="B1350" s="4">
        <v>1</v>
      </c>
      <c r="C1350" s="4">
        <v>15</v>
      </c>
      <c r="D1350" s="4">
        <v>0</v>
      </c>
      <c r="E1350" s="4">
        <v>10</v>
      </c>
      <c r="F1350" s="4">
        <v>12</v>
      </c>
      <c r="G1350" s="4">
        <v>7.5</v>
      </c>
      <c r="H1350" s="4">
        <v>0</v>
      </c>
      <c r="I1350" s="4">
        <v>0</v>
      </c>
      <c r="J1350" s="4">
        <v>1</v>
      </c>
      <c r="K1350" s="4">
        <v>2.5</v>
      </c>
      <c r="L1350" s="4">
        <v>13</v>
      </c>
      <c r="M1350" s="4">
        <v>15</v>
      </c>
    </row>
    <row r="1351" spans="1:13">
      <c r="A1351" s="3" t="s">
        <v>1896</v>
      </c>
      <c r="B1351" s="4">
        <v>84</v>
      </c>
      <c r="C1351" s="4">
        <v>66.5</v>
      </c>
      <c r="D1351" s="4">
        <v>71.5</v>
      </c>
      <c r="E1351" s="4">
        <v>80.5</v>
      </c>
      <c r="F1351" s="4">
        <v>75.400000000000006</v>
      </c>
      <c r="G1351" s="4">
        <v>60</v>
      </c>
      <c r="H1351" s="4">
        <v>35</v>
      </c>
      <c r="I1351" s="4">
        <v>43</v>
      </c>
      <c r="J1351" s="4">
        <v>77</v>
      </c>
      <c r="K1351" s="4">
        <v>55</v>
      </c>
      <c r="L1351" s="4">
        <v>45</v>
      </c>
      <c r="M1351" s="4">
        <v>90</v>
      </c>
    </row>
    <row r="1352" spans="1:13">
      <c r="A1352" s="3" t="s">
        <v>1897</v>
      </c>
      <c r="B1352" s="4">
        <v>5</v>
      </c>
      <c r="C1352" s="4">
        <v>10</v>
      </c>
      <c r="D1352" s="4">
        <v>7</v>
      </c>
      <c r="E1352" s="4">
        <v>10</v>
      </c>
      <c r="F1352" s="4">
        <v>12</v>
      </c>
      <c r="G1352" s="4">
        <v>7.5</v>
      </c>
      <c r="H1352" s="4">
        <v>20</v>
      </c>
      <c r="I1352" s="4">
        <v>5</v>
      </c>
      <c r="J1352" s="4">
        <v>0</v>
      </c>
      <c r="K1352" s="4">
        <v>24</v>
      </c>
      <c r="L1352" s="4">
        <v>10</v>
      </c>
      <c r="M1352" s="4">
        <v>10</v>
      </c>
    </row>
    <row r="1353" spans="1:13">
      <c r="A1353" s="3" t="s">
        <v>1898</v>
      </c>
      <c r="B1353" s="4">
        <v>10</v>
      </c>
      <c r="C1353" s="4">
        <v>5</v>
      </c>
      <c r="D1353" s="4">
        <v>0</v>
      </c>
      <c r="E1353" s="4">
        <v>30</v>
      </c>
      <c r="F1353" s="4">
        <v>12.5</v>
      </c>
      <c r="G1353" s="4">
        <v>47.5</v>
      </c>
      <c r="H1353" s="4">
        <v>72.5</v>
      </c>
      <c r="I1353" s="4">
        <v>57</v>
      </c>
      <c r="J1353" s="4">
        <v>85</v>
      </c>
      <c r="K1353" s="4">
        <v>82.5</v>
      </c>
      <c r="L1353" s="4">
        <v>55</v>
      </c>
      <c r="M1353" s="4">
        <v>13</v>
      </c>
    </row>
    <row r="1354" spans="1:13">
      <c r="A1354" s="3" t="s">
        <v>1899</v>
      </c>
      <c r="B1354" s="4">
        <v>0</v>
      </c>
      <c r="C1354" s="4">
        <v>10</v>
      </c>
      <c r="D1354" s="4">
        <v>15</v>
      </c>
      <c r="E1354" s="4">
        <v>35</v>
      </c>
      <c r="F1354" s="4">
        <v>0</v>
      </c>
      <c r="G1354" s="4">
        <v>12.5</v>
      </c>
      <c r="H1354" s="4">
        <v>7.5</v>
      </c>
      <c r="I1354" s="4">
        <v>7.5</v>
      </c>
      <c r="J1354" s="4">
        <v>0</v>
      </c>
      <c r="K1354" s="4">
        <v>12.5</v>
      </c>
      <c r="L1354" s="4">
        <v>7.5</v>
      </c>
      <c r="M1354" s="4">
        <v>2.5</v>
      </c>
    </row>
    <row r="1355" spans="1:13">
      <c r="A1355" s="3" t="s">
        <v>1900</v>
      </c>
      <c r="B1355" s="4">
        <v>13</v>
      </c>
      <c r="C1355" s="4">
        <v>41</v>
      </c>
      <c r="D1355" s="4">
        <v>42</v>
      </c>
      <c r="E1355" s="4">
        <v>56.5</v>
      </c>
      <c r="F1355" s="4">
        <v>25.5</v>
      </c>
      <c r="G1355" s="4">
        <v>56</v>
      </c>
      <c r="H1355" s="4">
        <v>74</v>
      </c>
      <c r="I1355" s="4">
        <v>60.5</v>
      </c>
      <c r="J1355" s="4">
        <v>90</v>
      </c>
      <c r="K1355" s="4">
        <v>45</v>
      </c>
      <c r="L1355" s="4">
        <v>54</v>
      </c>
      <c r="M1355" s="4">
        <v>59</v>
      </c>
    </row>
    <row r="1356" spans="1:13">
      <c r="A1356" s="3" t="s">
        <v>1901</v>
      </c>
      <c r="B1356" s="4">
        <v>27</v>
      </c>
      <c r="C1356" s="4">
        <v>35.5</v>
      </c>
      <c r="D1356" s="4">
        <v>40</v>
      </c>
      <c r="E1356" s="4">
        <v>80</v>
      </c>
      <c r="F1356" s="4">
        <v>80</v>
      </c>
      <c r="G1356" s="4">
        <v>22.5</v>
      </c>
      <c r="H1356" s="4">
        <v>80</v>
      </c>
      <c r="I1356" s="4">
        <v>10</v>
      </c>
      <c r="J1356" s="4">
        <v>60</v>
      </c>
      <c r="K1356" s="4">
        <v>80</v>
      </c>
      <c r="L1356" s="4">
        <v>60</v>
      </c>
      <c r="M1356" s="4">
        <v>50</v>
      </c>
    </row>
    <row r="1357" spans="1:13">
      <c r="A1357" s="3" t="s">
        <v>1902</v>
      </c>
      <c r="B1357" s="4">
        <v>100</v>
      </c>
      <c r="C1357" s="4">
        <v>80.5</v>
      </c>
      <c r="D1357" s="4">
        <v>60</v>
      </c>
      <c r="E1357" s="4">
        <v>97.5</v>
      </c>
      <c r="F1357" s="4">
        <v>35</v>
      </c>
      <c r="G1357" s="4">
        <v>65</v>
      </c>
      <c r="H1357" s="4">
        <v>35</v>
      </c>
      <c r="I1357" s="4">
        <v>35</v>
      </c>
      <c r="J1357" s="4">
        <v>115</v>
      </c>
      <c r="K1357" s="4">
        <v>70</v>
      </c>
      <c r="L1357" s="4">
        <v>30</v>
      </c>
      <c r="M1357" s="4">
        <v>70</v>
      </c>
    </row>
    <row r="1358" spans="1:13">
      <c r="A1358" s="3" t="s">
        <v>1903</v>
      </c>
      <c r="B1358" s="4">
        <v>0</v>
      </c>
      <c r="C1358" s="4">
        <v>0</v>
      </c>
      <c r="D1358" s="4">
        <v>21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</row>
    <row r="1359" spans="1:13">
      <c r="A1359" s="3" t="s">
        <v>1904</v>
      </c>
      <c r="B1359" s="4">
        <v>10</v>
      </c>
      <c r="C1359" s="4">
        <v>20</v>
      </c>
      <c r="D1359" s="4">
        <v>60</v>
      </c>
      <c r="E1359" s="4">
        <v>86</v>
      </c>
      <c r="F1359" s="4">
        <v>25</v>
      </c>
      <c r="G1359" s="4">
        <v>77</v>
      </c>
      <c r="H1359" s="4">
        <v>65</v>
      </c>
      <c r="I1359" s="4">
        <v>20</v>
      </c>
      <c r="J1359" s="4">
        <v>55</v>
      </c>
      <c r="K1359" s="4">
        <v>14</v>
      </c>
      <c r="L1359" s="4">
        <v>35</v>
      </c>
      <c r="M1359" s="4">
        <v>135</v>
      </c>
    </row>
    <row r="1360" spans="1:13">
      <c r="A1360" s="3" t="s">
        <v>1905</v>
      </c>
      <c r="B1360" s="4">
        <v>58.5</v>
      </c>
      <c r="C1360" s="4">
        <v>62.5</v>
      </c>
      <c r="D1360" s="4">
        <v>81</v>
      </c>
      <c r="E1360" s="4">
        <v>106.5</v>
      </c>
      <c r="F1360" s="4">
        <v>72.5</v>
      </c>
      <c r="G1360" s="4">
        <v>97</v>
      </c>
      <c r="H1360" s="4">
        <v>26</v>
      </c>
      <c r="I1360" s="4">
        <v>41</v>
      </c>
      <c r="J1360" s="4">
        <v>58</v>
      </c>
      <c r="K1360" s="4">
        <v>85.5</v>
      </c>
      <c r="L1360" s="4">
        <v>84.5</v>
      </c>
      <c r="M1360" s="4">
        <v>133</v>
      </c>
    </row>
    <row r="1361" spans="1:13">
      <c r="A1361" s="3" t="s">
        <v>1906</v>
      </c>
      <c r="B1361" s="4">
        <v>81.5</v>
      </c>
      <c r="C1361" s="4">
        <v>101.75</v>
      </c>
      <c r="D1361" s="4">
        <v>107</v>
      </c>
      <c r="E1361" s="4">
        <v>157</v>
      </c>
      <c r="F1361" s="4">
        <v>135</v>
      </c>
      <c r="G1361" s="4">
        <v>133.4</v>
      </c>
      <c r="H1361" s="4">
        <v>135.5</v>
      </c>
      <c r="I1361" s="4">
        <v>125</v>
      </c>
      <c r="J1361" s="4">
        <v>186</v>
      </c>
      <c r="K1361" s="4">
        <v>147</v>
      </c>
      <c r="L1361" s="4">
        <v>104</v>
      </c>
      <c r="M1361" s="4">
        <v>107</v>
      </c>
    </row>
    <row r="1362" spans="1:13">
      <c r="A1362" s="3" t="s">
        <v>1907</v>
      </c>
      <c r="B1362" s="4">
        <v>45</v>
      </c>
      <c r="C1362" s="4">
        <v>35</v>
      </c>
      <c r="D1362" s="4">
        <v>25</v>
      </c>
      <c r="E1362" s="4">
        <v>0</v>
      </c>
      <c r="F1362" s="4">
        <v>35</v>
      </c>
      <c r="G1362" s="4">
        <v>22</v>
      </c>
      <c r="H1362" s="4">
        <v>0</v>
      </c>
      <c r="I1362" s="4">
        <v>15</v>
      </c>
      <c r="J1362" s="4">
        <v>40</v>
      </c>
      <c r="K1362" s="4">
        <v>130</v>
      </c>
      <c r="L1362" s="4">
        <v>51</v>
      </c>
      <c r="M1362" s="4">
        <v>159</v>
      </c>
    </row>
    <row r="1363" spans="1:13">
      <c r="A1363" s="3" t="s">
        <v>1908</v>
      </c>
      <c r="B1363" s="4">
        <v>4</v>
      </c>
      <c r="C1363" s="4">
        <v>0</v>
      </c>
      <c r="D1363" s="4">
        <v>31</v>
      </c>
      <c r="E1363" s="4">
        <v>43</v>
      </c>
      <c r="F1363" s="4">
        <v>41</v>
      </c>
      <c r="G1363" s="4">
        <v>31</v>
      </c>
      <c r="H1363" s="4">
        <v>0</v>
      </c>
      <c r="I1363" s="4">
        <v>31</v>
      </c>
      <c r="J1363" s="4">
        <v>10</v>
      </c>
      <c r="K1363" s="4">
        <v>35</v>
      </c>
      <c r="L1363" s="4">
        <v>21</v>
      </c>
      <c r="M1363" s="4">
        <v>0</v>
      </c>
    </row>
    <row r="1364" spans="1:13">
      <c r="A1364" s="3" t="s">
        <v>1909</v>
      </c>
      <c r="B1364" s="4">
        <v>0.85</v>
      </c>
      <c r="C1364" s="4">
        <v>15</v>
      </c>
      <c r="D1364" s="4">
        <v>52</v>
      </c>
      <c r="E1364" s="4">
        <v>21</v>
      </c>
      <c r="F1364" s="4">
        <v>72.5</v>
      </c>
      <c r="G1364" s="4">
        <v>15</v>
      </c>
      <c r="H1364" s="4">
        <v>0</v>
      </c>
      <c r="I1364" s="4">
        <v>0</v>
      </c>
      <c r="J1364" s="4">
        <v>27.5</v>
      </c>
      <c r="K1364" s="4">
        <v>0</v>
      </c>
      <c r="L1364" s="4">
        <v>20</v>
      </c>
      <c r="M1364" s="4">
        <v>50.5</v>
      </c>
    </row>
    <row r="1365" spans="1:13">
      <c r="A1365" s="3" t="s">
        <v>1910</v>
      </c>
      <c r="B1365" s="4">
        <v>62.5</v>
      </c>
      <c r="C1365" s="4">
        <v>42</v>
      </c>
      <c r="D1365" s="4">
        <v>42.25</v>
      </c>
      <c r="E1365" s="4">
        <v>37.5</v>
      </c>
      <c r="F1365" s="4">
        <v>99.45</v>
      </c>
      <c r="G1365" s="4">
        <v>77.5</v>
      </c>
      <c r="H1365" s="4">
        <v>57</v>
      </c>
      <c r="I1365" s="4">
        <v>25</v>
      </c>
      <c r="J1365" s="4">
        <v>28</v>
      </c>
      <c r="K1365" s="4">
        <v>15</v>
      </c>
      <c r="L1365" s="4">
        <v>10</v>
      </c>
      <c r="M1365" s="4">
        <v>0</v>
      </c>
    </row>
    <row r="1366" spans="1:13">
      <c r="A1366" s="3" t="s">
        <v>1911</v>
      </c>
      <c r="B1366" s="4">
        <v>88.5</v>
      </c>
      <c r="C1366" s="4">
        <v>58.5</v>
      </c>
      <c r="D1366" s="4">
        <v>115</v>
      </c>
      <c r="E1366" s="4">
        <v>73.5</v>
      </c>
      <c r="F1366" s="4">
        <v>40</v>
      </c>
      <c r="G1366" s="4">
        <v>30</v>
      </c>
      <c r="H1366" s="4">
        <v>39</v>
      </c>
      <c r="I1366" s="4">
        <v>43.5</v>
      </c>
      <c r="J1366" s="4">
        <v>30</v>
      </c>
      <c r="K1366" s="4">
        <v>45</v>
      </c>
      <c r="L1366" s="4">
        <v>15</v>
      </c>
      <c r="M1366" s="4">
        <v>65</v>
      </c>
    </row>
    <row r="1367" spans="1:13">
      <c r="A1367" s="3" t="s">
        <v>1912</v>
      </c>
      <c r="B1367" s="4">
        <v>25</v>
      </c>
      <c r="C1367" s="4">
        <v>25</v>
      </c>
      <c r="D1367" s="4">
        <v>35</v>
      </c>
      <c r="E1367" s="4">
        <v>37.5</v>
      </c>
      <c r="F1367" s="4">
        <v>30</v>
      </c>
      <c r="G1367" s="4">
        <v>15</v>
      </c>
      <c r="H1367" s="4">
        <v>10</v>
      </c>
      <c r="I1367" s="4">
        <v>10</v>
      </c>
      <c r="J1367" s="4">
        <v>24</v>
      </c>
      <c r="K1367" s="4">
        <v>0</v>
      </c>
      <c r="L1367" s="4">
        <v>0</v>
      </c>
      <c r="M1367" s="4">
        <v>0</v>
      </c>
    </row>
    <row r="1368" spans="1:13">
      <c r="A1368" s="3" t="s">
        <v>1913</v>
      </c>
      <c r="B1368" s="4">
        <v>25</v>
      </c>
      <c r="C1368" s="4">
        <v>25</v>
      </c>
      <c r="D1368" s="4">
        <v>35</v>
      </c>
      <c r="E1368" s="4">
        <v>52.5</v>
      </c>
      <c r="F1368" s="4">
        <v>37.5</v>
      </c>
      <c r="G1368" s="4">
        <v>10</v>
      </c>
      <c r="H1368" s="4">
        <v>0</v>
      </c>
      <c r="I1368" s="4">
        <v>42.5</v>
      </c>
      <c r="J1368" s="4">
        <v>20</v>
      </c>
      <c r="K1368" s="4">
        <v>0</v>
      </c>
      <c r="L1368" s="4">
        <v>10</v>
      </c>
      <c r="M1368" s="4">
        <v>55</v>
      </c>
    </row>
    <row r="1369" spans="1:13">
      <c r="A1369" s="3" t="s">
        <v>1914</v>
      </c>
      <c r="B1369" s="4">
        <v>35</v>
      </c>
      <c r="C1369" s="4">
        <v>0</v>
      </c>
      <c r="D1369" s="4">
        <v>0</v>
      </c>
      <c r="E1369" s="4">
        <v>0</v>
      </c>
      <c r="F1369" s="4">
        <v>20</v>
      </c>
      <c r="G1369" s="4">
        <v>0</v>
      </c>
      <c r="H1369" s="4">
        <v>0</v>
      </c>
      <c r="I1369" s="4">
        <v>10</v>
      </c>
      <c r="J1369" s="4">
        <v>10</v>
      </c>
      <c r="K1369" s="4">
        <v>10</v>
      </c>
      <c r="L1369" s="4">
        <v>10</v>
      </c>
      <c r="M1369" s="4">
        <v>0</v>
      </c>
    </row>
    <row r="1370" spans="1:13">
      <c r="A1370" s="3" t="s">
        <v>1915</v>
      </c>
      <c r="B1370" s="4">
        <v>100</v>
      </c>
      <c r="C1370" s="4">
        <v>95</v>
      </c>
      <c r="D1370" s="4">
        <v>114.5</v>
      </c>
      <c r="E1370" s="4">
        <v>101</v>
      </c>
      <c r="F1370" s="4">
        <v>70</v>
      </c>
      <c r="G1370" s="4">
        <v>47.5</v>
      </c>
      <c r="H1370" s="4">
        <v>60</v>
      </c>
      <c r="I1370" s="4">
        <v>45</v>
      </c>
      <c r="J1370" s="4">
        <v>147.5</v>
      </c>
      <c r="K1370" s="4">
        <v>68.5</v>
      </c>
      <c r="L1370" s="4">
        <v>75</v>
      </c>
      <c r="M1370" s="4">
        <v>106</v>
      </c>
    </row>
    <row r="1371" spans="1:13">
      <c r="A1371" s="3" t="s">
        <v>1916</v>
      </c>
      <c r="B1371" s="4">
        <v>98.5</v>
      </c>
      <c r="C1371" s="4">
        <v>85</v>
      </c>
      <c r="D1371" s="4">
        <v>102.5</v>
      </c>
      <c r="E1371" s="4">
        <v>84.5</v>
      </c>
      <c r="F1371" s="4">
        <v>75</v>
      </c>
      <c r="G1371" s="4">
        <v>37.5</v>
      </c>
      <c r="H1371" s="4">
        <v>60</v>
      </c>
      <c r="I1371" s="4">
        <v>25</v>
      </c>
      <c r="J1371" s="4">
        <v>60</v>
      </c>
      <c r="K1371" s="4">
        <v>80</v>
      </c>
      <c r="L1371" s="4">
        <v>57.5</v>
      </c>
      <c r="M1371" s="4">
        <v>147.5</v>
      </c>
    </row>
    <row r="1372" spans="1:13">
      <c r="A1372" s="3" t="s">
        <v>1917</v>
      </c>
      <c r="B1372" s="4">
        <v>72</v>
      </c>
      <c r="C1372" s="4">
        <v>0</v>
      </c>
      <c r="D1372" s="4">
        <v>31</v>
      </c>
      <c r="E1372" s="4">
        <v>26</v>
      </c>
      <c r="F1372" s="4">
        <v>2</v>
      </c>
      <c r="G1372" s="4">
        <v>14</v>
      </c>
      <c r="H1372" s="4">
        <v>7.5</v>
      </c>
      <c r="I1372" s="4">
        <v>5</v>
      </c>
      <c r="J1372" s="4">
        <v>35</v>
      </c>
      <c r="K1372" s="4">
        <v>86.5</v>
      </c>
      <c r="L1372" s="4">
        <v>53.9</v>
      </c>
      <c r="M1372" s="4">
        <v>100</v>
      </c>
    </row>
    <row r="1373" spans="1:13">
      <c r="A1373" s="3" t="s">
        <v>1918</v>
      </c>
      <c r="B1373" s="4">
        <v>0</v>
      </c>
      <c r="C1373" s="4">
        <v>0</v>
      </c>
      <c r="D1373" s="4">
        <v>60</v>
      </c>
      <c r="E1373" s="4">
        <v>0</v>
      </c>
      <c r="F1373" s="4">
        <v>35</v>
      </c>
      <c r="G1373" s="4">
        <v>35</v>
      </c>
      <c r="H1373" s="4">
        <v>0</v>
      </c>
      <c r="I1373" s="4">
        <v>35</v>
      </c>
      <c r="J1373" s="4">
        <v>0</v>
      </c>
      <c r="K1373" s="4">
        <v>0</v>
      </c>
      <c r="L1373" s="4">
        <v>30</v>
      </c>
      <c r="M1373" s="4">
        <v>0</v>
      </c>
    </row>
    <row r="1374" spans="1:13">
      <c r="A1374" s="3" t="s">
        <v>1919</v>
      </c>
      <c r="B1374" s="4">
        <v>45</v>
      </c>
      <c r="C1374" s="4">
        <v>0</v>
      </c>
      <c r="D1374" s="4">
        <v>84</v>
      </c>
      <c r="E1374" s="4">
        <v>89</v>
      </c>
      <c r="F1374" s="4">
        <v>22</v>
      </c>
      <c r="G1374" s="4">
        <v>1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</row>
    <row r="1375" spans="1:13">
      <c r="A1375" s="3" t="s">
        <v>1920</v>
      </c>
      <c r="B1375" s="4">
        <v>376.7</v>
      </c>
      <c r="C1375" s="4">
        <v>0</v>
      </c>
      <c r="D1375" s="4">
        <v>0</v>
      </c>
      <c r="E1375" s="4">
        <v>113</v>
      </c>
      <c r="F1375" s="4">
        <v>156</v>
      </c>
      <c r="G1375" s="4">
        <v>157</v>
      </c>
      <c r="H1375" s="4">
        <v>305</v>
      </c>
      <c r="I1375" s="4">
        <v>45</v>
      </c>
      <c r="J1375" s="4">
        <v>205.9</v>
      </c>
      <c r="K1375" s="4">
        <v>192</v>
      </c>
      <c r="L1375" s="4">
        <v>152</v>
      </c>
      <c r="M1375" s="4">
        <v>103</v>
      </c>
    </row>
    <row r="1376" spans="1:13">
      <c r="A1376" s="3" t="s">
        <v>1921</v>
      </c>
      <c r="B1376" s="4">
        <v>50</v>
      </c>
      <c r="C1376" s="4">
        <v>60</v>
      </c>
      <c r="D1376" s="4">
        <v>75</v>
      </c>
      <c r="E1376" s="4">
        <v>67.5</v>
      </c>
      <c r="F1376" s="4">
        <v>76</v>
      </c>
      <c r="G1376" s="4">
        <v>61</v>
      </c>
      <c r="H1376" s="4">
        <v>107</v>
      </c>
      <c r="I1376" s="4">
        <v>65</v>
      </c>
      <c r="J1376" s="4">
        <v>152</v>
      </c>
      <c r="K1376" s="4">
        <v>50</v>
      </c>
      <c r="L1376" s="4">
        <v>112.5</v>
      </c>
      <c r="M1376" s="4">
        <v>126</v>
      </c>
    </row>
    <row r="1377" spans="1:13">
      <c r="A1377" s="3" t="s">
        <v>1922</v>
      </c>
      <c r="B1377" s="4">
        <v>10</v>
      </c>
      <c r="C1377" s="4">
        <v>30</v>
      </c>
      <c r="D1377" s="4">
        <v>0</v>
      </c>
      <c r="E1377" s="4">
        <v>37.5</v>
      </c>
      <c r="F1377" s="4">
        <v>30</v>
      </c>
      <c r="G1377" s="4">
        <v>50</v>
      </c>
      <c r="H1377" s="4">
        <v>0</v>
      </c>
      <c r="I1377" s="4">
        <v>10</v>
      </c>
      <c r="J1377" s="4">
        <v>42</v>
      </c>
      <c r="K1377" s="4">
        <v>30</v>
      </c>
      <c r="L1377" s="4">
        <v>20</v>
      </c>
      <c r="M1377" s="4">
        <v>10</v>
      </c>
    </row>
    <row r="1378" spans="1:13">
      <c r="A1378" s="3" t="s">
        <v>1923</v>
      </c>
      <c r="B1378" s="4">
        <v>40</v>
      </c>
      <c r="C1378" s="4">
        <v>30.5</v>
      </c>
      <c r="D1378" s="4">
        <v>20</v>
      </c>
      <c r="E1378" s="4">
        <v>0</v>
      </c>
      <c r="F1378" s="4">
        <v>50</v>
      </c>
      <c r="G1378" s="4">
        <v>0</v>
      </c>
      <c r="H1378" s="4">
        <v>52</v>
      </c>
      <c r="I1378" s="4">
        <v>20</v>
      </c>
      <c r="J1378" s="4">
        <v>20</v>
      </c>
      <c r="K1378" s="4">
        <v>30</v>
      </c>
      <c r="L1378" s="4">
        <v>20</v>
      </c>
      <c r="M1378" s="4">
        <v>80</v>
      </c>
    </row>
    <row r="1379" spans="1:13">
      <c r="A1379" s="3" t="s">
        <v>1924</v>
      </c>
      <c r="B1379" s="4">
        <v>15</v>
      </c>
      <c r="C1379" s="4">
        <v>45</v>
      </c>
      <c r="D1379" s="4">
        <v>0</v>
      </c>
      <c r="E1379" s="4">
        <v>64.75</v>
      </c>
      <c r="F1379" s="4">
        <v>139.75</v>
      </c>
      <c r="G1379" s="4">
        <v>53.85</v>
      </c>
      <c r="H1379" s="4">
        <v>34.5</v>
      </c>
      <c r="I1379" s="4">
        <v>20</v>
      </c>
      <c r="J1379" s="4">
        <v>62.5</v>
      </c>
      <c r="K1379" s="4">
        <v>52.5</v>
      </c>
      <c r="L1379" s="4">
        <v>40</v>
      </c>
      <c r="M1379" s="4">
        <v>77</v>
      </c>
    </row>
    <row r="1380" spans="1:13">
      <c r="A1380" s="3" t="s">
        <v>1925</v>
      </c>
      <c r="B1380" s="4">
        <v>40</v>
      </c>
      <c r="C1380" s="4">
        <v>30</v>
      </c>
      <c r="D1380" s="4">
        <v>73.5</v>
      </c>
      <c r="E1380" s="4">
        <v>28.5</v>
      </c>
      <c r="F1380" s="4">
        <v>110</v>
      </c>
      <c r="G1380" s="4">
        <v>55</v>
      </c>
      <c r="H1380" s="4">
        <v>35</v>
      </c>
      <c r="I1380" s="4">
        <v>37.5</v>
      </c>
      <c r="J1380" s="4">
        <v>67</v>
      </c>
      <c r="K1380" s="4">
        <v>57.25</v>
      </c>
      <c r="L1380" s="4">
        <v>35</v>
      </c>
      <c r="M1380" s="4">
        <v>40</v>
      </c>
    </row>
    <row r="1381" spans="1:13">
      <c r="A1381" s="3" t="s">
        <v>1926</v>
      </c>
      <c r="B1381" s="4">
        <v>20</v>
      </c>
      <c r="C1381" s="4">
        <v>30</v>
      </c>
      <c r="D1381" s="4">
        <v>20</v>
      </c>
      <c r="E1381" s="4">
        <v>20</v>
      </c>
      <c r="F1381" s="4">
        <v>10</v>
      </c>
      <c r="G1381" s="4">
        <v>39</v>
      </c>
      <c r="H1381" s="4">
        <v>0</v>
      </c>
      <c r="I1381" s="4">
        <v>21</v>
      </c>
      <c r="J1381" s="4">
        <v>45</v>
      </c>
      <c r="K1381" s="4">
        <v>45</v>
      </c>
      <c r="L1381" s="4">
        <v>40</v>
      </c>
      <c r="M1381" s="4">
        <v>61</v>
      </c>
    </row>
    <row r="1382" spans="1:13">
      <c r="A1382" s="3" t="s">
        <v>1927</v>
      </c>
      <c r="B1382" s="4">
        <v>11.5</v>
      </c>
      <c r="C1382" s="4">
        <v>12</v>
      </c>
      <c r="D1382" s="4">
        <v>15</v>
      </c>
      <c r="E1382" s="4">
        <v>4.5</v>
      </c>
      <c r="F1382" s="4">
        <v>31</v>
      </c>
      <c r="G1382" s="4">
        <v>40</v>
      </c>
      <c r="H1382" s="4">
        <v>30</v>
      </c>
      <c r="I1382" s="4">
        <v>15</v>
      </c>
      <c r="J1382" s="4">
        <v>30</v>
      </c>
      <c r="K1382" s="4">
        <v>56.5</v>
      </c>
      <c r="L1382" s="4">
        <v>40</v>
      </c>
      <c r="M1382" s="4">
        <v>25</v>
      </c>
    </row>
    <row r="1383" spans="1:13">
      <c r="A1383" s="3" t="s">
        <v>1928</v>
      </c>
      <c r="B1383" s="4">
        <v>73.5</v>
      </c>
      <c r="C1383" s="4">
        <v>45</v>
      </c>
      <c r="D1383" s="4">
        <v>179.4</v>
      </c>
      <c r="E1383" s="4">
        <v>99</v>
      </c>
      <c r="F1383" s="4">
        <v>35</v>
      </c>
      <c r="G1383" s="4">
        <v>35.5</v>
      </c>
      <c r="H1383" s="4">
        <v>65</v>
      </c>
      <c r="I1383" s="4">
        <v>40</v>
      </c>
      <c r="J1383" s="4">
        <v>52.5</v>
      </c>
      <c r="K1383" s="4">
        <v>0</v>
      </c>
      <c r="L1383" s="4">
        <v>30</v>
      </c>
      <c r="M1383" s="4">
        <v>0</v>
      </c>
    </row>
    <row r="1384" spans="1:13">
      <c r="A1384" s="3" t="s">
        <v>1929</v>
      </c>
      <c r="B1384" s="4">
        <v>0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15</v>
      </c>
    </row>
    <row r="1385" spans="1:13">
      <c r="A1385" s="3" t="s">
        <v>1930</v>
      </c>
      <c r="B1385" s="4">
        <v>47</v>
      </c>
      <c r="C1385" s="4">
        <v>56</v>
      </c>
      <c r="D1385" s="4">
        <v>51.5</v>
      </c>
      <c r="E1385" s="4">
        <v>52.5</v>
      </c>
      <c r="F1385" s="4">
        <v>53</v>
      </c>
      <c r="G1385" s="4">
        <v>47</v>
      </c>
      <c r="H1385" s="4">
        <v>17.5</v>
      </c>
      <c r="I1385" s="4">
        <v>26.5</v>
      </c>
      <c r="J1385" s="4">
        <v>38</v>
      </c>
      <c r="K1385" s="4">
        <v>52.5</v>
      </c>
      <c r="L1385" s="4">
        <v>25</v>
      </c>
      <c r="M1385" s="4">
        <v>30</v>
      </c>
    </row>
    <row r="1386" spans="1:13">
      <c r="A1386" s="3" t="s">
        <v>1931</v>
      </c>
      <c r="B1386" s="4">
        <v>0</v>
      </c>
      <c r="C1386" s="4">
        <v>0</v>
      </c>
      <c r="D1386" s="4">
        <v>0</v>
      </c>
      <c r="E1386" s="4">
        <v>65</v>
      </c>
      <c r="F1386" s="4">
        <v>63</v>
      </c>
      <c r="G1386" s="4">
        <v>58</v>
      </c>
      <c r="H1386" s="4">
        <v>55</v>
      </c>
      <c r="I1386" s="4">
        <v>25</v>
      </c>
      <c r="J1386" s="4">
        <v>50</v>
      </c>
      <c r="K1386" s="4">
        <v>82.5</v>
      </c>
      <c r="L1386" s="4">
        <v>67</v>
      </c>
      <c r="M1386" s="4">
        <v>112.5</v>
      </c>
    </row>
    <row r="1387" spans="1:13">
      <c r="A1387" s="3" t="s">
        <v>1932</v>
      </c>
      <c r="B1387" s="4">
        <v>22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</row>
    <row r="1388" spans="1:13">
      <c r="A1388" s="3" t="s">
        <v>1933</v>
      </c>
      <c r="B1388" s="4">
        <v>0</v>
      </c>
      <c r="C1388" s="4">
        <v>0</v>
      </c>
      <c r="D1388" s="4">
        <v>0</v>
      </c>
      <c r="E1388" s="4">
        <v>3</v>
      </c>
      <c r="F1388" s="4">
        <v>3.5</v>
      </c>
      <c r="G1388" s="4">
        <v>3</v>
      </c>
      <c r="H1388" s="4">
        <v>0</v>
      </c>
      <c r="I1388" s="4">
        <v>0</v>
      </c>
      <c r="J1388" s="4">
        <v>18.700000000000003</v>
      </c>
      <c r="K1388" s="4">
        <v>0</v>
      </c>
      <c r="L1388" s="4">
        <v>0</v>
      </c>
      <c r="M1388" s="4">
        <v>0</v>
      </c>
    </row>
    <row r="1389" spans="1:13">
      <c r="A1389" s="3" t="s">
        <v>1934</v>
      </c>
      <c r="B1389" s="4">
        <v>0</v>
      </c>
      <c r="C1389" s="4">
        <v>0</v>
      </c>
      <c r="D1389" s="4">
        <v>10</v>
      </c>
      <c r="E1389" s="4">
        <v>90</v>
      </c>
      <c r="F1389" s="4">
        <v>15</v>
      </c>
      <c r="G1389" s="4">
        <v>15</v>
      </c>
      <c r="H1389" s="4">
        <v>50</v>
      </c>
      <c r="I1389" s="4">
        <v>0</v>
      </c>
      <c r="J1389" s="4">
        <v>25</v>
      </c>
      <c r="K1389" s="4">
        <v>40</v>
      </c>
      <c r="L1389" s="4">
        <v>10</v>
      </c>
      <c r="M1389" s="4">
        <v>0</v>
      </c>
    </row>
    <row r="1390" spans="1:13">
      <c r="A1390" s="3" t="s">
        <v>1935</v>
      </c>
      <c r="B1390" s="4">
        <v>0</v>
      </c>
      <c r="C1390" s="4">
        <v>0</v>
      </c>
      <c r="D1390" s="4">
        <v>25</v>
      </c>
      <c r="E1390" s="4">
        <v>0</v>
      </c>
      <c r="F1390" s="4">
        <v>0</v>
      </c>
      <c r="G1390" s="4">
        <v>15</v>
      </c>
      <c r="H1390" s="4">
        <v>0</v>
      </c>
      <c r="I1390" s="4">
        <v>20</v>
      </c>
      <c r="J1390" s="4">
        <v>43</v>
      </c>
      <c r="K1390" s="4">
        <v>0</v>
      </c>
      <c r="L1390" s="4">
        <v>0</v>
      </c>
      <c r="M1390" s="4">
        <v>53.5</v>
      </c>
    </row>
    <row r="1391" spans="1:13">
      <c r="A1391" s="3" t="s">
        <v>1936</v>
      </c>
      <c r="B1391" s="4">
        <v>64.5</v>
      </c>
      <c r="C1391" s="4">
        <v>144.65</v>
      </c>
      <c r="D1391" s="4">
        <v>135</v>
      </c>
      <c r="E1391" s="4">
        <v>112.5</v>
      </c>
      <c r="F1391" s="4">
        <v>118.75</v>
      </c>
      <c r="G1391" s="4">
        <v>62</v>
      </c>
      <c r="H1391" s="4">
        <v>66.75</v>
      </c>
      <c r="I1391" s="4">
        <v>109.5</v>
      </c>
      <c r="J1391" s="4">
        <v>96.1</v>
      </c>
      <c r="K1391" s="4">
        <v>102.5</v>
      </c>
      <c r="L1391" s="4">
        <v>80.5</v>
      </c>
      <c r="M1391" s="4">
        <v>150.6</v>
      </c>
    </row>
    <row r="1392" spans="1:13">
      <c r="A1392" s="3" t="s">
        <v>1937</v>
      </c>
      <c r="B1392" s="4">
        <v>10</v>
      </c>
      <c r="C1392" s="4">
        <v>20</v>
      </c>
      <c r="D1392" s="4">
        <v>17.5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</row>
    <row r="1393" spans="1:13">
      <c r="A1393" s="3" t="s">
        <v>1938</v>
      </c>
      <c r="B1393" s="4">
        <v>0</v>
      </c>
      <c r="C1393" s="4">
        <v>10</v>
      </c>
      <c r="D1393" s="4">
        <v>0</v>
      </c>
      <c r="E1393" s="4">
        <v>0</v>
      </c>
      <c r="F1393" s="4">
        <v>0</v>
      </c>
      <c r="G1393" s="4">
        <v>30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10</v>
      </c>
    </row>
    <row r="1394" spans="1:13">
      <c r="A1394" s="3" t="s">
        <v>1939</v>
      </c>
      <c r="B1394" s="4">
        <v>30</v>
      </c>
      <c r="C1394" s="4">
        <v>19</v>
      </c>
      <c r="D1394" s="4">
        <v>20</v>
      </c>
      <c r="E1394" s="4">
        <v>35</v>
      </c>
      <c r="F1394" s="4">
        <v>10</v>
      </c>
      <c r="G1394" s="4">
        <v>40</v>
      </c>
      <c r="H1394" s="4">
        <v>0</v>
      </c>
      <c r="I1394" s="4">
        <v>19</v>
      </c>
      <c r="J1394" s="4">
        <v>60</v>
      </c>
      <c r="K1394" s="4">
        <v>7.5</v>
      </c>
      <c r="L1394" s="4">
        <v>55</v>
      </c>
      <c r="M1394" s="4">
        <v>105</v>
      </c>
    </row>
    <row r="1395" spans="1:13">
      <c r="A1395" s="3" t="s">
        <v>1940</v>
      </c>
      <c r="B1395" s="4">
        <v>0</v>
      </c>
      <c r="C1395" s="4">
        <v>25</v>
      </c>
      <c r="D1395" s="4">
        <v>55</v>
      </c>
      <c r="E1395" s="4">
        <v>0</v>
      </c>
      <c r="F1395" s="4">
        <v>0</v>
      </c>
      <c r="G1395" s="4">
        <v>30</v>
      </c>
      <c r="H1395" s="4">
        <v>0</v>
      </c>
      <c r="I1395" s="4">
        <v>0</v>
      </c>
      <c r="J1395" s="4">
        <v>0</v>
      </c>
      <c r="K1395" s="4">
        <v>35</v>
      </c>
      <c r="L1395" s="4">
        <v>35</v>
      </c>
      <c r="M1395" s="4">
        <v>0</v>
      </c>
    </row>
    <row r="1396" spans="1:13">
      <c r="A1396" s="3" t="s">
        <v>1941</v>
      </c>
      <c r="B1396" s="4">
        <v>115.5</v>
      </c>
      <c r="C1396" s="4">
        <v>68</v>
      </c>
      <c r="D1396" s="4">
        <v>35</v>
      </c>
      <c r="E1396" s="4">
        <v>0</v>
      </c>
      <c r="F1396" s="4">
        <v>0</v>
      </c>
      <c r="G1396" s="4">
        <v>37.5</v>
      </c>
      <c r="H1396" s="4">
        <v>25</v>
      </c>
      <c r="I1396" s="4">
        <v>20</v>
      </c>
      <c r="J1396" s="4">
        <v>35</v>
      </c>
      <c r="K1396" s="4">
        <v>0</v>
      </c>
      <c r="L1396" s="4">
        <v>50</v>
      </c>
      <c r="M1396" s="4">
        <v>25.5</v>
      </c>
    </row>
    <row r="1397" spans="1:13">
      <c r="A1397" s="3" t="s">
        <v>1942</v>
      </c>
      <c r="B1397" s="4">
        <v>0</v>
      </c>
      <c r="C1397" s="4">
        <v>0</v>
      </c>
      <c r="D1397" s="4">
        <v>10</v>
      </c>
      <c r="E1397" s="4">
        <v>2</v>
      </c>
      <c r="F1397" s="4">
        <v>0</v>
      </c>
      <c r="G1397" s="4">
        <v>0</v>
      </c>
      <c r="H1397" s="4">
        <v>10</v>
      </c>
      <c r="I1397" s="4">
        <v>10</v>
      </c>
      <c r="J1397" s="4">
        <v>0</v>
      </c>
      <c r="K1397" s="4">
        <v>0</v>
      </c>
      <c r="L1397" s="4">
        <v>0</v>
      </c>
      <c r="M1397" s="4">
        <v>3</v>
      </c>
    </row>
    <row r="1398" spans="1:13">
      <c r="A1398" s="3" t="s">
        <v>1943</v>
      </c>
      <c r="B1398" s="4">
        <v>20</v>
      </c>
      <c r="C1398" s="4">
        <v>20</v>
      </c>
      <c r="D1398" s="4">
        <v>10</v>
      </c>
      <c r="E1398" s="4">
        <v>0</v>
      </c>
      <c r="F1398" s="4">
        <v>32.5</v>
      </c>
      <c r="G1398" s="4">
        <v>28.25</v>
      </c>
      <c r="H1398" s="4">
        <v>17.5</v>
      </c>
      <c r="I1398" s="4">
        <v>0</v>
      </c>
      <c r="J1398" s="4">
        <v>29</v>
      </c>
      <c r="K1398" s="4">
        <v>50</v>
      </c>
      <c r="L1398" s="4">
        <v>39.5</v>
      </c>
      <c r="M1398" s="4">
        <v>58.5</v>
      </c>
    </row>
    <row r="1399" spans="1:13">
      <c r="A1399" s="3" t="s">
        <v>1944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10</v>
      </c>
      <c r="I1399" s="4">
        <v>10</v>
      </c>
      <c r="J1399" s="4">
        <v>0</v>
      </c>
      <c r="K1399" s="4">
        <v>0</v>
      </c>
      <c r="L1399" s="4">
        <v>0</v>
      </c>
      <c r="M1399" s="4">
        <v>0</v>
      </c>
    </row>
    <row r="1400" spans="1:13">
      <c r="A1400" s="3" t="s">
        <v>1945</v>
      </c>
      <c r="B1400" s="4">
        <v>0</v>
      </c>
      <c r="C1400" s="4">
        <v>0</v>
      </c>
      <c r="D1400" s="4">
        <v>0</v>
      </c>
      <c r="E1400" s="4">
        <v>35</v>
      </c>
      <c r="F1400" s="4">
        <v>44.5</v>
      </c>
      <c r="G1400" s="4">
        <v>27.5</v>
      </c>
      <c r="H1400" s="4">
        <v>0</v>
      </c>
      <c r="I1400" s="4">
        <v>0</v>
      </c>
      <c r="J1400" s="4">
        <v>15</v>
      </c>
      <c r="K1400" s="4">
        <v>0</v>
      </c>
      <c r="L1400" s="4">
        <v>5</v>
      </c>
      <c r="M1400" s="4">
        <v>30</v>
      </c>
    </row>
    <row r="1401" spans="1:13">
      <c r="A1401" s="3" t="s">
        <v>1946</v>
      </c>
      <c r="B1401" s="4">
        <v>5</v>
      </c>
      <c r="C1401" s="4">
        <v>0</v>
      </c>
      <c r="D1401" s="4">
        <v>33</v>
      </c>
      <c r="E1401" s="4">
        <v>22.5</v>
      </c>
      <c r="F1401" s="4">
        <v>17</v>
      </c>
      <c r="G1401" s="4">
        <v>31.5</v>
      </c>
      <c r="H1401" s="4">
        <v>5.65</v>
      </c>
      <c r="I1401" s="4">
        <v>21</v>
      </c>
      <c r="J1401" s="4">
        <v>29</v>
      </c>
      <c r="K1401" s="4">
        <v>21</v>
      </c>
      <c r="L1401" s="4">
        <v>14.25</v>
      </c>
      <c r="M1401" s="4">
        <v>25</v>
      </c>
    </row>
    <row r="1402" spans="1:13">
      <c r="A1402" s="3" t="s">
        <v>1947</v>
      </c>
      <c r="B1402" s="4">
        <v>0</v>
      </c>
      <c r="C1402" s="4">
        <v>15</v>
      </c>
      <c r="D1402" s="4">
        <v>5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</row>
    <row r="1403" spans="1:13">
      <c r="A1403" s="3" t="s">
        <v>1948</v>
      </c>
      <c r="B1403" s="4">
        <v>20</v>
      </c>
      <c r="C1403" s="4">
        <v>20</v>
      </c>
      <c r="D1403" s="4">
        <v>65</v>
      </c>
      <c r="E1403" s="4">
        <v>20</v>
      </c>
      <c r="F1403" s="4">
        <v>0</v>
      </c>
      <c r="G1403" s="4">
        <v>20</v>
      </c>
      <c r="H1403" s="4">
        <v>10</v>
      </c>
      <c r="I1403" s="4">
        <v>10</v>
      </c>
      <c r="J1403" s="4">
        <v>46.9</v>
      </c>
      <c r="K1403" s="4">
        <v>25</v>
      </c>
      <c r="L1403" s="4">
        <v>10</v>
      </c>
      <c r="M1403" s="4">
        <v>20</v>
      </c>
    </row>
    <row r="1404" spans="1:13">
      <c r="A1404" s="3" t="s">
        <v>1949</v>
      </c>
      <c r="B1404" s="4">
        <v>0</v>
      </c>
      <c r="C1404" s="4">
        <v>0</v>
      </c>
      <c r="D1404" s="4">
        <v>0</v>
      </c>
      <c r="E1404" s="4">
        <v>25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20</v>
      </c>
      <c r="L1404" s="4">
        <v>0</v>
      </c>
      <c r="M1404" s="4">
        <v>0</v>
      </c>
    </row>
    <row r="1405" spans="1:13">
      <c r="A1405" s="3" t="s">
        <v>1950</v>
      </c>
      <c r="B1405" s="4">
        <v>0</v>
      </c>
      <c r="C1405" s="4">
        <v>0</v>
      </c>
      <c r="D1405" s="4">
        <v>14</v>
      </c>
      <c r="E1405" s="4">
        <v>39.5</v>
      </c>
      <c r="F1405" s="4">
        <v>45</v>
      </c>
      <c r="G1405" s="4">
        <v>57.5</v>
      </c>
      <c r="H1405" s="4">
        <v>30</v>
      </c>
      <c r="I1405" s="4">
        <v>25</v>
      </c>
      <c r="J1405" s="4">
        <v>95</v>
      </c>
      <c r="K1405" s="4">
        <v>79.5</v>
      </c>
      <c r="L1405" s="4">
        <v>20</v>
      </c>
      <c r="M1405" s="4">
        <v>81.75</v>
      </c>
    </row>
    <row r="1406" spans="1:13">
      <c r="A1406" s="3" t="s">
        <v>1951</v>
      </c>
      <c r="B1406" s="4">
        <v>20</v>
      </c>
      <c r="C1406" s="4">
        <v>0</v>
      </c>
      <c r="D1406" s="4">
        <v>18.5</v>
      </c>
      <c r="E1406" s="4">
        <v>25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</row>
    <row r="1407" spans="1:13">
      <c r="A1407" s="3" t="s">
        <v>1952</v>
      </c>
      <c r="B1407" s="4">
        <v>10</v>
      </c>
      <c r="C1407" s="4">
        <v>0</v>
      </c>
      <c r="D1407" s="4">
        <v>10</v>
      </c>
      <c r="E1407" s="4">
        <v>25</v>
      </c>
      <c r="F1407" s="4">
        <v>10</v>
      </c>
      <c r="G1407" s="4">
        <v>20</v>
      </c>
      <c r="H1407" s="4">
        <v>7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</row>
    <row r="1408" spans="1:13">
      <c r="A1408" s="3" t="s">
        <v>1953</v>
      </c>
      <c r="B1408" s="4">
        <v>0</v>
      </c>
      <c r="C1408" s="4">
        <v>0</v>
      </c>
      <c r="D1408" s="4">
        <v>0</v>
      </c>
      <c r="E1408" s="4">
        <v>20</v>
      </c>
      <c r="F1408" s="4">
        <v>27</v>
      </c>
      <c r="G1408" s="4">
        <v>10</v>
      </c>
      <c r="H1408" s="4">
        <v>15</v>
      </c>
      <c r="I1408" s="4">
        <v>62</v>
      </c>
      <c r="J1408" s="4">
        <v>0</v>
      </c>
      <c r="K1408" s="4">
        <v>0</v>
      </c>
      <c r="L1408" s="4">
        <v>0</v>
      </c>
      <c r="M1408" s="4">
        <v>0</v>
      </c>
    </row>
    <row r="1409" spans="1:13">
      <c r="A1409" s="3" t="s">
        <v>1954</v>
      </c>
      <c r="B1409" s="4">
        <v>0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10</v>
      </c>
    </row>
    <row r="1410" spans="1:13">
      <c r="A1410" s="3" t="s">
        <v>1955</v>
      </c>
      <c r="B1410" s="4">
        <v>137</v>
      </c>
      <c r="C1410" s="4">
        <v>0</v>
      </c>
      <c r="D1410" s="4">
        <v>0</v>
      </c>
      <c r="E1410" s="4">
        <v>0</v>
      </c>
      <c r="F1410" s="4">
        <v>0</v>
      </c>
      <c r="G1410" s="4">
        <v>10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</row>
    <row r="1411" spans="1:13">
      <c r="A1411" s="3" t="s">
        <v>1956</v>
      </c>
      <c r="B1411" s="4">
        <v>120</v>
      </c>
      <c r="C1411" s="4">
        <v>29</v>
      </c>
      <c r="D1411" s="4">
        <v>48</v>
      </c>
      <c r="E1411" s="4">
        <v>145</v>
      </c>
      <c r="F1411" s="4">
        <v>142</v>
      </c>
      <c r="G1411" s="4">
        <v>200</v>
      </c>
      <c r="H1411" s="4">
        <v>30</v>
      </c>
      <c r="I1411" s="4">
        <v>10</v>
      </c>
      <c r="J1411" s="4">
        <v>175</v>
      </c>
      <c r="K1411" s="4">
        <v>101</v>
      </c>
      <c r="L1411" s="4">
        <v>118</v>
      </c>
      <c r="M1411" s="4">
        <v>15</v>
      </c>
    </row>
    <row r="1412" spans="1:13">
      <c r="A1412" s="3" t="s">
        <v>1957</v>
      </c>
      <c r="B1412" s="4">
        <v>136.65</v>
      </c>
      <c r="C1412" s="4">
        <v>88</v>
      </c>
      <c r="D1412" s="4">
        <v>174.60000000000002</v>
      </c>
      <c r="E1412" s="4">
        <v>143.75</v>
      </c>
      <c r="F1412" s="4">
        <v>81</v>
      </c>
      <c r="G1412" s="4">
        <v>58.5</v>
      </c>
      <c r="H1412" s="4">
        <v>43</v>
      </c>
      <c r="I1412" s="4">
        <v>48.5</v>
      </c>
      <c r="J1412" s="4">
        <v>30</v>
      </c>
      <c r="K1412" s="4">
        <v>10</v>
      </c>
      <c r="L1412" s="4">
        <v>5</v>
      </c>
      <c r="M1412" s="4">
        <v>0</v>
      </c>
    </row>
    <row r="1413" spans="1:13">
      <c r="A1413" s="3" t="s">
        <v>1958</v>
      </c>
      <c r="B1413" s="4">
        <v>60</v>
      </c>
      <c r="C1413" s="4">
        <v>15</v>
      </c>
      <c r="D1413" s="4">
        <v>58.75</v>
      </c>
      <c r="E1413" s="4">
        <v>54.7</v>
      </c>
      <c r="F1413" s="4">
        <v>52</v>
      </c>
      <c r="G1413" s="4">
        <v>22</v>
      </c>
      <c r="H1413" s="4">
        <v>20</v>
      </c>
      <c r="I1413" s="4">
        <v>30</v>
      </c>
      <c r="J1413" s="4">
        <v>56</v>
      </c>
      <c r="K1413" s="4">
        <v>45.5</v>
      </c>
      <c r="L1413" s="4">
        <v>53.5</v>
      </c>
      <c r="M1413" s="4">
        <v>61</v>
      </c>
    </row>
    <row r="1414" spans="1:13">
      <c r="A1414" s="3" t="s">
        <v>1959</v>
      </c>
      <c r="B1414" s="4">
        <v>50.5</v>
      </c>
      <c r="C1414" s="4">
        <v>50</v>
      </c>
      <c r="D1414" s="4">
        <v>66</v>
      </c>
      <c r="E1414" s="4">
        <v>42</v>
      </c>
      <c r="F1414" s="4">
        <v>31.5</v>
      </c>
      <c r="G1414" s="4">
        <v>20</v>
      </c>
      <c r="H1414" s="4">
        <v>19</v>
      </c>
      <c r="I1414" s="4">
        <v>20</v>
      </c>
      <c r="J1414" s="4">
        <v>50</v>
      </c>
      <c r="K1414" s="4">
        <v>50</v>
      </c>
      <c r="L1414" s="4">
        <v>29</v>
      </c>
      <c r="M1414" s="4">
        <v>101</v>
      </c>
    </row>
    <row r="1415" spans="1:13">
      <c r="A1415" s="3" t="s">
        <v>1960</v>
      </c>
      <c r="B1415" s="4">
        <v>30</v>
      </c>
      <c r="C1415" s="4">
        <v>55</v>
      </c>
      <c r="D1415" s="4">
        <v>60</v>
      </c>
      <c r="E1415" s="4">
        <v>35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</row>
    <row r="1416" spans="1:13">
      <c r="A1416" s="3" t="s">
        <v>1961</v>
      </c>
      <c r="B1416" s="4">
        <v>0</v>
      </c>
      <c r="C1416" s="4">
        <v>0</v>
      </c>
      <c r="D1416" s="4">
        <v>0</v>
      </c>
      <c r="E1416" s="4">
        <v>51</v>
      </c>
      <c r="F1416" s="4">
        <v>0</v>
      </c>
      <c r="G1416" s="4">
        <v>51</v>
      </c>
      <c r="H1416" s="4">
        <v>5</v>
      </c>
      <c r="I1416" s="4">
        <v>0</v>
      </c>
      <c r="J1416" s="4">
        <v>0</v>
      </c>
      <c r="K1416" s="4">
        <v>50.5</v>
      </c>
      <c r="L1416" s="4">
        <v>51</v>
      </c>
      <c r="M1416" s="4">
        <v>101</v>
      </c>
    </row>
    <row r="1417" spans="1:13">
      <c r="A1417" s="3" t="s">
        <v>1962</v>
      </c>
      <c r="B1417" s="4">
        <v>50</v>
      </c>
      <c r="C1417" s="4">
        <v>68</v>
      </c>
      <c r="D1417" s="4">
        <v>80</v>
      </c>
      <c r="E1417" s="4">
        <v>82.5</v>
      </c>
      <c r="F1417" s="4">
        <v>90</v>
      </c>
      <c r="G1417" s="4">
        <v>13.5</v>
      </c>
      <c r="H1417" s="4">
        <v>63.5</v>
      </c>
      <c r="I1417" s="4">
        <v>40</v>
      </c>
      <c r="J1417" s="4">
        <v>57.5</v>
      </c>
      <c r="K1417" s="4">
        <v>50</v>
      </c>
      <c r="L1417" s="4">
        <v>118</v>
      </c>
      <c r="M1417" s="4">
        <v>30</v>
      </c>
    </row>
    <row r="1418" spans="1:13">
      <c r="A1418" s="3" t="s">
        <v>1963</v>
      </c>
      <c r="B1418" s="4">
        <v>34</v>
      </c>
      <c r="C1418" s="4">
        <v>76.5</v>
      </c>
      <c r="D1418" s="4">
        <v>175</v>
      </c>
      <c r="E1418" s="4">
        <v>110</v>
      </c>
      <c r="F1418" s="4">
        <v>60</v>
      </c>
      <c r="G1418" s="4">
        <v>10</v>
      </c>
      <c r="H1418" s="4">
        <v>10</v>
      </c>
      <c r="I1418" s="4">
        <v>50.5</v>
      </c>
      <c r="J1418" s="4">
        <v>0</v>
      </c>
      <c r="K1418" s="4">
        <v>46</v>
      </c>
      <c r="L1418" s="4">
        <v>64</v>
      </c>
      <c r="M1418" s="4">
        <v>62</v>
      </c>
    </row>
    <row r="1419" spans="1:13">
      <c r="A1419" s="3" t="s">
        <v>1964</v>
      </c>
      <c r="B1419" s="4">
        <v>43</v>
      </c>
      <c r="C1419" s="4">
        <v>12</v>
      </c>
      <c r="D1419" s="4">
        <v>5</v>
      </c>
      <c r="E1419" s="4">
        <v>81</v>
      </c>
      <c r="F1419" s="4">
        <v>32</v>
      </c>
      <c r="G1419" s="4">
        <v>10</v>
      </c>
      <c r="H1419" s="4">
        <v>20</v>
      </c>
      <c r="I1419" s="4">
        <v>42.5</v>
      </c>
      <c r="J1419" s="4">
        <v>27.5</v>
      </c>
      <c r="K1419" s="4">
        <v>32</v>
      </c>
      <c r="L1419" s="4">
        <v>53.05</v>
      </c>
      <c r="M1419" s="4">
        <v>42</v>
      </c>
    </row>
    <row r="1420" spans="1:13">
      <c r="A1420" s="3" t="s">
        <v>1965</v>
      </c>
      <c r="B1420" s="4">
        <v>0</v>
      </c>
      <c r="C1420" s="4">
        <v>0</v>
      </c>
      <c r="D1420" s="4">
        <v>10</v>
      </c>
      <c r="E1420" s="4">
        <v>3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</row>
    <row r="1421" spans="1:13">
      <c r="A1421" s="3" t="s">
        <v>1966</v>
      </c>
      <c r="B1421" s="4">
        <v>10</v>
      </c>
      <c r="C1421" s="4">
        <v>15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</row>
    <row r="1422" spans="1:13">
      <c r="A1422" s="3" t="s">
        <v>1967</v>
      </c>
      <c r="B1422" s="4">
        <v>0</v>
      </c>
      <c r="C1422" s="4">
        <v>26</v>
      </c>
      <c r="D1422" s="4">
        <v>0</v>
      </c>
      <c r="E1422" s="4">
        <v>35</v>
      </c>
      <c r="F1422" s="4">
        <v>0</v>
      </c>
      <c r="G1422" s="4">
        <v>15</v>
      </c>
      <c r="H1422" s="4">
        <v>1</v>
      </c>
      <c r="I1422" s="4">
        <v>9</v>
      </c>
      <c r="J1422" s="4">
        <v>18</v>
      </c>
      <c r="K1422" s="4">
        <v>0</v>
      </c>
      <c r="L1422" s="4">
        <v>0</v>
      </c>
      <c r="M1422" s="4">
        <v>0</v>
      </c>
    </row>
    <row r="1423" spans="1:13">
      <c r="A1423" s="3" t="s">
        <v>1968</v>
      </c>
      <c r="B1423" s="4">
        <v>0</v>
      </c>
      <c r="C1423" s="4">
        <v>20</v>
      </c>
      <c r="D1423" s="4">
        <v>26</v>
      </c>
      <c r="E1423" s="4">
        <v>42.5</v>
      </c>
      <c r="F1423" s="4">
        <v>30</v>
      </c>
      <c r="G1423" s="4">
        <v>0</v>
      </c>
      <c r="H1423" s="4">
        <v>10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</row>
    <row r="1424" spans="1:13">
      <c r="A1424" s="3" t="s">
        <v>1969</v>
      </c>
      <c r="B1424" s="4">
        <v>30</v>
      </c>
      <c r="C1424" s="4">
        <v>100</v>
      </c>
      <c r="D1424" s="4">
        <v>65</v>
      </c>
      <c r="E1424" s="4">
        <v>51</v>
      </c>
      <c r="F1424" s="4">
        <v>0</v>
      </c>
      <c r="G1424" s="4">
        <v>40</v>
      </c>
      <c r="H1424" s="4">
        <v>0</v>
      </c>
      <c r="I1424" s="4">
        <v>40</v>
      </c>
      <c r="J1424" s="4">
        <v>0</v>
      </c>
      <c r="K1424" s="4">
        <v>150</v>
      </c>
      <c r="L1424" s="4">
        <v>125</v>
      </c>
      <c r="M1424" s="4">
        <v>55</v>
      </c>
    </row>
    <row r="1425" spans="1:13">
      <c r="A1425" s="3" t="s">
        <v>1970</v>
      </c>
      <c r="B1425" s="4">
        <v>20</v>
      </c>
      <c r="C1425" s="4">
        <v>50</v>
      </c>
      <c r="D1425" s="4">
        <v>30</v>
      </c>
      <c r="E1425" s="4">
        <v>62.5</v>
      </c>
      <c r="F1425" s="4">
        <v>47.5</v>
      </c>
      <c r="G1425" s="4">
        <v>30</v>
      </c>
      <c r="H1425" s="4">
        <v>31</v>
      </c>
      <c r="I1425" s="4">
        <v>40</v>
      </c>
      <c r="J1425" s="4">
        <v>32.5</v>
      </c>
      <c r="K1425" s="4">
        <v>30</v>
      </c>
      <c r="L1425" s="4">
        <v>45</v>
      </c>
      <c r="M1425" s="4">
        <v>10</v>
      </c>
    </row>
    <row r="1426" spans="1:13">
      <c r="A1426" s="3" t="s">
        <v>1971</v>
      </c>
      <c r="B1426" s="4">
        <v>0</v>
      </c>
      <c r="C1426" s="4">
        <v>0</v>
      </c>
      <c r="D1426" s="4">
        <v>0</v>
      </c>
      <c r="E1426" s="4">
        <v>13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</row>
    <row r="1427" spans="1:13">
      <c r="A1427" s="3" t="s">
        <v>1972</v>
      </c>
      <c r="B1427" s="4">
        <v>0</v>
      </c>
      <c r="C1427" s="4">
        <v>0</v>
      </c>
      <c r="D1427" s="4">
        <v>0</v>
      </c>
      <c r="E1427" s="4">
        <v>0</v>
      </c>
      <c r="F1427" s="4">
        <v>10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</row>
    <row r="1428" spans="1:13">
      <c r="A1428" s="3" t="s">
        <v>1973</v>
      </c>
      <c r="B1428" s="4">
        <v>40</v>
      </c>
      <c r="C1428" s="4">
        <v>60</v>
      </c>
      <c r="D1428" s="4">
        <v>65</v>
      </c>
      <c r="E1428" s="4">
        <v>39</v>
      </c>
      <c r="F1428" s="4">
        <v>33.5</v>
      </c>
      <c r="G1428" s="4">
        <v>2.5</v>
      </c>
      <c r="H1428" s="4">
        <v>50</v>
      </c>
      <c r="I1428" s="4">
        <v>20</v>
      </c>
      <c r="J1428" s="4">
        <v>40</v>
      </c>
      <c r="K1428" s="4">
        <v>70.5</v>
      </c>
      <c r="L1428" s="4">
        <v>63.5</v>
      </c>
      <c r="M1428" s="4">
        <v>20</v>
      </c>
    </row>
    <row r="1429" spans="1:13">
      <c r="A1429" s="3" t="s">
        <v>1974</v>
      </c>
      <c r="B1429" s="4">
        <v>10</v>
      </c>
      <c r="C1429" s="4">
        <v>25</v>
      </c>
      <c r="D1429" s="4">
        <v>60</v>
      </c>
      <c r="E1429" s="4">
        <v>50</v>
      </c>
      <c r="F1429" s="4">
        <v>10</v>
      </c>
      <c r="G1429" s="4">
        <v>40</v>
      </c>
      <c r="H1429" s="4">
        <v>50</v>
      </c>
      <c r="I1429" s="4">
        <v>0</v>
      </c>
      <c r="J1429" s="4">
        <v>10</v>
      </c>
      <c r="K1429" s="4">
        <v>30</v>
      </c>
      <c r="L1429" s="4">
        <v>20</v>
      </c>
      <c r="M1429" s="4">
        <v>20</v>
      </c>
    </row>
    <row r="1430" spans="1:13">
      <c r="A1430" s="3" t="s">
        <v>1975</v>
      </c>
      <c r="B1430" s="4">
        <v>56</v>
      </c>
      <c r="C1430" s="4">
        <v>25</v>
      </c>
      <c r="D1430" s="4">
        <v>64</v>
      </c>
      <c r="E1430" s="4">
        <v>69</v>
      </c>
      <c r="F1430" s="4">
        <v>35</v>
      </c>
      <c r="G1430" s="4">
        <v>104.5</v>
      </c>
      <c r="H1430" s="4">
        <v>82.5</v>
      </c>
      <c r="I1430" s="4">
        <v>58</v>
      </c>
      <c r="J1430" s="4">
        <v>115</v>
      </c>
      <c r="K1430" s="4">
        <v>81.5</v>
      </c>
      <c r="L1430" s="4">
        <v>29</v>
      </c>
      <c r="M1430" s="4">
        <v>25</v>
      </c>
    </row>
    <row r="1431" spans="1:13">
      <c r="A1431" s="3" t="s">
        <v>1976</v>
      </c>
      <c r="B1431" s="4">
        <v>0</v>
      </c>
      <c r="C1431" s="4">
        <v>0</v>
      </c>
      <c r="D1431" s="4">
        <v>10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</row>
    <row r="1432" spans="1:13">
      <c r="A1432" s="3" t="s">
        <v>1977</v>
      </c>
      <c r="B1432" s="4">
        <v>17.5</v>
      </c>
      <c r="C1432" s="4">
        <v>112</v>
      </c>
      <c r="D1432" s="4">
        <v>70</v>
      </c>
      <c r="E1432" s="4">
        <v>12</v>
      </c>
      <c r="F1432" s="4">
        <v>8</v>
      </c>
      <c r="G1432" s="4">
        <v>0</v>
      </c>
      <c r="H1432" s="4">
        <v>10</v>
      </c>
      <c r="I1432" s="4">
        <v>0</v>
      </c>
      <c r="J1432" s="4">
        <v>15</v>
      </c>
      <c r="K1432" s="4">
        <v>0</v>
      </c>
      <c r="L1432" s="4">
        <v>13</v>
      </c>
      <c r="M1432" s="4">
        <v>4</v>
      </c>
    </row>
    <row r="1433" spans="1:13">
      <c r="A1433" s="3" t="s">
        <v>1978</v>
      </c>
      <c r="B1433" s="4">
        <v>39.5</v>
      </c>
      <c r="C1433" s="4">
        <v>0</v>
      </c>
      <c r="D1433" s="4">
        <v>27.5</v>
      </c>
      <c r="E1433" s="4">
        <v>46</v>
      </c>
      <c r="F1433" s="4">
        <v>29</v>
      </c>
      <c r="G1433" s="4">
        <v>11.5</v>
      </c>
      <c r="H1433" s="4">
        <v>0</v>
      </c>
      <c r="I1433" s="4">
        <v>13</v>
      </c>
      <c r="J1433" s="4">
        <v>30</v>
      </c>
      <c r="K1433" s="4">
        <v>10</v>
      </c>
      <c r="L1433" s="4">
        <v>17.5</v>
      </c>
      <c r="M1433" s="4">
        <v>14</v>
      </c>
    </row>
    <row r="1434" spans="1:13">
      <c r="A1434" s="3" t="s">
        <v>1979</v>
      </c>
      <c r="B1434" s="4">
        <v>11</v>
      </c>
      <c r="C1434" s="4">
        <v>15</v>
      </c>
      <c r="D1434" s="4">
        <v>50</v>
      </c>
      <c r="E1434" s="4">
        <v>18</v>
      </c>
      <c r="F1434" s="4">
        <v>40</v>
      </c>
      <c r="G1434" s="4">
        <v>30</v>
      </c>
      <c r="H1434" s="4">
        <v>30</v>
      </c>
      <c r="I1434" s="4">
        <v>15</v>
      </c>
      <c r="J1434" s="4">
        <v>32</v>
      </c>
      <c r="K1434" s="4">
        <v>30</v>
      </c>
      <c r="L1434" s="4">
        <v>10</v>
      </c>
      <c r="M1434" s="4">
        <v>133</v>
      </c>
    </row>
    <row r="1435" spans="1:13">
      <c r="A1435" s="3" t="s">
        <v>1980</v>
      </c>
      <c r="B1435" s="4">
        <v>35</v>
      </c>
      <c r="C1435" s="4">
        <v>20</v>
      </c>
      <c r="D1435" s="4">
        <v>89.5</v>
      </c>
      <c r="E1435" s="4">
        <v>80.900000000000006</v>
      </c>
      <c r="F1435" s="4">
        <v>42.5</v>
      </c>
      <c r="G1435" s="4">
        <v>40</v>
      </c>
      <c r="H1435" s="4">
        <v>35</v>
      </c>
      <c r="I1435" s="4">
        <v>21</v>
      </c>
      <c r="J1435" s="4">
        <v>32</v>
      </c>
      <c r="K1435" s="4">
        <v>50</v>
      </c>
      <c r="L1435" s="4">
        <v>62</v>
      </c>
      <c r="M1435" s="4">
        <v>94</v>
      </c>
    </row>
    <row r="1436" spans="1:13">
      <c r="A1436" s="3" t="s">
        <v>1981</v>
      </c>
      <c r="B1436" s="4">
        <v>0</v>
      </c>
      <c r="C1436" s="4">
        <v>0</v>
      </c>
      <c r="D1436" s="4">
        <v>0</v>
      </c>
      <c r="E1436" s="4">
        <v>11</v>
      </c>
      <c r="F1436" s="4">
        <v>20</v>
      </c>
      <c r="G1436" s="4">
        <v>0</v>
      </c>
      <c r="H1436" s="4">
        <v>50</v>
      </c>
      <c r="I1436" s="4">
        <v>0</v>
      </c>
      <c r="J1436" s="4">
        <v>0</v>
      </c>
      <c r="K1436" s="4">
        <v>30</v>
      </c>
      <c r="L1436" s="4">
        <v>0</v>
      </c>
      <c r="M1436" s="4">
        <v>10</v>
      </c>
    </row>
    <row r="1437" spans="1:13">
      <c r="A1437" s="3" t="s">
        <v>1982</v>
      </c>
      <c r="B1437" s="4">
        <v>0</v>
      </c>
      <c r="C1437" s="4">
        <v>0</v>
      </c>
      <c r="D1437" s="4">
        <v>3.5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10</v>
      </c>
      <c r="L1437" s="4">
        <v>5</v>
      </c>
      <c r="M1437" s="4">
        <v>60</v>
      </c>
    </row>
    <row r="1438" spans="1:13">
      <c r="A1438" s="3" t="s">
        <v>1983</v>
      </c>
      <c r="B1438" s="4">
        <v>11</v>
      </c>
      <c r="C1438" s="4">
        <v>0</v>
      </c>
      <c r="D1438" s="4">
        <v>95</v>
      </c>
      <c r="E1438" s="4">
        <v>60</v>
      </c>
      <c r="F1438" s="4">
        <v>0</v>
      </c>
      <c r="G1438" s="4">
        <v>30</v>
      </c>
      <c r="H1438" s="4">
        <v>0</v>
      </c>
      <c r="I1438" s="4">
        <v>0</v>
      </c>
      <c r="J1438" s="4">
        <v>10</v>
      </c>
      <c r="K1438" s="4">
        <v>20</v>
      </c>
      <c r="L1438" s="4">
        <v>19</v>
      </c>
      <c r="M1438" s="4">
        <v>29</v>
      </c>
    </row>
    <row r="1439" spans="1:13">
      <c r="A1439" s="3" t="s">
        <v>1984</v>
      </c>
      <c r="B1439" s="4">
        <v>47</v>
      </c>
      <c r="C1439" s="4">
        <v>34</v>
      </c>
      <c r="D1439" s="4">
        <v>29</v>
      </c>
      <c r="E1439" s="4">
        <v>20.5</v>
      </c>
      <c r="F1439" s="4">
        <v>39.5</v>
      </c>
      <c r="G1439" s="4">
        <v>0</v>
      </c>
      <c r="H1439" s="4">
        <v>25</v>
      </c>
      <c r="I1439" s="4">
        <v>10</v>
      </c>
      <c r="J1439" s="4">
        <v>19</v>
      </c>
      <c r="K1439" s="4">
        <v>40.5</v>
      </c>
      <c r="L1439" s="4">
        <v>42</v>
      </c>
      <c r="M1439" s="4">
        <v>7.5</v>
      </c>
    </row>
    <row r="1440" spans="1:13">
      <c r="A1440" s="3" t="s">
        <v>1985</v>
      </c>
      <c r="B1440" s="4">
        <v>45</v>
      </c>
      <c r="C1440" s="4">
        <v>20</v>
      </c>
      <c r="D1440" s="4">
        <v>140</v>
      </c>
      <c r="E1440" s="4">
        <v>47.5</v>
      </c>
      <c r="F1440" s="4">
        <v>87.5</v>
      </c>
      <c r="G1440" s="4">
        <v>90.5</v>
      </c>
      <c r="H1440" s="4">
        <v>120</v>
      </c>
      <c r="I1440" s="4">
        <v>46</v>
      </c>
      <c r="J1440" s="4">
        <v>65</v>
      </c>
      <c r="K1440" s="4">
        <v>52.5</v>
      </c>
      <c r="L1440" s="4">
        <v>50</v>
      </c>
      <c r="M1440" s="4">
        <v>135.6</v>
      </c>
    </row>
    <row r="1441" spans="1:13">
      <c r="A1441" s="3" t="s">
        <v>1986</v>
      </c>
      <c r="B1441" s="4">
        <v>0</v>
      </c>
      <c r="C1441" s="4">
        <v>25</v>
      </c>
      <c r="D1441" s="4">
        <v>0</v>
      </c>
      <c r="E1441" s="4">
        <v>2.5</v>
      </c>
      <c r="F1441" s="4">
        <v>2.5</v>
      </c>
      <c r="G1441" s="4">
        <v>16</v>
      </c>
      <c r="H1441" s="4">
        <v>0</v>
      </c>
      <c r="I1441" s="4">
        <v>5</v>
      </c>
      <c r="J1441" s="4">
        <v>3.5</v>
      </c>
      <c r="K1441" s="4">
        <v>7.5</v>
      </c>
      <c r="L1441" s="4">
        <v>7.5</v>
      </c>
      <c r="M1441" s="4">
        <v>0</v>
      </c>
    </row>
    <row r="1442" spans="1:13">
      <c r="A1442" s="3" t="s">
        <v>1987</v>
      </c>
      <c r="B1442" s="4">
        <v>0</v>
      </c>
      <c r="C1442" s="4">
        <v>49</v>
      </c>
      <c r="D1442" s="4">
        <v>61</v>
      </c>
      <c r="E1442" s="4">
        <v>20</v>
      </c>
      <c r="F1442" s="4">
        <v>25</v>
      </c>
      <c r="G1442" s="4">
        <v>35</v>
      </c>
      <c r="H1442" s="4">
        <v>50</v>
      </c>
      <c r="I1442" s="4">
        <v>35</v>
      </c>
      <c r="J1442" s="4">
        <v>35</v>
      </c>
      <c r="K1442" s="4">
        <v>20</v>
      </c>
      <c r="L1442" s="4">
        <v>65</v>
      </c>
      <c r="M1442" s="4">
        <v>110</v>
      </c>
    </row>
    <row r="1443" spans="1:13">
      <c r="A1443" s="3" t="s">
        <v>1988</v>
      </c>
      <c r="B1443" s="4">
        <v>10</v>
      </c>
      <c r="C1443" s="4">
        <v>0</v>
      </c>
      <c r="D1443" s="4">
        <v>0</v>
      </c>
      <c r="E1443" s="4">
        <v>40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20</v>
      </c>
    </row>
    <row r="1444" spans="1:13">
      <c r="A1444" s="3" t="s">
        <v>1989</v>
      </c>
      <c r="B1444" s="4">
        <v>0</v>
      </c>
      <c r="C1444" s="4">
        <v>196.5</v>
      </c>
      <c r="D1444" s="4">
        <v>181</v>
      </c>
      <c r="E1444" s="4">
        <v>0</v>
      </c>
      <c r="F1444" s="4">
        <v>162</v>
      </c>
      <c r="G1444" s="4">
        <v>0</v>
      </c>
      <c r="H1444" s="4">
        <v>140</v>
      </c>
      <c r="I1444" s="4">
        <v>0</v>
      </c>
      <c r="J1444" s="4">
        <v>266</v>
      </c>
      <c r="K1444" s="4">
        <v>112</v>
      </c>
      <c r="L1444" s="4">
        <v>155.5</v>
      </c>
      <c r="M1444" s="4">
        <v>288</v>
      </c>
    </row>
    <row r="1445" spans="1:13">
      <c r="A1445" s="3" t="s">
        <v>1990</v>
      </c>
      <c r="B1445" s="4">
        <v>46</v>
      </c>
      <c r="C1445" s="4">
        <v>10</v>
      </c>
      <c r="D1445" s="4">
        <v>10</v>
      </c>
      <c r="E1445" s="4">
        <v>56</v>
      </c>
      <c r="F1445" s="4">
        <v>52.5</v>
      </c>
      <c r="G1445" s="4">
        <v>40</v>
      </c>
      <c r="H1445" s="4">
        <v>49.5</v>
      </c>
      <c r="I1445" s="4">
        <v>20.5</v>
      </c>
      <c r="J1445" s="4">
        <v>88.05</v>
      </c>
      <c r="K1445" s="4">
        <v>87.5</v>
      </c>
      <c r="L1445" s="4">
        <v>53</v>
      </c>
      <c r="M1445" s="4">
        <v>90</v>
      </c>
    </row>
    <row r="1446" spans="1:13">
      <c r="A1446" s="3" t="s">
        <v>1991</v>
      </c>
      <c r="B1446" s="4">
        <v>0</v>
      </c>
      <c r="C1446" s="4">
        <v>52</v>
      </c>
      <c r="D1446" s="4">
        <v>17.5</v>
      </c>
      <c r="E1446" s="4">
        <v>0</v>
      </c>
      <c r="F1446" s="4">
        <v>25</v>
      </c>
      <c r="G1446" s="4">
        <v>0</v>
      </c>
      <c r="H1446" s="4">
        <v>10</v>
      </c>
      <c r="I1446" s="4">
        <v>35</v>
      </c>
      <c r="J1446" s="4">
        <v>30</v>
      </c>
      <c r="K1446" s="4">
        <v>20</v>
      </c>
      <c r="L1446" s="4">
        <v>20</v>
      </c>
      <c r="M1446" s="4">
        <v>77</v>
      </c>
    </row>
    <row r="1447" spans="1:13">
      <c r="A1447" s="3" t="s">
        <v>1992</v>
      </c>
      <c r="B1447" s="4">
        <v>68.5</v>
      </c>
      <c r="C1447" s="4">
        <v>80</v>
      </c>
      <c r="D1447" s="4">
        <v>50</v>
      </c>
      <c r="E1447" s="4">
        <v>137</v>
      </c>
      <c r="F1447" s="4">
        <v>51</v>
      </c>
      <c r="G1447" s="4">
        <v>10</v>
      </c>
      <c r="H1447" s="4">
        <v>80</v>
      </c>
      <c r="I1447" s="4">
        <v>50</v>
      </c>
      <c r="J1447" s="4">
        <v>109.5</v>
      </c>
      <c r="K1447" s="4">
        <v>34</v>
      </c>
      <c r="L1447" s="4">
        <v>8.25</v>
      </c>
      <c r="M1447" s="4">
        <v>10</v>
      </c>
    </row>
    <row r="1448" spans="1:13">
      <c r="A1448" s="3" t="s">
        <v>1993</v>
      </c>
      <c r="B1448" s="4">
        <v>50</v>
      </c>
      <c r="C1448" s="4">
        <v>20</v>
      </c>
      <c r="D1448" s="4">
        <v>50</v>
      </c>
      <c r="E1448" s="4">
        <v>62.5</v>
      </c>
      <c r="F1448" s="4">
        <v>42.5</v>
      </c>
      <c r="G1448" s="4">
        <v>73</v>
      </c>
      <c r="H1448" s="4">
        <v>88.5</v>
      </c>
      <c r="I1448" s="4">
        <v>35</v>
      </c>
      <c r="J1448" s="4">
        <v>67.5</v>
      </c>
      <c r="K1448" s="4">
        <v>30</v>
      </c>
      <c r="L1448" s="4">
        <v>25</v>
      </c>
      <c r="M1448" s="4">
        <v>305</v>
      </c>
    </row>
    <row r="1449" spans="1:13">
      <c r="A1449" s="3" t="s">
        <v>1994</v>
      </c>
      <c r="B1449" s="4">
        <v>0</v>
      </c>
      <c r="C1449" s="4">
        <v>0</v>
      </c>
      <c r="D1449" s="4">
        <v>0</v>
      </c>
      <c r="E1449" s="4">
        <v>0</v>
      </c>
      <c r="F1449" s="4">
        <v>10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</row>
    <row r="1450" spans="1:13">
      <c r="A1450" s="3" t="s">
        <v>1995</v>
      </c>
      <c r="B1450" s="4">
        <v>20</v>
      </c>
      <c r="C1450" s="4">
        <v>15</v>
      </c>
      <c r="D1450" s="4">
        <v>50</v>
      </c>
      <c r="E1450" s="4">
        <v>58.5</v>
      </c>
      <c r="F1450" s="4">
        <v>20</v>
      </c>
      <c r="G1450" s="4">
        <v>17.5</v>
      </c>
      <c r="H1450" s="4">
        <v>47.5</v>
      </c>
      <c r="I1450" s="4">
        <v>0</v>
      </c>
      <c r="J1450" s="4">
        <v>25.5</v>
      </c>
      <c r="K1450" s="4">
        <v>35</v>
      </c>
      <c r="L1450" s="4">
        <v>35</v>
      </c>
      <c r="M1450" s="4">
        <v>75</v>
      </c>
    </row>
    <row r="1451" spans="1:13">
      <c r="A1451" s="3" t="s">
        <v>1996</v>
      </c>
      <c r="B1451" s="4">
        <v>50</v>
      </c>
      <c r="C1451" s="4">
        <v>90</v>
      </c>
      <c r="D1451" s="4">
        <v>130</v>
      </c>
      <c r="E1451" s="4">
        <v>81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40</v>
      </c>
      <c r="L1451" s="4">
        <v>0</v>
      </c>
      <c r="M1451" s="4">
        <v>55</v>
      </c>
    </row>
    <row r="1452" spans="1:13">
      <c r="A1452" s="3" t="s">
        <v>1997</v>
      </c>
      <c r="B1452" s="4">
        <v>0</v>
      </c>
      <c r="C1452" s="4">
        <v>0</v>
      </c>
      <c r="D1452" s="4">
        <v>15</v>
      </c>
      <c r="E1452" s="4">
        <v>37</v>
      </c>
      <c r="F1452" s="4">
        <v>32.5</v>
      </c>
      <c r="G1452" s="4">
        <v>25</v>
      </c>
      <c r="H1452" s="4">
        <v>25</v>
      </c>
      <c r="I1452" s="4">
        <v>0</v>
      </c>
      <c r="J1452" s="4">
        <v>17.5</v>
      </c>
      <c r="K1452" s="4">
        <v>0</v>
      </c>
      <c r="L1452" s="4">
        <v>20</v>
      </c>
      <c r="M1452" s="4">
        <v>25</v>
      </c>
    </row>
    <row r="1453" spans="1:13">
      <c r="A1453" s="3" t="s">
        <v>1998</v>
      </c>
      <c r="B1453" s="4">
        <v>0</v>
      </c>
      <c r="C1453" s="4">
        <v>0</v>
      </c>
      <c r="D1453" s="4">
        <v>0</v>
      </c>
      <c r="E1453" s="4">
        <v>53</v>
      </c>
      <c r="F1453" s="4">
        <v>54</v>
      </c>
      <c r="G1453" s="4">
        <v>0</v>
      </c>
      <c r="H1453" s="4">
        <v>1</v>
      </c>
      <c r="I1453" s="4">
        <v>0</v>
      </c>
      <c r="J1453" s="4">
        <v>9.5</v>
      </c>
      <c r="K1453" s="4">
        <v>0</v>
      </c>
      <c r="L1453" s="4">
        <v>0</v>
      </c>
      <c r="M1453" s="4">
        <v>0</v>
      </c>
    </row>
    <row r="1454" spans="1:13">
      <c r="A1454" s="3" t="s">
        <v>1999</v>
      </c>
      <c r="B1454" s="4">
        <v>60</v>
      </c>
      <c r="C1454" s="4">
        <v>26</v>
      </c>
      <c r="D1454" s="4">
        <v>0</v>
      </c>
      <c r="E1454" s="4">
        <v>20</v>
      </c>
      <c r="F1454" s="4">
        <v>25</v>
      </c>
      <c r="G1454" s="4">
        <v>35</v>
      </c>
      <c r="H1454" s="4">
        <v>30</v>
      </c>
      <c r="I1454" s="4">
        <v>20</v>
      </c>
      <c r="J1454" s="4">
        <v>20</v>
      </c>
      <c r="K1454" s="4">
        <v>27.5</v>
      </c>
      <c r="L1454" s="4">
        <v>0</v>
      </c>
      <c r="M1454" s="4">
        <v>0</v>
      </c>
    </row>
    <row r="1455" spans="1:13">
      <c r="A1455" s="3" t="s">
        <v>2000</v>
      </c>
      <c r="B1455" s="4">
        <v>20</v>
      </c>
      <c r="C1455" s="4">
        <v>80</v>
      </c>
      <c r="D1455" s="4">
        <v>105</v>
      </c>
      <c r="E1455" s="4">
        <v>51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40</v>
      </c>
      <c r="L1455" s="4">
        <v>0</v>
      </c>
      <c r="M1455" s="4">
        <v>104</v>
      </c>
    </row>
    <row r="1456" spans="1:13">
      <c r="A1456" s="3" t="s">
        <v>2001</v>
      </c>
      <c r="B1456" s="4">
        <v>50</v>
      </c>
      <c r="C1456" s="4">
        <v>100</v>
      </c>
      <c r="D1456" s="4">
        <v>90</v>
      </c>
      <c r="E1456" s="4">
        <v>56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104</v>
      </c>
    </row>
    <row r="1457" spans="1:13">
      <c r="A1457" s="3" t="s">
        <v>2002</v>
      </c>
      <c r="B1457" s="4">
        <v>50</v>
      </c>
      <c r="C1457" s="4">
        <v>80</v>
      </c>
      <c r="D1457" s="4">
        <v>20</v>
      </c>
      <c r="E1457" s="4">
        <v>91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40</v>
      </c>
      <c r="L1457" s="4">
        <v>0</v>
      </c>
      <c r="M1457" s="4">
        <v>119</v>
      </c>
    </row>
    <row r="1458" spans="1:13">
      <c r="A1458" s="3" t="s">
        <v>2003</v>
      </c>
      <c r="B1458" s="4">
        <v>10</v>
      </c>
      <c r="C1458" s="4">
        <v>10</v>
      </c>
      <c r="D1458" s="4">
        <v>10</v>
      </c>
      <c r="E1458" s="4">
        <v>20</v>
      </c>
      <c r="F1458" s="4">
        <v>14</v>
      </c>
      <c r="G1458" s="4">
        <v>28</v>
      </c>
      <c r="H1458" s="4">
        <v>54</v>
      </c>
      <c r="I1458" s="4">
        <v>30</v>
      </c>
      <c r="J1458" s="4">
        <v>37.5</v>
      </c>
      <c r="K1458" s="4">
        <v>30</v>
      </c>
      <c r="L1458" s="4">
        <v>30</v>
      </c>
      <c r="M1458" s="4">
        <v>130</v>
      </c>
    </row>
    <row r="1459" spans="1:13">
      <c r="A1459" s="3" t="s">
        <v>2004</v>
      </c>
      <c r="B1459" s="4">
        <v>35</v>
      </c>
      <c r="C1459" s="4">
        <v>50</v>
      </c>
      <c r="D1459" s="4">
        <v>45</v>
      </c>
      <c r="E1459" s="4">
        <v>66.5</v>
      </c>
      <c r="F1459" s="4">
        <v>70</v>
      </c>
      <c r="G1459" s="4">
        <v>43</v>
      </c>
      <c r="H1459" s="4">
        <v>25</v>
      </c>
      <c r="I1459" s="4">
        <v>21.75</v>
      </c>
      <c r="J1459" s="4">
        <v>70</v>
      </c>
      <c r="K1459" s="4">
        <v>50</v>
      </c>
      <c r="L1459" s="4">
        <v>47</v>
      </c>
      <c r="M1459" s="4">
        <v>68.5</v>
      </c>
    </row>
    <row r="1460" spans="1:13">
      <c r="A1460" s="3" t="s">
        <v>2005</v>
      </c>
      <c r="B1460" s="4">
        <v>5</v>
      </c>
      <c r="C1460" s="4">
        <v>20</v>
      </c>
      <c r="D1460" s="4">
        <v>20</v>
      </c>
      <c r="E1460" s="4">
        <v>41</v>
      </c>
      <c r="F1460" s="4">
        <v>7.5</v>
      </c>
      <c r="G1460" s="4">
        <v>25</v>
      </c>
      <c r="H1460" s="4">
        <v>5</v>
      </c>
      <c r="I1460" s="4">
        <v>10</v>
      </c>
      <c r="J1460" s="4">
        <v>20.5</v>
      </c>
      <c r="K1460" s="4">
        <v>10</v>
      </c>
      <c r="L1460" s="4">
        <v>20</v>
      </c>
      <c r="M1460" s="4">
        <v>35</v>
      </c>
    </row>
    <row r="1461" spans="1:13">
      <c r="A1461" s="3" t="s">
        <v>2006</v>
      </c>
      <c r="B1461" s="4">
        <v>5</v>
      </c>
      <c r="C1461" s="4">
        <v>10</v>
      </c>
      <c r="D1461" s="4">
        <v>5</v>
      </c>
      <c r="E1461" s="4">
        <v>25</v>
      </c>
      <c r="F1461" s="4">
        <v>22.5</v>
      </c>
      <c r="G1461" s="4">
        <v>45</v>
      </c>
      <c r="H1461" s="4">
        <v>20</v>
      </c>
      <c r="I1461" s="4">
        <v>20</v>
      </c>
      <c r="J1461" s="4">
        <v>89.5</v>
      </c>
      <c r="K1461" s="4">
        <v>70</v>
      </c>
      <c r="L1461" s="4">
        <v>98.5</v>
      </c>
      <c r="M1461" s="4">
        <v>112</v>
      </c>
    </row>
    <row r="1462" spans="1:13">
      <c r="A1462" s="3" t="s">
        <v>2007</v>
      </c>
      <c r="B1462" s="4">
        <v>10</v>
      </c>
      <c r="C1462" s="4">
        <v>0</v>
      </c>
      <c r="D1462" s="4">
        <v>53.5</v>
      </c>
      <c r="E1462" s="4">
        <v>67</v>
      </c>
      <c r="F1462" s="4">
        <v>27.5</v>
      </c>
      <c r="G1462" s="4">
        <v>21.25</v>
      </c>
      <c r="H1462" s="4">
        <v>42.5</v>
      </c>
      <c r="I1462" s="4">
        <v>59.5</v>
      </c>
      <c r="J1462" s="4">
        <v>38</v>
      </c>
      <c r="K1462" s="4">
        <v>40</v>
      </c>
      <c r="L1462" s="4">
        <v>43</v>
      </c>
      <c r="M1462" s="4">
        <v>83.55</v>
      </c>
    </row>
    <row r="1463" spans="1:13">
      <c r="A1463" s="3" t="s">
        <v>2008</v>
      </c>
      <c r="B1463" s="4">
        <v>102.5</v>
      </c>
      <c r="C1463" s="4">
        <v>142.5</v>
      </c>
      <c r="D1463" s="4">
        <v>41.65</v>
      </c>
      <c r="E1463" s="4">
        <v>35.450000000000003</v>
      </c>
      <c r="F1463" s="4">
        <v>60.45</v>
      </c>
      <c r="G1463" s="4">
        <v>87.5</v>
      </c>
      <c r="H1463" s="4">
        <v>35.5</v>
      </c>
      <c r="I1463" s="4">
        <v>20</v>
      </c>
      <c r="J1463" s="4">
        <v>135</v>
      </c>
      <c r="K1463" s="4">
        <v>44.5</v>
      </c>
      <c r="L1463" s="4">
        <v>37.5</v>
      </c>
      <c r="M1463" s="4">
        <v>20</v>
      </c>
    </row>
    <row r="1464" spans="1:13">
      <c r="A1464" s="3" t="s">
        <v>2009</v>
      </c>
      <c r="B1464" s="4">
        <v>10</v>
      </c>
      <c r="C1464" s="4">
        <v>15</v>
      </c>
      <c r="D1464" s="4">
        <v>20</v>
      </c>
      <c r="E1464" s="4">
        <v>0</v>
      </c>
      <c r="F1464" s="4">
        <v>0</v>
      </c>
      <c r="G1464" s="4">
        <v>0</v>
      </c>
      <c r="H1464" s="4">
        <v>12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</row>
    <row r="1465" spans="1:13">
      <c r="A1465" s="3" t="s">
        <v>2010</v>
      </c>
      <c r="B1465" s="4">
        <v>34</v>
      </c>
      <c r="C1465" s="4">
        <v>36</v>
      </c>
      <c r="D1465" s="4">
        <v>40</v>
      </c>
      <c r="E1465" s="4">
        <v>10</v>
      </c>
      <c r="F1465" s="4">
        <v>21</v>
      </c>
      <c r="G1465" s="4">
        <v>10</v>
      </c>
      <c r="H1465" s="4">
        <v>0</v>
      </c>
      <c r="I1465" s="4">
        <v>20</v>
      </c>
      <c r="J1465" s="4">
        <v>3</v>
      </c>
      <c r="K1465" s="4">
        <v>20</v>
      </c>
      <c r="L1465" s="4">
        <v>17.5</v>
      </c>
      <c r="M1465" s="4">
        <v>20</v>
      </c>
    </row>
    <row r="1466" spans="1:13">
      <c r="A1466" s="3" t="s">
        <v>2011</v>
      </c>
      <c r="B1466" s="4">
        <v>0</v>
      </c>
      <c r="C1466" s="4">
        <v>0</v>
      </c>
      <c r="D1466" s="4">
        <v>0</v>
      </c>
      <c r="E1466" s="4">
        <v>53</v>
      </c>
      <c r="F1466" s="4">
        <v>0</v>
      </c>
      <c r="G1466" s="4">
        <v>0</v>
      </c>
      <c r="H1466" s="4">
        <v>1</v>
      </c>
      <c r="I1466" s="4">
        <v>0</v>
      </c>
      <c r="J1466" s="4">
        <v>15.5</v>
      </c>
      <c r="K1466" s="4">
        <v>101</v>
      </c>
      <c r="L1466" s="4">
        <v>0</v>
      </c>
      <c r="M1466" s="4">
        <v>0</v>
      </c>
    </row>
    <row r="1467" spans="1:13">
      <c r="A1467" s="3" t="s">
        <v>2012</v>
      </c>
      <c r="B1467" s="4">
        <v>0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44</v>
      </c>
      <c r="K1467" s="4">
        <v>6</v>
      </c>
      <c r="L1467" s="4">
        <v>60</v>
      </c>
      <c r="M1467" s="4">
        <v>55</v>
      </c>
    </row>
    <row r="1468" spans="1:13">
      <c r="A1468" s="3" t="s">
        <v>2013</v>
      </c>
      <c r="B1468" s="4">
        <v>20</v>
      </c>
      <c r="C1468" s="4">
        <v>0</v>
      </c>
      <c r="D1468" s="4">
        <v>0</v>
      </c>
      <c r="E1468" s="4">
        <v>12.5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</row>
    <row r="1469" spans="1:13">
      <c r="A1469" s="3" t="s">
        <v>2014</v>
      </c>
      <c r="B1469" s="4">
        <v>34</v>
      </c>
      <c r="C1469" s="4">
        <v>45</v>
      </c>
      <c r="D1469" s="4">
        <v>50</v>
      </c>
      <c r="E1469" s="4">
        <v>68</v>
      </c>
      <c r="F1469" s="4">
        <v>53</v>
      </c>
      <c r="G1469" s="4">
        <v>40</v>
      </c>
      <c r="H1469" s="4">
        <v>20</v>
      </c>
      <c r="I1469" s="4">
        <v>17</v>
      </c>
      <c r="J1469" s="4">
        <v>30</v>
      </c>
      <c r="K1469" s="4">
        <v>40</v>
      </c>
      <c r="L1469" s="4">
        <v>50</v>
      </c>
      <c r="M1469" s="4">
        <v>53.5</v>
      </c>
    </row>
    <row r="1470" spans="1:13">
      <c r="A1470" s="3" t="s">
        <v>2015</v>
      </c>
      <c r="B1470" s="4">
        <v>10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</row>
    <row r="1471" spans="1:13">
      <c r="A1471" s="3" t="s">
        <v>2016</v>
      </c>
      <c r="B1471" s="4">
        <v>10</v>
      </c>
      <c r="C1471" s="4">
        <v>0</v>
      </c>
      <c r="D1471" s="4">
        <v>0</v>
      </c>
      <c r="E1471" s="4">
        <v>0</v>
      </c>
      <c r="F1471" s="4">
        <v>0</v>
      </c>
      <c r="G1471" s="4">
        <v>30</v>
      </c>
      <c r="H1471" s="4">
        <v>27.5</v>
      </c>
      <c r="I1471" s="4">
        <v>45</v>
      </c>
      <c r="J1471" s="4">
        <v>105</v>
      </c>
      <c r="K1471" s="4">
        <v>60</v>
      </c>
      <c r="L1471" s="4">
        <v>125</v>
      </c>
      <c r="M1471" s="4">
        <v>111.5</v>
      </c>
    </row>
    <row r="1472" spans="1:13">
      <c r="A1472" s="3" t="s">
        <v>2017</v>
      </c>
      <c r="B1472" s="4">
        <v>0</v>
      </c>
      <c r="C1472" s="4">
        <v>29.5</v>
      </c>
      <c r="D1472" s="4">
        <v>0</v>
      </c>
      <c r="E1472" s="4">
        <v>10</v>
      </c>
      <c r="F1472" s="4">
        <v>51</v>
      </c>
      <c r="G1472" s="4">
        <v>20</v>
      </c>
      <c r="H1472" s="4">
        <v>7</v>
      </c>
      <c r="I1472" s="4">
        <v>0</v>
      </c>
      <c r="J1472" s="4">
        <v>68</v>
      </c>
      <c r="K1472" s="4">
        <v>63.5</v>
      </c>
      <c r="L1472" s="4">
        <v>16</v>
      </c>
      <c r="M1472" s="4">
        <v>193</v>
      </c>
    </row>
    <row r="1473" spans="1:13">
      <c r="A1473" s="3" t="s">
        <v>2018</v>
      </c>
      <c r="B1473" s="4">
        <v>30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35</v>
      </c>
      <c r="I1473" s="4">
        <v>0</v>
      </c>
      <c r="J1473" s="4">
        <v>10</v>
      </c>
      <c r="K1473" s="4">
        <v>35</v>
      </c>
      <c r="L1473" s="4">
        <v>92</v>
      </c>
      <c r="M1473" s="4">
        <v>20</v>
      </c>
    </row>
    <row r="1474" spans="1:13">
      <c r="A1474" s="3" t="s">
        <v>2019</v>
      </c>
      <c r="B1474" s="4">
        <v>94.5</v>
      </c>
      <c r="C1474" s="4">
        <v>27.5</v>
      </c>
      <c r="D1474" s="4">
        <v>19.5</v>
      </c>
      <c r="E1474" s="4">
        <v>19.5</v>
      </c>
      <c r="F1474" s="4">
        <v>62.5</v>
      </c>
      <c r="G1474" s="4">
        <v>3</v>
      </c>
      <c r="H1474" s="4">
        <v>2</v>
      </c>
      <c r="I1474" s="4">
        <v>18</v>
      </c>
      <c r="J1474" s="4">
        <v>28.5</v>
      </c>
      <c r="K1474" s="4">
        <v>54</v>
      </c>
      <c r="L1474" s="4">
        <v>34</v>
      </c>
      <c r="M1474" s="4">
        <v>65</v>
      </c>
    </row>
    <row r="1475" spans="1:13">
      <c r="A1475" s="3" t="s">
        <v>2020</v>
      </c>
      <c r="B1475" s="4">
        <v>104.5</v>
      </c>
      <c r="C1475" s="4">
        <v>87.75</v>
      </c>
      <c r="D1475" s="4">
        <v>165</v>
      </c>
      <c r="E1475" s="4">
        <v>117</v>
      </c>
      <c r="F1475" s="4">
        <v>144.5</v>
      </c>
      <c r="G1475" s="4">
        <v>134.5</v>
      </c>
      <c r="H1475" s="4">
        <v>87.5</v>
      </c>
      <c r="I1475" s="4">
        <v>77</v>
      </c>
      <c r="J1475" s="4">
        <v>234.5</v>
      </c>
      <c r="K1475" s="4">
        <v>116.5</v>
      </c>
      <c r="L1475" s="4">
        <v>129.5</v>
      </c>
      <c r="M1475" s="4">
        <v>85</v>
      </c>
    </row>
    <row r="1476" spans="1:13">
      <c r="A1476" s="3" t="s">
        <v>2021</v>
      </c>
      <c r="B1476" s="4">
        <v>49.1</v>
      </c>
      <c r="C1476" s="4">
        <v>55</v>
      </c>
      <c r="D1476" s="4">
        <v>61</v>
      </c>
      <c r="E1476" s="4">
        <v>62</v>
      </c>
      <c r="F1476" s="4">
        <v>22.5</v>
      </c>
      <c r="G1476" s="4">
        <v>45</v>
      </c>
      <c r="H1476" s="4">
        <v>50</v>
      </c>
      <c r="I1476" s="4">
        <v>45</v>
      </c>
      <c r="J1476" s="4">
        <v>40</v>
      </c>
      <c r="K1476" s="4">
        <v>17.5</v>
      </c>
      <c r="L1476" s="4">
        <v>32</v>
      </c>
      <c r="M1476" s="4">
        <v>28</v>
      </c>
    </row>
    <row r="1477" spans="1:13">
      <c r="A1477" s="3" t="s">
        <v>2022</v>
      </c>
      <c r="B1477" s="4">
        <v>16.5</v>
      </c>
      <c r="C1477" s="4">
        <v>25</v>
      </c>
      <c r="D1477" s="4">
        <v>0</v>
      </c>
      <c r="E1477" s="4">
        <v>53.4</v>
      </c>
      <c r="F1477" s="4">
        <v>0</v>
      </c>
      <c r="G1477" s="4">
        <v>7</v>
      </c>
      <c r="H1477" s="4">
        <v>5</v>
      </c>
      <c r="I1477" s="4">
        <v>10</v>
      </c>
      <c r="J1477" s="4">
        <v>30</v>
      </c>
      <c r="K1477" s="4">
        <v>10</v>
      </c>
      <c r="L1477" s="4">
        <v>0</v>
      </c>
      <c r="M1477" s="4">
        <v>27.5</v>
      </c>
    </row>
    <row r="1478" spans="1:13">
      <c r="A1478" s="3" t="s">
        <v>2023</v>
      </c>
      <c r="B1478" s="4">
        <v>25</v>
      </c>
      <c r="C1478" s="4">
        <v>10</v>
      </c>
      <c r="D1478" s="4">
        <v>274.5</v>
      </c>
      <c r="E1478" s="4">
        <v>3</v>
      </c>
      <c r="F1478" s="4">
        <v>3</v>
      </c>
      <c r="G1478" s="4">
        <v>0</v>
      </c>
      <c r="H1478" s="4">
        <v>110</v>
      </c>
      <c r="I1478" s="4">
        <v>0</v>
      </c>
      <c r="J1478" s="4">
        <v>45</v>
      </c>
      <c r="K1478" s="4">
        <v>0</v>
      </c>
      <c r="L1478" s="4">
        <v>0</v>
      </c>
      <c r="M1478" s="4">
        <v>0</v>
      </c>
    </row>
    <row r="1479" spans="1:13">
      <c r="A1479" s="3" t="s">
        <v>2024</v>
      </c>
      <c r="B1479" s="4">
        <v>61.5</v>
      </c>
      <c r="C1479" s="4">
        <v>35</v>
      </c>
      <c r="D1479" s="4">
        <v>0</v>
      </c>
      <c r="E1479" s="4">
        <v>20</v>
      </c>
      <c r="F1479" s="4">
        <v>50</v>
      </c>
      <c r="G1479" s="4">
        <v>39.5</v>
      </c>
      <c r="H1479" s="4">
        <v>41</v>
      </c>
      <c r="I1479" s="4">
        <v>51.5</v>
      </c>
      <c r="J1479" s="4">
        <v>51</v>
      </c>
      <c r="K1479" s="4">
        <v>70</v>
      </c>
      <c r="L1479" s="4">
        <v>94.5</v>
      </c>
      <c r="M1479" s="4">
        <v>108</v>
      </c>
    </row>
    <row r="1480" spans="1:13">
      <c r="A1480" s="3" t="s">
        <v>2025</v>
      </c>
      <c r="B1480" s="4">
        <v>31</v>
      </c>
      <c r="C1480" s="4">
        <v>50</v>
      </c>
      <c r="D1480" s="4">
        <v>45</v>
      </c>
      <c r="E1480" s="4">
        <v>90</v>
      </c>
      <c r="F1480" s="4">
        <v>30</v>
      </c>
      <c r="G1480" s="4">
        <v>44.25</v>
      </c>
      <c r="H1480" s="4">
        <v>60.5</v>
      </c>
      <c r="I1480" s="4">
        <v>25</v>
      </c>
      <c r="J1480" s="4">
        <v>27</v>
      </c>
      <c r="K1480" s="4">
        <v>40</v>
      </c>
      <c r="L1480" s="4">
        <v>10</v>
      </c>
      <c r="M1480" s="4">
        <v>20</v>
      </c>
    </row>
    <row r="1481" spans="1:13">
      <c r="A1481" s="3" t="s">
        <v>2026</v>
      </c>
      <c r="B1481" s="4">
        <v>0</v>
      </c>
      <c r="C1481" s="4">
        <v>1</v>
      </c>
      <c r="D1481" s="4">
        <v>0</v>
      </c>
      <c r="E1481" s="4">
        <v>0</v>
      </c>
      <c r="F1481" s="4">
        <v>0</v>
      </c>
      <c r="G1481" s="4">
        <v>10</v>
      </c>
      <c r="H1481" s="4">
        <v>0</v>
      </c>
      <c r="I1481" s="4">
        <v>0</v>
      </c>
      <c r="J1481" s="4">
        <v>15</v>
      </c>
      <c r="K1481" s="4">
        <v>1</v>
      </c>
      <c r="L1481" s="4">
        <v>0</v>
      </c>
      <c r="M1481" s="4">
        <v>0</v>
      </c>
    </row>
    <row r="1482" spans="1:13">
      <c r="A1482" s="3" t="s">
        <v>2027</v>
      </c>
      <c r="B1482" s="4">
        <v>50</v>
      </c>
      <c r="C1482" s="4">
        <v>55</v>
      </c>
      <c r="D1482" s="4">
        <v>135</v>
      </c>
      <c r="E1482" s="4">
        <v>97</v>
      </c>
      <c r="F1482" s="4">
        <v>50</v>
      </c>
      <c r="G1482" s="4">
        <v>68.05</v>
      </c>
      <c r="H1482" s="4">
        <v>90</v>
      </c>
      <c r="I1482" s="4">
        <v>44.4</v>
      </c>
      <c r="J1482" s="4">
        <v>87.5</v>
      </c>
      <c r="K1482" s="4">
        <v>234</v>
      </c>
      <c r="L1482" s="4">
        <v>90</v>
      </c>
      <c r="M1482" s="4">
        <v>332</v>
      </c>
    </row>
    <row r="1483" spans="1:13">
      <c r="A1483" s="3" t="s">
        <v>2028</v>
      </c>
      <c r="B1483" s="4">
        <v>15</v>
      </c>
      <c r="C1483" s="4">
        <v>30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</row>
    <row r="1484" spans="1:13">
      <c r="A1484" s="3" t="s">
        <v>2029</v>
      </c>
      <c r="B1484" s="4">
        <v>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10</v>
      </c>
      <c r="J1484" s="4">
        <v>17.5</v>
      </c>
      <c r="K1484" s="4">
        <v>10</v>
      </c>
      <c r="L1484" s="4">
        <v>17.5</v>
      </c>
      <c r="M1484" s="4">
        <v>38</v>
      </c>
    </row>
    <row r="1485" spans="1:13">
      <c r="A1485" s="3" t="s">
        <v>2030</v>
      </c>
      <c r="B1485" s="4">
        <v>0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3</v>
      </c>
    </row>
    <row r="1486" spans="1:13">
      <c r="A1486" s="3" t="s">
        <v>2031</v>
      </c>
      <c r="B1486" s="4">
        <v>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72</v>
      </c>
      <c r="I1486" s="4">
        <v>65</v>
      </c>
      <c r="J1486" s="4">
        <v>106.5</v>
      </c>
      <c r="K1486" s="4">
        <v>51.5</v>
      </c>
      <c r="L1486" s="4">
        <v>37.5</v>
      </c>
      <c r="M1486" s="4">
        <v>34</v>
      </c>
    </row>
    <row r="1487" spans="1:13">
      <c r="A1487" s="3" t="s">
        <v>2032</v>
      </c>
      <c r="B1487" s="4">
        <v>38.5</v>
      </c>
      <c r="C1487" s="4">
        <v>52.5</v>
      </c>
      <c r="D1487" s="4">
        <v>50</v>
      </c>
      <c r="E1487" s="4">
        <v>57</v>
      </c>
      <c r="F1487" s="4">
        <v>30</v>
      </c>
      <c r="G1487" s="4">
        <v>66.5</v>
      </c>
      <c r="H1487" s="4">
        <v>25</v>
      </c>
      <c r="I1487" s="4">
        <v>39</v>
      </c>
      <c r="J1487" s="4">
        <v>15</v>
      </c>
      <c r="K1487" s="4">
        <v>84</v>
      </c>
      <c r="L1487" s="4">
        <v>46</v>
      </c>
      <c r="M1487" s="4">
        <v>36</v>
      </c>
    </row>
    <row r="1488" spans="1:13">
      <c r="A1488" s="3" t="s">
        <v>2033</v>
      </c>
      <c r="B1488" s="4">
        <v>20</v>
      </c>
      <c r="C1488" s="4">
        <v>17</v>
      </c>
      <c r="D1488" s="4">
        <v>43</v>
      </c>
      <c r="E1488" s="4">
        <v>46</v>
      </c>
      <c r="F1488" s="4">
        <v>14</v>
      </c>
      <c r="G1488" s="4">
        <v>26.700000000000003</v>
      </c>
      <c r="H1488" s="4">
        <v>30</v>
      </c>
      <c r="I1488" s="4">
        <v>25</v>
      </c>
      <c r="J1488" s="4">
        <v>33.5</v>
      </c>
      <c r="K1488" s="4">
        <v>38.5</v>
      </c>
      <c r="L1488" s="4">
        <v>35</v>
      </c>
      <c r="M1488" s="4">
        <v>12.5</v>
      </c>
    </row>
    <row r="1489" spans="1:13">
      <c r="A1489" s="3" t="s">
        <v>2034</v>
      </c>
      <c r="B1489" s="4">
        <v>40</v>
      </c>
      <c r="C1489" s="4">
        <v>56</v>
      </c>
      <c r="D1489" s="4">
        <v>70</v>
      </c>
      <c r="E1489" s="4">
        <v>21</v>
      </c>
      <c r="F1489" s="4">
        <v>30</v>
      </c>
      <c r="G1489" s="4">
        <v>60</v>
      </c>
      <c r="H1489" s="4">
        <v>65</v>
      </c>
      <c r="I1489" s="4">
        <v>30</v>
      </c>
      <c r="J1489" s="4">
        <v>65</v>
      </c>
      <c r="K1489" s="4">
        <v>40.5</v>
      </c>
      <c r="L1489" s="4">
        <v>115</v>
      </c>
      <c r="M1489" s="4">
        <v>74.5</v>
      </c>
    </row>
    <row r="1490" spans="1:13">
      <c r="A1490" s="3" t="s">
        <v>2035</v>
      </c>
      <c r="B1490" s="4">
        <v>5</v>
      </c>
      <c r="C1490" s="4">
        <v>15</v>
      </c>
      <c r="D1490" s="4">
        <v>15</v>
      </c>
      <c r="E1490" s="4">
        <v>20</v>
      </c>
      <c r="F1490" s="4">
        <v>25</v>
      </c>
      <c r="G1490" s="4">
        <v>17.5</v>
      </c>
      <c r="H1490" s="4">
        <v>0</v>
      </c>
      <c r="I1490" s="4">
        <v>20</v>
      </c>
      <c r="J1490" s="4">
        <v>55</v>
      </c>
      <c r="K1490" s="4">
        <v>32.5</v>
      </c>
      <c r="L1490" s="4">
        <v>5</v>
      </c>
      <c r="M1490" s="4">
        <v>5</v>
      </c>
    </row>
    <row r="1491" spans="1:13">
      <c r="A1491" s="3" t="s">
        <v>2036</v>
      </c>
      <c r="B1491" s="4">
        <v>0</v>
      </c>
      <c r="C1491" s="4">
        <v>18</v>
      </c>
      <c r="D1491" s="4">
        <v>81.25</v>
      </c>
      <c r="E1491" s="4">
        <v>90</v>
      </c>
      <c r="F1491" s="4">
        <v>90</v>
      </c>
      <c r="G1491" s="4">
        <v>25</v>
      </c>
      <c r="H1491" s="4">
        <v>0</v>
      </c>
      <c r="I1491" s="4">
        <v>106</v>
      </c>
      <c r="J1491" s="4">
        <v>123</v>
      </c>
      <c r="K1491" s="4">
        <v>56.5</v>
      </c>
      <c r="L1491" s="4">
        <v>82.5</v>
      </c>
      <c r="M1491" s="4">
        <v>230.5</v>
      </c>
    </row>
    <row r="1492" spans="1:13">
      <c r="A1492" s="3" t="s">
        <v>2037</v>
      </c>
      <c r="B1492" s="4">
        <v>65</v>
      </c>
      <c r="C1492" s="4">
        <v>40</v>
      </c>
      <c r="D1492" s="4">
        <v>67</v>
      </c>
      <c r="E1492" s="4">
        <v>140</v>
      </c>
      <c r="F1492" s="4">
        <v>130</v>
      </c>
      <c r="G1492" s="4">
        <v>20</v>
      </c>
      <c r="H1492" s="4">
        <v>30</v>
      </c>
      <c r="I1492" s="4">
        <v>20</v>
      </c>
      <c r="J1492" s="4">
        <v>93</v>
      </c>
      <c r="K1492" s="4">
        <v>70</v>
      </c>
      <c r="L1492" s="4">
        <v>150</v>
      </c>
      <c r="M1492" s="4">
        <v>117</v>
      </c>
    </row>
    <row r="1493" spans="1:13">
      <c r="A1493" s="3" t="s">
        <v>2038</v>
      </c>
      <c r="B1493" s="4">
        <v>13</v>
      </c>
      <c r="C1493" s="4">
        <v>30</v>
      </c>
      <c r="D1493" s="4">
        <v>20</v>
      </c>
      <c r="E1493" s="4">
        <v>27</v>
      </c>
      <c r="F1493" s="4">
        <v>0</v>
      </c>
      <c r="G1493" s="4">
        <v>6</v>
      </c>
      <c r="H1493" s="4">
        <v>5</v>
      </c>
      <c r="I1493" s="4">
        <v>30</v>
      </c>
      <c r="J1493" s="4">
        <v>54.9</v>
      </c>
      <c r="K1493" s="4">
        <v>0</v>
      </c>
      <c r="L1493" s="4">
        <v>30</v>
      </c>
      <c r="M1493" s="4">
        <v>60</v>
      </c>
    </row>
    <row r="1494" spans="1:13">
      <c r="A1494" s="3" t="s">
        <v>2039</v>
      </c>
      <c r="B1494" s="4">
        <v>24.5</v>
      </c>
      <c r="C1494" s="4">
        <v>52</v>
      </c>
      <c r="D1494" s="4">
        <v>70</v>
      </c>
      <c r="E1494" s="4">
        <v>21</v>
      </c>
      <c r="F1494" s="4">
        <v>32.5</v>
      </c>
      <c r="G1494" s="4">
        <v>25</v>
      </c>
      <c r="H1494" s="4">
        <v>0</v>
      </c>
      <c r="I1494" s="4">
        <v>21</v>
      </c>
      <c r="J1494" s="4">
        <v>26</v>
      </c>
      <c r="K1494" s="4">
        <v>35</v>
      </c>
      <c r="L1494" s="4">
        <v>35</v>
      </c>
      <c r="M1494" s="4">
        <v>63</v>
      </c>
    </row>
    <row r="1495" spans="1:13">
      <c r="A1495" s="3" t="s">
        <v>2040</v>
      </c>
      <c r="B1495" s="4">
        <v>36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</row>
    <row r="1496" spans="1:13">
      <c r="A1496" s="3" t="s">
        <v>2041</v>
      </c>
      <c r="B1496" s="4">
        <v>38</v>
      </c>
      <c r="C1496" s="4">
        <v>10</v>
      </c>
      <c r="D1496" s="4">
        <v>145.5</v>
      </c>
      <c r="E1496" s="4">
        <v>92.5</v>
      </c>
      <c r="F1496" s="4">
        <v>87.5</v>
      </c>
      <c r="G1496" s="4">
        <v>31</v>
      </c>
      <c r="H1496" s="4">
        <v>10</v>
      </c>
      <c r="I1496" s="4">
        <v>50</v>
      </c>
      <c r="J1496" s="4">
        <v>77.5</v>
      </c>
      <c r="K1496" s="4">
        <v>77.5</v>
      </c>
      <c r="L1496" s="4">
        <v>113.5</v>
      </c>
      <c r="M1496" s="4">
        <v>83</v>
      </c>
    </row>
    <row r="1497" spans="1:13">
      <c r="A1497" s="3" t="s">
        <v>2042</v>
      </c>
      <c r="B1497" s="4">
        <v>0</v>
      </c>
      <c r="C1497" s="4">
        <v>5</v>
      </c>
      <c r="D1497" s="4">
        <v>83.25</v>
      </c>
      <c r="E1497" s="4">
        <v>14.5</v>
      </c>
      <c r="F1497" s="4">
        <v>97.25</v>
      </c>
      <c r="G1497" s="4">
        <v>71.5</v>
      </c>
      <c r="H1497" s="4">
        <v>46.5</v>
      </c>
      <c r="I1497" s="4">
        <v>42</v>
      </c>
      <c r="J1497" s="4">
        <v>74.25</v>
      </c>
      <c r="K1497" s="4">
        <v>93.5</v>
      </c>
      <c r="L1497" s="4">
        <v>85.75</v>
      </c>
      <c r="M1497" s="4">
        <v>100.5</v>
      </c>
    </row>
    <row r="1498" spans="1:13">
      <c r="A1498" s="3" t="s">
        <v>2043</v>
      </c>
      <c r="B1498" s="4">
        <v>55</v>
      </c>
      <c r="C1498" s="4">
        <v>15</v>
      </c>
      <c r="D1498" s="4">
        <v>76</v>
      </c>
      <c r="E1498" s="4">
        <v>70</v>
      </c>
      <c r="F1498" s="4">
        <v>93.75</v>
      </c>
      <c r="G1498" s="4">
        <v>109.5</v>
      </c>
      <c r="H1498" s="4">
        <v>79</v>
      </c>
      <c r="I1498" s="4">
        <v>80.5</v>
      </c>
      <c r="J1498" s="4">
        <v>143.5</v>
      </c>
      <c r="K1498" s="4">
        <v>60</v>
      </c>
      <c r="L1498" s="4">
        <v>75</v>
      </c>
      <c r="M1498" s="4">
        <v>111.5</v>
      </c>
    </row>
    <row r="1499" spans="1:13">
      <c r="A1499" s="3" t="s">
        <v>2044</v>
      </c>
      <c r="B1499" s="4">
        <v>67.75</v>
      </c>
      <c r="C1499" s="4">
        <v>48.25</v>
      </c>
      <c r="D1499" s="4">
        <v>35</v>
      </c>
      <c r="E1499" s="4">
        <v>36</v>
      </c>
      <c r="F1499" s="4">
        <v>24.5</v>
      </c>
      <c r="G1499" s="4">
        <v>31.25</v>
      </c>
      <c r="H1499" s="4">
        <v>15</v>
      </c>
      <c r="I1499" s="4">
        <v>10</v>
      </c>
      <c r="J1499" s="4">
        <v>46.1</v>
      </c>
      <c r="K1499" s="4">
        <v>45</v>
      </c>
      <c r="L1499" s="4">
        <v>40</v>
      </c>
      <c r="M1499" s="4">
        <v>54</v>
      </c>
    </row>
    <row r="1500" spans="1:13">
      <c r="A1500" s="3" t="s">
        <v>2045</v>
      </c>
      <c r="B1500" s="4">
        <v>60</v>
      </c>
      <c r="C1500" s="4">
        <v>87</v>
      </c>
      <c r="D1500" s="4">
        <v>20</v>
      </c>
      <c r="E1500" s="4">
        <v>89</v>
      </c>
      <c r="F1500" s="4">
        <v>75</v>
      </c>
      <c r="G1500" s="4">
        <v>45</v>
      </c>
      <c r="H1500" s="4">
        <v>65</v>
      </c>
      <c r="I1500" s="4">
        <v>15</v>
      </c>
      <c r="J1500" s="4">
        <v>110</v>
      </c>
      <c r="K1500" s="4">
        <v>83</v>
      </c>
      <c r="L1500" s="4">
        <v>65</v>
      </c>
      <c r="M1500" s="4">
        <v>192</v>
      </c>
    </row>
    <row r="1501" spans="1:13">
      <c r="A1501" s="3" t="s">
        <v>2046</v>
      </c>
      <c r="B1501" s="4">
        <v>56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35</v>
      </c>
      <c r="K1501" s="4">
        <v>0</v>
      </c>
      <c r="L1501" s="4">
        <v>0</v>
      </c>
      <c r="M1501" s="4">
        <v>0</v>
      </c>
    </row>
    <row r="1502" spans="1:13">
      <c r="A1502" s="3" t="s">
        <v>2047</v>
      </c>
      <c r="B1502" s="4">
        <v>35</v>
      </c>
      <c r="C1502" s="4">
        <v>10</v>
      </c>
      <c r="D1502" s="4">
        <v>192.5</v>
      </c>
      <c r="E1502" s="4">
        <v>100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</row>
    <row r="1503" spans="1:13">
      <c r="A1503" s="3" t="s">
        <v>2048</v>
      </c>
      <c r="B1503" s="4">
        <v>113.5</v>
      </c>
      <c r="C1503" s="4">
        <v>51.75</v>
      </c>
      <c r="D1503" s="4">
        <v>79.5</v>
      </c>
      <c r="E1503" s="4">
        <v>120</v>
      </c>
      <c r="F1503" s="4">
        <v>51</v>
      </c>
      <c r="G1503" s="4">
        <v>40</v>
      </c>
      <c r="H1503" s="4">
        <v>10</v>
      </c>
      <c r="I1503" s="4">
        <v>2</v>
      </c>
      <c r="J1503" s="4">
        <v>81</v>
      </c>
      <c r="K1503" s="4">
        <v>27.5</v>
      </c>
      <c r="L1503" s="4">
        <v>87.5</v>
      </c>
      <c r="M1503" s="4">
        <v>8</v>
      </c>
    </row>
    <row r="1504" spans="1:13">
      <c r="A1504" s="3" t="s">
        <v>2049</v>
      </c>
      <c r="B1504" s="4">
        <v>37</v>
      </c>
      <c r="C1504" s="4">
        <v>35</v>
      </c>
      <c r="D1504" s="4">
        <v>65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</row>
    <row r="1505" spans="1:13">
      <c r="A1505" s="3" t="s">
        <v>2050</v>
      </c>
      <c r="B1505" s="4">
        <v>161</v>
      </c>
      <c r="C1505" s="4">
        <v>85</v>
      </c>
      <c r="D1505" s="4">
        <v>145</v>
      </c>
      <c r="E1505" s="4">
        <v>130</v>
      </c>
      <c r="F1505" s="4">
        <v>145</v>
      </c>
      <c r="G1505" s="4">
        <v>105</v>
      </c>
      <c r="H1505" s="4">
        <v>79</v>
      </c>
      <c r="I1505" s="4">
        <v>90</v>
      </c>
      <c r="J1505" s="4">
        <v>100</v>
      </c>
      <c r="K1505" s="4">
        <v>85</v>
      </c>
      <c r="L1505" s="4">
        <v>118</v>
      </c>
      <c r="M1505" s="4">
        <v>83</v>
      </c>
    </row>
    <row r="1506" spans="1:13">
      <c r="A1506" s="3" t="s">
        <v>2051</v>
      </c>
      <c r="B1506" s="4">
        <v>20</v>
      </c>
      <c r="C1506" s="4">
        <v>50</v>
      </c>
      <c r="D1506" s="4">
        <v>45</v>
      </c>
      <c r="E1506" s="4">
        <v>35</v>
      </c>
      <c r="F1506" s="4">
        <v>35</v>
      </c>
      <c r="G1506" s="4">
        <v>0</v>
      </c>
      <c r="H1506" s="4">
        <v>0</v>
      </c>
      <c r="I1506" s="4">
        <v>0</v>
      </c>
      <c r="J1506" s="4">
        <v>47.5</v>
      </c>
      <c r="K1506" s="4">
        <v>0</v>
      </c>
      <c r="L1506" s="4">
        <v>100</v>
      </c>
      <c r="M1506" s="4">
        <v>120</v>
      </c>
    </row>
    <row r="1507" spans="1:13">
      <c r="A1507" s="3" t="s">
        <v>2052</v>
      </c>
      <c r="B1507" s="4">
        <v>0</v>
      </c>
      <c r="C1507" s="4">
        <v>0</v>
      </c>
      <c r="D1507" s="4">
        <v>17</v>
      </c>
      <c r="E1507" s="4">
        <v>1</v>
      </c>
      <c r="F1507" s="4">
        <v>42.5</v>
      </c>
      <c r="G1507" s="4">
        <v>28</v>
      </c>
      <c r="H1507" s="4">
        <v>21</v>
      </c>
      <c r="I1507" s="4">
        <v>45</v>
      </c>
      <c r="J1507" s="4">
        <v>50</v>
      </c>
      <c r="K1507" s="4">
        <v>37</v>
      </c>
      <c r="L1507" s="4">
        <v>40</v>
      </c>
      <c r="M1507" s="4">
        <v>50</v>
      </c>
    </row>
    <row r="1508" spans="1:13">
      <c r="A1508" s="3" t="s">
        <v>2053</v>
      </c>
      <c r="B1508" s="4">
        <v>10</v>
      </c>
      <c r="C1508" s="4">
        <v>10</v>
      </c>
      <c r="D1508" s="4">
        <v>10</v>
      </c>
      <c r="E1508" s="4">
        <v>10</v>
      </c>
      <c r="F1508" s="4">
        <v>10.25</v>
      </c>
      <c r="G1508" s="4">
        <v>10</v>
      </c>
      <c r="H1508" s="4">
        <v>10</v>
      </c>
      <c r="I1508" s="4">
        <v>20</v>
      </c>
      <c r="J1508" s="4">
        <v>30</v>
      </c>
      <c r="K1508" s="4">
        <v>15</v>
      </c>
      <c r="L1508" s="4">
        <v>10</v>
      </c>
      <c r="M1508" s="4">
        <v>10</v>
      </c>
    </row>
    <row r="1509" spans="1:13">
      <c r="A1509" s="3" t="s">
        <v>2054</v>
      </c>
      <c r="B1509" s="4">
        <v>43.5</v>
      </c>
      <c r="C1509" s="4">
        <v>80</v>
      </c>
      <c r="D1509" s="4">
        <v>74</v>
      </c>
      <c r="E1509" s="4">
        <v>51</v>
      </c>
      <c r="F1509" s="4">
        <v>55</v>
      </c>
      <c r="G1509" s="4">
        <v>40</v>
      </c>
      <c r="H1509" s="4">
        <v>90</v>
      </c>
      <c r="I1509" s="4">
        <v>70</v>
      </c>
      <c r="J1509" s="4">
        <v>100</v>
      </c>
      <c r="K1509" s="4">
        <v>87.5</v>
      </c>
      <c r="L1509" s="4">
        <v>92</v>
      </c>
      <c r="M1509" s="4">
        <v>117.5</v>
      </c>
    </row>
    <row r="1510" spans="1:13">
      <c r="A1510" s="3" t="s">
        <v>2055</v>
      </c>
      <c r="B1510" s="4">
        <v>10</v>
      </c>
      <c r="C1510" s="4">
        <v>0</v>
      </c>
      <c r="D1510" s="4">
        <v>0</v>
      </c>
      <c r="E1510" s="4">
        <v>10</v>
      </c>
      <c r="F1510" s="4">
        <v>65</v>
      </c>
      <c r="G1510" s="4">
        <v>0</v>
      </c>
      <c r="H1510" s="4">
        <v>6.5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</row>
    <row r="1511" spans="1:13">
      <c r="A1511" s="3" t="s">
        <v>2056</v>
      </c>
      <c r="B1511" s="4">
        <v>9</v>
      </c>
      <c r="C1511" s="4">
        <v>38</v>
      </c>
      <c r="D1511" s="4">
        <v>103</v>
      </c>
      <c r="E1511" s="4">
        <v>155</v>
      </c>
      <c r="F1511" s="4">
        <v>0</v>
      </c>
      <c r="G1511" s="4">
        <v>126.5</v>
      </c>
      <c r="H1511" s="4">
        <v>150</v>
      </c>
      <c r="I1511" s="4">
        <v>100</v>
      </c>
      <c r="J1511" s="4">
        <v>205</v>
      </c>
      <c r="K1511" s="4">
        <v>149</v>
      </c>
      <c r="L1511" s="4">
        <v>0</v>
      </c>
      <c r="M1511" s="4">
        <v>165</v>
      </c>
    </row>
    <row r="1512" spans="1:13">
      <c r="A1512" s="3" t="s">
        <v>2057</v>
      </c>
      <c r="B1512" s="4">
        <v>0</v>
      </c>
      <c r="C1512" s="4">
        <v>0</v>
      </c>
      <c r="D1512" s="4">
        <v>0</v>
      </c>
      <c r="E1512" s="4">
        <v>0</v>
      </c>
      <c r="F1512" s="4">
        <v>15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</row>
    <row r="1513" spans="1:13">
      <c r="A1513" s="3" t="s">
        <v>2058</v>
      </c>
      <c r="B1513" s="4">
        <v>351.5</v>
      </c>
      <c r="C1513" s="4">
        <v>194.5</v>
      </c>
      <c r="D1513" s="4">
        <v>137.5</v>
      </c>
      <c r="E1513" s="4">
        <v>221</v>
      </c>
      <c r="F1513" s="4">
        <v>152.75</v>
      </c>
      <c r="G1513" s="4">
        <v>67</v>
      </c>
      <c r="H1513" s="4">
        <v>152.5</v>
      </c>
      <c r="I1513" s="4">
        <v>42</v>
      </c>
      <c r="J1513" s="4">
        <v>186</v>
      </c>
      <c r="K1513" s="4">
        <v>65</v>
      </c>
      <c r="L1513" s="4">
        <v>0</v>
      </c>
      <c r="M1513" s="4">
        <v>70</v>
      </c>
    </row>
    <row r="1514" spans="1:13">
      <c r="A1514" s="3" t="s">
        <v>2059</v>
      </c>
      <c r="B1514" s="4">
        <v>124.5</v>
      </c>
      <c r="C1514" s="4">
        <v>69</v>
      </c>
      <c r="D1514" s="4">
        <v>50</v>
      </c>
      <c r="E1514" s="4">
        <v>56.5</v>
      </c>
      <c r="F1514" s="4">
        <v>30</v>
      </c>
      <c r="G1514" s="4">
        <v>42.5</v>
      </c>
      <c r="H1514" s="4">
        <v>35</v>
      </c>
      <c r="I1514" s="4">
        <v>15</v>
      </c>
      <c r="J1514" s="4">
        <v>60</v>
      </c>
      <c r="K1514" s="4">
        <v>50</v>
      </c>
      <c r="L1514" s="4">
        <v>35</v>
      </c>
      <c r="M1514" s="4">
        <v>62.5</v>
      </c>
    </row>
    <row r="1515" spans="1:13">
      <c r="A1515" s="3" t="s">
        <v>2060</v>
      </c>
      <c r="B1515" s="4">
        <v>62</v>
      </c>
      <c r="C1515" s="4">
        <v>20</v>
      </c>
      <c r="D1515" s="4">
        <v>10</v>
      </c>
      <c r="E1515" s="4">
        <v>60.5</v>
      </c>
      <c r="F1515" s="4">
        <v>45</v>
      </c>
      <c r="G1515" s="4">
        <v>31</v>
      </c>
      <c r="H1515" s="4">
        <v>10</v>
      </c>
      <c r="I1515" s="4">
        <v>0</v>
      </c>
      <c r="J1515" s="4">
        <v>32</v>
      </c>
      <c r="K1515" s="4">
        <v>30</v>
      </c>
      <c r="L1515" s="4">
        <v>10</v>
      </c>
      <c r="M1515" s="4">
        <v>32.5</v>
      </c>
    </row>
    <row r="1516" spans="1:13">
      <c r="A1516" s="3" t="s">
        <v>2061</v>
      </c>
      <c r="B1516" s="4">
        <v>34.5</v>
      </c>
      <c r="C1516" s="4">
        <v>12.5</v>
      </c>
      <c r="D1516" s="4">
        <v>12.5</v>
      </c>
      <c r="E1516" s="4">
        <v>42.5</v>
      </c>
      <c r="F1516" s="4">
        <v>0</v>
      </c>
      <c r="G1516" s="4">
        <v>0</v>
      </c>
      <c r="H1516" s="4">
        <v>44.5</v>
      </c>
      <c r="I1516" s="4">
        <v>15</v>
      </c>
      <c r="J1516" s="4">
        <v>205</v>
      </c>
      <c r="K1516" s="4">
        <v>256</v>
      </c>
      <c r="L1516" s="4">
        <v>60</v>
      </c>
      <c r="M1516" s="4">
        <v>218.5</v>
      </c>
    </row>
    <row r="1517" spans="1:13">
      <c r="A1517" s="3" t="s">
        <v>2062</v>
      </c>
      <c r="B1517" s="4">
        <v>19.5</v>
      </c>
      <c r="C1517" s="4">
        <v>36.5</v>
      </c>
      <c r="D1517" s="4">
        <v>37.5</v>
      </c>
      <c r="E1517" s="4">
        <v>28.5</v>
      </c>
      <c r="F1517" s="4">
        <v>36.5</v>
      </c>
      <c r="G1517" s="4">
        <v>11.5</v>
      </c>
      <c r="H1517" s="4">
        <v>40.75</v>
      </c>
      <c r="I1517" s="4">
        <v>15</v>
      </c>
      <c r="J1517" s="4">
        <v>24</v>
      </c>
      <c r="K1517" s="4">
        <v>44.45</v>
      </c>
      <c r="L1517" s="4">
        <v>41</v>
      </c>
      <c r="M1517" s="4">
        <v>30</v>
      </c>
    </row>
    <row r="1518" spans="1:13">
      <c r="A1518" s="3" t="s">
        <v>2063</v>
      </c>
      <c r="B1518" s="4">
        <v>5</v>
      </c>
      <c r="C1518" s="4">
        <v>2.5</v>
      </c>
      <c r="D1518" s="4">
        <v>10</v>
      </c>
      <c r="E1518" s="4">
        <v>13</v>
      </c>
      <c r="F1518" s="4">
        <v>0</v>
      </c>
      <c r="G1518" s="4">
        <v>0</v>
      </c>
      <c r="H1518" s="4">
        <v>0</v>
      </c>
      <c r="I1518" s="4">
        <v>7</v>
      </c>
      <c r="J1518" s="4">
        <v>0</v>
      </c>
      <c r="K1518" s="4">
        <v>0</v>
      </c>
      <c r="L1518" s="4">
        <v>20</v>
      </c>
      <c r="M1518" s="4">
        <v>50</v>
      </c>
    </row>
    <row r="1519" spans="1:13">
      <c r="A1519" s="3" t="s">
        <v>2064</v>
      </c>
      <c r="B1519" s="4">
        <v>0</v>
      </c>
      <c r="C1519" s="4">
        <v>0</v>
      </c>
      <c r="D1519" s="4">
        <v>20</v>
      </c>
      <c r="E1519" s="4">
        <v>35</v>
      </c>
      <c r="F1519" s="4">
        <v>10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</row>
    <row r="1520" spans="1:13">
      <c r="A1520" s="3" t="s">
        <v>2065</v>
      </c>
      <c r="B1520" s="4">
        <v>0</v>
      </c>
      <c r="C1520" s="4">
        <v>0</v>
      </c>
      <c r="D1520" s="4">
        <v>10</v>
      </c>
      <c r="E1520" s="4">
        <v>10</v>
      </c>
      <c r="F1520" s="4">
        <v>10</v>
      </c>
      <c r="G1520" s="4">
        <v>10</v>
      </c>
      <c r="H1520" s="4">
        <v>20</v>
      </c>
      <c r="I1520" s="4">
        <v>22.5</v>
      </c>
      <c r="J1520" s="4">
        <v>32.5</v>
      </c>
      <c r="K1520" s="4">
        <v>15</v>
      </c>
      <c r="L1520" s="4">
        <v>4.95</v>
      </c>
      <c r="M1520" s="4">
        <v>41</v>
      </c>
    </row>
    <row r="1521" spans="1:13">
      <c r="A1521" s="3" t="s">
        <v>2066</v>
      </c>
      <c r="B1521" s="4">
        <v>50</v>
      </c>
      <c r="C1521" s="4">
        <v>50</v>
      </c>
      <c r="D1521" s="4">
        <v>30</v>
      </c>
      <c r="E1521" s="4">
        <v>46</v>
      </c>
      <c r="F1521" s="4">
        <v>47.2</v>
      </c>
      <c r="G1521" s="4">
        <v>30</v>
      </c>
      <c r="H1521" s="4">
        <v>25</v>
      </c>
      <c r="I1521" s="4">
        <v>30</v>
      </c>
      <c r="J1521" s="4">
        <v>20</v>
      </c>
      <c r="K1521" s="4">
        <v>10</v>
      </c>
      <c r="L1521" s="4">
        <v>0</v>
      </c>
      <c r="M1521" s="4">
        <v>10</v>
      </c>
    </row>
    <row r="1522" spans="1:13">
      <c r="A1522" s="3" t="s">
        <v>2067</v>
      </c>
      <c r="B1522" s="4">
        <v>12</v>
      </c>
      <c r="C1522" s="4">
        <v>25</v>
      </c>
      <c r="D1522" s="4">
        <v>50</v>
      </c>
      <c r="E1522" s="4">
        <v>55</v>
      </c>
      <c r="F1522" s="4">
        <v>20</v>
      </c>
      <c r="G1522" s="4">
        <v>0</v>
      </c>
      <c r="H1522" s="4">
        <v>20</v>
      </c>
      <c r="I1522" s="4">
        <v>0</v>
      </c>
      <c r="J1522" s="4">
        <v>15</v>
      </c>
      <c r="K1522" s="4">
        <v>0</v>
      </c>
      <c r="L1522" s="4">
        <v>0</v>
      </c>
      <c r="M1522" s="4">
        <v>18</v>
      </c>
    </row>
    <row r="1523" spans="1:13">
      <c r="A1523" s="3" t="s">
        <v>2068</v>
      </c>
      <c r="B1523" s="4">
        <v>15</v>
      </c>
      <c r="C1523" s="4">
        <v>5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</row>
    <row r="1524" spans="1:13">
      <c r="A1524" s="3" t="s">
        <v>2069</v>
      </c>
      <c r="B1524" s="4">
        <v>41</v>
      </c>
      <c r="C1524" s="4">
        <v>42.5</v>
      </c>
      <c r="D1524" s="4">
        <v>10</v>
      </c>
      <c r="E1524" s="4">
        <v>60</v>
      </c>
      <c r="F1524" s="4">
        <v>30</v>
      </c>
      <c r="G1524" s="4">
        <v>53.5</v>
      </c>
      <c r="H1524" s="4">
        <v>30</v>
      </c>
      <c r="I1524" s="4">
        <v>40</v>
      </c>
      <c r="J1524" s="4">
        <v>25</v>
      </c>
      <c r="K1524" s="4">
        <v>20</v>
      </c>
      <c r="L1524" s="4">
        <v>0</v>
      </c>
      <c r="M1524" s="4">
        <v>0</v>
      </c>
    </row>
    <row r="1525" spans="1:13">
      <c r="A1525" s="3" t="s">
        <v>2070</v>
      </c>
      <c r="B1525" s="4">
        <v>0</v>
      </c>
      <c r="C1525" s="4">
        <v>0</v>
      </c>
      <c r="D1525" s="4">
        <v>22.25</v>
      </c>
      <c r="E1525" s="4">
        <v>10</v>
      </c>
      <c r="F1525" s="4">
        <v>65</v>
      </c>
      <c r="G1525" s="4">
        <v>40</v>
      </c>
      <c r="H1525" s="4">
        <v>25</v>
      </c>
      <c r="I1525" s="4">
        <v>15</v>
      </c>
      <c r="J1525" s="4">
        <v>22</v>
      </c>
      <c r="K1525" s="4">
        <v>0</v>
      </c>
      <c r="L1525" s="4">
        <v>0</v>
      </c>
      <c r="M1525" s="4">
        <v>0</v>
      </c>
    </row>
    <row r="1526" spans="1:13">
      <c r="A1526" s="3" t="s">
        <v>2071</v>
      </c>
      <c r="B1526" s="4">
        <v>17.5</v>
      </c>
      <c r="C1526" s="4">
        <v>17</v>
      </c>
      <c r="D1526" s="4">
        <v>0</v>
      </c>
      <c r="E1526" s="4">
        <v>3</v>
      </c>
      <c r="F1526" s="4">
        <v>0</v>
      </c>
      <c r="G1526" s="4">
        <v>7.5</v>
      </c>
      <c r="H1526" s="4">
        <v>30</v>
      </c>
      <c r="I1526" s="4">
        <v>7.5</v>
      </c>
      <c r="J1526" s="4">
        <v>0</v>
      </c>
      <c r="K1526" s="4">
        <v>0</v>
      </c>
      <c r="L1526" s="4">
        <v>0</v>
      </c>
      <c r="M1526" s="4">
        <v>0</v>
      </c>
    </row>
    <row r="1527" spans="1:13">
      <c r="A1527" s="3" t="s">
        <v>2072</v>
      </c>
      <c r="B1527" s="4">
        <v>15</v>
      </c>
      <c r="C1527" s="4">
        <v>0</v>
      </c>
      <c r="D1527" s="4">
        <v>46.5</v>
      </c>
      <c r="E1527" s="4">
        <v>46</v>
      </c>
      <c r="F1527" s="4">
        <v>18</v>
      </c>
      <c r="G1527" s="4">
        <v>0</v>
      </c>
      <c r="H1527" s="4">
        <v>12</v>
      </c>
      <c r="I1527" s="4">
        <v>11</v>
      </c>
      <c r="J1527" s="4">
        <v>83</v>
      </c>
      <c r="K1527" s="4">
        <v>15</v>
      </c>
      <c r="L1527" s="4">
        <v>10</v>
      </c>
      <c r="M1527" s="4">
        <v>10</v>
      </c>
    </row>
    <row r="1528" spans="1:13">
      <c r="A1528" s="3" t="s">
        <v>2073</v>
      </c>
      <c r="B1528" s="4">
        <v>10</v>
      </c>
      <c r="C1528" s="4">
        <v>0</v>
      </c>
      <c r="D1528" s="4">
        <v>0</v>
      </c>
      <c r="E1528" s="4">
        <v>25</v>
      </c>
      <c r="F1528" s="4">
        <v>25</v>
      </c>
      <c r="G1528" s="4">
        <v>0</v>
      </c>
      <c r="H1528" s="4">
        <v>20</v>
      </c>
      <c r="I1528" s="4">
        <v>0</v>
      </c>
      <c r="J1528" s="4">
        <v>30</v>
      </c>
      <c r="K1528" s="4">
        <v>20</v>
      </c>
      <c r="L1528" s="4">
        <v>35</v>
      </c>
      <c r="M1528" s="4">
        <v>15</v>
      </c>
    </row>
    <row r="1529" spans="1:13">
      <c r="A1529" s="3" t="s">
        <v>2074</v>
      </c>
      <c r="B1529" s="4">
        <v>130</v>
      </c>
      <c r="C1529" s="4">
        <v>109.75</v>
      </c>
      <c r="D1529" s="4">
        <v>60</v>
      </c>
      <c r="E1529" s="4">
        <v>0</v>
      </c>
      <c r="F1529" s="4">
        <v>65</v>
      </c>
      <c r="G1529" s="4">
        <v>35</v>
      </c>
      <c r="H1529" s="4">
        <v>142.5</v>
      </c>
      <c r="I1529" s="4">
        <v>81.5</v>
      </c>
      <c r="J1529" s="4">
        <v>47.5</v>
      </c>
      <c r="K1529" s="4">
        <v>100</v>
      </c>
      <c r="L1529" s="4">
        <v>34.75</v>
      </c>
      <c r="M1529" s="4">
        <v>101.5</v>
      </c>
    </row>
    <row r="1530" spans="1:13">
      <c r="A1530" s="3" t="s">
        <v>2075</v>
      </c>
      <c r="B1530" s="4">
        <v>0</v>
      </c>
      <c r="C1530" s="4">
        <v>10</v>
      </c>
      <c r="D1530" s="4">
        <v>25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10</v>
      </c>
      <c r="M1530" s="4">
        <v>0</v>
      </c>
    </row>
    <row r="1531" spans="1:13">
      <c r="A1531" s="3" t="s">
        <v>2076</v>
      </c>
      <c r="B1531" s="4">
        <v>35</v>
      </c>
      <c r="C1531" s="4">
        <v>35</v>
      </c>
      <c r="D1531" s="4">
        <v>50</v>
      </c>
      <c r="E1531" s="4">
        <v>75</v>
      </c>
      <c r="F1531" s="4">
        <v>35</v>
      </c>
      <c r="G1531" s="4">
        <v>162.5</v>
      </c>
      <c r="H1531" s="4">
        <v>157.4</v>
      </c>
      <c r="I1531" s="4">
        <v>80</v>
      </c>
      <c r="J1531" s="4">
        <v>192.5</v>
      </c>
      <c r="K1531" s="4">
        <v>107</v>
      </c>
      <c r="L1531" s="4">
        <v>148</v>
      </c>
      <c r="M1531" s="4">
        <v>196</v>
      </c>
    </row>
    <row r="1532" spans="1:13">
      <c r="A1532" s="3" t="s">
        <v>2077</v>
      </c>
      <c r="B1532" s="4">
        <v>43</v>
      </c>
      <c r="C1532" s="4">
        <v>20</v>
      </c>
      <c r="D1532" s="4">
        <v>41.7</v>
      </c>
      <c r="E1532" s="4">
        <v>59.5</v>
      </c>
      <c r="F1532" s="4">
        <v>30</v>
      </c>
      <c r="G1532" s="4">
        <v>0</v>
      </c>
      <c r="H1532" s="4">
        <v>59.75</v>
      </c>
      <c r="I1532" s="4">
        <v>10</v>
      </c>
      <c r="J1532" s="4">
        <v>40</v>
      </c>
      <c r="K1532" s="4">
        <v>0</v>
      </c>
      <c r="L1532" s="4">
        <v>6.5</v>
      </c>
      <c r="M1532" s="4">
        <v>0</v>
      </c>
    </row>
    <row r="1533" spans="1:13">
      <c r="A1533" s="3" t="s">
        <v>2078</v>
      </c>
      <c r="B1533" s="4">
        <v>444.75</v>
      </c>
      <c r="C1533" s="4">
        <v>169.25</v>
      </c>
      <c r="D1533" s="4">
        <v>159</v>
      </c>
      <c r="E1533" s="4">
        <v>109.5</v>
      </c>
      <c r="F1533" s="4">
        <v>33.25</v>
      </c>
      <c r="G1533" s="4">
        <v>60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</row>
    <row r="1534" spans="1:13">
      <c r="A1534" s="3" t="s">
        <v>2079</v>
      </c>
      <c r="B1534" s="4">
        <v>41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</row>
    <row r="1535" spans="1:13">
      <c r="A1535" s="3" t="s">
        <v>2080</v>
      </c>
      <c r="B1535" s="4">
        <v>40</v>
      </c>
      <c r="C1535" s="4">
        <v>67.5</v>
      </c>
      <c r="D1535" s="4">
        <v>83.5</v>
      </c>
      <c r="E1535" s="4">
        <v>75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</row>
    <row r="1536" spans="1:13">
      <c r="A1536" s="3" t="s">
        <v>2081</v>
      </c>
      <c r="B1536" s="4">
        <v>17.5</v>
      </c>
      <c r="C1536" s="4">
        <v>65.5</v>
      </c>
      <c r="D1536" s="4">
        <v>113.5</v>
      </c>
      <c r="E1536" s="4">
        <v>74</v>
      </c>
      <c r="F1536" s="4">
        <v>0</v>
      </c>
      <c r="G1536" s="4">
        <v>75</v>
      </c>
      <c r="H1536" s="4">
        <v>30</v>
      </c>
      <c r="I1536" s="4">
        <v>25</v>
      </c>
      <c r="J1536" s="4">
        <v>35</v>
      </c>
      <c r="K1536" s="4">
        <v>0</v>
      </c>
      <c r="L1536" s="4">
        <v>10</v>
      </c>
      <c r="M1536" s="4">
        <v>15</v>
      </c>
    </row>
    <row r="1537" spans="1:13">
      <c r="A1537" s="3" t="s">
        <v>2082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20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</row>
    <row r="1538" spans="1:13">
      <c r="A1538" s="3" t="s">
        <v>2083</v>
      </c>
      <c r="B1538" s="4">
        <v>126</v>
      </c>
      <c r="C1538" s="4">
        <v>268</v>
      </c>
      <c r="D1538" s="4">
        <v>171</v>
      </c>
      <c r="E1538" s="4">
        <v>130.5</v>
      </c>
      <c r="F1538" s="4">
        <v>0</v>
      </c>
      <c r="G1538" s="4">
        <v>107</v>
      </c>
      <c r="H1538" s="4">
        <v>140</v>
      </c>
      <c r="I1538" s="4">
        <v>233</v>
      </c>
      <c r="J1538" s="4">
        <v>209</v>
      </c>
      <c r="K1538" s="4">
        <v>196</v>
      </c>
      <c r="L1538" s="4">
        <v>98</v>
      </c>
      <c r="M1538" s="4">
        <v>159</v>
      </c>
    </row>
    <row r="1539" spans="1:13">
      <c r="A1539" s="3" t="s">
        <v>2084</v>
      </c>
      <c r="B1539" s="4">
        <v>84.5</v>
      </c>
      <c r="C1539" s="4">
        <v>0</v>
      </c>
      <c r="D1539" s="4">
        <v>45</v>
      </c>
      <c r="E1539" s="4">
        <v>62.35</v>
      </c>
      <c r="F1539" s="4">
        <v>50.5</v>
      </c>
      <c r="G1539" s="4">
        <v>54</v>
      </c>
      <c r="H1539" s="4">
        <v>50</v>
      </c>
      <c r="I1539" s="4">
        <v>19.5</v>
      </c>
      <c r="J1539" s="4">
        <v>50</v>
      </c>
      <c r="K1539" s="4">
        <v>0</v>
      </c>
      <c r="L1539" s="4">
        <v>0</v>
      </c>
      <c r="M1539" s="4">
        <v>0</v>
      </c>
    </row>
    <row r="1540" spans="1:13">
      <c r="A1540" s="3" t="s">
        <v>2085</v>
      </c>
      <c r="B1540" s="4">
        <v>20</v>
      </c>
      <c r="C1540" s="4">
        <v>20</v>
      </c>
      <c r="D1540" s="4">
        <v>20</v>
      </c>
      <c r="E1540" s="4">
        <v>31</v>
      </c>
      <c r="F1540" s="4">
        <v>0</v>
      </c>
      <c r="G1540" s="4">
        <v>0</v>
      </c>
      <c r="H1540" s="4">
        <v>0</v>
      </c>
      <c r="I1540" s="4">
        <v>10</v>
      </c>
      <c r="J1540" s="4">
        <v>0</v>
      </c>
      <c r="K1540" s="4">
        <v>0</v>
      </c>
      <c r="L1540" s="4">
        <v>5</v>
      </c>
      <c r="M1540" s="4">
        <v>0</v>
      </c>
    </row>
    <row r="1541" spans="1:13">
      <c r="A1541" s="3" t="s">
        <v>2086</v>
      </c>
      <c r="B1541" s="4">
        <v>111</v>
      </c>
      <c r="C1541" s="4">
        <v>35</v>
      </c>
      <c r="D1541" s="4">
        <v>125</v>
      </c>
      <c r="E1541" s="4">
        <v>110</v>
      </c>
      <c r="F1541" s="4">
        <v>36</v>
      </c>
      <c r="G1541" s="4">
        <v>65</v>
      </c>
      <c r="H1541" s="4">
        <v>80</v>
      </c>
      <c r="I1541" s="4">
        <v>40</v>
      </c>
      <c r="J1541" s="4">
        <v>137</v>
      </c>
      <c r="K1541" s="4">
        <v>130</v>
      </c>
      <c r="L1541" s="4">
        <v>140</v>
      </c>
      <c r="M1541" s="4">
        <v>210</v>
      </c>
    </row>
    <row r="1542" spans="1:13">
      <c r="A1542" s="3" t="s">
        <v>2087</v>
      </c>
      <c r="B1542" s="4">
        <v>35</v>
      </c>
      <c r="C1542" s="4">
        <v>34.5</v>
      </c>
      <c r="D1542" s="4">
        <v>15</v>
      </c>
      <c r="E1542" s="4">
        <v>50</v>
      </c>
      <c r="F1542" s="4">
        <v>45</v>
      </c>
      <c r="G1542" s="4">
        <v>10</v>
      </c>
      <c r="H1542" s="4">
        <v>10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</row>
    <row r="1543" spans="1:13">
      <c r="A1543" s="3" t="s">
        <v>2088</v>
      </c>
      <c r="B1543" s="4">
        <v>28</v>
      </c>
      <c r="C1543" s="4">
        <v>51</v>
      </c>
      <c r="D1543" s="4">
        <v>15</v>
      </c>
      <c r="E1543" s="4">
        <v>61.5</v>
      </c>
      <c r="F1543" s="4">
        <v>58.5</v>
      </c>
      <c r="G1543" s="4">
        <v>50</v>
      </c>
      <c r="H1543" s="4">
        <v>35.549999999999997</v>
      </c>
      <c r="I1543" s="4">
        <v>30</v>
      </c>
      <c r="J1543" s="4">
        <v>40</v>
      </c>
      <c r="K1543" s="4">
        <v>37</v>
      </c>
      <c r="L1543" s="4">
        <v>67.400000000000006</v>
      </c>
      <c r="M1543" s="4">
        <v>50</v>
      </c>
    </row>
    <row r="1544" spans="1:13">
      <c r="A1544" s="3" t="s">
        <v>2089</v>
      </c>
      <c r="B1544" s="4">
        <v>0</v>
      </c>
      <c r="C1544" s="4">
        <v>0</v>
      </c>
      <c r="D1544" s="4">
        <v>0</v>
      </c>
      <c r="E1544" s="4">
        <v>10</v>
      </c>
      <c r="F1544" s="4">
        <v>10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</row>
    <row r="1545" spans="1:13">
      <c r="A1545" s="3" t="s">
        <v>2090</v>
      </c>
      <c r="B1545" s="4">
        <v>90</v>
      </c>
      <c r="C1545" s="4">
        <v>0</v>
      </c>
      <c r="D1545" s="4">
        <v>172</v>
      </c>
      <c r="E1545" s="4">
        <v>70</v>
      </c>
      <c r="F1545" s="4">
        <v>144</v>
      </c>
      <c r="G1545" s="4">
        <v>10</v>
      </c>
      <c r="H1545" s="4">
        <v>155</v>
      </c>
      <c r="I1545" s="4">
        <v>20</v>
      </c>
      <c r="J1545" s="4">
        <v>60</v>
      </c>
      <c r="K1545" s="4">
        <v>75</v>
      </c>
      <c r="L1545" s="4">
        <v>143</v>
      </c>
      <c r="M1545" s="4">
        <v>85</v>
      </c>
    </row>
    <row r="1546" spans="1:13">
      <c r="A1546" s="3" t="s">
        <v>2091</v>
      </c>
      <c r="B1546" s="4">
        <v>0</v>
      </c>
      <c r="C1546" s="4">
        <v>7.5</v>
      </c>
      <c r="D1546" s="4">
        <v>27</v>
      </c>
      <c r="E1546" s="4">
        <v>5</v>
      </c>
      <c r="F1546" s="4">
        <v>12.5</v>
      </c>
      <c r="G1546" s="4">
        <v>12.5</v>
      </c>
      <c r="H1546" s="4">
        <v>0</v>
      </c>
      <c r="I1546" s="4">
        <v>32.5</v>
      </c>
      <c r="J1546" s="4">
        <v>31.5</v>
      </c>
      <c r="K1546" s="4">
        <v>15</v>
      </c>
      <c r="L1546" s="4">
        <v>24.5</v>
      </c>
      <c r="M1546" s="4">
        <v>45</v>
      </c>
    </row>
    <row r="1547" spans="1:13">
      <c r="A1547" s="3" t="s">
        <v>2092</v>
      </c>
      <c r="B1547" s="4">
        <v>0</v>
      </c>
      <c r="C1547" s="4">
        <v>10</v>
      </c>
      <c r="D1547" s="4">
        <v>0</v>
      </c>
      <c r="E1547" s="4">
        <v>0</v>
      </c>
      <c r="F1547" s="4">
        <v>10</v>
      </c>
      <c r="G1547" s="4">
        <v>25</v>
      </c>
      <c r="H1547" s="4">
        <v>20</v>
      </c>
      <c r="I1547" s="4">
        <v>10</v>
      </c>
      <c r="J1547" s="4">
        <v>30</v>
      </c>
      <c r="K1547" s="4">
        <v>27.5</v>
      </c>
      <c r="L1547" s="4">
        <v>0</v>
      </c>
      <c r="M1547" s="4">
        <v>5</v>
      </c>
    </row>
    <row r="1548" spans="1:13">
      <c r="A1548" s="3" t="s">
        <v>2093</v>
      </c>
      <c r="B1548" s="4">
        <v>0</v>
      </c>
      <c r="C1548" s="4">
        <v>0</v>
      </c>
      <c r="D1548" s="4">
        <v>10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</row>
    <row r="1549" spans="1:13">
      <c r="A1549" s="3" t="s">
        <v>2094</v>
      </c>
      <c r="B1549" s="4">
        <v>120</v>
      </c>
      <c r="C1549" s="4">
        <v>130</v>
      </c>
      <c r="D1549" s="4">
        <v>105</v>
      </c>
      <c r="E1549" s="4">
        <v>75</v>
      </c>
      <c r="F1549" s="4">
        <v>75</v>
      </c>
      <c r="G1549" s="4">
        <v>95</v>
      </c>
      <c r="H1549" s="4">
        <v>57</v>
      </c>
      <c r="I1549" s="4">
        <v>77</v>
      </c>
      <c r="J1549" s="4">
        <v>75</v>
      </c>
      <c r="K1549" s="4">
        <v>100</v>
      </c>
      <c r="L1549" s="4">
        <v>100</v>
      </c>
      <c r="M1549" s="4">
        <v>210</v>
      </c>
    </row>
    <row r="1550" spans="1:13">
      <c r="A1550" s="3" t="s">
        <v>2095</v>
      </c>
      <c r="B1550" s="4">
        <v>15</v>
      </c>
      <c r="C1550" s="4">
        <v>24</v>
      </c>
      <c r="D1550" s="4">
        <v>0</v>
      </c>
      <c r="E1550" s="4">
        <v>26.5</v>
      </c>
      <c r="F1550" s="4">
        <v>21</v>
      </c>
      <c r="G1550" s="4">
        <v>9</v>
      </c>
      <c r="H1550" s="4">
        <v>30</v>
      </c>
      <c r="I1550" s="4">
        <v>0</v>
      </c>
      <c r="J1550" s="4">
        <v>37.5</v>
      </c>
      <c r="K1550" s="4">
        <v>12.5</v>
      </c>
      <c r="L1550" s="4">
        <v>25</v>
      </c>
      <c r="M1550" s="4">
        <v>70</v>
      </c>
    </row>
    <row r="1551" spans="1:13">
      <c r="A1551" s="3" t="s">
        <v>2096</v>
      </c>
      <c r="B1551" s="4">
        <v>18.5</v>
      </c>
      <c r="C1551" s="4">
        <v>29</v>
      </c>
      <c r="D1551" s="4">
        <v>7.5</v>
      </c>
      <c r="E1551" s="4">
        <v>11.25</v>
      </c>
      <c r="F1551" s="4">
        <v>51</v>
      </c>
      <c r="G1551" s="4">
        <v>33.5</v>
      </c>
      <c r="H1551" s="4">
        <v>10</v>
      </c>
      <c r="I1551" s="4">
        <v>15.5</v>
      </c>
      <c r="J1551" s="4">
        <v>11</v>
      </c>
      <c r="K1551" s="4">
        <v>0</v>
      </c>
      <c r="L1551" s="4">
        <v>0</v>
      </c>
      <c r="M1551" s="4">
        <v>0</v>
      </c>
    </row>
    <row r="1552" spans="1:13">
      <c r="A1552" s="3" t="s">
        <v>2097</v>
      </c>
      <c r="B1552" s="4">
        <v>57.5</v>
      </c>
      <c r="C1552" s="4">
        <v>27</v>
      </c>
      <c r="D1552" s="4">
        <v>109</v>
      </c>
      <c r="E1552" s="4">
        <v>47.1</v>
      </c>
      <c r="F1552" s="4">
        <v>40</v>
      </c>
      <c r="G1552" s="4">
        <v>38</v>
      </c>
      <c r="H1552" s="4">
        <v>20</v>
      </c>
      <c r="I1552" s="4">
        <v>0</v>
      </c>
      <c r="J1552" s="4">
        <v>6</v>
      </c>
      <c r="K1552" s="4">
        <v>0</v>
      </c>
      <c r="L1552" s="4">
        <v>0</v>
      </c>
      <c r="M1552" s="4">
        <v>0</v>
      </c>
    </row>
    <row r="1553" spans="1:13">
      <c r="A1553" s="3" t="s">
        <v>2098</v>
      </c>
      <c r="B1553" s="4">
        <v>85</v>
      </c>
      <c r="C1553" s="4">
        <v>20</v>
      </c>
      <c r="D1553" s="4">
        <v>42</v>
      </c>
      <c r="E1553" s="4">
        <v>70</v>
      </c>
      <c r="F1553" s="4">
        <v>391</v>
      </c>
      <c r="G1553" s="4">
        <v>0</v>
      </c>
      <c r="H1553" s="4">
        <v>195</v>
      </c>
      <c r="I1553" s="4">
        <v>0</v>
      </c>
      <c r="J1553" s="4">
        <v>199</v>
      </c>
      <c r="K1553" s="4">
        <v>235</v>
      </c>
      <c r="L1553" s="4">
        <v>160.5</v>
      </c>
      <c r="M1553" s="4">
        <v>160</v>
      </c>
    </row>
    <row r="1554" spans="1:13">
      <c r="A1554" s="3" t="s">
        <v>2099</v>
      </c>
      <c r="B1554" s="4">
        <v>0</v>
      </c>
      <c r="C1554" s="4">
        <v>0</v>
      </c>
      <c r="D1554" s="4">
        <v>0</v>
      </c>
      <c r="E1554" s="4">
        <v>0</v>
      </c>
      <c r="F1554" s="4">
        <v>0</v>
      </c>
      <c r="G1554" s="4">
        <v>15</v>
      </c>
      <c r="H1554" s="4">
        <v>20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</row>
    <row r="1555" spans="1:13">
      <c r="A1555" s="3" t="s">
        <v>2100</v>
      </c>
      <c r="B1555" s="4">
        <v>40</v>
      </c>
      <c r="C1555" s="4">
        <v>35</v>
      </c>
      <c r="D1555" s="4">
        <v>30</v>
      </c>
      <c r="E1555" s="4">
        <v>55</v>
      </c>
      <c r="F1555" s="4">
        <v>25</v>
      </c>
      <c r="G1555" s="4">
        <v>0</v>
      </c>
      <c r="H1555" s="4">
        <v>15</v>
      </c>
      <c r="I1555" s="4">
        <v>10</v>
      </c>
      <c r="J1555" s="4">
        <v>7.5</v>
      </c>
      <c r="K1555" s="4">
        <v>10</v>
      </c>
      <c r="L1555" s="4">
        <v>0</v>
      </c>
      <c r="M1555" s="4">
        <v>7.5</v>
      </c>
    </row>
    <row r="1556" spans="1:13">
      <c r="A1556" s="3" t="s">
        <v>2101</v>
      </c>
      <c r="B1556" s="4">
        <v>0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10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</row>
    <row r="1557" spans="1:13">
      <c r="A1557" s="3" t="s">
        <v>2102</v>
      </c>
      <c r="B1557" s="4">
        <v>0</v>
      </c>
      <c r="C1557" s="4">
        <v>43.5</v>
      </c>
      <c r="D1557" s="4">
        <v>85</v>
      </c>
      <c r="E1557" s="4">
        <v>30</v>
      </c>
      <c r="F1557" s="4">
        <v>27.5</v>
      </c>
      <c r="G1557" s="4">
        <v>16</v>
      </c>
      <c r="H1557" s="4">
        <v>50</v>
      </c>
      <c r="I1557" s="4">
        <v>80</v>
      </c>
      <c r="J1557" s="4">
        <v>40</v>
      </c>
      <c r="K1557" s="4">
        <v>35</v>
      </c>
      <c r="L1557" s="4">
        <v>56.25</v>
      </c>
      <c r="M1557" s="4">
        <v>55</v>
      </c>
    </row>
    <row r="1558" spans="1:13">
      <c r="A1558" s="3" t="s">
        <v>2103</v>
      </c>
      <c r="B1558" s="4">
        <v>20</v>
      </c>
      <c r="C1558" s="4">
        <v>0</v>
      </c>
      <c r="D1558" s="4">
        <v>0</v>
      </c>
      <c r="E1558" s="4">
        <v>50</v>
      </c>
      <c r="F1558" s="4">
        <v>0</v>
      </c>
      <c r="G1558" s="4">
        <v>15</v>
      </c>
      <c r="H1558" s="4">
        <v>20</v>
      </c>
      <c r="I1558" s="4">
        <v>35</v>
      </c>
      <c r="J1558" s="4">
        <v>0</v>
      </c>
      <c r="K1558" s="4">
        <v>40</v>
      </c>
      <c r="L1558" s="4">
        <v>6</v>
      </c>
      <c r="M1558" s="4">
        <v>43.75</v>
      </c>
    </row>
    <row r="1559" spans="1:13">
      <c r="A1559" s="3" t="s">
        <v>2104</v>
      </c>
      <c r="B1559" s="4">
        <v>100.5</v>
      </c>
      <c r="C1559" s="4">
        <v>32.5</v>
      </c>
      <c r="D1559" s="4">
        <v>0</v>
      </c>
      <c r="E1559" s="4">
        <v>40</v>
      </c>
      <c r="F1559" s="4">
        <v>0</v>
      </c>
      <c r="G1559" s="4">
        <v>17.5</v>
      </c>
      <c r="H1559" s="4">
        <v>35</v>
      </c>
      <c r="I1559" s="4">
        <v>22</v>
      </c>
      <c r="J1559" s="4">
        <v>0</v>
      </c>
      <c r="K1559" s="4">
        <v>0</v>
      </c>
      <c r="L1559" s="4">
        <v>0</v>
      </c>
      <c r="M1559" s="4">
        <v>20</v>
      </c>
    </row>
    <row r="1560" spans="1:13">
      <c r="A1560" s="3" t="s">
        <v>2105</v>
      </c>
      <c r="B1560" s="4">
        <v>0</v>
      </c>
      <c r="C1560" s="4">
        <v>0</v>
      </c>
      <c r="D1560" s="4">
        <v>0</v>
      </c>
      <c r="E1560" s="4">
        <v>51</v>
      </c>
      <c r="F1560" s="4">
        <v>10</v>
      </c>
      <c r="G1560" s="4">
        <v>16</v>
      </c>
      <c r="H1560" s="4">
        <v>15</v>
      </c>
      <c r="I1560" s="4">
        <v>0</v>
      </c>
      <c r="J1560" s="4">
        <v>16</v>
      </c>
      <c r="K1560" s="4">
        <v>16</v>
      </c>
      <c r="L1560" s="4">
        <v>0</v>
      </c>
      <c r="M1560" s="4">
        <v>93</v>
      </c>
    </row>
    <row r="1561" spans="1:13">
      <c r="A1561" s="3" t="s">
        <v>2106</v>
      </c>
      <c r="B1561" s="4">
        <v>8.5</v>
      </c>
      <c r="C1561" s="4">
        <v>15.5</v>
      </c>
      <c r="D1561" s="4">
        <v>50</v>
      </c>
      <c r="E1561" s="4">
        <v>10</v>
      </c>
      <c r="F1561" s="4">
        <v>40</v>
      </c>
      <c r="G1561" s="4">
        <v>59.25</v>
      </c>
      <c r="H1561" s="4">
        <v>19</v>
      </c>
      <c r="I1561" s="4">
        <v>45</v>
      </c>
      <c r="J1561" s="4">
        <v>58</v>
      </c>
      <c r="K1561" s="4">
        <v>46</v>
      </c>
      <c r="L1561" s="4">
        <v>51</v>
      </c>
      <c r="M1561" s="4">
        <v>31</v>
      </c>
    </row>
    <row r="1562" spans="1:13">
      <c r="A1562" s="3" t="s">
        <v>2107</v>
      </c>
      <c r="B1562" s="4">
        <v>28.5</v>
      </c>
      <c r="C1562" s="4">
        <v>38</v>
      </c>
      <c r="D1562" s="4">
        <v>57</v>
      </c>
      <c r="E1562" s="4">
        <v>37.5</v>
      </c>
      <c r="F1562" s="4">
        <v>0</v>
      </c>
      <c r="G1562" s="4">
        <v>10</v>
      </c>
      <c r="H1562" s="4">
        <v>10</v>
      </c>
      <c r="I1562" s="4">
        <v>17</v>
      </c>
      <c r="J1562" s="4">
        <v>25</v>
      </c>
      <c r="K1562" s="4">
        <v>20</v>
      </c>
      <c r="L1562" s="4">
        <v>10</v>
      </c>
      <c r="M1562" s="4">
        <v>10</v>
      </c>
    </row>
    <row r="1563" spans="1:13">
      <c r="A1563" s="3" t="s">
        <v>2108</v>
      </c>
      <c r="B1563" s="4">
        <v>0</v>
      </c>
      <c r="C1563" s="4">
        <v>0</v>
      </c>
      <c r="D1563" s="4">
        <v>20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5</v>
      </c>
      <c r="K1563" s="4">
        <v>0</v>
      </c>
      <c r="L1563" s="4">
        <v>0</v>
      </c>
      <c r="M1563" s="4">
        <v>0</v>
      </c>
    </row>
    <row r="1564" spans="1:13">
      <c r="A1564" s="3" t="s">
        <v>2109</v>
      </c>
      <c r="B1564" s="4">
        <v>79</v>
      </c>
      <c r="C1564" s="4">
        <v>95.5</v>
      </c>
      <c r="D1564" s="4">
        <v>114</v>
      </c>
      <c r="E1564" s="4">
        <v>85.5</v>
      </c>
      <c r="F1564" s="4">
        <v>85</v>
      </c>
      <c r="G1564" s="4">
        <v>83.5</v>
      </c>
      <c r="H1564" s="4">
        <v>91.5</v>
      </c>
      <c r="I1564" s="4">
        <v>42</v>
      </c>
      <c r="J1564" s="4">
        <v>60</v>
      </c>
      <c r="K1564" s="4">
        <v>39.5</v>
      </c>
      <c r="L1564" s="4">
        <v>84</v>
      </c>
      <c r="M1564" s="4">
        <v>42</v>
      </c>
    </row>
    <row r="1565" spans="1:13">
      <c r="A1565" s="3" t="s">
        <v>2110</v>
      </c>
      <c r="B1565" s="4">
        <v>72</v>
      </c>
      <c r="C1565" s="4">
        <v>65.5</v>
      </c>
      <c r="D1565" s="4">
        <v>58</v>
      </c>
      <c r="E1565" s="4">
        <v>69</v>
      </c>
      <c r="F1565" s="4">
        <v>30</v>
      </c>
      <c r="G1565" s="4">
        <v>48</v>
      </c>
      <c r="H1565" s="4">
        <v>51.5</v>
      </c>
      <c r="I1565" s="4">
        <v>18</v>
      </c>
      <c r="J1565" s="4">
        <v>57</v>
      </c>
      <c r="K1565" s="4">
        <v>59.7</v>
      </c>
      <c r="L1565" s="4">
        <v>20</v>
      </c>
      <c r="M1565" s="4">
        <v>47.5</v>
      </c>
    </row>
    <row r="1566" spans="1:13">
      <c r="A1566" s="3" t="s">
        <v>2111</v>
      </c>
      <c r="B1566" s="4">
        <v>12</v>
      </c>
      <c r="C1566" s="4">
        <v>10</v>
      </c>
      <c r="D1566" s="4">
        <v>10</v>
      </c>
      <c r="E1566" s="4">
        <v>0</v>
      </c>
      <c r="F1566" s="4">
        <v>20</v>
      </c>
      <c r="G1566" s="4">
        <v>10</v>
      </c>
      <c r="H1566" s="4">
        <v>5</v>
      </c>
      <c r="I1566" s="4">
        <v>10</v>
      </c>
      <c r="J1566" s="4">
        <v>10</v>
      </c>
      <c r="K1566" s="4">
        <v>0</v>
      </c>
      <c r="L1566" s="4">
        <v>10</v>
      </c>
      <c r="M1566" s="4">
        <v>20</v>
      </c>
    </row>
    <row r="1567" spans="1:13">
      <c r="A1567" s="3" t="s">
        <v>2112</v>
      </c>
      <c r="B1567" s="4">
        <v>37.5</v>
      </c>
      <c r="C1567" s="4">
        <v>80.650000000000006</v>
      </c>
      <c r="D1567" s="4">
        <v>51.35</v>
      </c>
      <c r="E1567" s="4">
        <v>92.25</v>
      </c>
      <c r="F1567" s="4">
        <v>123</v>
      </c>
      <c r="G1567" s="4">
        <v>120.5</v>
      </c>
      <c r="H1567" s="4">
        <v>24</v>
      </c>
      <c r="I1567" s="4">
        <v>35</v>
      </c>
      <c r="J1567" s="4">
        <v>0</v>
      </c>
      <c r="K1567" s="4">
        <v>0</v>
      </c>
      <c r="L1567" s="4">
        <v>5</v>
      </c>
      <c r="M1567" s="4">
        <v>0</v>
      </c>
    </row>
    <row r="1568" spans="1:13">
      <c r="A1568" s="3" t="s">
        <v>2113</v>
      </c>
      <c r="B1568" s="4">
        <v>20</v>
      </c>
      <c r="C1568" s="4">
        <v>30</v>
      </c>
      <c r="D1568" s="4">
        <v>42</v>
      </c>
      <c r="E1568" s="4">
        <v>40</v>
      </c>
      <c r="F1568" s="4">
        <v>20</v>
      </c>
      <c r="G1568" s="4">
        <v>20</v>
      </c>
      <c r="H1568" s="4">
        <v>40</v>
      </c>
      <c r="I1568" s="4">
        <v>49</v>
      </c>
      <c r="J1568" s="4">
        <v>40</v>
      </c>
      <c r="K1568" s="4">
        <v>40</v>
      </c>
      <c r="L1568" s="4">
        <v>40</v>
      </c>
      <c r="M1568" s="4">
        <v>40</v>
      </c>
    </row>
    <row r="1569" spans="1:13">
      <c r="A1569" s="3" t="s">
        <v>2114</v>
      </c>
      <c r="B1569" s="4">
        <v>50</v>
      </c>
      <c r="C1569" s="4">
        <v>20</v>
      </c>
      <c r="D1569" s="4">
        <v>10</v>
      </c>
      <c r="E1569" s="4">
        <v>16</v>
      </c>
      <c r="F1569" s="4">
        <v>39.5</v>
      </c>
      <c r="G1569" s="4">
        <v>46.5</v>
      </c>
      <c r="H1569" s="4">
        <v>0</v>
      </c>
      <c r="I1569" s="4">
        <v>40</v>
      </c>
      <c r="J1569" s="4">
        <v>45</v>
      </c>
      <c r="K1569" s="4">
        <v>6</v>
      </c>
      <c r="L1569" s="4">
        <v>7.5</v>
      </c>
      <c r="M1569" s="4">
        <v>19</v>
      </c>
    </row>
    <row r="1570" spans="1:13">
      <c r="A1570" s="3" t="s">
        <v>2115</v>
      </c>
      <c r="B1570" s="4">
        <v>10</v>
      </c>
      <c r="C1570" s="4">
        <v>25</v>
      </c>
      <c r="D1570" s="4">
        <v>30</v>
      </c>
      <c r="E1570" s="4">
        <v>40</v>
      </c>
      <c r="F1570" s="4">
        <v>0</v>
      </c>
      <c r="G1570" s="4">
        <v>15</v>
      </c>
      <c r="H1570" s="4">
        <v>15</v>
      </c>
      <c r="I1570" s="4">
        <v>0</v>
      </c>
      <c r="J1570" s="4">
        <v>32.5</v>
      </c>
      <c r="K1570" s="4">
        <v>20</v>
      </c>
      <c r="L1570" s="4">
        <v>0</v>
      </c>
      <c r="M1570" s="4">
        <v>30</v>
      </c>
    </row>
    <row r="1571" spans="1:13">
      <c r="A1571" s="3" t="s">
        <v>2116</v>
      </c>
      <c r="B1571" s="4">
        <v>41</v>
      </c>
      <c r="C1571" s="4">
        <v>114</v>
      </c>
      <c r="D1571" s="4">
        <v>50</v>
      </c>
      <c r="E1571" s="4">
        <v>82</v>
      </c>
      <c r="F1571" s="4">
        <v>90</v>
      </c>
      <c r="G1571" s="4">
        <v>40</v>
      </c>
      <c r="H1571" s="4">
        <v>24</v>
      </c>
      <c r="I1571" s="4">
        <v>15</v>
      </c>
      <c r="J1571" s="4">
        <v>31</v>
      </c>
      <c r="K1571" s="4">
        <v>18</v>
      </c>
      <c r="L1571" s="4">
        <v>45</v>
      </c>
      <c r="M1571" s="4">
        <v>72</v>
      </c>
    </row>
    <row r="1572" spans="1:13">
      <c r="A1572" s="3" t="s">
        <v>2117</v>
      </c>
      <c r="B1572" s="4">
        <v>0</v>
      </c>
      <c r="C1572" s="4">
        <v>0</v>
      </c>
      <c r="D1572" s="4">
        <v>0</v>
      </c>
      <c r="E1572" s="4">
        <v>0</v>
      </c>
      <c r="F1572" s="4">
        <v>25</v>
      </c>
      <c r="G1572" s="4">
        <v>10</v>
      </c>
      <c r="H1572" s="4">
        <v>25</v>
      </c>
      <c r="I1572" s="4">
        <v>0</v>
      </c>
      <c r="J1572" s="4">
        <v>46</v>
      </c>
      <c r="K1572" s="4">
        <v>0</v>
      </c>
      <c r="L1572" s="4">
        <v>0</v>
      </c>
      <c r="M1572" s="4">
        <v>0</v>
      </c>
    </row>
    <row r="1573" spans="1:13">
      <c r="A1573" s="3" t="s">
        <v>2118</v>
      </c>
      <c r="B1573" s="4">
        <v>80</v>
      </c>
      <c r="C1573" s="4">
        <v>60</v>
      </c>
      <c r="D1573" s="4">
        <v>40</v>
      </c>
      <c r="E1573" s="4">
        <v>30</v>
      </c>
      <c r="F1573" s="4">
        <v>20</v>
      </c>
      <c r="G1573" s="4">
        <v>20</v>
      </c>
      <c r="H1573" s="4">
        <v>20</v>
      </c>
      <c r="I1573" s="4">
        <v>15</v>
      </c>
      <c r="J1573" s="4">
        <v>22</v>
      </c>
      <c r="K1573" s="4">
        <v>20</v>
      </c>
      <c r="L1573" s="4">
        <v>20</v>
      </c>
      <c r="M1573" s="4">
        <v>50</v>
      </c>
    </row>
    <row r="1574" spans="1:13">
      <c r="A1574" s="3" t="s">
        <v>2119</v>
      </c>
      <c r="B1574" s="4">
        <v>75.5</v>
      </c>
      <c r="C1574" s="4">
        <v>71.5</v>
      </c>
      <c r="D1574" s="4">
        <v>175</v>
      </c>
      <c r="E1574" s="4">
        <v>127.5</v>
      </c>
      <c r="F1574" s="4">
        <v>147</v>
      </c>
      <c r="G1574" s="4">
        <v>297.5</v>
      </c>
      <c r="H1574" s="4">
        <v>163.5</v>
      </c>
      <c r="I1574" s="4">
        <v>135</v>
      </c>
      <c r="J1574" s="4">
        <v>166.5</v>
      </c>
      <c r="K1574" s="4">
        <v>161.25</v>
      </c>
      <c r="L1574" s="4">
        <v>180.8</v>
      </c>
      <c r="M1574" s="4">
        <v>201.5</v>
      </c>
    </row>
    <row r="1575" spans="1:13">
      <c r="A1575" s="3" t="s">
        <v>2120</v>
      </c>
      <c r="B1575" s="4">
        <v>45</v>
      </c>
      <c r="C1575" s="4">
        <v>75</v>
      </c>
      <c r="D1575" s="4">
        <v>60</v>
      </c>
      <c r="E1575" s="4">
        <v>40</v>
      </c>
      <c r="F1575" s="4">
        <v>30.5</v>
      </c>
      <c r="G1575" s="4">
        <v>35</v>
      </c>
      <c r="H1575" s="4">
        <v>40</v>
      </c>
      <c r="I1575" s="4">
        <v>20</v>
      </c>
      <c r="J1575" s="4">
        <v>46</v>
      </c>
      <c r="K1575" s="4">
        <v>50</v>
      </c>
      <c r="L1575" s="4">
        <v>55</v>
      </c>
      <c r="M1575" s="4">
        <v>60</v>
      </c>
    </row>
    <row r="1576" spans="1:13">
      <c r="A1576" s="3" t="s">
        <v>2121</v>
      </c>
      <c r="B1576" s="4">
        <v>17.5</v>
      </c>
      <c r="C1576" s="4">
        <v>22.5</v>
      </c>
      <c r="D1576" s="4">
        <v>19</v>
      </c>
      <c r="E1576" s="4">
        <v>30.5</v>
      </c>
      <c r="F1576" s="4">
        <v>63.05</v>
      </c>
      <c r="G1576" s="4">
        <v>91.5</v>
      </c>
      <c r="H1576" s="4">
        <v>93.1</v>
      </c>
      <c r="I1576" s="4">
        <v>78.75</v>
      </c>
      <c r="J1576" s="4">
        <v>95.1</v>
      </c>
      <c r="K1576" s="4">
        <v>105.75</v>
      </c>
      <c r="L1576" s="4">
        <v>98</v>
      </c>
      <c r="M1576" s="4">
        <v>187.25</v>
      </c>
    </row>
    <row r="1577" spans="1:13">
      <c r="A1577" s="3" t="s">
        <v>2122</v>
      </c>
      <c r="B1577" s="4">
        <v>35</v>
      </c>
      <c r="C1577" s="4">
        <v>0</v>
      </c>
      <c r="D1577" s="4">
        <v>20</v>
      </c>
      <c r="E1577" s="4">
        <v>13.5</v>
      </c>
      <c r="F1577" s="4">
        <v>36.5</v>
      </c>
      <c r="G1577" s="4">
        <v>17.5</v>
      </c>
      <c r="H1577" s="4">
        <v>25</v>
      </c>
      <c r="I1577" s="4">
        <v>25</v>
      </c>
      <c r="J1577" s="4">
        <v>20</v>
      </c>
      <c r="K1577" s="4">
        <v>0</v>
      </c>
      <c r="L1577" s="4">
        <v>0</v>
      </c>
      <c r="M1577" s="4">
        <v>28</v>
      </c>
    </row>
    <row r="1578" spans="1:13">
      <c r="A1578" s="3" t="s">
        <v>2123</v>
      </c>
      <c r="B1578" s="4">
        <v>40</v>
      </c>
      <c r="C1578" s="4">
        <v>127</v>
      </c>
      <c r="D1578" s="4">
        <v>105</v>
      </c>
      <c r="E1578" s="4">
        <v>26</v>
      </c>
      <c r="F1578" s="4">
        <v>29.5</v>
      </c>
      <c r="G1578" s="4">
        <v>10</v>
      </c>
      <c r="H1578" s="4">
        <v>60</v>
      </c>
      <c r="I1578" s="4">
        <v>46</v>
      </c>
      <c r="J1578" s="4">
        <v>45</v>
      </c>
      <c r="K1578" s="4">
        <v>60</v>
      </c>
      <c r="L1578" s="4">
        <v>45</v>
      </c>
      <c r="M1578" s="4">
        <v>45</v>
      </c>
    </row>
    <row r="1579" spans="1:13">
      <c r="A1579" s="3" t="s">
        <v>2124</v>
      </c>
      <c r="B1579" s="4">
        <v>34</v>
      </c>
      <c r="C1579" s="4">
        <v>33</v>
      </c>
      <c r="D1579" s="4">
        <v>30</v>
      </c>
      <c r="E1579" s="4">
        <v>71.400000000000006</v>
      </c>
      <c r="F1579" s="4">
        <v>60</v>
      </c>
      <c r="G1579" s="4">
        <v>103</v>
      </c>
      <c r="H1579" s="4">
        <v>59.25</v>
      </c>
      <c r="I1579" s="4">
        <v>28.25</v>
      </c>
      <c r="J1579" s="4">
        <v>32.5</v>
      </c>
      <c r="K1579" s="4">
        <v>102.5</v>
      </c>
      <c r="L1579" s="4">
        <v>73.5</v>
      </c>
      <c r="M1579" s="4">
        <v>40</v>
      </c>
    </row>
    <row r="1580" spans="1:13">
      <c r="A1580" s="3" t="s">
        <v>2125</v>
      </c>
      <c r="B1580" s="4">
        <v>35</v>
      </c>
      <c r="C1580" s="4">
        <v>0</v>
      </c>
      <c r="D1580" s="4">
        <v>15</v>
      </c>
      <c r="E1580" s="4">
        <v>0</v>
      </c>
      <c r="F1580" s="4">
        <v>0</v>
      </c>
      <c r="G1580" s="4">
        <v>20</v>
      </c>
      <c r="H1580" s="4">
        <v>30</v>
      </c>
      <c r="I1580" s="4">
        <v>0</v>
      </c>
      <c r="J1580" s="4">
        <v>5</v>
      </c>
      <c r="K1580" s="4">
        <v>17.5</v>
      </c>
      <c r="L1580" s="4">
        <v>10</v>
      </c>
      <c r="M1580" s="4">
        <v>20</v>
      </c>
    </row>
    <row r="1581" spans="1:13">
      <c r="A1581" s="3" t="s">
        <v>2126</v>
      </c>
      <c r="B1581" s="4">
        <v>30.5</v>
      </c>
      <c r="C1581" s="4">
        <v>25</v>
      </c>
      <c r="D1581" s="4">
        <v>10</v>
      </c>
      <c r="E1581" s="4">
        <v>15</v>
      </c>
      <c r="F1581" s="4">
        <v>26</v>
      </c>
      <c r="G1581" s="4">
        <v>22.5</v>
      </c>
      <c r="H1581" s="4">
        <v>17</v>
      </c>
      <c r="I1581" s="4">
        <v>0</v>
      </c>
      <c r="J1581" s="4">
        <v>20.5</v>
      </c>
      <c r="K1581" s="4">
        <v>25</v>
      </c>
      <c r="L1581" s="4">
        <v>10</v>
      </c>
      <c r="M1581" s="4">
        <v>7.5</v>
      </c>
    </row>
    <row r="1582" spans="1:13">
      <c r="A1582" s="3" t="s">
        <v>2127</v>
      </c>
      <c r="B1582" s="4">
        <v>43</v>
      </c>
      <c r="C1582" s="4">
        <v>56</v>
      </c>
      <c r="D1582" s="4">
        <v>44</v>
      </c>
      <c r="E1582" s="4">
        <v>63</v>
      </c>
      <c r="F1582" s="4">
        <v>61</v>
      </c>
      <c r="G1582" s="4">
        <v>57.5</v>
      </c>
      <c r="H1582" s="4">
        <v>45</v>
      </c>
      <c r="I1582" s="4">
        <v>20</v>
      </c>
      <c r="J1582" s="4">
        <v>102</v>
      </c>
      <c r="K1582" s="4">
        <v>77</v>
      </c>
      <c r="L1582" s="4">
        <v>40</v>
      </c>
      <c r="M1582" s="4">
        <v>30</v>
      </c>
    </row>
    <row r="1583" spans="1:13">
      <c r="A1583" s="3" t="s">
        <v>2128</v>
      </c>
      <c r="B1583" s="4">
        <v>0</v>
      </c>
      <c r="C1583" s="4">
        <v>30</v>
      </c>
      <c r="D1583" s="4">
        <v>12</v>
      </c>
      <c r="E1583" s="4">
        <v>20</v>
      </c>
      <c r="F1583" s="4">
        <v>40</v>
      </c>
      <c r="G1583" s="4">
        <v>12.5</v>
      </c>
      <c r="H1583" s="4">
        <v>12.5</v>
      </c>
      <c r="I1583" s="4">
        <v>20</v>
      </c>
      <c r="J1583" s="4">
        <v>20</v>
      </c>
      <c r="K1583" s="4">
        <v>13</v>
      </c>
      <c r="L1583" s="4">
        <v>20</v>
      </c>
      <c r="M1583" s="4">
        <v>34.5</v>
      </c>
    </row>
    <row r="1584" spans="1:13">
      <c r="A1584" s="3" t="s">
        <v>2129</v>
      </c>
      <c r="B1584" s="4">
        <v>53</v>
      </c>
      <c r="C1584" s="4">
        <v>220</v>
      </c>
      <c r="D1584" s="4">
        <v>70</v>
      </c>
      <c r="E1584" s="4">
        <v>11.05</v>
      </c>
      <c r="F1584" s="4">
        <v>118</v>
      </c>
      <c r="G1584" s="4">
        <v>50</v>
      </c>
      <c r="H1584" s="4">
        <v>30</v>
      </c>
      <c r="I1584" s="4">
        <v>10</v>
      </c>
      <c r="J1584" s="4">
        <v>75</v>
      </c>
      <c r="K1584" s="4">
        <v>40</v>
      </c>
      <c r="L1584" s="4">
        <v>81.5</v>
      </c>
      <c r="M1584" s="4">
        <v>120</v>
      </c>
    </row>
    <row r="1585" spans="1:13">
      <c r="A1585" s="3" t="s">
        <v>2130</v>
      </c>
      <c r="B1585" s="4">
        <v>45.5</v>
      </c>
      <c r="C1585" s="4">
        <v>70</v>
      </c>
      <c r="D1585" s="4">
        <v>40</v>
      </c>
      <c r="E1585" s="4">
        <v>39</v>
      </c>
      <c r="F1585" s="4">
        <v>20</v>
      </c>
      <c r="G1585" s="4">
        <v>35</v>
      </c>
      <c r="H1585" s="4">
        <v>0</v>
      </c>
      <c r="I1585" s="4">
        <v>0</v>
      </c>
      <c r="J1585" s="4">
        <v>69.5</v>
      </c>
      <c r="K1585" s="4">
        <v>32.5</v>
      </c>
      <c r="L1585" s="4">
        <v>25</v>
      </c>
      <c r="M1585" s="4">
        <v>65.5</v>
      </c>
    </row>
    <row r="1586" spans="1:13">
      <c r="A1586" s="3" t="s">
        <v>2131</v>
      </c>
      <c r="B1586" s="4">
        <v>0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5</v>
      </c>
    </row>
    <row r="1587" spans="1:13">
      <c r="A1587" s="3" t="s">
        <v>2132</v>
      </c>
      <c r="B1587" s="4">
        <v>11.5</v>
      </c>
      <c r="C1587" s="4">
        <v>45</v>
      </c>
      <c r="D1587" s="4">
        <v>43</v>
      </c>
      <c r="E1587" s="4">
        <v>49</v>
      </c>
      <c r="F1587" s="4">
        <v>0</v>
      </c>
      <c r="G1587" s="4">
        <v>55</v>
      </c>
      <c r="H1587" s="4">
        <v>61</v>
      </c>
      <c r="I1587" s="4">
        <v>35</v>
      </c>
      <c r="J1587" s="4">
        <v>64</v>
      </c>
      <c r="K1587" s="4">
        <v>72</v>
      </c>
      <c r="L1587" s="4">
        <v>35</v>
      </c>
      <c r="M1587" s="4">
        <v>30</v>
      </c>
    </row>
    <row r="1588" spans="1:13">
      <c r="A1588" s="3" t="s">
        <v>2133</v>
      </c>
      <c r="B1588" s="4">
        <v>5</v>
      </c>
      <c r="C1588" s="4">
        <v>47.5</v>
      </c>
      <c r="D1588" s="4">
        <v>40</v>
      </c>
      <c r="E1588" s="4">
        <v>66.25</v>
      </c>
      <c r="F1588" s="4">
        <v>72.25</v>
      </c>
      <c r="G1588" s="4">
        <v>36</v>
      </c>
      <c r="H1588" s="4">
        <v>35</v>
      </c>
      <c r="I1588" s="4">
        <v>21.25</v>
      </c>
      <c r="J1588" s="4">
        <v>26</v>
      </c>
      <c r="K1588" s="4">
        <v>67</v>
      </c>
      <c r="L1588" s="4">
        <v>41.25</v>
      </c>
      <c r="M1588" s="4">
        <v>45</v>
      </c>
    </row>
    <row r="1589" spans="1:13">
      <c r="A1589" s="3" t="s">
        <v>2134</v>
      </c>
      <c r="B1589" s="4">
        <v>10</v>
      </c>
      <c r="C1589" s="4">
        <v>0</v>
      </c>
      <c r="D1589" s="4">
        <v>0</v>
      </c>
      <c r="E1589" s="4">
        <v>20</v>
      </c>
      <c r="F1589" s="4">
        <v>30.25</v>
      </c>
      <c r="G1589" s="4">
        <v>0</v>
      </c>
      <c r="H1589" s="4">
        <v>0</v>
      </c>
      <c r="I1589" s="4">
        <v>40</v>
      </c>
      <c r="J1589" s="4">
        <v>52.5</v>
      </c>
      <c r="K1589" s="4">
        <v>50</v>
      </c>
      <c r="L1589" s="4">
        <v>36.5</v>
      </c>
      <c r="M1589" s="4">
        <v>139.25</v>
      </c>
    </row>
    <row r="1590" spans="1:13">
      <c r="A1590" s="3" t="s">
        <v>2135</v>
      </c>
      <c r="B1590" s="4">
        <v>15</v>
      </c>
      <c r="C1590" s="4">
        <v>7</v>
      </c>
      <c r="D1590" s="4">
        <v>80</v>
      </c>
      <c r="E1590" s="4">
        <v>75</v>
      </c>
      <c r="F1590" s="4">
        <v>20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</row>
    <row r="1591" spans="1:13">
      <c r="A1591" s="3" t="s">
        <v>2136</v>
      </c>
      <c r="B1591" s="4">
        <v>0</v>
      </c>
      <c r="C1591" s="4">
        <v>0</v>
      </c>
      <c r="D1591" s="4">
        <v>0</v>
      </c>
      <c r="E1591" s="4">
        <v>10</v>
      </c>
      <c r="F1591" s="4">
        <v>0</v>
      </c>
      <c r="G1591" s="4">
        <v>15</v>
      </c>
      <c r="H1591" s="4">
        <v>25</v>
      </c>
      <c r="I1591" s="4">
        <v>0</v>
      </c>
      <c r="J1591" s="4">
        <v>30</v>
      </c>
      <c r="K1591" s="4">
        <v>0</v>
      </c>
      <c r="L1591" s="4">
        <v>35</v>
      </c>
      <c r="M1591" s="4">
        <v>30</v>
      </c>
    </row>
    <row r="1592" spans="1:13">
      <c r="A1592" s="3" t="s">
        <v>2137</v>
      </c>
      <c r="B1592" s="4">
        <v>32</v>
      </c>
      <c r="C1592" s="4">
        <v>15</v>
      </c>
      <c r="D1592" s="4">
        <v>0</v>
      </c>
      <c r="E1592" s="4">
        <v>0</v>
      </c>
      <c r="F1592" s="4">
        <v>0</v>
      </c>
      <c r="G1592" s="4">
        <v>20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</row>
    <row r="1593" spans="1:13">
      <c r="A1593" s="3" t="s">
        <v>2138</v>
      </c>
      <c r="B1593" s="4">
        <v>0</v>
      </c>
      <c r="C1593" s="4">
        <v>0</v>
      </c>
      <c r="D1593" s="4">
        <v>0</v>
      </c>
      <c r="E1593" s="4">
        <v>11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</row>
    <row r="1594" spans="1:13">
      <c r="A1594" s="3" t="s">
        <v>2139</v>
      </c>
      <c r="B1594" s="4">
        <v>85</v>
      </c>
      <c r="C1594" s="4">
        <v>83</v>
      </c>
      <c r="D1594" s="4">
        <v>105</v>
      </c>
      <c r="E1594" s="4">
        <v>66</v>
      </c>
      <c r="F1594" s="4">
        <v>99.5</v>
      </c>
      <c r="G1594" s="4">
        <v>68</v>
      </c>
      <c r="H1594" s="4">
        <v>0</v>
      </c>
      <c r="I1594" s="4">
        <v>105</v>
      </c>
      <c r="J1594" s="4">
        <v>109.5</v>
      </c>
      <c r="K1594" s="4">
        <v>42.5</v>
      </c>
      <c r="L1594" s="4">
        <v>52.5</v>
      </c>
      <c r="M1594" s="4">
        <v>129</v>
      </c>
    </row>
    <row r="1595" spans="1:13">
      <c r="A1595" s="3" t="s">
        <v>2140</v>
      </c>
      <c r="B1595" s="4">
        <v>0</v>
      </c>
      <c r="C1595" s="4">
        <v>0</v>
      </c>
      <c r="D1595" s="4">
        <v>0</v>
      </c>
      <c r="E1595" s="4">
        <v>0</v>
      </c>
      <c r="F1595" s="4">
        <v>0</v>
      </c>
      <c r="G1595" s="4">
        <v>6</v>
      </c>
      <c r="H1595" s="4">
        <v>10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</row>
    <row r="1596" spans="1:13">
      <c r="A1596" s="3" t="s">
        <v>2141</v>
      </c>
      <c r="B1596" s="4">
        <v>10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</row>
    <row r="1597" spans="1:13">
      <c r="A1597" s="3" t="s">
        <v>2142</v>
      </c>
      <c r="B1597" s="4">
        <v>40</v>
      </c>
      <c r="C1597" s="4">
        <v>15</v>
      </c>
      <c r="D1597" s="4">
        <v>30</v>
      </c>
      <c r="E1597" s="4">
        <v>52.5</v>
      </c>
      <c r="F1597" s="4">
        <v>34</v>
      </c>
      <c r="G1597" s="4">
        <v>42.5</v>
      </c>
      <c r="H1597" s="4">
        <v>35</v>
      </c>
      <c r="I1597" s="4">
        <v>15</v>
      </c>
      <c r="J1597" s="4">
        <v>32</v>
      </c>
      <c r="K1597" s="4">
        <v>25</v>
      </c>
      <c r="L1597" s="4">
        <v>10</v>
      </c>
      <c r="M1597" s="4">
        <v>61</v>
      </c>
    </row>
    <row r="1598" spans="1:13">
      <c r="A1598" s="3" t="s">
        <v>2143</v>
      </c>
      <c r="B1598" s="4">
        <v>45</v>
      </c>
      <c r="C1598" s="4">
        <v>30</v>
      </c>
      <c r="D1598" s="4">
        <v>60</v>
      </c>
      <c r="E1598" s="4">
        <v>40</v>
      </c>
      <c r="F1598" s="4">
        <v>58</v>
      </c>
      <c r="G1598" s="4">
        <v>57.5</v>
      </c>
      <c r="H1598" s="4">
        <v>45</v>
      </c>
      <c r="I1598" s="4">
        <v>50</v>
      </c>
      <c r="J1598" s="4">
        <v>70.5</v>
      </c>
      <c r="K1598" s="4">
        <v>51</v>
      </c>
      <c r="L1598" s="4">
        <v>52</v>
      </c>
      <c r="M1598" s="4">
        <v>30</v>
      </c>
    </row>
    <row r="1599" spans="1:13">
      <c r="A1599" s="3" t="s">
        <v>2144</v>
      </c>
      <c r="B1599" s="4">
        <v>44</v>
      </c>
      <c r="C1599" s="4">
        <v>0</v>
      </c>
      <c r="D1599" s="4">
        <v>124</v>
      </c>
      <c r="E1599" s="4">
        <v>0</v>
      </c>
      <c r="F1599" s="4">
        <v>0</v>
      </c>
      <c r="G1599" s="4">
        <v>129.5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</row>
    <row r="1600" spans="1:13">
      <c r="A1600" s="3" t="s">
        <v>2145</v>
      </c>
      <c r="B1600" s="4">
        <v>30</v>
      </c>
      <c r="C1600" s="4">
        <v>20</v>
      </c>
      <c r="D1600" s="4">
        <v>30</v>
      </c>
      <c r="E1600" s="4">
        <v>15</v>
      </c>
      <c r="F1600" s="4">
        <v>0</v>
      </c>
      <c r="G1600" s="4">
        <v>10</v>
      </c>
      <c r="H1600" s="4">
        <v>10</v>
      </c>
      <c r="I1600" s="4">
        <v>26</v>
      </c>
      <c r="J1600" s="4">
        <v>11</v>
      </c>
      <c r="K1600" s="4">
        <v>40</v>
      </c>
      <c r="L1600" s="4">
        <v>13.5</v>
      </c>
      <c r="M1600" s="4">
        <v>25</v>
      </c>
    </row>
    <row r="1601" spans="1:13">
      <c r="A1601" s="3" t="s">
        <v>2146</v>
      </c>
      <c r="B1601" s="4">
        <v>15</v>
      </c>
      <c r="C1601" s="4">
        <v>192.5</v>
      </c>
      <c r="D1601" s="4">
        <v>190</v>
      </c>
      <c r="E1601" s="4">
        <v>187</v>
      </c>
      <c r="F1601" s="4">
        <v>170.5</v>
      </c>
      <c r="G1601" s="4">
        <v>145.5</v>
      </c>
      <c r="H1601" s="4">
        <v>107.75</v>
      </c>
      <c r="I1601" s="4">
        <v>35</v>
      </c>
      <c r="J1601" s="4">
        <v>148</v>
      </c>
      <c r="K1601" s="4">
        <v>157.5</v>
      </c>
      <c r="L1601" s="4">
        <v>147.5</v>
      </c>
      <c r="M1601" s="4">
        <v>137.5</v>
      </c>
    </row>
    <row r="1602" spans="1:13">
      <c r="A1602" s="3" t="s">
        <v>2147</v>
      </c>
      <c r="B1602" s="4">
        <v>15</v>
      </c>
      <c r="C1602" s="4">
        <v>70.75</v>
      </c>
      <c r="D1602" s="4">
        <v>273.25</v>
      </c>
      <c r="E1602" s="4">
        <v>328</v>
      </c>
      <c r="F1602" s="4">
        <v>358.8</v>
      </c>
      <c r="G1602" s="4">
        <v>446.2</v>
      </c>
      <c r="H1602" s="4">
        <v>62.75</v>
      </c>
      <c r="I1602" s="4">
        <v>336.25</v>
      </c>
      <c r="J1602" s="4">
        <v>184</v>
      </c>
      <c r="K1602" s="4">
        <v>366.25</v>
      </c>
      <c r="L1602" s="4">
        <v>296</v>
      </c>
      <c r="M1602" s="4">
        <v>67.5</v>
      </c>
    </row>
    <row r="1603" spans="1:13">
      <c r="A1603" s="3" t="s">
        <v>2148</v>
      </c>
      <c r="B1603" s="4">
        <v>8</v>
      </c>
      <c r="C1603" s="4">
        <v>10</v>
      </c>
      <c r="D1603" s="4">
        <v>10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</row>
    <row r="1604" spans="1:13">
      <c r="A1604" s="3" t="s">
        <v>2149</v>
      </c>
      <c r="B1604" s="4">
        <v>28.5</v>
      </c>
      <c r="C1604" s="4">
        <v>40</v>
      </c>
      <c r="D1604" s="4">
        <v>28.5</v>
      </c>
      <c r="E1604" s="4">
        <v>40</v>
      </c>
      <c r="F1604" s="4">
        <v>55</v>
      </c>
      <c r="G1604" s="4">
        <v>32.5</v>
      </c>
      <c r="H1604" s="4">
        <v>30</v>
      </c>
      <c r="I1604" s="4">
        <v>18.5</v>
      </c>
      <c r="J1604" s="4">
        <v>67</v>
      </c>
      <c r="K1604" s="4">
        <v>57.5</v>
      </c>
      <c r="L1604" s="4">
        <v>62</v>
      </c>
      <c r="M1604" s="4">
        <v>15</v>
      </c>
    </row>
    <row r="1605" spans="1:13">
      <c r="A1605" s="3" t="s">
        <v>2150</v>
      </c>
      <c r="B1605" s="4">
        <v>11</v>
      </c>
      <c r="C1605" s="4">
        <v>45</v>
      </c>
      <c r="D1605" s="4">
        <v>30</v>
      </c>
      <c r="E1605" s="4">
        <v>20</v>
      </c>
      <c r="F1605" s="4">
        <v>30</v>
      </c>
      <c r="G1605" s="4">
        <v>25</v>
      </c>
      <c r="H1605" s="4">
        <v>30</v>
      </c>
      <c r="I1605" s="4">
        <v>0</v>
      </c>
      <c r="J1605" s="4">
        <v>45</v>
      </c>
      <c r="K1605" s="4">
        <v>7.5</v>
      </c>
      <c r="L1605" s="4">
        <v>15</v>
      </c>
      <c r="M1605" s="4">
        <v>25</v>
      </c>
    </row>
    <row r="1606" spans="1:13">
      <c r="A1606" s="3" t="s">
        <v>2151</v>
      </c>
      <c r="B1606" s="4">
        <v>60</v>
      </c>
      <c r="C1606" s="4">
        <v>30</v>
      </c>
      <c r="D1606" s="4">
        <v>96</v>
      </c>
      <c r="E1606" s="4">
        <v>117</v>
      </c>
      <c r="F1606" s="4">
        <v>30</v>
      </c>
      <c r="G1606" s="4">
        <v>90</v>
      </c>
      <c r="H1606" s="4">
        <v>0</v>
      </c>
      <c r="I1606" s="4">
        <v>25</v>
      </c>
      <c r="J1606" s="4">
        <v>0</v>
      </c>
      <c r="K1606" s="4">
        <v>61.5</v>
      </c>
      <c r="L1606" s="4">
        <v>0</v>
      </c>
      <c r="M1606" s="4">
        <v>0</v>
      </c>
    </row>
    <row r="1607" spans="1:13">
      <c r="A1607" s="3" t="s">
        <v>2152</v>
      </c>
      <c r="B1607" s="4">
        <v>0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10</v>
      </c>
      <c r="I1607" s="4">
        <v>0</v>
      </c>
      <c r="J1607" s="4">
        <v>10</v>
      </c>
      <c r="K1607" s="4">
        <v>0</v>
      </c>
      <c r="L1607" s="4">
        <v>0</v>
      </c>
      <c r="M1607" s="4">
        <v>0</v>
      </c>
    </row>
    <row r="1608" spans="1:13">
      <c r="A1608" s="3" t="s">
        <v>2153</v>
      </c>
      <c r="B1608" s="4">
        <v>100</v>
      </c>
      <c r="C1608" s="4">
        <v>100</v>
      </c>
      <c r="D1608" s="4">
        <v>35</v>
      </c>
      <c r="E1608" s="4">
        <v>60</v>
      </c>
      <c r="F1608" s="4">
        <v>25</v>
      </c>
      <c r="G1608" s="4">
        <v>47.5</v>
      </c>
      <c r="H1608" s="4">
        <v>20</v>
      </c>
      <c r="I1608" s="4">
        <v>10</v>
      </c>
      <c r="J1608" s="4">
        <v>57.5</v>
      </c>
      <c r="K1608" s="4">
        <v>22</v>
      </c>
      <c r="L1608" s="4">
        <v>32.5</v>
      </c>
      <c r="M1608" s="4">
        <v>50</v>
      </c>
    </row>
    <row r="1609" spans="1:13">
      <c r="A1609" s="3" t="s">
        <v>2154</v>
      </c>
      <c r="B1609" s="4">
        <v>98</v>
      </c>
      <c r="C1609" s="4">
        <v>55</v>
      </c>
      <c r="D1609" s="4">
        <v>32</v>
      </c>
      <c r="E1609" s="4">
        <v>0</v>
      </c>
      <c r="F1609" s="4">
        <v>110</v>
      </c>
      <c r="G1609" s="4">
        <v>70</v>
      </c>
      <c r="H1609" s="4">
        <v>110</v>
      </c>
      <c r="I1609" s="4">
        <v>40</v>
      </c>
      <c r="J1609" s="4">
        <v>55</v>
      </c>
      <c r="K1609" s="4">
        <v>85</v>
      </c>
      <c r="L1609" s="4">
        <v>37</v>
      </c>
      <c r="M1609" s="4">
        <v>45</v>
      </c>
    </row>
    <row r="1610" spans="1:13">
      <c r="A1610" s="3" t="s">
        <v>2155</v>
      </c>
      <c r="B1610" s="4">
        <v>20</v>
      </c>
      <c r="C1610" s="4">
        <v>55</v>
      </c>
      <c r="D1610" s="4">
        <v>56</v>
      </c>
      <c r="E1610" s="4">
        <v>0</v>
      </c>
      <c r="F1610" s="4">
        <v>10</v>
      </c>
      <c r="G1610" s="4">
        <v>0</v>
      </c>
      <c r="H1610" s="4">
        <v>0</v>
      </c>
      <c r="I1610" s="4">
        <v>0</v>
      </c>
      <c r="J1610" s="4">
        <v>40</v>
      </c>
      <c r="K1610" s="4">
        <v>15</v>
      </c>
      <c r="L1610" s="4">
        <v>15</v>
      </c>
      <c r="M1610" s="4">
        <v>15</v>
      </c>
    </row>
    <row r="1611" spans="1:13">
      <c r="A1611" s="3" t="s">
        <v>2156</v>
      </c>
      <c r="B1611" s="4">
        <v>55</v>
      </c>
      <c r="C1611" s="4">
        <v>22.5</v>
      </c>
      <c r="D1611" s="4">
        <v>65</v>
      </c>
      <c r="E1611" s="4">
        <v>87.5</v>
      </c>
      <c r="F1611" s="4">
        <v>75</v>
      </c>
      <c r="G1611" s="4">
        <v>20</v>
      </c>
      <c r="H1611" s="4">
        <v>35</v>
      </c>
      <c r="I1611" s="4">
        <v>20</v>
      </c>
      <c r="J1611" s="4">
        <v>65</v>
      </c>
      <c r="K1611" s="4">
        <v>95</v>
      </c>
      <c r="L1611" s="4">
        <v>120</v>
      </c>
      <c r="M1611" s="4">
        <v>20</v>
      </c>
    </row>
    <row r="1612" spans="1:13">
      <c r="A1612" s="3" t="s">
        <v>2157</v>
      </c>
      <c r="B1612" s="4">
        <v>0</v>
      </c>
      <c r="C1612" s="4">
        <v>0</v>
      </c>
      <c r="D1612" s="4">
        <v>0</v>
      </c>
      <c r="E1612" s="4">
        <v>15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</row>
    <row r="1613" spans="1:13">
      <c r="A1613" s="3" t="s">
        <v>2158</v>
      </c>
      <c r="B1613" s="4">
        <v>7.5</v>
      </c>
      <c r="C1613" s="4">
        <v>0</v>
      </c>
      <c r="D1613" s="4">
        <v>7.5</v>
      </c>
      <c r="E1613" s="4">
        <v>32.5</v>
      </c>
      <c r="F1613" s="4">
        <v>7.5</v>
      </c>
      <c r="G1613" s="4">
        <v>0</v>
      </c>
      <c r="H1613" s="4">
        <v>65</v>
      </c>
      <c r="I1613" s="4">
        <v>25</v>
      </c>
      <c r="J1613" s="4">
        <v>27.5</v>
      </c>
      <c r="K1613" s="4">
        <v>30</v>
      </c>
      <c r="L1613" s="4">
        <v>38</v>
      </c>
      <c r="M1613" s="4">
        <v>82.45</v>
      </c>
    </row>
    <row r="1614" spans="1:13">
      <c r="A1614" s="3" t="s">
        <v>2159</v>
      </c>
      <c r="B1614" s="4">
        <v>15</v>
      </c>
      <c r="C1614" s="4">
        <v>0</v>
      </c>
      <c r="D1614" s="4">
        <v>20</v>
      </c>
      <c r="E1614" s="4">
        <v>10</v>
      </c>
      <c r="F1614" s="4">
        <v>0</v>
      </c>
      <c r="G1614" s="4">
        <v>0</v>
      </c>
      <c r="H1614" s="4">
        <v>0</v>
      </c>
      <c r="I1614" s="4">
        <v>10</v>
      </c>
      <c r="J1614" s="4">
        <v>26</v>
      </c>
      <c r="K1614" s="4">
        <v>30</v>
      </c>
      <c r="L1614" s="4">
        <v>25</v>
      </c>
      <c r="M1614" s="4">
        <v>11</v>
      </c>
    </row>
    <row r="1615" spans="1:13">
      <c r="A1615" s="3" t="s">
        <v>2160</v>
      </c>
      <c r="B1615" s="4">
        <v>208.6</v>
      </c>
      <c r="C1615" s="4">
        <v>118</v>
      </c>
      <c r="D1615" s="4">
        <v>41.5</v>
      </c>
      <c r="E1615" s="4">
        <v>70</v>
      </c>
      <c r="F1615" s="4">
        <v>115</v>
      </c>
      <c r="G1615" s="4">
        <v>141.75</v>
      </c>
      <c r="H1615" s="4">
        <v>265</v>
      </c>
      <c r="I1615" s="4">
        <v>18.5</v>
      </c>
      <c r="J1615" s="4">
        <v>215.5</v>
      </c>
      <c r="K1615" s="4">
        <v>180.25</v>
      </c>
      <c r="L1615" s="4">
        <v>10.5</v>
      </c>
      <c r="M1615" s="4">
        <v>8</v>
      </c>
    </row>
    <row r="1616" spans="1:13">
      <c r="A1616" s="3" t="s">
        <v>2161</v>
      </c>
      <c r="B1616" s="4">
        <v>10</v>
      </c>
      <c r="C1616" s="4">
        <v>30</v>
      </c>
      <c r="D1616" s="4">
        <v>127</v>
      </c>
      <c r="E1616" s="4">
        <v>75</v>
      </c>
      <c r="F1616" s="4">
        <v>0</v>
      </c>
      <c r="G1616" s="4">
        <v>16</v>
      </c>
      <c r="H1616" s="4">
        <v>35</v>
      </c>
      <c r="I1616" s="4">
        <v>10</v>
      </c>
      <c r="J1616" s="4">
        <v>5</v>
      </c>
      <c r="K1616" s="4">
        <v>0</v>
      </c>
      <c r="L1616" s="4">
        <v>0</v>
      </c>
      <c r="M1616" s="4">
        <v>0</v>
      </c>
    </row>
    <row r="1617" spans="1:13">
      <c r="A1617" s="3" t="s">
        <v>2162</v>
      </c>
      <c r="B1617" s="4">
        <v>0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15</v>
      </c>
      <c r="L1617" s="4">
        <v>160</v>
      </c>
      <c r="M1617" s="4">
        <v>35</v>
      </c>
    </row>
    <row r="1618" spans="1:13">
      <c r="A1618" s="3" t="s">
        <v>2163</v>
      </c>
      <c r="B1618" s="4">
        <v>0</v>
      </c>
      <c r="C1618" s="4">
        <v>0</v>
      </c>
      <c r="D1618" s="4">
        <v>0</v>
      </c>
      <c r="E1618" s="4">
        <v>15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</row>
    <row r="1619" spans="1:13">
      <c r="A1619" s="3" t="s">
        <v>2164</v>
      </c>
      <c r="B1619" s="4">
        <v>70</v>
      </c>
      <c r="C1619" s="4">
        <v>0</v>
      </c>
      <c r="D1619" s="4">
        <v>0</v>
      </c>
      <c r="E1619" s="4">
        <v>20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</row>
    <row r="1620" spans="1:13">
      <c r="A1620" s="3" t="s">
        <v>2165</v>
      </c>
      <c r="B1620" s="4">
        <v>16.5</v>
      </c>
      <c r="C1620" s="4">
        <v>0</v>
      </c>
      <c r="D1620" s="4">
        <v>6.5</v>
      </c>
      <c r="E1620" s="4">
        <v>10</v>
      </c>
      <c r="F1620" s="4">
        <v>5</v>
      </c>
      <c r="G1620" s="4">
        <v>2.5</v>
      </c>
      <c r="H1620" s="4">
        <v>0</v>
      </c>
      <c r="I1620" s="4">
        <v>2.5</v>
      </c>
      <c r="J1620" s="4">
        <v>0</v>
      </c>
      <c r="K1620" s="4">
        <v>0</v>
      </c>
      <c r="L1620" s="4">
        <v>0</v>
      </c>
      <c r="M1620" s="4">
        <v>0</v>
      </c>
    </row>
    <row r="1621" spans="1:13">
      <c r="A1621" s="3" t="s">
        <v>2166</v>
      </c>
      <c r="B1621" s="4">
        <v>34</v>
      </c>
      <c r="C1621" s="4">
        <v>40.5</v>
      </c>
      <c r="D1621" s="4">
        <v>75</v>
      </c>
      <c r="E1621" s="4">
        <v>51</v>
      </c>
      <c r="F1621" s="4">
        <v>47.5</v>
      </c>
      <c r="G1621" s="4">
        <v>24.75</v>
      </c>
      <c r="H1621" s="4">
        <v>50</v>
      </c>
      <c r="I1621" s="4">
        <v>50</v>
      </c>
      <c r="J1621" s="4">
        <v>100</v>
      </c>
      <c r="K1621" s="4">
        <v>32.5</v>
      </c>
      <c r="L1621" s="4">
        <v>37.5</v>
      </c>
      <c r="M1621" s="4">
        <v>64.5</v>
      </c>
    </row>
    <row r="1622" spans="1:13">
      <c r="A1622" s="3" t="s">
        <v>2167</v>
      </c>
      <c r="B1622" s="4">
        <v>0</v>
      </c>
      <c r="C1622" s="4">
        <v>0</v>
      </c>
      <c r="D1622" s="4">
        <v>10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</row>
    <row r="1623" spans="1:13">
      <c r="A1623" s="3" t="s">
        <v>2168</v>
      </c>
      <c r="B1623" s="4">
        <v>10</v>
      </c>
      <c r="C1623" s="4">
        <v>35</v>
      </c>
      <c r="D1623" s="4">
        <v>10</v>
      </c>
      <c r="E1623" s="4">
        <v>15</v>
      </c>
      <c r="F1623" s="4">
        <v>10</v>
      </c>
      <c r="G1623" s="4">
        <v>10</v>
      </c>
      <c r="H1623" s="4">
        <v>0</v>
      </c>
      <c r="I1623" s="4">
        <v>0</v>
      </c>
      <c r="J1623" s="4">
        <v>0</v>
      </c>
      <c r="K1623" s="4">
        <v>10</v>
      </c>
      <c r="L1623" s="4">
        <v>30</v>
      </c>
      <c r="M1623" s="4">
        <v>15</v>
      </c>
    </row>
    <row r="1624" spans="1:13">
      <c r="A1624" s="3" t="s">
        <v>2169</v>
      </c>
      <c r="B1624" s="4">
        <v>39</v>
      </c>
      <c r="C1624" s="4">
        <v>51</v>
      </c>
      <c r="D1624" s="4">
        <v>145.5</v>
      </c>
      <c r="E1624" s="4">
        <v>128.5</v>
      </c>
      <c r="F1624" s="4">
        <v>106.65</v>
      </c>
      <c r="G1624" s="4">
        <v>57.45</v>
      </c>
      <c r="H1624" s="4">
        <v>93.5</v>
      </c>
      <c r="I1624" s="4">
        <v>25</v>
      </c>
      <c r="J1624" s="4">
        <v>98.75</v>
      </c>
      <c r="K1624" s="4">
        <v>70</v>
      </c>
      <c r="L1624" s="4">
        <v>0</v>
      </c>
      <c r="M1624" s="4">
        <v>0</v>
      </c>
    </row>
    <row r="1625" spans="1:13">
      <c r="A1625" s="3" t="s">
        <v>2170</v>
      </c>
      <c r="B1625" s="4">
        <v>0</v>
      </c>
      <c r="C1625" s="4">
        <v>0</v>
      </c>
      <c r="D1625" s="4">
        <v>0</v>
      </c>
      <c r="E1625" s="4">
        <v>0</v>
      </c>
      <c r="F1625" s="4">
        <v>0</v>
      </c>
      <c r="G1625" s="4">
        <v>10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</row>
    <row r="1626" spans="1:13">
      <c r="A1626" s="3" t="s">
        <v>2171</v>
      </c>
      <c r="B1626" s="4">
        <v>84</v>
      </c>
      <c r="C1626" s="4">
        <v>53</v>
      </c>
      <c r="D1626" s="4">
        <v>96.5</v>
      </c>
      <c r="E1626" s="4">
        <v>104</v>
      </c>
      <c r="F1626" s="4">
        <v>60</v>
      </c>
      <c r="G1626" s="4">
        <v>93</v>
      </c>
      <c r="H1626" s="4">
        <v>66</v>
      </c>
      <c r="I1626" s="4">
        <v>42</v>
      </c>
      <c r="J1626" s="4">
        <v>131</v>
      </c>
      <c r="K1626" s="4">
        <v>98</v>
      </c>
      <c r="L1626" s="4">
        <v>94</v>
      </c>
      <c r="M1626" s="4">
        <v>209</v>
      </c>
    </row>
    <row r="1627" spans="1:13">
      <c r="A1627" s="3" t="s">
        <v>2172</v>
      </c>
      <c r="B1627" s="4">
        <v>51</v>
      </c>
      <c r="C1627" s="4">
        <v>35</v>
      </c>
      <c r="D1627" s="4">
        <v>46</v>
      </c>
      <c r="E1627" s="4">
        <v>15</v>
      </c>
      <c r="F1627" s="4">
        <v>82</v>
      </c>
      <c r="G1627" s="4">
        <v>35</v>
      </c>
      <c r="H1627" s="4">
        <v>66</v>
      </c>
      <c r="I1627" s="4">
        <v>25</v>
      </c>
      <c r="J1627" s="4">
        <v>25</v>
      </c>
      <c r="K1627" s="4">
        <v>36</v>
      </c>
      <c r="L1627" s="4">
        <v>20</v>
      </c>
      <c r="M1627" s="4">
        <v>30</v>
      </c>
    </row>
    <row r="1628" spans="1:13">
      <c r="A1628" s="3" t="s">
        <v>2173</v>
      </c>
      <c r="B1628" s="4">
        <v>0</v>
      </c>
      <c r="C1628" s="4">
        <v>25</v>
      </c>
      <c r="D1628" s="4">
        <v>130</v>
      </c>
      <c r="E1628" s="4">
        <v>145</v>
      </c>
      <c r="F1628" s="4">
        <v>0</v>
      </c>
      <c r="G1628" s="4">
        <v>25</v>
      </c>
      <c r="H1628" s="4">
        <v>0</v>
      </c>
      <c r="I1628" s="4">
        <v>0</v>
      </c>
      <c r="J1628" s="4">
        <v>0</v>
      </c>
      <c r="K1628" s="4">
        <v>0</v>
      </c>
      <c r="L1628" s="4">
        <v>45</v>
      </c>
      <c r="M1628" s="4">
        <v>70</v>
      </c>
    </row>
    <row r="1629" spans="1:13">
      <c r="A1629" s="3" t="s">
        <v>2174</v>
      </c>
      <c r="B1629" s="4">
        <v>0</v>
      </c>
      <c r="C1629" s="4">
        <v>0</v>
      </c>
      <c r="D1629" s="4">
        <v>0</v>
      </c>
      <c r="E1629" s="4">
        <v>15</v>
      </c>
      <c r="F1629" s="4">
        <v>10</v>
      </c>
      <c r="G1629" s="4">
        <v>30</v>
      </c>
      <c r="H1629" s="4">
        <v>30</v>
      </c>
      <c r="I1629" s="4">
        <v>0</v>
      </c>
      <c r="J1629" s="4">
        <v>45</v>
      </c>
      <c r="K1629" s="4">
        <v>25</v>
      </c>
      <c r="L1629" s="4">
        <v>15</v>
      </c>
      <c r="M1629" s="4">
        <v>10</v>
      </c>
    </row>
    <row r="1630" spans="1:13">
      <c r="A1630" s="3" t="s">
        <v>2175</v>
      </c>
      <c r="B1630" s="4">
        <v>0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20</v>
      </c>
      <c r="J1630" s="4">
        <v>15</v>
      </c>
      <c r="K1630" s="4">
        <v>15</v>
      </c>
      <c r="L1630" s="4">
        <v>12.5</v>
      </c>
      <c r="M1630" s="4">
        <v>16.5</v>
      </c>
    </row>
    <row r="1631" spans="1:13">
      <c r="A1631" s="3" t="s">
        <v>2176</v>
      </c>
      <c r="B1631" s="4">
        <v>100</v>
      </c>
      <c r="C1631" s="4">
        <v>15</v>
      </c>
      <c r="D1631" s="4">
        <v>70</v>
      </c>
      <c r="E1631" s="4">
        <v>25</v>
      </c>
      <c r="F1631" s="4">
        <v>110</v>
      </c>
      <c r="G1631" s="4">
        <v>45</v>
      </c>
      <c r="H1631" s="4">
        <v>0</v>
      </c>
      <c r="I1631" s="4">
        <v>35</v>
      </c>
      <c r="J1631" s="4">
        <v>35</v>
      </c>
      <c r="K1631" s="4">
        <v>15</v>
      </c>
      <c r="L1631" s="4">
        <v>20</v>
      </c>
      <c r="M1631" s="4">
        <v>0</v>
      </c>
    </row>
    <row r="1632" spans="1:13">
      <c r="A1632" s="3" t="s">
        <v>2177</v>
      </c>
      <c r="B1632" s="4">
        <v>68</v>
      </c>
      <c r="C1632" s="4">
        <v>96</v>
      </c>
      <c r="D1632" s="4">
        <v>93</v>
      </c>
      <c r="E1632" s="4">
        <v>124</v>
      </c>
      <c r="F1632" s="4">
        <v>87</v>
      </c>
      <c r="G1632" s="4">
        <v>75</v>
      </c>
      <c r="H1632" s="4">
        <v>84</v>
      </c>
      <c r="I1632" s="4">
        <v>54</v>
      </c>
      <c r="J1632" s="4">
        <v>73</v>
      </c>
      <c r="K1632" s="4">
        <v>68.5</v>
      </c>
      <c r="L1632" s="4">
        <v>67</v>
      </c>
      <c r="M1632" s="4">
        <v>64</v>
      </c>
    </row>
    <row r="1633" spans="1:13">
      <c r="A1633" s="3" t="s">
        <v>2178</v>
      </c>
      <c r="B1633" s="4">
        <v>0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20</v>
      </c>
      <c r="I1633" s="4">
        <v>0</v>
      </c>
      <c r="J1633" s="4">
        <v>6.5</v>
      </c>
      <c r="K1633" s="4">
        <v>0</v>
      </c>
      <c r="L1633" s="4">
        <v>0</v>
      </c>
      <c r="M1633" s="4">
        <v>20</v>
      </c>
    </row>
    <row r="1634" spans="1:13">
      <c r="A1634" s="3" t="s">
        <v>2179</v>
      </c>
      <c r="B1634" s="4">
        <v>5</v>
      </c>
      <c r="C1634" s="4">
        <v>15</v>
      </c>
      <c r="D1634" s="4">
        <v>25</v>
      </c>
      <c r="E1634" s="4">
        <v>10</v>
      </c>
      <c r="F1634" s="4">
        <v>0</v>
      </c>
      <c r="G1634" s="4">
        <v>0</v>
      </c>
      <c r="H1634" s="4">
        <v>15</v>
      </c>
      <c r="I1634" s="4">
        <v>0</v>
      </c>
      <c r="J1634" s="4">
        <v>0</v>
      </c>
      <c r="K1634" s="4">
        <v>11</v>
      </c>
      <c r="L1634" s="4">
        <v>0</v>
      </c>
      <c r="M1634" s="4">
        <v>0</v>
      </c>
    </row>
    <row r="1635" spans="1:13">
      <c r="A1635" s="3" t="s">
        <v>2180</v>
      </c>
      <c r="B1635" s="4">
        <v>27.5</v>
      </c>
      <c r="C1635" s="4">
        <v>17.2</v>
      </c>
      <c r="D1635" s="4">
        <v>47.5</v>
      </c>
      <c r="E1635" s="4">
        <v>38</v>
      </c>
      <c r="F1635" s="4">
        <v>32.15</v>
      </c>
      <c r="G1635" s="4">
        <v>0</v>
      </c>
      <c r="H1635" s="4">
        <v>22.5</v>
      </c>
      <c r="I1635" s="4">
        <v>0</v>
      </c>
      <c r="J1635" s="4">
        <v>0</v>
      </c>
      <c r="K1635" s="4">
        <v>42</v>
      </c>
      <c r="L1635" s="4">
        <v>33.25</v>
      </c>
      <c r="M1635" s="4">
        <v>0</v>
      </c>
    </row>
    <row r="1636" spans="1:13">
      <c r="A1636" s="3" t="s">
        <v>2181</v>
      </c>
      <c r="B1636" s="4">
        <v>150.25</v>
      </c>
      <c r="C1636" s="4">
        <v>55</v>
      </c>
      <c r="D1636" s="4">
        <v>130</v>
      </c>
      <c r="E1636" s="4">
        <v>110.4</v>
      </c>
      <c r="F1636" s="4">
        <v>96</v>
      </c>
      <c r="G1636" s="4">
        <v>86</v>
      </c>
      <c r="H1636" s="4">
        <v>85</v>
      </c>
      <c r="I1636" s="4">
        <v>30</v>
      </c>
      <c r="J1636" s="4">
        <v>83</v>
      </c>
      <c r="K1636" s="4">
        <v>105.25</v>
      </c>
      <c r="L1636" s="4">
        <v>110</v>
      </c>
      <c r="M1636" s="4">
        <v>102</v>
      </c>
    </row>
    <row r="1637" spans="1:13">
      <c r="A1637" s="3" t="s">
        <v>2182</v>
      </c>
      <c r="B1637" s="4">
        <v>45</v>
      </c>
      <c r="C1637" s="4">
        <v>30</v>
      </c>
      <c r="D1637" s="4">
        <v>70</v>
      </c>
      <c r="E1637" s="4">
        <v>80</v>
      </c>
      <c r="F1637" s="4">
        <v>80</v>
      </c>
      <c r="G1637" s="4">
        <v>10</v>
      </c>
      <c r="H1637" s="4">
        <v>60</v>
      </c>
      <c r="I1637" s="4">
        <v>20</v>
      </c>
      <c r="J1637" s="4">
        <v>60</v>
      </c>
      <c r="K1637" s="4">
        <v>55</v>
      </c>
      <c r="L1637" s="4">
        <v>150</v>
      </c>
      <c r="M1637" s="4">
        <v>147</v>
      </c>
    </row>
    <row r="1638" spans="1:13">
      <c r="A1638" s="3" t="s">
        <v>2183</v>
      </c>
      <c r="B1638" s="4">
        <v>10</v>
      </c>
      <c r="C1638" s="4">
        <v>10</v>
      </c>
      <c r="D1638" s="4">
        <v>48.5</v>
      </c>
      <c r="E1638" s="4">
        <v>39.5</v>
      </c>
      <c r="F1638" s="4">
        <v>15</v>
      </c>
      <c r="G1638" s="4">
        <v>30.5</v>
      </c>
      <c r="H1638" s="4">
        <v>30</v>
      </c>
      <c r="I1638" s="4">
        <v>15</v>
      </c>
      <c r="J1638" s="4">
        <v>88.5</v>
      </c>
      <c r="K1638" s="4">
        <v>52</v>
      </c>
      <c r="L1638" s="4">
        <v>40</v>
      </c>
      <c r="M1638" s="4">
        <v>30</v>
      </c>
    </row>
    <row r="1639" spans="1:13">
      <c r="A1639" s="3" t="s">
        <v>2184</v>
      </c>
      <c r="B1639" s="4">
        <v>55</v>
      </c>
      <c r="C1639" s="4">
        <v>34</v>
      </c>
      <c r="D1639" s="4">
        <v>35</v>
      </c>
      <c r="E1639" s="4">
        <v>68.5</v>
      </c>
      <c r="F1639" s="4">
        <v>122</v>
      </c>
      <c r="G1639" s="4">
        <v>30</v>
      </c>
      <c r="H1639" s="4">
        <v>111</v>
      </c>
      <c r="I1639" s="4">
        <v>30</v>
      </c>
      <c r="J1639" s="4">
        <v>45</v>
      </c>
      <c r="K1639" s="4">
        <v>85</v>
      </c>
      <c r="L1639" s="4">
        <v>87</v>
      </c>
      <c r="M1639" s="4">
        <v>95</v>
      </c>
    </row>
    <row r="1640" spans="1:13">
      <c r="A1640" s="3" t="s">
        <v>2185</v>
      </c>
      <c r="B1640" s="4">
        <v>22</v>
      </c>
      <c r="C1640" s="4">
        <v>37.75</v>
      </c>
      <c r="D1640" s="4">
        <v>130</v>
      </c>
      <c r="E1640" s="4">
        <v>72.5</v>
      </c>
      <c r="F1640" s="4">
        <v>22.25</v>
      </c>
      <c r="G1640" s="4">
        <v>90.75</v>
      </c>
      <c r="H1640" s="4">
        <v>106.3</v>
      </c>
      <c r="I1640" s="4">
        <v>8.5</v>
      </c>
      <c r="J1640" s="4">
        <v>146</v>
      </c>
      <c r="K1640" s="4">
        <v>171</v>
      </c>
      <c r="L1640" s="4">
        <v>18.2</v>
      </c>
      <c r="M1640" s="4">
        <v>75.099999999999994</v>
      </c>
    </row>
    <row r="1641" spans="1:13">
      <c r="A1641" s="3" t="s">
        <v>2186</v>
      </c>
      <c r="B1641" s="4">
        <v>239</v>
      </c>
      <c r="C1641" s="4">
        <v>327.5</v>
      </c>
      <c r="D1641" s="4">
        <v>315.5</v>
      </c>
      <c r="E1641" s="4">
        <v>277.95</v>
      </c>
      <c r="F1641" s="4">
        <v>253.75</v>
      </c>
      <c r="G1641" s="4">
        <v>273.5</v>
      </c>
      <c r="H1641" s="4">
        <v>239</v>
      </c>
      <c r="I1641" s="4">
        <v>216.5</v>
      </c>
      <c r="J1641" s="4">
        <v>248.5</v>
      </c>
      <c r="K1641" s="4">
        <v>434.5</v>
      </c>
      <c r="L1641" s="4">
        <v>299.25</v>
      </c>
      <c r="M1641" s="4">
        <v>278</v>
      </c>
    </row>
    <row r="1642" spans="1:13">
      <c r="A1642" s="3" t="s">
        <v>2187</v>
      </c>
      <c r="B1642" s="4">
        <v>35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</row>
    <row r="1643" spans="1:13">
      <c r="A1643" s="3" t="s">
        <v>2188</v>
      </c>
      <c r="B1643" s="4">
        <v>0</v>
      </c>
      <c r="C1643" s="4">
        <v>0</v>
      </c>
      <c r="D1643" s="4">
        <v>0</v>
      </c>
      <c r="E1643" s="4">
        <v>92.5</v>
      </c>
      <c r="F1643" s="4">
        <v>25</v>
      </c>
      <c r="G1643" s="4">
        <v>30.5</v>
      </c>
      <c r="H1643" s="4">
        <v>20</v>
      </c>
      <c r="I1643" s="4">
        <v>50</v>
      </c>
      <c r="J1643" s="4">
        <v>50</v>
      </c>
      <c r="K1643" s="4">
        <v>51</v>
      </c>
      <c r="L1643" s="4">
        <v>78</v>
      </c>
      <c r="M1643" s="4">
        <v>72.5</v>
      </c>
    </row>
    <row r="1644" spans="1:13">
      <c r="A1644" s="3" t="s">
        <v>2189</v>
      </c>
      <c r="B1644" s="4">
        <v>0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7.5</v>
      </c>
      <c r="L1644" s="4">
        <v>38.75</v>
      </c>
      <c r="M1644" s="4">
        <v>30</v>
      </c>
    </row>
    <row r="1645" spans="1:13">
      <c r="A1645" s="3" t="s">
        <v>2190</v>
      </c>
      <c r="B1645" s="4">
        <v>80</v>
      </c>
      <c r="C1645" s="4">
        <v>61.5</v>
      </c>
      <c r="D1645" s="4">
        <v>80</v>
      </c>
      <c r="E1645" s="4">
        <v>70</v>
      </c>
      <c r="F1645" s="4">
        <v>116</v>
      </c>
      <c r="G1645" s="4">
        <v>52.3</v>
      </c>
      <c r="H1645" s="4">
        <v>70</v>
      </c>
      <c r="I1645" s="4">
        <v>20</v>
      </c>
      <c r="J1645" s="4">
        <v>107</v>
      </c>
      <c r="K1645" s="4">
        <v>90</v>
      </c>
      <c r="L1645" s="4">
        <v>62</v>
      </c>
      <c r="M1645" s="4">
        <v>47.5</v>
      </c>
    </row>
    <row r="1646" spans="1:13">
      <c r="A1646" s="3" t="s">
        <v>2191</v>
      </c>
      <c r="B1646" s="4">
        <v>10</v>
      </c>
      <c r="C1646" s="4">
        <v>40.5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</row>
    <row r="1647" spans="1:13">
      <c r="A1647" s="3" t="s">
        <v>2192</v>
      </c>
      <c r="B1647" s="4">
        <v>70</v>
      </c>
      <c r="C1647" s="4">
        <v>60</v>
      </c>
      <c r="D1647" s="4">
        <v>20</v>
      </c>
      <c r="E1647" s="4">
        <v>62.5</v>
      </c>
      <c r="F1647" s="4">
        <v>80</v>
      </c>
      <c r="G1647" s="4">
        <v>35</v>
      </c>
      <c r="H1647" s="4">
        <v>60</v>
      </c>
      <c r="I1647" s="4">
        <v>16.5</v>
      </c>
      <c r="J1647" s="4">
        <v>146.25</v>
      </c>
      <c r="K1647" s="4">
        <v>144.5</v>
      </c>
      <c r="L1647" s="4">
        <v>115</v>
      </c>
      <c r="M1647" s="4">
        <v>103</v>
      </c>
    </row>
    <row r="1648" spans="1:13">
      <c r="A1648" s="3" t="s">
        <v>2193</v>
      </c>
      <c r="B1648" s="4">
        <v>50</v>
      </c>
      <c r="C1648" s="4">
        <v>30</v>
      </c>
      <c r="D1648" s="4">
        <v>75</v>
      </c>
      <c r="E1648" s="4">
        <v>30</v>
      </c>
      <c r="F1648" s="4">
        <v>10</v>
      </c>
      <c r="G1648" s="4">
        <v>10</v>
      </c>
      <c r="H1648" s="4">
        <v>10</v>
      </c>
      <c r="I1648" s="4">
        <v>10</v>
      </c>
      <c r="J1648" s="4">
        <v>25</v>
      </c>
      <c r="K1648" s="4">
        <v>30</v>
      </c>
      <c r="L1648" s="4">
        <v>30</v>
      </c>
      <c r="M1648" s="4">
        <v>15</v>
      </c>
    </row>
    <row r="1649" spans="1:13">
      <c r="A1649" s="3" t="s">
        <v>2194</v>
      </c>
      <c r="B1649" s="4">
        <v>0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28</v>
      </c>
    </row>
    <row r="1650" spans="1:13">
      <c r="A1650" s="3" t="s">
        <v>2195</v>
      </c>
      <c r="B1650" s="4">
        <v>0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5</v>
      </c>
      <c r="M1650" s="4">
        <v>0</v>
      </c>
    </row>
    <row r="1651" spans="1:13">
      <c r="A1651" s="3" t="s">
        <v>2196</v>
      </c>
      <c r="B1651" s="4">
        <v>20</v>
      </c>
      <c r="C1651" s="4">
        <v>35</v>
      </c>
      <c r="D1651" s="4">
        <v>72.55</v>
      </c>
      <c r="E1651" s="4">
        <v>88.2</v>
      </c>
      <c r="F1651" s="4">
        <v>10</v>
      </c>
      <c r="G1651" s="4">
        <v>24</v>
      </c>
      <c r="H1651" s="4">
        <v>18</v>
      </c>
      <c r="I1651" s="4">
        <v>24</v>
      </c>
      <c r="J1651" s="4">
        <v>35</v>
      </c>
      <c r="K1651" s="4">
        <v>6.45</v>
      </c>
      <c r="L1651" s="4">
        <v>24.6</v>
      </c>
      <c r="M1651" s="4">
        <v>40</v>
      </c>
    </row>
    <row r="1652" spans="1:13">
      <c r="A1652" s="3" t="s">
        <v>2197</v>
      </c>
      <c r="B1652" s="4">
        <v>52.5</v>
      </c>
      <c r="C1652" s="4">
        <v>20</v>
      </c>
      <c r="D1652" s="4">
        <v>17.5</v>
      </c>
      <c r="E1652" s="4">
        <v>151</v>
      </c>
      <c r="F1652" s="4">
        <v>98.5</v>
      </c>
      <c r="G1652" s="4">
        <v>40</v>
      </c>
      <c r="H1652" s="4">
        <v>68.5</v>
      </c>
      <c r="I1652" s="4">
        <v>50.5</v>
      </c>
      <c r="J1652" s="4">
        <v>62.5</v>
      </c>
      <c r="K1652" s="4">
        <v>27</v>
      </c>
      <c r="L1652" s="4">
        <v>20</v>
      </c>
      <c r="M1652" s="4">
        <v>92.5</v>
      </c>
    </row>
    <row r="1653" spans="1:13">
      <c r="A1653" s="3" t="s">
        <v>2198</v>
      </c>
      <c r="B1653" s="4">
        <v>57.75</v>
      </c>
      <c r="C1653" s="4">
        <v>60</v>
      </c>
      <c r="D1653" s="4">
        <v>73.5</v>
      </c>
      <c r="E1653" s="4">
        <v>126</v>
      </c>
      <c r="F1653" s="4">
        <v>75.5</v>
      </c>
      <c r="G1653" s="4">
        <v>36</v>
      </c>
      <c r="H1653" s="4">
        <v>75</v>
      </c>
      <c r="I1653" s="4">
        <v>32.5</v>
      </c>
      <c r="J1653" s="4">
        <v>40</v>
      </c>
      <c r="K1653" s="4">
        <v>20</v>
      </c>
      <c r="L1653" s="4">
        <v>89.5</v>
      </c>
      <c r="M1653" s="4">
        <v>80</v>
      </c>
    </row>
    <row r="1654" spans="1:13">
      <c r="A1654" s="3" t="s">
        <v>2199</v>
      </c>
      <c r="B1654" s="4">
        <v>27.5</v>
      </c>
      <c r="C1654" s="4">
        <v>0</v>
      </c>
      <c r="D1654" s="4">
        <v>0</v>
      </c>
      <c r="E1654" s="4">
        <v>18.5</v>
      </c>
      <c r="F1654" s="4">
        <v>26</v>
      </c>
      <c r="G1654" s="4">
        <v>17.5</v>
      </c>
      <c r="H1654" s="4">
        <v>47</v>
      </c>
      <c r="I1654" s="4">
        <v>53.5</v>
      </c>
      <c r="J1654" s="4">
        <v>17.5</v>
      </c>
      <c r="K1654" s="4">
        <v>66</v>
      </c>
      <c r="L1654" s="4">
        <v>4.5</v>
      </c>
      <c r="M1654" s="4">
        <v>20</v>
      </c>
    </row>
    <row r="1655" spans="1:13">
      <c r="A1655" s="3" t="s">
        <v>2200</v>
      </c>
      <c r="B1655" s="4">
        <v>0</v>
      </c>
      <c r="C1655" s="4">
        <v>32.25</v>
      </c>
      <c r="D1655" s="4">
        <v>6</v>
      </c>
      <c r="E1655" s="4">
        <v>1</v>
      </c>
      <c r="F1655" s="4">
        <v>0</v>
      </c>
      <c r="G1655" s="4">
        <v>0</v>
      </c>
      <c r="H1655" s="4">
        <v>0</v>
      </c>
      <c r="I1655" s="4">
        <v>10</v>
      </c>
      <c r="J1655" s="4">
        <v>23.5</v>
      </c>
      <c r="K1655" s="4">
        <v>5</v>
      </c>
      <c r="L1655" s="4">
        <v>0</v>
      </c>
      <c r="M1655" s="4">
        <v>5</v>
      </c>
    </row>
    <row r="1656" spans="1:13">
      <c r="A1656" s="3" t="s">
        <v>2201</v>
      </c>
      <c r="B1656" s="4">
        <v>25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50</v>
      </c>
      <c r="K1656" s="4">
        <v>30</v>
      </c>
      <c r="L1656" s="4">
        <v>71</v>
      </c>
      <c r="M1656" s="4">
        <v>101</v>
      </c>
    </row>
    <row r="1657" spans="1:13">
      <c r="A1657" s="3" t="s">
        <v>2202</v>
      </c>
      <c r="B1657" s="4">
        <v>75</v>
      </c>
      <c r="C1657" s="4">
        <v>20</v>
      </c>
      <c r="D1657" s="4">
        <v>65</v>
      </c>
      <c r="E1657" s="4">
        <v>55</v>
      </c>
      <c r="F1657" s="4">
        <v>20</v>
      </c>
      <c r="G1657" s="4">
        <v>50</v>
      </c>
      <c r="H1657" s="4">
        <v>15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</row>
    <row r="1658" spans="1:13">
      <c r="A1658" s="3" t="s">
        <v>2203</v>
      </c>
      <c r="B1658" s="4">
        <v>12.5</v>
      </c>
      <c r="C1658" s="4">
        <v>0</v>
      </c>
      <c r="D1658" s="4">
        <v>37.5</v>
      </c>
      <c r="E1658" s="4">
        <v>47.5</v>
      </c>
      <c r="F1658" s="4">
        <v>27.5</v>
      </c>
      <c r="G1658" s="4">
        <v>37.5</v>
      </c>
      <c r="H1658" s="4">
        <v>0</v>
      </c>
      <c r="I1658" s="4">
        <v>0</v>
      </c>
      <c r="J1658" s="4">
        <v>22.5</v>
      </c>
      <c r="K1658" s="4">
        <v>22.5</v>
      </c>
      <c r="L1658" s="4">
        <v>28</v>
      </c>
      <c r="M1658" s="4">
        <v>27.5</v>
      </c>
    </row>
    <row r="1659" spans="1:13">
      <c r="A1659" s="3" t="s">
        <v>2204</v>
      </c>
      <c r="B1659" s="4">
        <v>51.25</v>
      </c>
      <c r="C1659" s="4">
        <v>106.5</v>
      </c>
      <c r="D1659" s="4">
        <v>45.5</v>
      </c>
      <c r="E1659" s="4">
        <v>149.5</v>
      </c>
      <c r="F1659" s="4">
        <v>58</v>
      </c>
      <c r="G1659" s="4">
        <v>62</v>
      </c>
      <c r="H1659" s="4">
        <v>30</v>
      </c>
      <c r="I1659" s="4">
        <v>51</v>
      </c>
      <c r="J1659" s="4">
        <v>107</v>
      </c>
      <c r="K1659" s="4">
        <v>56</v>
      </c>
      <c r="L1659" s="4">
        <v>60</v>
      </c>
      <c r="M1659" s="4">
        <v>130</v>
      </c>
    </row>
    <row r="1660" spans="1:13">
      <c r="A1660" s="3" t="s">
        <v>2205</v>
      </c>
      <c r="B1660" s="4">
        <v>40</v>
      </c>
      <c r="C1660" s="4">
        <v>10</v>
      </c>
      <c r="D1660" s="4">
        <v>25</v>
      </c>
      <c r="E1660" s="4">
        <v>50</v>
      </c>
      <c r="F1660" s="4">
        <v>44</v>
      </c>
      <c r="G1660" s="4">
        <v>20</v>
      </c>
      <c r="H1660" s="4">
        <v>30</v>
      </c>
      <c r="I1660" s="4">
        <v>20</v>
      </c>
      <c r="J1660" s="4">
        <v>28</v>
      </c>
      <c r="K1660" s="4">
        <v>30</v>
      </c>
      <c r="L1660" s="4">
        <v>10</v>
      </c>
      <c r="M1660" s="4">
        <v>100.85</v>
      </c>
    </row>
    <row r="1661" spans="1:13">
      <c r="A1661" s="3" t="s">
        <v>2206</v>
      </c>
      <c r="B1661" s="4">
        <v>126</v>
      </c>
      <c r="C1661" s="4">
        <v>57.5</v>
      </c>
      <c r="D1661" s="4">
        <v>45</v>
      </c>
      <c r="E1661" s="4">
        <v>111</v>
      </c>
      <c r="F1661" s="4">
        <v>40.5</v>
      </c>
      <c r="G1661" s="4">
        <v>50</v>
      </c>
      <c r="H1661" s="4">
        <v>155</v>
      </c>
      <c r="I1661" s="4">
        <v>90</v>
      </c>
      <c r="J1661" s="4">
        <v>79.5</v>
      </c>
      <c r="K1661" s="4">
        <v>93.5</v>
      </c>
      <c r="L1661" s="4">
        <v>157.1</v>
      </c>
      <c r="M1661" s="4">
        <v>280</v>
      </c>
    </row>
    <row r="1662" spans="1:13">
      <c r="A1662" s="3" t="s">
        <v>2207</v>
      </c>
      <c r="B1662" s="4">
        <v>39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</row>
    <row r="1663" spans="1:13">
      <c r="A1663" s="3" t="s">
        <v>2208</v>
      </c>
      <c r="B1663" s="4">
        <v>5</v>
      </c>
      <c r="C1663" s="4">
        <v>5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1</v>
      </c>
      <c r="K1663" s="4">
        <v>1</v>
      </c>
      <c r="L1663" s="4">
        <v>0</v>
      </c>
      <c r="M1663" s="4">
        <v>1</v>
      </c>
    </row>
    <row r="1664" spans="1:13">
      <c r="A1664" s="3" t="s">
        <v>2209</v>
      </c>
      <c r="B1664" s="4">
        <v>0</v>
      </c>
      <c r="C1664" s="4">
        <v>10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</row>
    <row r="1665" spans="1:13">
      <c r="A1665" s="3" t="s">
        <v>2210</v>
      </c>
      <c r="B1665" s="4">
        <v>0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20</v>
      </c>
      <c r="M1665" s="4">
        <v>0</v>
      </c>
    </row>
    <row r="1666" spans="1:13">
      <c r="A1666" s="3" t="s">
        <v>2211</v>
      </c>
      <c r="B1666" s="4">
        <v>0</v>
      </c>
      <c r="C1666" s="4">
        <v>13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</row>
    <row r="1667" spans="1:13">
      <c r="A1667" s="3" t="s">
        <v>2212</v>
      </c>
      <c r="B1667" s="4">
        <v>0</v>
      </c>
      <c r="C1667" s="4">
        <v>10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12.5</v>
      </c>
      <c r="L1667" s="4">
        <v>0</v>
      </c>
      <c r="M1667" s="4">
        <v>24</v>
      </c>
    </row>
    <row r="1668" spans="1:13">
      <c r="A1668" s="3" t="s">
        <v>2213</v>
      </c>
      <c r="B1668" s="4">
        <v>101.5</v>
      </c>
      <c r="C1668" s="4">
        <v>117.65</v>
      </c>
      <c r="D1668" s="4">
        <v>107.5</v>
      </c>
      <c r="E1668" s="4">
        <v>125.25</v>
      </c>
      <c r="F1668" s="4">
        <v>45</v>
      </c>
      <c r="G1668" s="4">
        <v>20</v>
      </c>
      <c r="H1668" s="4">
        <v>0</v>
      </c>
      <c r="I1668" s="4">
        <v>0</v>
      </c>
      <c r="J1668" s="4">
        <v>10</v>
      </c>
      <c r="K1668" s="4">
        <v>0</v>
      </c>
      <c r="L1668" s="4">
        <v>0</v>
      </c>
      <c r="M1668" s="4">
        <v>0</v>
      </c>
    </row>
    <row r="1669" spans="1:13">
      <c r="A1669" s="3" t="s">
        <v>2214</v>
      </c>
      <c r="B1669" s="4">
        <v>30</v>
      </c>
      <c r="C1669" s="4">
        <v>15</v>
      </c>
      <c r="D1669" s="4">
        <v>142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</row>
    <row r="1670" spans="1:13">
      <c r="A1670" s="3" t="s">
        <v>2215</v>
      </c>
      <c r="B1670" s="4">
        <v>25</v>
      </c>
      <c r="C1670" s="4">
        <v>30</v>
      </c>
      <c r="D1670" s="4">
        <v>15</v>
      </c>
      <c r="E1670" s="4">
        <v>70</v>
      </c>
      <c r="F1670" s="4">
        <v>20</v>
      </c>
      <c r="G1670" s="4">
        <v>25</v>
      </c>
      <c r="H1670" s="4">
        <v>25</v>
      </c>
      <c r="I1670" s="4">
        <v>50</v>
      </c>
      <c r="J1670" s="4">
        <v>15</v>
      </c>
      <c r="K1670" s="4">
        <v>140</v>
      </c>
      <c r="L1670" s="4">
        <v>65</v>
      </c>
      <c r="M1670" s="4">
        <v>65</v>
      </c>
    </row>
    <row r="1671" spans="1:13">
      <c r="A1671" s="3" t="s">
        <v>2216</v>
      </c>
      <c r="B1671" s="4">
        <v>20</v>
      </c>
      <c r="C1671" s="4">
        <v>30</v>
      </c>
      <c r="D1671" s="4">
        <v>46</v>
      </c>
      <c r="E1671" s="4">
        <v>36</v>
      </c>
      <c r="F1671" s="4">
        <v>36</v>
      </c>
      <c r="G1671" s="4">
        <v>47.5</v>
      </c>
      <c r="H1671" s="4">
        <v>40</v>
      </c>
      <c r="I1671" s="4">
        <v>30</v>
      </c>
      <c r="J1671" s="4">
        <v>55</v>
      </c>
      <c r="K1671" s="4">
        <v>35</v>
      </c>
      <c r="L1671" s="4">
        <v>36</v>
      </c>
      <c r="M1671" s="4">
        <v>27.5</v>
      </c>
    </row>
    <row r="1672" spans="1:13">
      <c r="A1672" s="3" t="s">
        <v>2217</v>
      </c>
      <c r="B1672" s="4">
        <v>0</v>
      </c>
      <c r="C1672" s="4">
        <v>20</v>
      </c>
      <c r="D1672" s="4">
        <v>0</v>
      </c>
      <c r="E1672" s="4">
        <v>0</v>
      </c>
      <c r="F1672" s="4">
        <v>0</v>
      </c>
      <c r="G1672" s="4">
        <v>22.5</v>
      </c>
      <c r="H1672" s="4">
        <v>25</v>
      </c>
      <c r="I1672" s="4">
        <v>0</v>
      </c>
      <c r="J1672" s="4">
        <v>7.5</v>
      </c>
      <c r="K1672" s="4">
        <v>20</v>
      </c>
      <c r="L1672" s="4">
        <v>0</v>
      </c>
      <c r="M1672" s="4">
        <v>0</v>
      </c>
    </row>
    <row r="1673" spans="1:13">
      <c r="A1673" s="3" t="s">
        <v>2218</v>
      </c>
      <c r="B1673" s="4">
        <v>0</v>
      </c>
      <c r="C1673" s="4">
        <v>20</v>
      </c>
      <c r="D1673" s="4">
        <v>62.5</v>
      </c>
      <c r="E1673" s="4">
        <v>43</v>
      </c>
      <c r="F1673" s="4">
        <v>32.5</v>
      </c>
      <c r="G1673" s="4">
        <v>23.5</v>
      </c>
      <c r="H1673" s="4">
        <v>61.5</v>
      </c>
      <c r="I1673" s="4">
        <v>18.5</v>
      </c>
      <c r="J1673" s="4">
        <v>25</v>
      </c>
      <c r="K1673" s="4">
        <v>40</v>
      </c>
      <c r="L1673" s="4">
        <v>55</v>
      </c>
      <c r="M1673" s="4">
        <v>52.5</v>
      </c>
    </row>
    <row r="1674" spans="1:13">
      <c r="A1674" s="3" t="s">
        <v>2219</v>
      </c>
      <c r="B1674" s="4">
        <v>0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10</v>
      </c>
    </row>
    <row r="1675" spans="1:13">
      <c r="A1675" s="3" t="s">
        <v>2220</v>
      </c>
      <c r="B1675" s="4">
        <v>0</v>
      </c>
      <c r="C1675" s="4">
        <v>0</v>
      </c>
      <c r="D1675" s="4">
        <v>25</v>
      </c>
      <c r="E1675" s="4">
        <v>70</v>
      </c>
      <c r="F1675" s="4">
        <v>45</v>
      </c>
      <c r="G1675" s="4">
        <v>20</v>
      </c>
      <c r="H1675" s="4">
        <v>0</v>
      </c>
      <c r="I1675" s="4">
        <v>15</v>
      </c>
      <c r="J1675" s="4">
        <v>35</v>
      </c>
      <c r="K1675" s="4">
        <v>10</v>
      </c>
      <c r="L1675" s="4">
        <v>70</v>
      </c>
      <c r="M1675" s="4">
        <v>30</v>
      </c>
    </row>
    <row r="1676" spans="1:13">
      <c r="A1676" s="3" t="s">
        <v>2221</v>
      </c>
      <c r="B1676" s="4">
        <v>100</v>
      </c>
      <c r="C1676" s="4">
        <v>105</v>
      </c>
      <c r="D1676" s="4">
        <v>50</v>
      </c>
      <c r="E1676" s="4">
        <v>137</v>
      </c>
      <c r="F1676" s="4">
        <v>121.5</v>
      </c>
      <c r="G1676" s="4">
        <v>113.5</v>
      </c>
      <c r="H1676" s="4">
        <v>100.75</v>
      </c>
      <c r="I1676" s="4">
        <v>51</v>
      </c>
      <c r="J1676" s="4">
        <v>81</v>
      </c>
      <c r="K1676" s="4">
        <v>75.25</v>
      </c>
      <c r="L1676" s="4">
        <v>0</v>
      </c>
      <c r="M1676" s="4">
        <v>50.5</v>
      </c>
    </row>
    <row r="1677" spans="1:13">
      <c r="A1677" s="3" t="s">
        <v>2222</v>
      </c>
      <c r="B1677" s="4">
        <v>10</v>
      </c>
      <c r="C1677" s="4">
        <v>0.75</v>
      </c>
      <c r="D1677" s="4">
        <v>0</v>
      </c>
      <c r="E1677" s="4">
        <v>0</v>
      </c>
      <c r="F1677" s="4">
        <v>27</v>
      </c>
      <c r="G1677" s="4">
        <v>20.5</v>
      </c>
      <c r="H1677" s="4">
        <v>52.5</v>
      </c>
      <c r="I1677" s="4">
        <v>30</v>
      </c>
      <c r="J1677" s="4">
        <v>19</v>
      </c>
      <c r="K1677" s="4">
        <v>0</v>
      </c>
      <c r="L1677" s="4">
        <v>0</v>
      </c>
      <c r="M1677" s="4">
        <v>0</v>
      </c>
    </row>
    <row r="1678" spans="1:13">
      <c r="A1678" s="3" t="s">
        <v>2223</v>
      </c>
      <c r="B1678" s="4">
        <v>8.5</v>
      </c>
      <c r="C1678" s="4">
        <v>73</v>
      </c>
      <c r="D1678" s="4">
        <v>135.5</v>
      </c>
      <c r="E1678" s="4">
        <v>87.5</v>
      </c>
      <c r="F1678" s="4">
        <v>85</v>
      </c>
      <c r="G1678" s="4">
        <v>2.5</v>
      </c>
      <c r="H1678" s="4">
        <v>75.55</v>
      </c>
      <c r="I1678" s="4">
        <v>10</v>
      </c>
      <c r="J1678" s="4">
        <v>58</v>
      </c>
      <c r="K1678" s="4">
        <v>50</v>
      </c>
      <c r="L1678" s="4">
        <v>65</v>
      </c>
      <c r="M1678" s="4">
        <v>78</v>
      </c>
    </row>
    <row r="1679" spans="1:13">
      <c r="A1679" s="3" t="s">
        <v>2224</v>
      </c>
      <c r="B1679" s="4">
        <v>10</v>
      </c>
      <c r="C1679" s="4">
        <v>35</v>
      </c>
      <c r="D1679" s="4">
        <v>0</v>
      </c>
      <c r="E1679" s="4">
        <v>0</v>
      </c>
      <c r="F1679" s="4">
        <v>10</v>
      </c>
      <c r="G1679" s="4">
        <v>0</v>
      </c>
      <c r="H1679" s="4">
        <v>0</v>
      </c>
      <c r="I1679" s="4">
        <v>0</v>
      </c>
      <c r="J1679" s="4">
        <v>10</v>
      </c>
      <c r="K1679" s="4">
        <v>0</v>
      </c>
      <c r="L1679" s="4">
        <v>0</v>
      </c>
      <c r="M1679" s="4">
        <v>0</v>
      </c>
    </row>
    <row r="1680" spans="1:13">
      <c r="A1680" s="3" t="s">
        <v>2225</v>
      </c>
      <c r="B1680" s="4">
        <v>10</v>
      </c>
      <c r="C1680" s="4">
        <v>45</v>
      </c>
      <c r="D1680" s="4">
        <v>5</v>
      </c>
      <c r="E1680" s="4">
        <v>1</v>
      </c>
      <c r="F1680" s="4">
        <v>0</v>
      </c>
      <c r="G1680" s="4">
        <v>10</v>
      </c>
      <c r="H1680" s="4">
        <v>0</v>
      </c>
      <c r="I1680" s="4">
        <v>0</v>
      </c>
      <c r="J1680" s="4">
        <v>5.5</v>
      </c>
      <c r="K1680" s="4">
        <v>31.5</v>
      </c>
      <c r="L1680" s="4">
        <v>70</v>
      </c>
      <c r="M1680" s="4">
        <v>33</v>
      </c>
    </row>
    <row r="1681" spans="1:13">
      <c r="A1681" s="3" t="s">
        <v>2226</v>
      </c>
      <c r="B1681" s="4">
        <v>0.5</v>
      </c>
      <c r="C1681" s="4">
        <v>10</v>
      </c>
      <c r="D1681" s="4">
        <v>0</v>
      </c>
      <c r="E1681" s="4">
        <v>0</v>
      </c>
      <c r="F1681" s="4">
        <v>21</v>
      </c>
      <c r="G1681" s="4">
        <v>4</v>
      </c>
      <c r="H1681" s="4">
        <v>10</v>
      </c>
      <c r="I1681" s="4">
        <v>10</v>
      </c>
      <c r="J1681" s="4">
        <v>0</v>
      </c>
      <c r="K1681" s="4">
        <v>0</v>
      </c>
      <c r="L1681" s="4">
        <v>0</v>
      </c>
      <c r="M1681" s="4">
        <v>0</v>
      </c>
    </row>
    <row r="1682" spans="1:13">
      <c r="A1682" s="3" t="s">
        <v>2227</v>
      </c>
      <c r="B1682" s="4">
        <v>41</v>
      </c>
      <c r="C1682" s="4">
        <v>20</v>
      </c>
      <c r="D1682" s="4">
        <v>20</v>
      </c>
      <c r="E1682" s="4">
        <v>10</v>
      </c>
      <c r="F1682" s="4">
        <v>0</v>
      </c>
      <c r="G1682" s="4">
        <v>10</v>
      </c>
      <c r="H1682" s="4">
        <v>20</v>
      </c>
      <c r="I1682" s="4">
        <v>10</v>
      </c>
      <c r="J1682" s="4">
        <v>23</v>
      </c>
      <c r="K1682" s="4">
        <v>0</v>
      </c>
      <c r="L1682" s="4">
        <v>0</v>
      </c>
      <c r="M1682" s="4">
        <v>0</v>
      </c>
    </row>
    <row r="1683" spans="1:13">
      <c r="A1683" s="3" t="s">
        <v>2228</v>
      </c>
      <c r="B1683" s="4">
        <v>52</v>
      </c>
      <c r="C1683" s="4">
        <v>95</v>
      </c>
      <c r="D1683" s="4">
        <v>85</v>
      </c>
      <c r="E1683" s="4">
        <v>105</v>
      </c>
      <c r="F1683" s="4">
        <v>61</v>
      </c>
      <c r="G1683" s="4">
        <v>50</v>
      </c>
      <c r="H1683" s="4">
        <v>45</v>
      </c>
      <c r="I1683" s="4">
        <v>31</v>
      </c>
      <c r="J1683" s="4">
        <v>45</v>
      </c>
      <c r="K1683" s="4">
        <v>40</v>
      </c>
      <c r="L1683" s="4">
        <v>70</v>
      </c>
      <c r="M1683" s="4">
        <v>50</v>
      </c>
    </row>
    <row r="1684" spans="1:13">
      <c r="A1684" s="3" t="s">
        <v>2229</v>
      </c>
      <c r="B1684" s="4">
        <v>80</v>
      </c>
      <c r="C1684" s="4">
        <v>40</v>
      </c>
      <c r="D1684" s="4">
        <v>0</v>
      </c>
      <c r="E1684" s="4">
        <v>25</v>
      </c>
      <c r="F1684" s="4">
        <v>45</v>
      </c>
      <c r="G1684" s="4">
        <v>35</v>
      </c>
      <c r="H1684" s="4">
        <v>40</v>
      </c>
      <c r="I1684" s="4">
        <v>15</v>
      </c>
      <c r="J1684" s="4">
        <v>50</v>
      </c>
      <c r="K1684" s="4">
        <v>85</v>
      </c>
      <c r="L1684" s="4">
        <v>60</v>
      </c>
      <c r="M1684" s="4">
        <v>60</v>
      </c>
    </row>
    <row r="1685" spans="1:13">
      <c r="A1685" s="3" t="s">
        <v>2230</v>
      </c>
      <c r="B1685" s="4">
        <v>48</v>
      </c>
      <c r="C1685" s="4">
        <v>60</v>
      </c>
      <c r="D1685" s="4">
        <v>30</v>
      </c>
      <c r="E1685" s="4">
        <v>30</v>
      </c>
      <c r="F1685" s="4">
        <v>80</v>
      </c>
      <c r="G1685" s="4">
        <v>77.5</v>
      </c>
      <c r="H1685" s="4">
        <v>63</v>
      </c>
      <c r="I1685" s="4">
        <v>25</v>
      </c>
      <c r="J1685" s="4">
        <v>24.5</v>
      </c>
      <c r="K1685" s="4">
        <v>48</v>
      </c>
      <c r="L1685" s="4">
        <v>0</v>
      </c>
      <c r="M1685" s="4">
        <v>0</v>
      </c>
    </row>
    <row r="1686" spans="1:13">
      <c r="A1686" s="3" t="s">
        <v>2231</v>
      </c>
      <c r="B1686" s="4">
        <v>10</v>
      </c>
      <c r="C1686" s="4">
        <v>77</v>
      </c>
      <c r="D1686" s="4">
        <v>69</v>
      </c>
      <c r="E1686" s="4">
        <v>121.5</v>
      </c>
      <c r="F1686" s="4">
        <v>32</v>
      </c>
      <c r="G1686" s="4">
        <v>42</v>
      </c>
      <c r="H1686" s="4">
        <v>62</v>
      </c>
      <c r="I1686" s="4">
        <v>35</v>
      </c>
      <c r="J1686" s="4">
        <v>91</v>
      </c>
      <c r="K1686" s="4">
        <v>43</v>
      </c>
      <c r="L1686" s="4">
        <v>70</v>
      </c>
      <c r="M1686" s="4">
        <v>130.5</v>
      </c>
    </row>
    <row r="1687" spans="1:13">
      <c r="A1687" s="3" t="s">
        <v>2232</v>
      </c>
      <c r="B1687" s="4">
        <v>95</v>
      </c>
      <c r="C1687" s="4">
        <v>50.4</v>
      </c>
      <c r="D1687" s="4">
        <v>91</v>
      </c>
      <c r="E1687" s="4">
        <v>48</v>
      </c>
      <c r="F1687" s="4">
        <v>57.5</v>
      </c>
      <c r="G1687" s="4">
        <v>65</v>
      </c>
      <c r="H1687" s="4">
        <v>56</v>
      </c>
      <c r="I1687" s="4">
        <v>49.5</v>
      </c>
      <c r="J1687" s="4">
        <v>67</v>
      </c>
      <c r="K1687" s="4">
        <v>44.5</v>
      </c>
      <c r="L1687" s="4">
        <v>24</v>
      </c>
      <c r="M1687" s="4">
        <v>18</v>
      </c>
    </row>
    <row r="1688" spans="1:13">
      <c r="A1688" s="3" t="s">
        <v>2233</v>
      </c>
      <c r="B1688" s="4">
        <v>220</v>
      </c>
      <c r="C1688" s="4">
        <v>91</v>
      </c>
      <c r="D1688" s="4">
        <v>39</v>
      </c>
      <c r="E1688" s="4">
        <v>103.5</v>
      </c>
      <c r="F1688" s="4">
        <v>40</v>
      </c>
      <c r="G1688" s="4">
        <v>0</v>
      </c>
      <c r="H1688" s="4">
        <v>0</v>
      </c>
      <c r="I1688" s="4">
        <v>105</v>
      </c>
      <c r="J1688" s="4">
        <v>15</v>
      </c>
      <c r="K1688" s="4">
        <v>140</v>
      </c>
      <c r="L1688" s="4">
        <v>649</v>
      </c>
      <c r="M1688" s="4">
        <v>584</v>
      </c>
    </row>
    <row r="1689" spans="1:13">
      <c r="A1689" s="3" t="s">
        <v>2234</v>
      </c>
      <c r="B1689" s="4">
        <v>0</v>
      </c>
      <c r="C1689" s="4">
        <v>35</v>
      </c>
      <c r="D1689" s="4">
        <v>111.5</v>
      </c>
      <c r="E1689" s="4">
        <v>155</v>
      </c>
      <c r="F1689" s="4">
        <v>160</v>
      </c>
      <c r="G1689" s="4">
        <v>45</v>
      </c>
      <c r="H1689" s="4">
        <v>0</v>
      </c>
      <c r="I1689" s="4">
        <v>115</v>
      </c>
      <c r="J1689" s="4">
        <v>30</v>
      </c>
      <c r="K1689" s="4">
        <v>50</v>
      </c>
      <c r="L1689" s="4">
        <v>47.5</v>
      </c>
      <c r="M1689" s="4">
        <v>0</v>
      </c>
    </row>
    <row r="1690" spans="1:13">
      <c r="A1690" s="3" t="s">
        <v>2235</v>
      </c>
      <c r="B1690" s="4">
        <v>0.5</v>
      </c>
      <c r="C1690" s="4">
        <v>7.5</v>
      </c>
      <c r="D1690" s="4">
        <v>0</v>
      </c>
      <c r="E1690" s="4">
        <v>10</v>
      </c>
      <c r="F1690" s="4">
        <v>1</v>
      </c>
      <c r="G1690" s="4">
        <v>4</v>
      </c>
      <c r="H1690" s="4">
        <v>3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</row>
    <row r="1691" spans="1:13">
      <c r="A1691" s="3" t="s">
        <v>2236</v>
      </c>
      <c r="B1691" s="4">
        <v>0</v>
      </c>
      <c r="C1691" s="4">
        <v>15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30</v>
      </c>
      <c r="K1691" s="4">
        <v>10</v>
      </c>
      <c r="L1691" s="4">
        <v>20</v>
      </c>
      <c r="M1691" s="4">
        <v>57</v>
      </c>
    </row>
    <row r="1692" spans="1:13">
      <c r="A1692" s="3" t="s">
        <v>2237</v>
      </c>
      <c r="B1692" s="4">
        <v>20</v>
      </c>
      <c r="C1692" s="4">
        <v>34</v>
      </c>
      <c r="D1692" s="4">
        <v>45</v>
      </c>
      <c r="E1692" s="4">
        <v>20</v>
      </c>
      <c r="F1692" s="4">
        <v>30</v>
      </c>
      <c r="G1692" s="4">
        <v>40</v>
      </c>
      <c r="H1692" s="4">
        <v>0</v>
      </c>
      <c r="I1692" s="4">
        <v>0</v>
      </c>
      <c r="J1692" s="4">
        <v>15</v>
      </c>
      <c r="K1692" s="4">
        <v>40</v>
      </c>
      <c r="L1692" s="4">
        <v>45</v>
      </c>
      <c r="M1692" s="4">
        <v>0</v>
      </c>
    </row>
    <row r="1693" spans="1:13">
      <c r="A1693" s="3" t="s">
        <v>2238</v>
      </c>
      <c r="B1693" s="4">
        <v>28</v>
      </c>
      <c r="C1693" s="4">
        <v>0</v>
      </c>
      <c r="D1693" s="4">
        <v>0</v>
      </c>
      <c r="E1693" s="4">
        <v>0</v>
      </c>
      <c r="F1693" s="4">
        <v>52</v>
      </c>
      <c r="G1693" s="4">
        <v>53.45</v>
      </c>
      <c r="H1693" s="4">
        <v>1</v>
      </c>
      <c r="I1693" s="4">
        <v>0</v>
      </c>
      <c r="J1693" s="4">
        <v>0</v>
      </c>
      <c r="K1693" s="4">
        <v>45.5</v>
      </c>
      <c r="L1693" s="4">
        <v>0</v>
      </c>
      <c r="M1693" s="4">
        <v>50</v>
      </c>
    </row>
    <row r="1694" spans="1:13">
      <c r="A1694" s="3" t="s">
        <v>2239</v>
      </c>
      <c r="B1694" s="4">
        <v>25</v>
      </c>
      <c r="C1694" s="4">
        <v>30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</row>
    <row r="1695" spans="1:13">
      <c r="A1695" s="3" t="s">
        <v>2240</v>
      </c>
      <c r="B1695" s="4">
        <v>107.5</v>
      </c>
      <c r="C1695" s="4">
        <v>83</v>
      </c>
      <c r="D1695" s="4">
        <v>95</v>
      </c>
      <c r="E1695" s="4">
        <v>52.5</v>
      </c>
      <c r="F1695" s="4">
        <v>35</v>
      </c>
      <c r="G1695" s="4">
        <v>0</v>
      </c>
      <c r="H1695" s="4">
        <v>10</v>
      </c>
      <c r="I1695" s="4">
        <v>0</v>
      </c>
      <c r="J1695" s="4">
        <v>95</v>
      </c>
      <c r="K1695" s="4">
        <v>0</v>
      </c>
      <c r="L1695" s="4">
        <v>20</v>
      </c>
      <c r="M1695" s="4">
        <v>0</v>
      </c>
    </row>
    <row r="1696" spans="1:13">
      <c r="A1696" s="3" t="s">
        <v>2241</v>
      </c>
      <c r="B1696" s="4">
        <v>50</v>
      </c>
      <c r="C1696" s="4">
        <v>82.5</v>
      </c>
      <c r="D1696" s="4">
        <v>118</v>
      </c>
      <c r="E1696" s="4">
        <v>75</v>
      </c>
      <c r="F1696" s="4">
        <v>52.5</v>
      </c>
      <c r="G1696" s="4">
        <v>25</v>
      </c>
      <c r="H1696" s="4">
        <v>0</v>
      </c>
      <c r="I1696" s="4">
        <v>62.5</v>
      </c>
      <c r="J1696" s="4">
        <v>132.5</v>
      </c>
      <c r="K1696" s="4">
        <v>70.5</v>
      </c>
      <c r="L1696" s="4">
        <v>75</v>
      </c>
      <c r="M1696" s="4">
        <v>75</v>
      </c>
    </row>
    <row r="1697" spans="1:13">
      <c r="A1697" s="3" t="s">
        <v>2242</v>
      </c>
      <c r="B1697" s="4">
        <v>0</v>
      </c>
      <c r="C1697" s="4">
        <v>0</v>
      </c>
      <c r="D1697" s="4">
        <v>0</v>
      </c>
      <c r="E1697" s="4">
        <v>7.5</v>
      </c>
      <c r="F1697" s="4">
        <v>20</v>
      </c>
      <c r="G1697" s="4">
        <v>0</v>
      </c>
      <c r="H1697" s="4">
        <v>0</v>
      </c>
      <c r="I1697" s="4">
        <v>0</v>
      </c>
      <c r="J1697" s="4">
        <v>0</v>
      </c>
      <c r="K1697" s="4">
        <v>16</v>
      </c>
      <c r="L1697" s="4">
        <v>0</v>
      </c>
      <c r="M1697" s="4">
        <v>0</v>
      </c>
    </row>
    <row r="1698" spans="1:13">
      <c r="A1698" s="3" t="s">
        <v>2243</v>
      </c>
      <c r="B1698" s="4">
        <v>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70</v>
      </c>
      <c r="L1698" s="4">
        <v>95</v>
      </c>
      <c r="M1698" s="4">
        <v>55</v>
      </c>
    </row>
    <row r="1699" spans="1:13">
      <c r="A1699" s="3" t="s">
        <v>2244</v>
      </c>
      <c r="B1699" s="4">
        <v>0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10</v>
      </c>
      <c r="J1699" s="4">
        <v>15</v>
      </c>
      <c r="K1699" s="4">
        <v>0</v>
      </c>
      <c r="L1699" s="4">
        <v>0</v>
      </c>
      <c r="M1699" s="4">
        <v>0</v>
      </c>
    </row>
    <row r="1700" spans="1:13">
      <c r="A1700" s="3" t="s">
        <v>2245</v>
      </c>
      <c r="B1700" s="4">
        <v>22.5</v>
      </c>
      <c r="C1700" s="4">
        <v>62.5</v>
      </c>
      <c r="D1700" s="4">
        <v>50</v>
      </c>
      <c r="E1700" s="4">
        <v>42.5</v>
      </c>
      <c r="F1700" s="4">
        <v>47.5</v>
      </c>
      <c r="G1700" s="4">
        <v>25</v>
      </c>
      <c r="H1700" s="4">
        <v>47.5</v>
      </c>
      <c r="I1700" s="4">
        <v>47.5</v>
      </c>
      <c r="J1700" s="4">
        <v>92.5</v>
      </c>
      <c r="K1700" s="4">
        <v>17.5</v>
      </c>
      <c r="L1700" s="4">
        <v>45</v>
      </c>
      <c r="M1700" s="4">
        <v>0</v>
      </c>
    </row>
    <row r="1701" spans="1:13">
      <c r="A1701" s="3" t="s">
        <v>2246</v>
      </c>
      <c r="B1701" s="4">
        <v>45</v>
      </c>
      <c r="C1701" s="4">
        <v>56</v>
      </c>
      <c r="D1701" s="4">
        <v>120</v>
      </c>
      <c r="E1701" s="4">
        <v>103</v>
      </c>
      <c r="F1701" s="4">
        <v>61</v>
      </c>
      <c r="G1701" s="4">
        <v>4</v>
      </c>
      <c r="H1701" s="4">
        <v>50</v>
      </c>
      <c r="I1701" s="4">
        <v>55</v>
      </c>
      <c r="J1701" s="4">
        <v>162</v>
      </c>
      <c r="K1701" s="4">
        <v>123.5</v>
      </c>
      <c r="L1701" s="4">
        <v>106</v>
      </c>
      <c r="M1701" s="4">
        <v>196</v>
      </c>
    </row>
    <row r="1702" spans="1:13">
      <c r="A1702" s="3" t="s">
        <v>2247</v>
      </c>
      <c r="B1702" s="4">
        <v>0</v>
      </c>
      <c r="C1702" s="4">
        <v>1</v>
      </c>
      <c r="D1702" s="4">
        <v>0</v>
      </c>
      <c r="E1702" s="4">
        <v>0</v>
      </c>
      <c r="F1702" s="4">
        <v>0</v>
      </c>
      <c r="G1702" s="4">
        <v>1</v>
      </c>
      <c r="H1702" s="4">
        <v>0</v>
      </c>
      <c r="I1702" s="4">
        <v>0</v>
      </c>
      <c r="J1702" s="4">
        <v>1</v>
      </c>
      <c r="K1702" s="4">
        <v>0</v>
      </c>
      <c r="L1702" s="4">
        <v>0</v>
      </c>
      <c r="M1702" s="4">
        <v>0</v>
      </c>
    </row>
    <row r="1703" spans="1:13">
      <c r="A1703" s="3" t="s">
        <v>2248</v>
      </c>
      <c r="B1703" s="4">
        <v>0</v>
      </c>
      <c r="C1703" s="4">
        <v>0</v>
      </c>
      <c r="D1703" s="4">
        <v>22</v>
      </c>
      <c r="E1703" s="4">
        <v>25.5</v>
      </c>
      <c r="F1703" s="4">
        <v>20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</row>
    <row r="1704" spans="1:13">
      <c r="A1704" s="3" t="s">
        <v>2249</v>
      </c>
      <c r="B1704" s="4">
        <v>121.9</v>
      </c>
      <c r="C1704" s="4">
        <v>42</v>
      </c>
      <c r="D1704" s="4">
        <v>182</v>
      </c>
      <c r="E1704" s="4">
        <v>60</v>
      </c>
      <c r="F1704" s="4">
        <v>40</v>
      </c>
      <c r="G1704" s="4">
        <v>65</v>
      </c>
      <c r="H1704" s="4">
        <v>55</v>
      </c>
      <c r="I1704" s="4">
        <v>20</v>
      </c>
      <c r="J1704" s="4">
        <v>115</v>
      </c>
      <c r="K1704" s="4">
        <v>150</v>
      </c>
      <c r="L1704" s="4">
        <v>113</v>
      </c>
      <c r="M1704" s="4">
        <v>254.8</v>
      </c>
    </row>
    <row r="1705" spans="1:13">
      <c r="A1705" s="3" t="s">
        <v>2250</v>
      </c>
      <c r="B1705" s="4">
        <v>147.5</v>
      </c>
      <c r="C1705" s="4">
        <v>45</v>
      </c>
      <c r="D1705" s="4">
        <v>100</v>
      </c>
      <c r="E1705" s="4">
        <v>0</v>
      </c>
      <c r="F1705" s="4">
        <v>30</v>
      </c>
      <c r="G1705" s="4">
        <v>14</v>
      </c>
      <c r="H1705" s="4">
        <v>0</v>
      </c>
      <c r="I1705" s="4">
        <v>10</v>
      </c>
      <c r="J1705" s="4">
        <v>35</v>
      </c>
      <c r="K1705" s="4">
        <v>10</v>
      </c>
      <c r="L1705" s="4">
        <v>35</v>
      </c>
      <c r="M1705" s="4">
        <v>0</v>
      </c>
    </row>
    <row r="1706" spans="1:13">
      <c r="A1706" s="3" t="s">
        <v>2251</v>
      </c>
      <c r="B1706" s="4">
        <v>65.5</v>
      </c>
      <c r="C1706" s="4">
        <v>58</v>
      </c>
      <c r="D1706" s="4">
        <v>73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</row>
    <row r="1707" spans="1:13">
      <c r="A1707" s="3" t="s">
        <v>2252</v>
      </c>
      <c r="B1707" s="4">
        <v>20</v>
      </c>
      <c r="C1707" s="4">
        <v>59</v>
      </c>
      <c r="D1707" s="4">
        <v>92.5</v>
      </c>
      <c r="E1707" s="4">
        <v>51.5</v>
      </c>
      <c r="F1707" s="4">
        <v>105</v>
      </c>
      <c r="G1707" s="4">
        <v>97</v>
      </c>
      <c r="H1707" s="4">
        <v>90</v>
      </c>
      <c r="I1707" s="4">
        <v>0</v>
      </c>
      <c r="J1707" s="4">
        <v>120</v>
      </c>
      <c r="K1707" s="4">
        <v>45</v>
      </c>
      <c r="L1707" s="4">
        <v>106.5</v>
      </c>
      <c r="M1707" s="4">
        <v>145</v>
      </c>
    </row>
    <row r="1708" spans="1:13">
      <c r="A1708" s="3" t="s">
        <v>2253</v>
      </c>
      <c r="B1708" s="4">
        <v>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20</v>
      </c>
    </row>
    <row r="1709" spans="1:13">
      <c r="A1709" s="3" t="s">
        <v>2254</v>
      </c>
      <c r="B1709" s="4">
        <v>17.5</v>
      </c>
      <c r="C1709" s="4">
        <v>16</v>
      </c>
      <c r="D1709" s="4">
        <v>0</v>
      </c>
      <c r="E1709" s="4">
        <v>10</v>
      </c>
      <c r="F1709" s="4">
        <v>9.75</v>
      </c>
      <c r="G1709" s="4">
        <v>2.5</v>
      </c>
      <c r="H1709" s="4">
        <v>10</v>
      </c>
      <c r="I1709" s="4">
        <v>0</v>
      </c>
      <c r="J1709" s="4">
        <v>15</v>
      </c>
      <c r="K1709" s="4">
        <v>30</v>
      </c>
      <c r="L1709" s="4">
        <v>69.5</v>
      </c>
      <c r="M1709" s="4">
        <v>25</v>
      </c>
    </row>
    <row r="1710" spans="1:13">
      <c r="A1710" s="3" t="s">
        <v>2255</v>
      </c>
      <c r="B1710" s="4">
        <v>30</v>
      </c>
      <c r="C1710" s="4">
        <v>42</v>
      </c>
      <c r="D1710" s="4">
        <v>77</v>
      </c>
      <c r="E1710" s="4">
        <v>20</v>
      </c>
      <c r="F1710" s="4">
        <v>15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</row>
    <row r="1711" spans="1:13">
      <c r="A1711" s="3" t="s">
        <v>2256</v>
      </c>
      <c r="B1711" s="4">
        <v>25</v>
      </c>
      <c r="C1711" s="4">
        <v>56.5</v>
      </c>
      <c r="D1711" s="4">
        <v>75</v>
      </c>
      <c r="E1711" s="4">
        <v>80.3</v>
      </c>
      <c r="F1711" s="4">
        <v>65</v>
      </c>
      <c r="G1711" s="4">
        <v>19.149999999999999</v>
      </c>
      <c r="H1711" s="4">
        <v>25</v>
      </c>
      <c r="I1711" s="4">
        <v>30</v>
      </c>
      <c r="J1711" s="4">
        <v>96</v>
      </c>
      <c r="K1711" s="4">
        <v>87.5</v>
      </c>
      <c r="L1711" s="4">
        <v>35</v>
      </c>
      <c r="M1711" s="4">
        <v>90</v>
      </c>
    </row>
    <row r="1712" spans="1:13">
      <c r="A1712" s="3" t="s">
        <v>2257</v>
      </c>
      <c r="B1712" s="4">
        <v>0</v>
      </c>
      <c r="C1712" s="4">
        <v>0</v>
      </c>
      <c r="D1712" s="4">
        <v>65</v>
      </c>
      <c r="E1712" s="4">
        <v>165</v>
      </c>
      <c r="F1712" s="4">
        <v>212</v>
      </c>
      <c r="G1712" s="4">
        <v>80</v>
      </c>
      <c r="H1712" s="4">
        <v>0</v>
      </c>
      <c r="I1712" s="4">
        <v>45</v>
      </c>
      <c r="J1712" s="4">
        <v>60</v>
      </c>
      <c r="K1712" s="4">
        <v>50</v>
      </c>
      <c r="L1712" s="4">
        <v>50</v>
      </c>
      <c r="M1712" s="4">
        <v>180</v>
      </c>
    </row>
    <row r="1713" spans="1:13">
      <c r="A1713" s="3" t="s">
        <v>2258</v>
      </c>
      <c r="B1713" s="4">
        <v>0</v>
      </c>
      <c r="C1713" s="4">
        <v>0</v>
      </c>
      <c r="D1713" s="4">
        <v>0</v>
      </c>
      <c r="E1713" s="4">
        <v>6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5</v>
      </c>
    </row>
    <row r="1714" spans="1:13">
      <c r="A1714" s="3" t="s">
        <v>2259</v>
      </c>
      <c r="B1714" s="4">
        <v>10</v>
      </c>
      <c r="C1714" s="4">
        <v>13</v>
      </c>
      <c r="D1714" s="4">
        <v>0</v>
      </c>
      <c r="E1714" s="4">
        <v>57</v>
      </c>
      <c r="F1714" s="4">
        <v>20</v>
      </c>
      <c r="G1714" s="4">
        <v>20</v>
      </c>
      <c r="H1714" s="4">
        <v>20</v>
      </c>
      <c r="I1714" s="4">
        <v>30</v>
      </c>
      <c r="J1714" s="4">
        <v>18</v>
      </c>
      <c r="K1714" s="4">
        <v>10</v>
      </c>
      <c r="L1714" s="4">
        <v>30</v>
      </c>
      <c r="M1714" s="4">
        <v>42.5</v>
      </c>
    </row>
    <row r="1715" spans="1:13">
      <c r="A1715" s="3" t="s">
        <v>2260</v>
      </c>
      <c r="B1715" s="4">
        <v>20</v>
      </c>
      <c r="C1715" s="4">
        <v>40</v>
      </c>
      <c r="D1715" s="4">
        <v>20</v>
      </c>
      <c r="E1715" s="4">
        <v>20</v>
      </c>
      <c r="F1715" s="4">
        <v>10</v>
      </c>
      <c r="G1715" s="4">
        <v>10</v>
      </c>
      <c r="H1715" s="4">
        <v>4</v>
      </c>
      <c r="I1715" s="4">
        <v>10</v>
      </c>
      <c r="J1715" s="4">
        <v>16</v>
      </c>
      <c r="K1715" s="4">
        <v>18</v>
      </c>
      <c r="L1715" s="4">
        <v>10</v>
      </c>
      <c r="M1715" s="4">
        <v>20</v>
      </c>
    </row>
    <row r="1716" spans="1:13">
      <c r="A1716" s="3" t="s">
        <v>2261</v>
      </c>
      <c r="B1716" s="4">
        <v>21</v>
      </c>
      <c r="C1716" s="4">
        <v>10</v>
      </c>
      <c r="D1716" s="4">
        <v>10</v>
      </c>
      <c r="E1716" s="4">
        <v>20</v>
      </c>
      <c r="F1716" s="4">
        <v>30</v>
      </c>
      <c r="G1716" s="4">
        <v>10</v>
      </c>
      <c r="H1716" s="4">
        <v>30</v>
      </c>
      <c r="I1716" s="4">
        <v>35</v>
      </c>
      <c r="J1716" s="4">
        <v>50</v>
      </c>
      <c r="K1716" s="4">
        <v>50</v>
      </c>
      <c r="L1716" s="4">
        <v>35</v>
      </c>
      <c r="M1716" s="4">
        <v>58</v>
      </c>
    </row>
    <row r="1717" spans="1:13">
      <c r="A1717" s="3" t="s">
        <v>2262</v>
      </c>
      <c r="B1717" s="4">
        <v>0</v>
      </c>
      <c r="C1717" s="4">
        <v>18.75</v>
      </c>
      <c r="D1717" s="4">
        <v>20</v>
      </c>
      <c r="E1717" s="4">
        <v>7.5</v>
      </c>
      <c r="F1717" s="4">
        <v>0</v>
      </c>
      <c r="G1717" s="4">
        <v>0</v>
      </c>
      <c r="H1717" s="4">
        <v>0</v>
      </c>
      <c r="I1717" s="4">
        <v>5</v>
      </c>
      <c r="J1717" s="4">
        <v>20</v>
      </c>
      <c r="K1717" s="4">
        <v>0</v>
      </c>
      <c r="L1717" s="4">
        <v>0</v>
      </c>
      <c r="M1717" s="4">
        <v>0</v>
      </c>
    </row>
    <row r="1718" spans="1:13">
      <c r="A1718" s="3" t="s">
        <v>2263</v>
      </c>
      <c r="B1718" s="4">
        <v>108</v>
      </c>
      <c r="C1718" s="4">
        <v>70.5</v>
      </c>
      <c r="D1718" s="4">
        <v>138</v>
      </c>
      <c r="E1718" s="4">
        <v>112</v>
      </c>
      <c r="F1718" s="4">
        <v>119</v>
      </c>
      <c r="G1718" s="4">
        <v>157.5</v>
      </c>
      <c r="H1718" s="4">
        <v>110</v>
      </c>
      <c r="I1718" s="4">
        <v>88</v>
      </c>
      <c r="J1718" s="4">
        <v>158</v>
      </c>
      <c r="K1718" s="4">
        <v>86.5</v>
      </c>
      <c r="L1718" s="4">
        <v>45</v>
      </c>
      <c r="M1718" s="4">
        <v>65</v>
      </c>
    </row>
    <row r="1719" spans="1:13">
      <c r="A1719" s="3" t="s">
        <v>2264</v>
      </c>
      <c r="B1719" s="4">
        <v>62</v>
      </c>
      <c r="C1719" s="4">
        <v>130</v>
      </c>
      <c r="D1719" s="4">
        <v>55</v>
      </c>
      <c r="E1719" s="4">
        <v>114.5</v>
      </c>
      <c r="F1719" s="4">
        <v>110</v>
      </c>
      <c r="G1719" s="4">
        <v>167.5</v>
      </c>
      <c r="H1719" s="4">
        <v>62.5</v>
      </c>
      <c r="I1719" s="4">
        <v>45</v>
      </c>
      <c r="J1719" s="4">
        <v>155</v>
      </c>
      <c r="K1719" s="4">
        <v>105</v>
      </c>
      <c r="L1719" s="4">
        <v>70</v>
      </c>
      <c r="M1719" s="4">
        <v>34.5</v>
      </c>
    </row>
    <row r="1720" spans="1:13">
      <c r="A1720" s="3" t="s">
        <v>2265</v>
      </c>
      <c r="B1720" s="4">
        <v>0</v>
      </c>
      <c r="C1720" s="4">
        <v>55</v>
      </c>
      <c r="D1720" s="4">
        <v>80</v>
      </c>
      <c r="E1720" s="4">
        <v>25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</row>
    <row r="1721" spans="1:13">
      <c r="A1721" s="3" t="s">
        <v>2266</v>
      </c>
      <c r="B1721" s="4">
        <v>0</v>
      </c>
      <c r="C1721" s="4">
        <v>55</v>
      </c>
      <c r="D1721" s="4">
        <v>36.5</v>
      </c>
      <c r="E1721" s="4">
        <v>57</v>
      </c>
      <c r="F1721" s="4">
        <v>50</v>
      </c>
      <c r="G1721" s="4">
        <v>55</v>
      </c>
      <c r="H1721" s="4">
        <v>0</v>
      </c>
      <c r="I1721" s="4">
        <v>22</v>
      </c>
      <c r="J1721" s="4">
        <v>0</v>
      </c>
      <c r="K1721" s="4">
        <v>0</v>
      </c>
      <c r="L1721" s="4">
        <v>57</v>
      </c>
      <c r="M1721" s="4">
        <v>121</v>
      </c>
    </row>
    <row r="1722" spans="1:13">
      <c r="A1722" s="3" t="s">
        <v>2267</v>
      </c>
      <c r="B1722" s="4">
        <v>0</v>
      </c>
      <c r="C1722" s="4">
        <v>10</v>
      </c>
      <c r="D1722" s="4">
        <v>0</v>
      </c>
      <c r="E1722" s="4">
        <v>0</v>
      </c>
      <c r="F1722" s="4">
        <v>0</v>
      </c>
      <c r="G1722" s="4">
        <v>6</v>
      </c>
      <c r="H1722" s="4">
        <v>5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</row>
    <row r="1723" spans="1:13">
      <c r="A1723" s="3" t="s">
        <v>2268</v>
      </c>
      <c r="B1723" s="4">
        <v>47.5</v>
      </c>
      <c r="C1723" s="4">
        <v>25</v>
      </c>
      <c r="D1723" s="4">
        <v>25</v>
      </c>
      <c r="E1723" s="4">
        <v>25</v>
      </c>
      <c r="F1723" s="4">
        <v>0</v>
      </c>
      <c r="G1723" s="4">
        <v>15</v>
      </c>
      <c r="H1723" s="4">
        <v>40.5</v>
      </c>
      <c r="I1723" s="4">
        <v>0</v>
      </c>
      <c r="J1723" s="4">
        <v>20</v>
      </c>
      <c r="K1723" s="4">
        <v>40</v>
      </c>
      <c r="L1723" s="4">
        <v>35</v>
      </c>
      <c r="M1723" s="4">
        <v>134</v>
      </c>
    </row>
    <row r="1724" spans="1:13">
      <c r="A1724" s="3" t="s">
        <v>2269</v>
      </c>
      <c r="B1724" s="4">
        <v>35</v>
      </c>
      <c r="C1724" s="4">
        <v>25</v>
      </c>
      <c r="D1724" s="4">
        <v>105</v>
      </c>
      <c r="E1724" s="4">
        <v>60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</row>
    <row r="1725" spans="1:13">
      <c r="A1725" s="3" t="s">
        <v>2270</v>
      </c>
      <c r="B1725" s="4">
        <v>105</v>
      </c>
      <c r="C1725" s="4">
        <v>25</v>
      </c>
      <c r="D1725" s="4">
        <v>144.5</v>
      </c>
      <c r="E1725" s="4">
        <v>0</v>
      </c>
      <c r="F1725" s="4">
        <v>0</v>
      </c>
      <c r="G1725" s="4">
        <v>14</v>
      </c>
      <c r="H1725" s="4">
        <v>27</v>
      </c>
      <c r="I1725" s="4">
        <v>0</v>
      </c>
      <c r="J1725" s="4">
        <v>122</v>
      </c>
      <c r="K1725" s="4">
        <v>14.5</v>
      </c>
      <c r="L1725" s="4">
        <v>45</v>
      </c>
      <c r="M1725" s="4">
        <v>10</v>
      </c>
    </row>
    <row r="1726" spans="1:13">
      <c r="A1726" s="3" t="s">
        <v>2271</v>
      </c>
      <c r="B1726" s="4">
        <v>0</v>
      </c>
      <c r="C1726" s="4">
        <v>56</v>
      </c>
      <c r="D1726" s="4">
        <v>40</v>
      </c>
      <c r="E1726" s="4">
        <v>15</v>
      </c>
      <c r="F1726" s="4">
        <v>15</v>
      </c>
      <c r="G1726" s="4">
        <v>0</v>
      </c>
      <c r="H1726" s="4">
        <v>15</v>
      </c>
      <c r="I1726" s="4">
        <v>0</v>
      </c>
      <c r="J1726" s="4">
        <v>25</v>
      </c>
      <c r="K1726" s="4">
        <v>20</v>
      </c>
      <c r="L1726" s="4">
        <v>35</v>
      </c>
      <c r="M1726" s="4">
        <v>5</v>
      </c>
    </row>
    <row r="1727" spans="1:13">
      <c r="A1727" s="3" t="s">
        <v>2272</v>
      </c>
      <c r="B1727" s="4">
        <v>10</v>
      </c>
      <c r="C1727" s="4">
        <v>45</v>
      </c>
      <c r="D1727" s="4">
        <v>56.5</v>
      </c>
      <c r="E1727" s="4">
        <v>60</v>
      </c>
      <c r="F1727" s="4">
        <v>20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</row>
    <row r="1728" spans="1:13">
      <c r="A1728" s="3" t="s">
        <v>2273</v>
      </c>
      <c r="B1728" s="4">
        <v>137.5</v>
      </c>
      <c r="C1728" s="4">
        <v>203</v>
      </c>
      <c r="D1728" s="4">
        <v>205.5</v>
      </c>
      <c r="E1728" s="4">
        <v>218</v>
      </c>
      <c r="F1728" s="4">
        <v>207.5</v>
      </c>
      <c r="G1728" s="4">
        <v>140</v>
      </c>
      <c r="H1728" s="4">
        <v>162.5</v>
      </c>
      <c r="I1728" s="4">
        <v>77</v>
      </c>
      <c r="J1728" s="4">
        <v>117.5</v>
      </c>
      <c r="K1728" s="4">
        <v>37.5</v>
      </c>
      <c r="L1728" s="4">
        <v>50</v>
      </c>
      <c r="M1728" s="4">
        <v>52.5</v>
      </c>
    </row>
    <row r="1729" spans="1:13">
      <c r="A1729" s="3" t="s">
        <v>2274</v>
      </c>
      <c r="B1729" s="4">
        <v>0</v>
      </c>
      <c r="C1729" s="4">
        <v>0</v>
      </c>
      <c r="D1729" s="4">
        <v>0</v>
      </c>
      <c r="E1729" s="4">
        <v>10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</row>
    <row r="1730" spans="1:13">
      <c r="A1730" s="3" t="s">
        <v>2275</v>
      </c>
      <c r="B1730" s="4">
        <v>26.25</v>
      </c>
      <c r="C1730" s="4">
        <v>0</v>
      </c>
      <c r="D1730" s="4">
        <v>23.5</v>
      </c>
      <c r="E1730" s="4">
        <v>26.6</v>
      </c>
      <c r="F1730" s="4">
        <v>20</v>
      </c>
      <c r="G1730" s="4">
        <v>30.5</v>
      </c>
      <c r="H1730" s="4">
        <v>0</v>
      </c>
      <c r="I1730" s="4">
        <v>29.5</v>
      </c>
      <c r="J1730" s="4">
        <v>66.5</v>
      </c>
      <c r="K1730" s="4">
        <v>27.5</v>
      </c>
      <c r="L1730" s="4">
        <v>22.3</v>
      </c>
      <c r="M1730" s="4">
        <v>20</v>
      </c>
    </row>
    <row r="1731" spans="1:13">
      <c r="A1731" s="3" t="s">
        <v>2276</v>
      </c>
      <c r="B1731" s="4">
        <v>0</v>
      </c>
      <c r="C1731" s="4">
        <v>55</v>
      </c>
      <c r="D1731" s="4">
        <v>25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</row>
    <row r="1732" spans="1:13">
      <c r="A1732" s="3" t="s">
        <v>2277</v>
      </c>
      <c r="B1732" s="4">
        <v>35.5</v>
      </c>
      <c r="C1732" s="4">
        <v>10</v>
      </c>
      <c r="D1732" s="4">
        <v>10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</row>
    <row r="1733" spans="1:13">
      <c r="A1733" s="3" t="s">
        <v>2278</v>
      </c>
      <c r="B1733" s="4">
        <v>0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10</v>
      </c>
    </row>
    <row r="1734" spans="1:13">
      <c r="A1734" s="3" t="s">
        <v>2279</v>
      </c>
      <c r="B1734" s="4">
        <v>97</v>
      </c>
      <c r="C1734" s="4">
        <v>127</v>
      </c>
      <c r="D1734" s="4">
        <v>137</v>
      </c>
      <c r="E1734" s="4">
        <v>70</v>
      </c>
      <c r="F1734" s="4">
        <v>51.75</v>
      </c>
      <c r="G1734" s="4">
        <v>66.5</v>
      </c>
      <c r="H1734" s="4">
        <v>40</v>
      </c>
      <c r="I1734" s="4">
        <v>25</v>
      </c>
      <c r="J1734" s="4">
        <v>71</v>
      </c>
      <c r="K1734" s="4">
        <v>90.5</v>
      </c>
      <c r="L1734" s="4">
        <v>60</v>
      </c>
      <c r="M1734" s="4">
        <v>75.75</v>
      </c>
    </row>
    <row r="1735" spans="1:13">
      <c r="A1735" s="3" t="s">
        <v>2280</v>
      </c>
      <c r="B1735" s="4">
        <v>30</v>
      </c>
      <c r="C1735" s="4">
        <v>10</v>
      </c>
      <c r="D1735" s="4">
        <v>0</v>
      </c>
      <c r="E1735" s="4">
        <v>10</v>
      </c>
      <c r="F1735" s="4">
        <v>0</v>
      </c>
      <c r="G1735" s="4">
        <v>0</v>
      </c>
      <c r="H1735" s="4">
        <v>10</v>
      </c>
      <c r="I1735" s="4">
        <v>20</v>
      </c>
      <c r="J1735" s="4">
        <v>10</v>
      </c>
      <c r="K1735" s="4">
        <v>0</v>
      </c>
      <c r="L1735" s="4">
        <v>0</v>
      </c>
      <c r="M1735" s="4">
        <v>0</v>
      </c>
    </row>
    <row r="1736" spans="1:13">
      <c r="A1736" s="3" t="s">
        <v>2281</v>
      </c>
      <c r="B1736" s="4">
        <v>0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34</v>
      </c>
      <c r="M1736" s="4">
        <v>0</v>
      </c>
    </row>
    <row r="1737" spans="1:13">
      <c r="A1737" s="3" t="s">
        <v>2282</v>
      </c>
      <c r="B1737" s="4">
        <v>93.35</v>
      </c>
      <c r="C1737" s="4">
        <v>62.75</v>
      </c>
      <c r="D1737" s="4">
        <v>71.75</v>
      </c>
      <c r="E1737" s="4">
        <v>109.5</v>
      </c>
      <c r="F1737" s="4">
        <v>128.5</v>
      </c>
      <c r="G1737" s="4">
        <v>116.5</v>
      </c>
      <c r="H1737" s="4">
        <v>64</v>
      </c>
      <c r="I1737" s="4">
        <v>64.75</v>
      </c>
      <c r="J1737" s="4">
        <v>88.25</v>
      </c>
      <c r="K1737" s="4">
        <v>84.5</v>
      </c>
      <c r="L1737" s="4">
        <v>98</v>
      </c>
      <c r="M1737" s="4">
        <v>117.75</v>
      </c>
    </row>
    <row r="1738" spans="1:13">
      <c r="A1738" s="3" t="s">
        <v>2283</v>
      </c>
      <c r="B1738" s="4">
        <v>0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10</v>
      </c>
    </row>
    <row r="1739" spans="1:13">
      <c r="A1739" s="3" t="s">
        <v>2284</v>
      </c>
      <c r="B1739" s="4">
        <v>0</v>
      </c>
      <c r="C1739" s="4">
        <v>0</v>
      </c>
      <c r="D1739" s="4">
        <v>0</v>
      </c>
      <c r="E1739" s="4">
        <v>9.5</v>
      </c>
      <c r="F1739" s="4">
        <v>0</v>
      </c>
      <c r="G1739" s="4">
        <v>6</v>
      </c>
      <c r="H1739" s="4">
        <v>5</v>
      </c>
      <c r="I1739" s="4">
        <v>10</v>
      </c>
      <c r="J1739" s="4">
        <v>40</v>
      </c>
      <c r="K1739" s="4">
        <v>0</v>
      </c>
      <c r="L1739" s="4">
        <v>10</v>
      </c>
      <c r="M1739" s="4">
        <v>0</v>
      </c>
    </row>
    <row r="1740" spans="1:13">
      <c r="A1740" s="3" t="s">
        <v>2285</v>
      </c>
      <c r="B1740" s="4">
        <v>0</v>
      </c>
      <c r="C1740" s="4">
        <v>0</v>
      </c>
      <c r="D1740" s="4">
        <v>0</v>
      </c>
      <c r="E1740" s="4">
        <v>2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</row>
    <row r="1741" spans="1:13">
      <c r="A1741" s="3" t="s">
        <v>2286</v>
      </c>
      <c r="B1741" s="4">
        <v>186</v>
      </c>
      <c r="C1741" s="4">
        <v>156</v>
      </c>
      <c r="D1741" s="4">
        <v>180</v>
      </c>
      <c r="E1741" s="4">
        <v>162.44999999999999</v>
      </c>
      <c r="F1741" s="4">
        <v>90.5</v>
      </c>
      <c r="G1741" s="4">
        <v>32.35</v>
      </c>
      <c r="H1741" s="4">
        <v>159</v>
      </c>
      <c r="I1741" s="4">
        <v>116.1</v>
      </c>
      <c r="J1741" s="4">
        <v>183.25</v>
      </c>
      <c r="K1741" s="4">
        <v>88.75</v>
      </c>
      <c r="L1741" s="4">
        <v>96.5</v>
      </c>
      <c r="M1741" s="4">
        <v>412.59999999999997</v>
      </c>
    </row>
    <row r="1742" spans="1:13">
      <c r="A1742" s="3" t="s">
        <v>2287</v>
      </c>
      <c r="B1742" s="4">
        <v>62.5</v>
      </c>
      <c r="C1742" s="4">
        <v>0</v>
      </c>
      <c r="D1742" s="4">
        <v>10</v>
      </c>
      <c r="E1742" s="4">
        <v>0</v>
      </c>
      <c r="F1742" s="4">
        <v>12.5</v>
      </c>
      <c r="G1742" s="4">
        <v>12.5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</row>
    <row r="1743" spans="1:13">
      <c r="A1743" s="3" t="s">
        <v>2288</v>
      </c>
      <c r="B1743" s="4">
        <v>10</v>
      </c>
      <c r="C1743" s="4">
        <v>70</v>
      </c>
      <c r="D1743" s="4">
        <v>20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</row>
    <row r="1744" spans="1:13">
      <c r="A1744" s="3" t="s">
        <v>2289</v>
      </c>
      <c r="B1744" s="4">
        <v>0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10</v>
      </c>
      <c r="J1744" s="4">
        <v>0</v>
      </c>
      <c r="K1744" s="4">
        <v>0</v>
      </c>
      <c r="L1744" s="4">
        <v>0</v>
      </c>
      <c r="M1744" s="4">
        <v>0</v>
      </c>
    </row>
    <row r="1745" spans="1:13">
      <c r="A1745" s="3" t="s">
        <v>2290</v>
      </c>
      <c r="B1745" s="4">
        <v>38</v>
      </c>
      <c r="C1745" s="4">
        <v>20</v>
      </c>
      <c r="D1745" s="4">
        <v>30</v>
      </c>
      <c r="E1745" s="4">
        <v>52.5</v>
      </c>
      <c r="F1745" s="4">
        <v>30</v>
      </c>
      <c r="G1745" s="4">
        <v>55</v>
      </c>
      <c r="H1745" s="4">
        <v>37</v>
      </c>
      <c r="I1745" s="4">
        <v>27</v>
      </c>
      <c r="J1745" s="4">
        <v>108</v>
      </c>
      <c r="K1745" s="4">
        <v>10</v>
      </c>
      <c r="L1745" s="4">
        <v>50</v>
      </c>
      <c r="M1745" s="4">
        <v>45.5</v>
      </c>
    </row>
    <row r="1746" spans="1:13">
      <c r="A1746" s="3" t="s">
        <v>2291</v>
      </c>
      <c r="B1746" s="4">
        <v>30</v>
      </c>
      <c r="C1746" s="4">
        <v>4.75</v>
      </c>
      <c r="D1746" s="4">
        <v>20</v>
      </c>
      <c r="E1746" s="4">
        <v>0</v>
      </c>
      <c r="F1746" s="4">
        <v>13.8</v>
      </c>
      <c r="G1746" s="4">
        <v>5</v>
      </c>
      <c r="H1746" s="4">
        <v>43</v>
      </c>
      <c r="I1746" s="4">
        <v>30</v>
      </c>
      <c r="J1746" s="4">
        <v>30</v>
      </c>
      <c r="K1746" s="4">
        <v>0</v>
      </c>
      <c r="L1746" s="4">
        <v>0</v>
      </c>
      <c r="M1746" s="4">
        <v>51</v>
      </c>
    </row>
    <row r="1747" spans="1:13">
      <c r="A1747" s="3" t="s">
        <v>2292</v>
      </c>
      <c r="B1747" s="4">
        <v>35</v>
      </c>
      <c r="C1747" s="4">
        <v>50</v>
      </c>
      <c r="D1747" s="4">
        <v>40</v>
      </c>
      <c r="E1747" s="4">
        <v>20</v>
      </c>
      <c r="F1747" s="4">
        <v>30</v>
      </c>
      <c r="G1747" s="4">
        <v>30</v>
      </c>
      <c r="H1747" s="4">
        <v>50</v>
      </c>
      <c r="I1747" s="4">
        <v>10</v>
      </c>
      <c r="J1747" s="4">
        <v>25</v>
      </c>
      <c r="K1747" s="4">
        <v>15</v>
      </c>
      <c r="L1747" s="4">
        <v>20</v>
      </c>
      <c r="M1747" s="4">
        <v>76</v>
      </c>
    </row>
    <row r="1748" spans="1:13">
      <c r="A1748" s="3" t="s">
        <v>2293</v>
      </c>
      <c r="B1748" s="4">
        <v>0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1</v>
      </c>
      <c r="I1748" s="4">
        <v>0</v>
      </c>
      <c r="J1748" s="4">
        <v>75</v>
      </c>
      <c r="K1748" s="4">
        <v>0</v>
      </c>
      <c r="L1748" s="4">
        <v>0</v>
      </c>
      <c r="M1748" s="4">
        <v>50</v>
      </c>
    </row>
    <row r="1749" spans="1:13">
      <c r="A1749" s="3" t="s">
        <v>2294</v>
      </c>
      <c r="B1749" s="4">
        <v>0</v>
      </c>
      <c r="C1749" s="4">
        <v>50</v>
      </c>
      <c r="D1749" s="4">
        <v>47.5</v>
      </c>
      <c r="E1749" s="4">
        <v>20</v>
      </c>
      <c r="F1749" s="4">
        <v>20</v>
      </c>
      <c r="G1749" s="4">
        <v>10</v>
      </c>
      <c r="H1749" s="4">
        <v>48</v>
      </c>
      <c r="I1749" s="4">
        <v>38.5</v>
      </c>
      <c r="J1749" s="4">
        <v>85</v>
      </c>
      <c r="K1749" s="4">
        <v>29</v>
      </c>
      <c r="L1749" s="4">
        <v>72.5</v>
      </c>
      <c r="M1749" s="4">
        <v>0</v>
      </c>
    </row>
    <row r="1750" spans="1:13">
      <c r="A1750" s="3" t="s">
        <v>2295</v>
      </c>
      <c r="B1750" s="4">
        <v>0</v>
      </c>
      <c r="C1750" s="4">
        <v>5</v>
      </c>
      <c r="D1750" s="4">
        <v>16.5</v>
      </c>
      <c r="E1750" s="4">
        <v>0</v>
      </c>
      <c r="F1750" s="4">
        <v>22.5</v>
      </c>
      <c r="G1750" s="4">
        <v>17.5</v>
      </c>
      <c r="H1750" s="4">
        <v>30</v>
      </c>
      <c r="I1750" s="4">
        <v>10</v>
      </c>
      <c r="J1750" s="4">
        <v>48</v>
      </c>
      <c r="K1750" s="4">
        <v>31</v>
      </c>
      <c r="L1750" s="4">
        <v>44.5</v>
      </c>
      <c r="M1750" s="4">
        <v>178.55</v>
      </c>
    </row>
    <row r="1751" spans="1:13">
      <c r="A1751" s="3" t="s">
        <v>2296</v>
      </c>
      <c r="B1751" s="4">
        <v>30</v>
      </c>
      <c r="C1751" s="4">
        <v>58</v>
      </c>
      <c r="D1751" s="4">
        <v>62</v>
      </c>
      <c r="E1751" s="4">
        <v>30</v>
      </c>
      <c r="F1751" s="4">
        <v>13</v>
      </c>
      <c r="G1751" s="4">
        <v>20</v>
      </c>
      <c r="H1751" s="4">
        <v>15</v>
      </c>
      <c r="I1751" s="4">
        <v>10</v>
      </c>
      <c r="J1751" s="4">
        <v>77.5</v>
      </c>
      <c r="K1751" s="4">
        <v>57</v>
      </c>
      <c r="L1751" s="4">
        <v>41.5</v>
      </c>
      <c r="M1751" s="4">
        <v>20</v>
      </c>
    </row>
    <row r="1752" spans="1:13">
      <c r="A1752" s="3" t="s">
        <v>2297</v>
      </c>
      <c r="B1752" s="4">
        <v>50</v>
      </c>
      <c r="C1752" s="4">
        <v>70</v>
      </c>
      <c r="D1752" s="4">
        <v>95</v>
      </c>
      <c r="E1752" s="4">
        <v>89</v>
      </c>
      <c r="F1752" s="4">
        <v>55</v>
      </c>
      <c r="G1752" s="4">
        <v>95</v>
      </c>
      <c r="H1752" s="4">
        <v>85</v>
      </c>
      <c r="I1752" s="4">
        <v>25</v>
      </c>
      <c r="J1752" s="4">
        <v>125</v>
      </c>
      <c r="K1752" s="4">
        <v>60</v>
      </c>
      <c r="L1752" s="4">
        <v>91</v>
      </c>
      <c r="M1752" s="4">
        <v>70</v>
      </c>
    </row>
    <row r="1753" spans="1:13">
      <c r="A1753" s="3" t="s">
        <v>2298</v>
      </c>
      <c r="B1753" s="4">
        <v>0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2.5</v>
      </c>
    </row>
    <row r="1754" spans="1:13">
      <c r="A1754" s="3" t="s">
        <v>2299</v>
      </c>
      <c r="B1754" s="4">
        <v>49</v>
      </c>
      <c r="C1754" s="4">
        <v>56</v>
      </c>
      <c r="D1754" s="4">
        <v>70</v>
      </c>
      <c r="E1754" s="4">
        <v>105</v>
      </c>
      <c r="F1754" s="4">
        <v>85</v>
      </c>
      <c r="G1754" s="4">
        <v>90.5</v>
      </c>
      <c r="H1754" s="4">
        <v>71</v>
      </c>
      <c r="I1754" s="4">
        <v>67.5</v>
      </c>
      <c r="J1754" s="4">
        <v>85.5</v>
      </c>
      <c r="K1754" s="4">
        <v>81.5</v>
      </c>
      <c r="L1754" s="4">
        <v>107.5</v>
      </c>
      <c r="M1754" s="4">
        <v>74.900000000000006</v>
      </c>
    </row>
    <row r="1755" spans="1:13">
      <c r="A1755" s="3" t="s">
        <v>2300</v>
      </c>
      <c r="B1755" s="4">
        <v>10</v>
      </c>
      <c r="C1755" s="4">
        <v>0</v>
      </c>
      <c r="D1755" s="4">
        <v>30</v>
      </c>
      <c r="E1755" s="4">
        <v>30</v>
      </c>
      <c r="F1755" s="4">
        <v>22.5</v>
      </c>
      <c r="G1755" s="4">
        <v>35</v>
      </c>
      <c r="H1755" s="4">
        <v>34</v>
      </c>
      <c r="I1755" s="4">
        <v>10</v>
      </c>
      <c r="J1755" s="4">
        <v>41.5</v>
      </c>
      <c r="K1755" s="4">
        <v>36</v>
      </c>
      <c r="L1755" s="4">
        <v>58.5</v>
      </c>
      <c r="M1755" s="4">
        <v>126</v>
      </c>
    </row>
    <row r="1756" spans="1:13">
      <c r="A1756" s="3" t="s">
        <v>2301</v>
      </c>
      <c r="B1756" s="4">
        <v>20</v>
      </c>
      <c r="C1756" s="4">
        <v>20</v>
      </c>
      <c r="D1756" s="4">
        <v>25</v>
      </c>
      <c r="E1756" s="4">
        <v>15</v>
      </c>
      <c r="F1756" s="4">
        <v>10</v>
      </c>
      <c r="G1756" s="4">
        <v>27.5</v>
      </c>
      <c r="H1756" s="4">
        <v>0</v>
      </c>
      <c r="I1756" s="4">
        <v>15</v>
      </c>
      <c r="J1756" s="4">
        <v>7.5</v>
      </c>
      <c r="K1756" s="4">
        <v>10</v>
      </c>
      <c r="L1756" s="4">
        <v>15</v>
      </c>
      <c r="M1756" s="4">
        <v>10</v>
      </c>
    </row>
    <row r="1757" spans="1:13">
      <c r="A1757" s="3" t="s">
        <v>2302</v>
      </c>
      <c r="B1757" s="4">
        <v>10</v>
      </c>
      <c r="C1757" s="4">
        <v>0</v>
      </c>
      <c r="D1757" s="4">
        <v>20</v>
      </c>
      <c r="E1757" s="4">
        <v>45</v>
      </c>
      <c r="F1757" s="4">
        <v>30</v>
      </c>
      <c r="G1757" s="4">
        <v>20</v>
      </c>
      <c r="H1757" s="4">
        <v>25</v>
      </c>
      <c r="I1757" s="4">
        <v>10</v>
      </c>
      <c r="J1757" s="4">
        <v>5</v>
      </c>
      <c r="K1757" s="4">
        <v>0</v>
      </c>
      <c r="L1757" s="4">
        <v>10</v>
      </c>
      <c r="M1757" s="4">
        <v>41.5</v>
      </c>
    </row>
    <row r="1758" spans="1:13">
      <c r="A1758" s="3" t="s">
        <v>2303</v>
      </c>
      <c r="B1758" s="4">
        <v>50</v>
      </c>
      <c r="C1758" s="4">
        <v>66.5</v>
      </c>
      <c r="D1758" s="4">
        <v>134</v>
      </c>
      <c r="E1758" s="4">
        <v>85.5</v>
      </c>
      <c r="F1758" s="4">
        <v>128.5</v>
      </c>
      <c r="G1758" s="4">
        <v>47</v>
      </c>
      <c r="H1758" s="4">
        <v>70</v>
      </c>
      <c r="I1758" s="4">
        <v>11</v>
      </c>
      <c r="J1758" s="4">
        <v>43</v>
      </c>
      <c r="K1758" s="4">
        <v>21</v>
      </c>
      <c r="L1758" s="4">
        <v>31</v>
      </c>
      <c r="M1758" s="4">
        <v>32</v>
      </c>
    </row>
    <row r="1759" spans="1:13">
      <c r="A1759" s="3" t="s">
        <v>2304</v>
      </c>
      <c r="B1759" s="4">
        <v>7.5</v>
      </c>
      <c r="C1759" s="4">
        <v>0</v>
      </c>
      <c r="D1759" s="4">
        <v>2.5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</row>
    <row r="1760" spans="1:13">
      <c r="A1760" s="3" t="s">
        <v>2305</v>
      </c>
      <c r="B1760" s="4">
        <v>34</v>
      </c>
      <c r="C1760" s="4">
        <v>10</v>
      </c>
      <c r="D1760" s="4">
        <v>5</v>
      </c>
      <c r="E1760" s="4">
        <v>28.95</v>
      </c>
      <c r="F1760" s="4">
        <v>20</v>
      </c>
      <c r="G1760" s="4">
        <v>22.5</v>
      </c>
      <c r="H1760" s="4">
        <v>17.5</v>
      </c>
      <c r="I1760" s="4">
        <v>10</v>
      </c>
      <c r="J1760" s="4">
        <v>22</v>
      </c>
      <c r="K1760" s="4">
        <v>18</v>
      </c>
      <c r="L1760" s="4">
        <v>20</v>
      </c>
      <c r="M1760" s="4">
        <v>30</v>
      </c>
    </row>
    <row r="1761" spans="1:13">
      <c r="A1761" s="3" t="s">
        <v>2306</v>
      </c>
      <c r="B1761" s="4">
        <v>39.450000000000003</v>
      </c>
      <c r="C1761" s="4">
        <v>53</v>
      </c>
      <c r="D1761" s="4">
        <v>99.5</v>
      </c>
      <c r="E1761" s="4">
        <v>67.5</v>
      </c>
      <c r="F1761" s="4">
        <v>35</v>
      </c>
      <c r="G1761" s="4">
        <v>10</v>
      </c>
      <c r="H1761" s="4">
        <v>0</v>
      </c>
      <c r="I1761" s="4">
        <v>21.5</v>
      </c>
      <c r="J1761" s="4">
        <v>37.299999999999997</v>
      </c>
      <c r="K1761" s="4">
        <v>58.4</v>
      </c>
      <c r="L1761" s="4">
        <v>10</v>
      </c>
      <c r="M1761" s="4">
        <v>21</v>
      </c>
    </row>
    <row r="1762" spans="1:13">
      <c r="A1762" s="3" t="s">
        <v>2307</v>
      </c>
      <c r="B1762" s="4">
        <v>77</v>
      </c>
      <c r="C1762" s="4">
        <v>57</v>
      </c>
      <c r="D1762" s="4">
        <v>89.5</v>
      </c>
      <c r="E1762" s="4">
        <v>83.5</v>
      </c>
      <c r="F1762" s="4">
        <v>62</v>
      </c>
      <c r="G1762" s="4">
        <v>15</v>
      </c>
      <c r="H1762" s="4">
        <v>30</v>
      </c>
      <c r="I1762" s="4">
        <v>30</v>
      </c>
      <c r="J1762" s="4">
        <v>50.5</v>
      </c>
      <c r="K1762" s="4">
        <v>10</v>
      </c>
      <c r="L1762" s="4">
        <v>25</v>
      </c>
      <c r="M1762" s="4">
        <v>80</v>
      </c>
    </row>
    <row r="1763" spans="1:13">
      <c r="A1763" s="3" t="s">
        <v>2308</v>
      </c>
      <c r="B1763" s="4">
        <v>77.25</v>
      </c>
      <c r="C1763" s="4">
        <v>78.5</v>
      </c>
      <c r="D1763" s="4">
        <v>101.25</v>
      </c>
      <c r="E1763" s="4">
        <v>58</v>
      </c>
      <c r="F1763" s="4">
        <v>73</v>
      </c>
      <c r="G1763" s="4">
        <v>55.25</v>
      </c>
      <c r="H1763" s="4">
        <v>47</v>
      </c>
      <c r="I1763" s="4">
        <v>25</v>
      </c>
      <c r="J1763" s="4">
        <v>40.75</v>
      </c>
      <c r="K1763" s="4">
        <v>16</v>
      </c>
      <c r="L1763" s="4">
        <v>48.25</v>
      </c>
      <c r="M1763" s="4">
        <v>53.4</v>
      </c>
    </row>
    <row r="1764" spans="1:13">
      <c r="A1764" s="3" t="s">
        <v>2309</v>
      </c>
      <c r="B1764" s="4">
        <v>0</v>
      </c>
      <c r="C1764" s="4">
        <v>0</v>
      </c>
      <c r="D1764" s="4">
        <v>0</v>
      </c>
      <c r="E1764" s="4">
        <v>10</v>
      </c>
      <c r="F1764" s="4">
        <v>10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</row>
    <row r="1765" spans="1:13">
      <c r="A1765" s="3" t="s">
        <v>2310</v>
      </c>
      <c r="B1765" s="4">
        <v>0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10</v>
      </c>
    </row>
    <row r="1766" spans="1:13">
      <c r="A1766" s="3" t="s">
        <v>2311</v>
      </c>
      <c r="B1766" s="4">
        <v>20</v>
      </c>
      <c r="C1766" s="4">
        <v>0</v>
      </c>
      <c r="D1766" s="4">
        <v>10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</row>
    <row r="1767" spans="1:13">
      <c r="A1767" s="3" t="s">
        <v>2312</v>
      </c>
      <c r="B1767" s="4">
        <v>20</v>
      </c>
      <c r="C1767" s="4">
        <v>40</v>
      </c>
      <c r="D1767" s="4">
        <v>35</v>
      </c>
      <c r="E1767" s="4">
        <v>41</v>
      </c>
      <c r="F1767" s="4">
        <v>30</v>
      </c>
      <c r="G1767" s="4">
        <v>15</v>
      </c>
      <c r="H1767" s="4">
        <v>15</v>
      </c>
      <c r="I1767" s="4">
        <v>15</v>
      </c>
      <c r="J1767" s="4">
        <v>40</v>
      </c>
      <c r="K1767" s="4">
        <v>0</v>
      </c>
      <c r="L1767" s="4">
        <v>22.5</v>
      </c>
      <c r="M1767" s="4">
        <v>20</v>
      </c>
    </row>
    <row r="1768" spans="1:13">
      <c r="A1768" s="3" t="s">
        <v>2313</v>
      </c>
      <c r="B1768" s="4">
        <v>10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</row>
    <row r="1769" spans="1:13">
      <c r="A1769" s="3" t="s">
        <v>2314</v>
      </c>
      <c r="B1769" s="4">
        <v>0</v>
      </c>
      <c r="C1769" s="4">
        <v>0</v>
      </c>
      <c r="D1769" s="4">
        <v>0</v>
      </c>
      <c r="E1769" s="4">
        <v>25</v>
      </c>
      <c r="F1769" s="4">
        <v>15</v>
      </c>
      <c r="G1769" s="4">
        <v>0</v>
      </c>
      <c r="H1769" s="4">
        <v>0</v>
      </c>
      <c r="I1769" s="4">
        <v>0</v>
      </c>
      <c r="J1769" s="4">
        <v>0</v>
      </c>
      <c r="K1769" s="4">
        <v>20</v>
      </c>
      <c r="L1769" s="4">
        <v>25</v>
      </c>
      <c r="M1769" s="4">
        <v>0</v>
      </c>
    </row>
    <row r="1770" spans="1:13">
      <c r="A1770" s="3" t="s">
        <v>2315</v>
      </c>
      <c r="B1770" s="4">
        <v>0</v>
      </c>
      <c r="C1770" s="4">
        <v>0</v>
      </c>
      <c r="D1770" s="4">
        <v>10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</row>
    <row r="1771" spans="1:13">
      <c r="A1771" s="3" t="s">
        <v>2316</v>
      </c>
      <c r="B1771" s="4">
        <v>37.5</v>
      </c>
      <c r="C1771" s="4">
        <v>27.5</v>
      </c>
      <c r="D1771" s="4">
        <v>71</v>
      </c>
      <c r="E1771" s="4">
        <v>70</v>
      </c>
      <c r="F1771" s="4">
        <v>15</v>
      </c>
      <c r="G1771" s="4">
        <v>10</v>
      </c>
      <c r="H1771" s="4">
        <v>10</v>
      </c>
      <c r="I1771" s="4">
        <v>10</v>
      </c>
      <c r="J1771" s="4">
        <v>52.5</v>
      </c>
      <c r="K1771" s="4">
        <v>15</v>
      </c>
      <c r="L1771" s="4">
        <v>50</v>
      </c>
      <c r="M1771" s="4">
        <v>35</v>
      </c>
    </row>
    <row r="1772" spans="1:13">
      <c r="A1772" s="3" t="s">
        <v>2317</v>
      </c>
      <c r="B1772" s="4">
        <v>100.5</v>
      </c>
      <c r="C1772" s="4">
        <v>116</v>
      </c>
      <c r="D1772" s="4">
        <v>211</v>
      </c>
      <c r="E1772" s="4">
        <v>130</v>
      </c>
      <c r="F1772" s="4">
        <v>139</v>
      </c>
      <c r="G1772" s="4">
        <v>167.5</v>
      </c>
      <c r="H1772" s="4">
        <v>149</v>
      </c>
      <c r="I1772" s="4">
        <v>139</v>
      </c>
      <c r="J1772" s="4">
        <v>218.5</v>
      </c>
      <c r="K1772" s="4">
        <v>160.5</v>
      </c>
      <c r="L1772" s="4">
        <v>113.5</v>
      </c>
      <c r="M1772" s="4">
        <v>172</v>
      </c>
    </row>
    <row r="1773" spans="1:13">
      <c r="A1773" s="3" t="s">
        <v>2318</v>
      </c>
      <c r="B1773" s="4">
        <v>0</v>
      </c>
      <c r="C1773" s="4">
        <v>19.5</v>
      </c>
      <c r="D1773" s="4">
        <v>128</v>
      </c>
      <c r="E1773" s="4">
        <v>77.5</v>
      </c>
      <c r="F1773" s="4">
        <v>126.15</v>
      </c>
      <c r="G1773" s="4">
        <v>70.95</v>
      </c>
      <c r="H1773" s="4">
        <v>42</v>
      </c>
      <c r="I1773" s="4">
        <v>46.5</v>
      </c>
      <c r="J1773" s="4">
        <v>65.900000000000006</v>
      </c>
      <c r="K1773" s="4">
        <v>90</v>
      </c>
      <c r="L1773" s="4">
        <v>106</v>
      </c>
      <c r="M1773" s="4">
        <v>133</v>
      </c>
    </row>
    <row r="1774" spans="1:13">
      <c r="A1774" s="3" t="s">
        <v>2319</v>
      </c>
      <c r="B1774" s="4">
        <v>25</v>
      </c>
      <c r="C1774" s="4">
        <v>16</v>
      </c>
      <c r="D1774" s="4">
        <v>50</v>
      </c>
      <c r="E1774" s="4">
        <v>32.5</v>
      </c>
      <c r="F1774" s="4">
        <v>32</v>
      </c>
      <c r="G1774" s="4">
        <v>25</v>
      </c>
      <c r="H1774" s="4">
        <v>0</v>
      </c>
      <c r="I1774" s="4">
        <v>16</v>
      </c>
      <c r="J1774" s="4">
        <v>26</v>
      </c>
      <c r="K1774" s="4">
        <v>36</v>
      </c>
      <c r="L1774" s="4">
        <v>43</v>
      </c>
      <c r="M1774" s="4">
        <v>20</v>
      </c>
    </row>
    <row r="1775" spans="1:13">
      <c r="A1775" s="3" t="s">
        <v>2320</v>
      </c>
      <c r="B1775" s="4">
        <v>93.5</v>
      </c>
      <c r="C1775" s="4">
        <v>166</v>
      </c>
      <c r="D1775" s="4">
        <v>127.75</v>
      </c>
      <c r="E1775" s="4">
        <v>107.75</v>
      </c>
      <c r="F1775" s="4">
        <v>156.5</v>
      </c>
      <c r="G1775" s="4">
        <v>21.75</v>
      </c>
      <c r="H1775" s="4">
        <v>85</v>
      </c>
      <c r="I1775" s="4">
        <v>41.5</v>
      </c>
      <c r="J1775" s="4">
        <v>147.5</v>
      </c>
      <c r="K1775" s="4">
        <v>98.25</v>
      </c>
      <c r="L1775" s="4">
        <v>91</v>
      </c>
      <c r="M1775" s="4">
        <v>99.5</v>
      </c>
    </row>
    <row r="1776" spans="1:13">
      <c r="A1776" s="3" t="s">
        <v>2321</v>
      </c>
      <c r="B1776" s="4">
        <v>22.5</v>
      </c>
      <c r="C1776" s="4">
        <v>5</v>
      </c>
      <c r="D1776" s="4">
        <v>30</v>
      </c>
      <c r="E1776" s="4">
        <v>38.5</v>
      </c>
      <c r="F1776" s="4">
        <v>13</v>
      </c>
      <c r="G1776" s="4">
        <v>3.5</v>
      </c>
      <c r="H1776" s="4">
        <v>10</v>
      </c>
      <c r="I1776" s="4">
        <v>6.75</v>
      </c>
      <c r="J1776" s="4">
        <v>0</v>
      </c>
      <c r="K1776" s="4">
        <v>0</v>
      </c>
      <c r="L1776" s="4">
        <v>2.5</v>
      </c>
      <c r="M1776" s="4">
        <v>0</v>
      </c>
    </row>
    <row r="1777" spans="1:13">
      <c r="A1777" s="3" t="s">
        <v>2322</v>
      </c>
      <c r="B1777" s="4">
        <v>71</v>
      </c>
      <c r="C1777" s="4">
        <v>24</v>
      </c>
      <c r="D1777" s="4">
        <v>132.75</v>
      </c>
      <c r="E1777" s="4">
        <v>50</v>
      </c>
      <c r="F1777" s="4">
        <v>72.5</v>
      </c>
      <c r="G1777" s="4">
        <v>54</v>
      </c>
      <c r="H1777" s="4">
        <v>10</v>
      </c>
      <c r="I1777" s="4">
        <v>51.5</v>
      </c>
      <c r="J1777" s="4">
        <v>72.5</v>
      </c>
      <c r="K1777" s="4">
        <v>72.5</v>
      </c>
      <c r="L1777" s="4">
        <v>75</v>
      </c>
      <c r="M1777" s="4">
        <v>70</v>
      </c>
    </row>
    <row r="1778" spans="1:13">
      <c r="A1778" s="3" t="s">
        <v>2323</v>
      </c>
      <c r="B1778" s="4">
        <v>35</v>
      </c>
      <c r="C1778" s="4">
        <v>0</v>
      </c>
      <c r="D1778" s="4">
        <v>15</v>
      </c>
      <c r="E1778" s="4">
        <v>9.75</v>
      </c>
      <c r="F1778" s="4">
        <v>35</v>
      </c>
      <c r="G1778" s="4">
        <v>7.5</v>
      </c>
      <c r="H1778" s="4">
        <v>35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</row>
    <row r="1779" spans="1:13">
      <c r="A1779" s="3" t="s">
        <v>2324</v>
      </c>
      <c r="B1779" s="4">
        <v>40</v>
      </c>
      <c r="C1779" s="4">
        <v>10</v>
      </c>
      <c r="D1779" s="4">
        <v>20</v>
      </c>
      <c r="E1779" s="4">
        <v>5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</row>
    <row r="1780" spans="1:13">
      <c r="A1780" s="3" t="s">
        <v>2325</v>
      </c>
      <c r="B1780" s="4">
        <v>0</v>
      </c>
      <c r="C1780" s="4">
        <v>25</v>
      </c>
      <c r="D1780" s="4">
        <v>0</v>
      </c>
      <c r="E1780" s="4">
        <v>0</v>
      </c>
      <c r="F1780" s="4">
        <v>40</v>
      </c>
      <c r="G1780" s="4">
        <v>0</v>
      </c>
      <c r="H1780" s="4">
        <v>20</v>
      </c>
      <c r="I1780" s="4">
        <v>0</v>
      </c>
      <c r="J1780" s="4">
        <v>20</v>
      </c>
      <c r="K1780" s="4">
        <v>0</v>
      </c>
      <c r="L1780" s="4">
        <v>0</v>
      </c>
      <c r="M1780" s="4">
        <v>5</v>
      </c>
    </row>
    <row r="1781" spans="1:13">
      <c r="A1781" s="3" t="s">
        <v>2326</v>
      </c>
      <c r="B1781" s="4">
        <v>50</v>
      </c>
      <c r="C1781" s="4">
        <v>0</v>
      </c>
      <c r="D1781" s="4">
        <v>40</v>
      </c>
      <c r="E1781" s="4">
        <v>95</v>
      </c>
      <c r="F1781" s="4">
        <v>40</v>
      </c>
      <c r="G1781" s="4">
        <v>10</v>
      </c>
      <c r="H1781" s="4">
        <v>20</v>
      </c>
      <c r="I1781" s="4">
        <v>10</v>
      </c>
      <c r="J1781" s="4">
        <v>50</v>
      </c>
      <c r="K1781" s="4">
        <v>15</v>
      </c>
      <c r="L1781" s="4">
        <v>40</v>
      </c>
      <c r="M1781" s="4">
        <v>43</v>
      </c>
    </row>
    <row r="1782" spans="1:13">
      <c r="A1782" s="3" t="s">
        <v>2327</v>
      </c>
      <c r="B1782" s="4">
        <v>0</v>
      </c>
      <c r="C1782" s="4">
        <v>0</v>
      </c>
      <c r="D1782" s="4">
        <v>0</v>
      </c>
      <c r="E1782" s="4">
        <v>0</v>
      </c>
      <c r="F1782" s="4">
        <v>0</v>
      </c>
      <c r="G1782" s="4">
        <v>34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</row>
    <row r="1783" spans="1:13">
      <c r="A1783" s="3" t="s">
        <v>2328</v>
      </c>
      <c r="B1783" s="4">
        <v>38</v>
      </c>
      <c r="C1783" s="4">
        <v>40</v>
      </c>
      <c r="D1783" s="4">
        <v>74</v>
      </c>
      <c r="E1783" s="4">
        <v>45</v>
      </c>
      <c r="F1783" s="4">
        <v>60</v>
      </c>
      <c r="G1783" s="4">
        <v>62</v>
      </c>
      <c r="H1783" s="4">
        <v>55</v>
      </c>
      <c r="I1783" s="4">
        <v>35</v>
      </c>
      <c r="J1783" s="4">
        <v>59</v>
      </c>
      <c r="K1783" s="4">
        <v>48</v>
      </c>
      <c r="L1783" s="4">
        <v>88</v>
      </c>
      <c r="M1783" s="4">
        <v>62.5</v>
      </c>
    </row>
    <row r="1784" spans="1:13">
      <c r="A1784" s="3" t="s">
        <v>2329</v>
      </c>
      <c r="B1784" s="4">
        <v>10</v>
      </c>
      <c r="C1784" s="4">
        <v>0</v>
      </c>
      <c r="D1784" s="4">
        <v>22.5</v>
      </c>
      <c r="E1784" s="4">
        <v>30.5</v>
      </c>
      <c r="F1784" s="4">
        <v>45</v>
      </c>
      <c r="G1784" s="4">
        <v>42.5</v>
      </c>
      <c r="H1784" s="4">
        <v>45</v>
      </c>
      <c r="I1784" s="4">
        <v>20</v>
      </c>
      <c r="J1784" s="4">
        <v>22.5</v>
      </c>
      <c r="K1784" s="4">
        <v>17.5</v>
      </c>
      <c r="L1784" s="4">
        <v>29</v>
      </c>
      <c r="M1784" s="4">
        <v>17.5</v>
      </c>
    </row>
    <row r="1785" spans="1:13">
      <c r="A1785" s="3" t="s">
        <v>2330</v>
      </c>
      <c r="B1785" s="4">
        <v>10</v>
      </c>
      <c r="C1785" s="4">
        <v>0</v>
      </c>
      <c r="D1785" s="4">
        <v>15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</row>
    <row r="1786" spans="1:13">
      <c r="A1786" s="3" t="s">
        <v>2331</v>
      </c>
      <c r="B1786" s="4">
        <v>0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50</v>
      </c>
      <c r="J1786" s="4">
        <v>32.5</v>
      </c>
      <c r="K1786" s="4">
        <v>15</v>
      </c>
      <c r="L1786" s="4">
        <v>7.5</v>
      </c>
      <c r="M1786" s="4">
        <v>20</v>
      </c>
    </row>
    <row r="1787" spans="1:13">
      <c r="A1787" s="3" t="s">
        <v>2332</v>
      </c>
      <c r="B1787" s="4">
        <v>0</v>
      </c>
      <c r="C1787" s="4">
        <v>10</v>
      </c>
      <c r="D1787" s="4">
        <v>20</v>
      </c>
      <c r="E1787" s="4">
        <v>30</v>
      </c>
      <c r="F1787" s="4">
        <v>27.5</v>
      </c>
      <c r="G1787" s="4">
        <v>27.5</v>
      </c>
      <c r="H1787" s="4">
        <v>30</v>
      </c>
      <c r="I1787" s="4">
        <v>10</v>
      </c>
      <c r="J1787" s="4">
        <v>27.5</v>
      </c>
      <c r="K1787" s="4">
        <v>5</v>
      </c>
      <c r="L1787" s="4">
        <v>65.75</v>
      </c>
      <c r="M1787" s="4">
        <v>150</v>
      </c>
    </row>
    <row r="1788" spans="1:13">
      <c r="A1788" s="3" t="s">
        <v>2333</v>
      </c>
      <c r="B1788" s="4">
        <v>38.5</v>
      </c>
      <c r="C1788" s="4">
        <v>20</v>
      </c>
      <c r="D1788" s="4">
        <v>10</v>
      </c>
      <c r="E1788" s="4">
        <v>17.5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</row>
    <row r="1789" spans="1:13">
      <c r="A1789" s="3" t="s">
        <v>2334</v>
      </c>
      <c r="B1789" s="4">
        <v>20.5</v>
      </c>
      <c r="C1789" s="4">
        <v>15</v>
      </c>
      <c r="D1789" s="4">
        <v>30</v>
      </c>
      <c r="E1789" s="4">
        <v>1</v>
      </c>
      <c r="F1789" s="4">
        <v>11</v>
      </c>
      <c r="G1789" s="4">
        <v>4</v>
      </c>
      <c r="H1789" s="4">
        <v>3</v>
      </c>
      <c r="I1789" s="4">
        <v>10</v>
      </c>
      <c r="J1789" s="4">
        <v>0</v>
      </c>
      <c r="K1789" s="4">
        <v>0</v>
      </c>
      <c r="L1789" s="4">
        <v>0</v>
      </c>
      <c r="M1789" s="4">
        <v>0</v>
      </c>
    </row>
    <row r="1790" spans="1:13">
      <c r="A1790" s="3" t="s">
        <v>2335</v>
      </c>
      <c r="B1790" s="4">
        <v>10</v>
      </c>
      <c r="C1790" s="4">
        <v>19</v>
      </c>
      <c r="D1790" s="4">
        <v>10</v>
      </c>
      <c r="E1790" s="4">
        <v>3</v>
      </c>
      <c r="F1790" s="4">
        <v>0</v>
      </c>
      <c r="G1790" s="4">
        <v>9</v>
      </c>
      <c r="H1790" s="4">
        <v>0</v>
      </c>
      <c r="I1790" s="4">
        <v>0</v>
      </c>
      <c r="J1790" s="4">
        <v>0</v>
      </c>
      <c r="K1790" s="4">
        <v>20</v>
      </c>
      <c r="L1790" s="4">
        <v>16</v>
      </c>
      <c r="M1790" s="4">
        <v>13</v>
      </c>
    </row>
    <row r="1791" spans="1:13">
      <c r="A1791" s="3" t="s">
        <v>2336</v>
      </c>
      <c r="B1791" s="4">
        <v>65</v>
      </c>
      <c r="C1791" s="4">
        <v>110</v>
      </c>
      <c r="D1791" s="4">
        <v>100</v>
      </c>
      <c r="E1791" s="4">
        <v>105</v>
      </c>
      <c r="F1791" s="4">
        <v>35</v>
      </c>
      <c r="G1791" s="4">
        <v>67</v>
      </c>
      <c r="H1791" s="4">
        <v>60</v>
      </c>
      <c r="I1791" s="4">
        <v>35</v>
      </c>
      <c r="J1791" s="4">
        <v>35</v>
      </c>
      <c r="K1791" s="4">
        <v>140</v>
      </c>
      <c r="L1791" s="4">
        <v>140</v>
      </c>
      <c r="M1791" s="4">
        <v>35</v>
      </c>
    </row>
    <row r="1792" spans="1:13">
      <c r="A1792" s="3" t="s">
        <v>2337</v>
      </c>
      <c r="B1792" s="4">
        <v>102</v>
      </c>
      <c r="C1792" s="4">
        <v>125</v>
      </c>
      <c r="D1792" s="4">
        <v>149</v>
      </c>
      <c r="E1792" s="4">
        <v>193.5</v>
      </c>
      <c r="F1792" s="4">
        <v>107</v>
      </c>
      <c r="G1792" s="4">
        <v>152</v>
      </c>
      <c r="H1792" s="4">
        <v>106</v>
      </c>
      <c r="I1792" s="4">
        <v>0</v>
      </c>
      <c r="J1792" s="4">
        <v>202.5</v>
      </c>
      <c r="K1792" s="4">
        <v>198</v>
      </c>
      <c r="L1792" s="4">
        <v>109.7</v>
      </c>
      <c r="M1792" s="4">
        <v>162.5</v>
      </c>
    </row>
    <row r="1793" spans="1:13">
      <c r="A1793" s="3" t="s">
        <v>2338</v>
      </c>
      <c r="B1793" s="4">
        <v>43</v>
      </c>
      <c r="C1793" s="4">
        <v>172</v>
      </c>
      <c r="D1793" s="4">
        <v>127</v>
      </c>
      <c r="E1793" s="4">
        <v>126</v>
      </c>
      <c r="F1793" s="4">
        <v>126.5</v>
      </c>
      <c r="G1793" s="4">
        <v>129</v>
      </c>
      <c r="H1793" s="4">
        <v>132</v>
      </c>
      <c r="I1793" s="4">
        <v>126</v>
      </c>
      <c r="J1793" s="4">
        <v>168</v>
      </c>
      <c r="K1793" s="4">
        <v>127</v>
      </c>
      <c r="L1793" s="4">
        <v>127</v>
      </c>
      <c r="M1793" s="4">
        <v>146</v>
      </c>
    </row>
    <row r="1794" spans="1:13">
      <c r="A1794" s="3" t="s">
        <v>2339</v>
      </c>
      <c r="B1794" s="4">
        <v>89</v>
      </c>
      <c r="C1794" s="4">
        <v>74.45</v>
      </c>
      <c r="D1794" s="4">
        <v>108.5</v>
      </c>
      <c r="E1794" s="4">
        <v>114</v>
      </c>
      <c r="F1794" s="4">
        <v>40</v>
      </c>
      <c r="G1794" s="4">
        <v>75</v>
      </c>
      <c r="H1794" s="4">
        <v>55.5</v>
      </c>
      <c r="I1794" s="4">
        <v>15</v>
      </c>
      <c r="J1794" s="4">
        <v>20.5</v>
      </c>
      <c r="K1794" s="4">
        <v>17.5</v>
      </c>
      <c r="L1794" s="4">
        <v>5</v>
      </c>
      <c r="M1794" s="4">
        <v>0</v>
      </c>
    </row>
    <row r="1795" spans="1:13">
      <c r="A1795" s="3" t="s">
        <v>2340</v>
      </c>
      <c r="B1795" s="4">
        <v>50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</row>
    <row r="1796" spans="1:13">
      <c r="A1796" s="3" t="s">
        <v>2341</v>
      </c>
      <c r="B1796" s="4">
        <v>110.5</v>
      </c>
      <c r="C1796" s="4">
        <v>165</v>
      </c>
      <c r="D1796" s="4">
        <v>248</v>
      </c>
      <c r="E1796" s="4">
        <v>195</v>
      </c>
      <c r="F1796" s="4">
        <v>114.5</v>
      </c>
      <c r="G1796" s="4">
        <v>127</v>
      </c>
      <c r="H1796" s="4">
        <v>20</v>
      </c>
      <c r="I1796" s="4">
        <v>22</v>
      </c>
      <c r="J1796" s="4">
        <v>131</v>
      </c>
      <c r="K1796" s="4">
        <v>60</v>
      </c>
      <c r="L1796" s="4">
        <v>51</v>
      </c>
      <c r="M1796" s="4">
        <v>100.5</v>
      </c>
    </row>
    <row r="1797" spans="1:13">
      <c r="A1797" s="3" t="s">
        <v>2342</v>
      </c>
      <c r="B1797" s="4">
        <v>75.5</v>
      </c>
      <c r="C1797" s="4">
        <v>5</v>
      </c>
      <c r="D1797" s="4">
        <v>47.25</v>
      </c>
      <c r="E1797" s="4">
        <v>109</v>
      </c>
      <c r="F1797" s="4">
        <v>68</v>
      </c>
      <c r="G1797" s="4">
        <v>4</v>
      </c>
      <c r="H1797" s="4">
        <v>24</v>
      </c>
      <c r="I1797" s="4">
        <v>43</v>
      </c>
      <c r="J1797" s="4">
        <v>135</v>
      </c>
      <c r="K1797" s="4">
        <v>45</v>
      </c>
      <c r="L1797" s="4">
        <v>50</v>
      </c>
      <c r="M1797" s="4">
        <v>90</v>
      </c>
    </row>
    <row r="1798" spans="1:13">
      <c r="A1798" s="3" t="s">
        <v>2343</v>
      </c>
      <c r="B1798" s="4">
        <v>20</v>
      </c>
      <c r="C1798" s="4">
        <v>20</v>
      </c>
      <c r="D1798" s="4">
        <v>41</v>
      </c>
      <c r="E1798" s="4">
        <v>30</v>
      </c>
      <c r="F1798" s="4">
        <v>27.5</v>
      </c>
      <c r="G1798" s="4">
        <v>16</v>
      </c>
      <c r="H1798" s="4">
        <v>11</v>
      </c>
      <c r="I1798" s="4">
        <v>5</v>
      </c>
      <c r="J1798" s="4">
        <v>17</v>
      </c>
      <c r="K1798" s="4">
        <v>18</v>
      </c>
      <c r="L1798" s="4">
        <v>21</v>
      </c>
      <c r="M1798" s="4">
        <v>26</v>
      </c>
    </row>
    <row r="1799" spans="1:13">
      <c r="A1799" s="3" t="s">
        <v>2344</v>
      </c>
      <c r="B1799" s="4">
        <v>70</v>
      </c>
      <c r="C1799" s="4">
        <v>30</v>
      </c>
      <c r="D1799" s="4">
        <v>85</v>
      </c>
      <c r="E1799" s="4">
        <v>90</v>
      </c>
      <c r="F1799" s="4">
        <v>137.5</v>
      </c>
      <c r="G1799" s="4">
        <v>116</v>
      </c>
      <c r="H1799" s="4">
        <v>68.599999999999994</v>
      </c>
      <c r="I1799" s="4">
        <v>30</v>
      </c>
      <c r="J1799" s="4">
        <v>142.5</v>
      </c>
      <c r="K1799" s="4">
        <v>145</v>
      </c>
      <c r="L1799" s="4">
        <v>147.5</v>
      </c>
      <c r="M1799" s="4">
        <v>175.5</v>
      </c>
    </row>
    <row r="1800" spans="1:13">
      <c r="A1800" s="3" t="s">
        <v>2345</v>
      </c>
      <c r="B1800" s="4">
        <v>5.65</v>
      </c>
      <c r="C1800" s="4">
        <v>85</v>
      </c>
      <c r="D1800" s="4">
        <v>76.5</v>
      </c>
      <c r="E1800" s="4">
        <v>124.5</v>
      </c>
      <c r="F1800" s="4">
        <v>66</v>
      </c>
      <c r="G1800" s="4">
        <v>57.5</v>
      </c>
      <c r="H1800" s="4">
        <v>165</v>
      </c>
      <c r="I1800" s="4">
        <v>50</v>
      </c>
      <c r="J1800" s="4">
        <v>60</v>
      </c>
      <c r="K1800" s="4">
        <v>61.15</v>
      </c>
      <c r="L1800" s="4">
        <v>157</v>
      </c>
      <c r="M1800" s="4">
        <v>30</v>
      </c>
    </row>
    <row r="1801" spans="1:13">
      <c r="A1801" s="3" t="s">
        <v>2346</v>
      </c>
      <c r="B1801" s="4">
        <v>25</v>
      </c>
      <c r="C1801" s="4">
        <v>72.150000000000006</v>
      </c>
      <c r="D1801" s="4">
        <v>92.5</v>
      </c>
      <c r="E1801" s="4">
        <v>85</v>
      </c>
      <c r="F1801" s="4">
        <v>61.5</v>
      </c>
      <c r="G1801" s="4">
        <v>52.5</v>
      </c>
      <c r="H1801" s="4">
        <v>28</v>
      </c>
      <c r="I1801" s="4">
        <v>47.5</v>
      </c>
      <c r="J1801" s="4">
        <v>43.5</v>
      </c>
      <c r="K1801" s="4">
        <v>15</v>
      </c>
      <c r="L1801" s="4">
        <v>10</v>
      </c>
      <c r="M1801" s="4">
        <v>70</v>
      </c>
    </row>
    <row r="1802" spans="1:13">
      <c r="A1802" s="3" t="s">
        <v>2347</v>
      </c>
      <c r="B1802" s="4">
        <v>34</v>
      </c>
      <c r="C1802" s="4">
        <v>15</v>
      </c>
      <c r="D1802" s="4">
        <v>25</v>
      </c>
      <c r="E1802" s="4">
        <v>71.75</v>
      </c>
      <c r="F1802" s="4">
        <v>21</v>
      </c>
      <c r="G1802" s="4">
        <v>24.5</v>
      </c>
      <c r="H1802" s="4">
        <v>55</v>
      </c>
      <c r="I1802" s="4">
        <v>25</v>
      </c>
      <c r="J1802" s="4">
        <v>57.5</v>
      </c>
      <c r="K1802" s="4">
        <v>28</v>
      </c>
      <c r="L1802" s="4">
        <v>37.5</v>
      </c>
      <c r="M1802" s="4">
        <v>70</v>
      </c>
    </row>
    <row r="1803" spans="1:13">
      <c r="A1803" s="3" t="s">
        <v>2348</v>
      </c>
      <c r="B1803" s="4">
        <v>48.5</v>
      </c>
      <c r="C1803" s="4">
        <v>88.5</v>
      </c>
      <c r="D1803" s="4">
        <v>170.5</v>
      </c>
      <c r="E1803" s="4">
        <v>98</v>
      </c>
      <c r="F1803" s="4">
        <v>121</v>
      </c>
      <c r="G1803" s="4">
        <v>84</v>
      </c>
      <c r="H1803" s="4">
        <v>32</v>
      </c>
      <c r="I1803" s="4">
        <v>106</v>
      </c>
      <c r="J1803" s="4">
        <v>218</v>
      </c>
      <c r="K1803" s="4">
        <v>126</v>
      </c>
      <c r="L1803" s="4">
        <v>116</v>
      </c>
      <c r="M1803" s="4">
        <v>168</v>
      </c>
    </row>
    <row r="1804" spans="1:13">
      <c r="A1804" s="3" t="s">
        <v>2349</v>
      </c>
      <c r="B1804" s="4">
        <v>61.5</v>
      </c>
      <c r="C1804" s="4">
        <v>20</v>
      </c>
      <c r="D1804" s="4">
        <v>55</v>
      </c>
      <c r="E1804" s="4">
        <v>36</v>
      </c>
      <c r="F1804" s="4">
        <v>30</v>
      </c>
      <c r="G1804" s="4">
        <v>39.5</v>
      </c>
      <c r="H1804" s="4">
        <v>30</v>
      </c>
      <c r="I1804" s="4">
        <v>22</v>
      </c>
      <c r="J1804" s="4">
        <v>48</v>
      </c>
      <c r="K1804" s="4">
        <v>20</v>
      </c>
      <c r="L1804" s="4">
        <v>40</v>
      </c>
      <c r="M1804" s="4">
        <v>22.5</v>
      </c>
    </row>
    <row r="1805" spans="1:13">
      <c r="A1805" s="3" t="s">
        <v>2350</v>
      </c>
      <c r="B1805" s="4">
        <v>0</v>
      </c>
      <c r="C1805" s="4">
        <v>45</v>
      </c>
      <c r="D1805" s="4">
        <v>40</v>
      </c>
      <c r="E1805" s="4">
        <v>45</v>
      </c>
      <c r="F1805" s="4">
        <v>2.5</v>
      </c>
      <c r="G1805" s="4">
        <v>0</v>
      </c>
      <c r="H1805" s="4">
        <v>70</v>
      </c>
      <c r="I1805" s="4">
        <v>0</v>
      </c>
      <c r="J1805" s="4">
        <v>0</v>
      </c>
      <c r="K1805" s="4">
        <v>0</v>
      </c>
      <c r="L1805" s="4">
        <v>30</v>
      </c>
      <c r="M1805" s="4">
        <v>0</v>
      </c>
    </row>
    <row r="1806" spans="1:13">
      <c r="A1806" s="3" t="s">
        <v>2351</v>
      </c>
      <c r="B1806" s="4">
        <v>0</v>
      </c>
      <c r="C1806" s="4">
        <v>0</v>
      </c>
      <c r="D1806" s="4">
        <v>0</v>
      </c>
      <c r="E1806" s="4">
        <v>0</v>
      </c>
      <c r="F1806" s="4">
        <v>21.5</v>
      </c>
      <c r="G1806" s="4">
        <v>19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</row>
    <row r="1807" spans="1:13">
      <c r="A1807" s="3" t="s">
        <v>2352</v>
      </c>
      <c r="B1807" s="4">
        <v>0</v>
      </c>
      <c r="C1807" s="4">
        <v>183</v>
      </c>
      <c r="D1807" s="4">
        <v>153.5</v>
      </c>
      <c r="E1807" s="4">
        <v>250</v>
      </c>
      <c r="F1807" s="4">
        <v>210.8</v>
      </c>
      <c r="G1807" s="4">
        <v>214</v>
      </c>
      <c r="H1807" s="4">
        <v>237.5</v>
      </c>
      <c r="I1807" s="4">
        <v>151.80000000000001</v>
      </c>
      <c r="J1807" s="4">
        <v>225</v>
      </c>
      <c r="K1807" s="4">
        <v>231.5</v>
      </c>
      <c r="L1807" s="4">
        <v>301</v>
      </c>
      <c r="M1807" s="4">
        <v>85</v>
      </c>
    </row>
    <row r="1808" spans="1:13">
      <c r="A1808" s="3" t="s">
        <v>2353</v>
      </c>
      <c r="B1808" s="4">
        <v>0</v>
      </c>
      <c r="C1808" s="4">
        <v>0</v>
      </c>
      <c r="D1808" s="4">
        <v>0</v>
      </c>
      <c r="E1808" s="4">
        <v>45</v>
      </c>
      <c r="F1808" s="4">
        <v>113</v>
      </c>
      <c r="G1808" s="4">
        <v>95.5</v>
      </c>
      <c r="H1808" s="4">
        <v>170</v>
      </c>
      <c r="I1808" s="4">
        <v>60</v>
      </c>
      <c r="J1808" s="4">
        <v>60</v>
      </c>
      <c r="K1808" s="4">
        <v>145</v>
      </c>
      <c r="L1808" s="4">
        <v>45</v>
      </c>
      <c r="M1808" s="4">
        <v>50</v>
      </c>
    </row>
    <row r="1809" spans="1:13">
      <c r="A1809" s="3" t="s">
        <v>2354</v>
      </c>
      <c r="B1809" s="4">
        <v>82</v>
      </c>
      <c r="C1809" s="4">
        <v>35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</row>
    <row r="1810" spans="1:13">
      <c r="A1810" s="3" t="s">
        <v>2355</v>
      </c>
      <c r="B1810" s="4">
        <v>15</v>
      </c>
      <c r="C1810" s="4">
        <v>41.5</v>
      </c>
      <c r="D1810" s="4">
        <v>32</v>
      </c>
      <c r="E1810" s="4">
        <v>62.5</v>
      </c>
      <c r="F1810" s="4">
        <v>51</v>
      </c>
      <c r="G1810" s="4">
        <v>30</v>
      </c>
      <c r="H1810" s="4">
        <v>35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</row>
    <row r="1811" spans="1:13">
      <c r="A1811" s="3" t="s">
        <v>2356</v>
      </c>
      <c r="B1811" s="4">
        <v>33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</row>
    <row r="1812" spans="1:13">
      <c r="A1812" s="3" t="s">
        <v>2357</v>
      </c>
      <c r="B1812" s="4">
        <v>42</v>
      </c>
      <c r="C1812" s="4">
        <v>0</v>
      </c>
      <c r="D1812" s="4">
        <v>20</v>
      </c>
      <c r="E1812" s="4">
        <v>25.5</v>
      </c>
      <c r="F1812" s="4">
        <v>0</v>
      </c>
      <c r="G1812" s="4">
        <v>23.5</v>
      </c>
      <c r="H1812" s="4">
        <v>20</v>
      </c>
      <c r="I1812" s="4">
        <v>26.95</v>
      </c>
      <c r="J1812" s="4">
        <v>44</v>
      </c>
      <c r="K1812" s="4">
        <v>10</v>
      </c>
      <c r="L1812" s="4">
        <v>26</v>
      </c>
      <c r="M1812" s="4">
        <v>34</v>
      </c>
    </row>
    <row r="1813" spans="1:13">
      <c r="A1813" s="3" t="s">
        <v>2358</v>
      </c>
      <c r="B1813" s="4">
        <v>50</v>
      </c>
      <c r="C1813" s="4">
        <v>44</v>
      </c>
      <c r="D1813" s="4">
        <v>116</v>
      </c>
      <c r="E1813" s="4">
        <v>109.5</v>
      </c>
      <c r="F1813" s="4">
        <v>92.75</v>
      </c>
      <c r="G1813" s="4">
        <v>65</v>
      </c>
      <c r="H1813" s="4">
        <v>15</v>
      </c>
      <c r="I1813" s="4">
        <v>0</v>
      </c>
      <c r="J1813" s="4">
        <v>3.5</v>
      </c>
      <c r="K1813" s="4">
        <v>55</v>
      </c>
      <c r="L1813" s="4">
        <v>5</v>
      </c>
      <c r="M1813" s="4">
        <v>40</v>
      </c>
    </row>
    <row r="1814" spans="1:13">
      <c r="A1814" s="3" t="s">
        <v>2359</v>
      </c>
      <c r="B1814" s="4">
        <v>0</v>
      </c>
      <c r="C1814" s="4">
        <v>0</v>
      </c>
      <c r="D1814" s="4">
        <v>40</v>
      </c>
      <c r="E1814" s="4">
        <v>40</v>
      </c>
      <c r="F1814" s="4">
        <v>2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</row>
    <row r="1815" spans="1:13">
      <c r="A1815" s="3" t="s">
        <v>2360</v>
      </c>
      <c r="B1815" s="4">
        <v>45</v>
      </c>
      <c r="C1815" s="4">
        <v>20</v>
      </c>
      <c r="D1815" s="4">
        <v>75</v>
      </c>
      <c r="E1815" s="4">
        <v>45</v>
      </c>
      <c r="F1815" s="4">
        <v>32</v>
      </c>
      <c r="G1815" s="4">
        <v>39.5</v>
      </c>
      <c r="H1815" s="4">
        <v>25</v>
      </c>
      <c r="I1815" s="4">
        <v>15</v>
      </c>
      <c r="J1815" s="4">
        <v>26</v>
      </c>
      <c r="K1815" s="4">
        <v>30</v>
      </c>
      <c r="L1815" s="4">
        <v>31</v>
      </c>
      <c r="M1815" s="4">
        <v>20</v>
      </c>
    </row>
    <row r="1816" spans="1:13">
      <c r="A1816" s="3" t="s">
        <v>2361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35</v>
      </c>
      <c r="J1816" s="4">
        <v>0</v>
      </c>
      <c r="K1816" s="4">
        <v>0</v>
      </c>
      <c r="L1816" s="4">
        <v>0</v>
      </c>
      <c r="M1816" s="4">
        <v>0</v>
      </c>
    </row>
    <row r="1817" spans="1:13">
      <c r="A1817" s="3" t="s">
        <v>2362</v>
      </c>
      <c r="B1817" s="4">
        <v>0</v>
      </c>
      <c r="C1817" s="4">
        <v>0</v>
      </c>
      <c r="D1817" s="4">
        <v>44</v>
      </c>
      <c r="E1817" s="4">
        <v>0</v>
      </c>
      <c r="F1817" s="4">
        <v>35</v>
      </c>
      <c r="G1817" s="4">
        <v>30</v>
      </c>
      <c r="H1817" s="4">
        <v>25</v>
      </c>
      <c r="I1817" s="4">
        <v>15</v>
      </c>
      <c r="J1817" s="4">
        <v>37.5</v>
      </c>
      <c r="K1817" s="4">
        <v>15</v>
      </c>
      <c r="L1817" s="4">
        <v>20</v>
      </c>
      <c r="M1817" s="4">
        <v>50</v>
      </c>
    </row>
    <row r="1818" spans="1:13">
      <c r="A1818" s="3" t="s">
        <v>2363</v>
      </c>
      <c r="B1818" s="4">
        <v>51.5</v>
      </c>
      <c r="C1818" s="4">
        <v>0</v>
      </c>
      <c r="D1818" s="4">
        <v>0</v>
      </c>
      <c r="E1818" s="4">
        <v>42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</row>
    <row r="1819" spans="1:13">
      <c r="A1819" s="3" t="s">
        <v>2364</v>
      </c>
      <c r="B1819" s="4">
        <v>90</v>
      </c>
      <c r="C1819" s="4">
        <v>10</v>
      </c>
      <c r="D1819" s="4">
        <v>52</v>
      </c>
      <c r="E1819" s="4">
        <v>70</v>
      </c>
      <c r="F1819" s="4">
        <v>65</v>
      </c>
      <c r="G1819" s="4">
        <v>45</v>
      </c>
      <c r="H1819" s="4">
        <v>76.5</v>
      </c>
      <c r="I1819" s="4">
        <v>45</v>
      </c>
      <c r="J1819" s="4">
        <v>98</v>
      </c>
      <c r="K1819" s="4">
        <v>63.25</v>
      </c>
      <c r="L1819" s="4">
        <v>144.75</v>
      </c>
      <c r="M1819" s="4">
        <v>108</v>
      </c>
    </row>
    <row r="1820" spans="1:13">
      <c r="A1820" s="3" t="s">
        <v>2365</v>
      </c>
      <c r="B1820" s="4">
        <v>0</v>
      </c>
      <c r="C1820" s="4">
        <v>67.5</v>
      </c>
      <c r="D1820" s="4">
        <v>55</v>
      </c>
      <c r="E1820" s="4">
        <v>55</v>
      </c>
      <c r="F1820" s="4">
        <v>10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</row>
    <row r="1821" spans="1:13">
      <c r="A1821" s="3" t="s">
        <v>2366</v>
      </c>
      <c r="B1821" s="4">
        <v>15</v>
      </c>
      <c r="C1821" s="4">
        <v>151</v>
      </c>
      <c r="D1821" s="4">
        <v>59.5</v>
      </c>
      <c r="E1821" s="4">
        <v>29</v>
      </c>
      <c r="F1821" s="4">
        <v>0</v>
      </c>
      <c r="G1821" s="4">
        <v>10</v>
      </c>
      <c r="H1821" s="4">
        <v>20</v>
      </c>
      <c r="I1821" s="4">
        <v>0</v>
      </c>
      <c r="J1821" s="4">
        <v>17.5</v>
      </c>
      <c r="K1821" s="4">
        <v>0</v>
      </c>
      <c r="L1821" s="4">
        <v>0</v>
      </c>
      <c r="M1821" s="4">
        <v>0</v>
      </c>
    </row>
    <row r="1822" spans="1:13">
      <c r="A1822" s="3" t="s">
        <v>2367</v>
      </c>
      <c r="B1822" s="4">
        <v>72.5</v>
      </c>
      <c r="C1822" s="4">
        <v>90</v>
      </c>
      <c r="D1822" s="4">
        <v>46</v>
      </c>
      <c r="E1822" s="4">
        <v>35</v>
      </c>
      <c r="F1822" s="4">
        <v>72.5</v>
      </c>
      <c r="G1822" s="4">
        <v>23</v>
      </c>
      <c r="H1822" s="4">
        <v>60</v>
      </c>
      <c r="I1822" s="4">
        <v>15</v>
      </c>
      <c r="J1822" s="4">
        <v>42.5</v>
      </c>
      <c r="K1822" s="4">
        <v>60.5</v>
      </c>
      <c r="L1822" s="4">
        <v>67</v>
      </c>
      <c r="M1822" s="4">
        <v>0</v>
      </c>
    </row>
    <row r="1823" spans="1:13">
      <c r="A1823" s="3" t="s">
        <v>2368</v>
      </c>
      <c r="B1823" s="4">
        <v>45</v>
      </c>
      <c r="C1823" s="4">
        <v>42.85</v>
      </c>
      <c r="D1823" s="4">
        <v>70</v>
      </c>
      <c r="E1823" s="4">
        <v>48</v>
      </c>
      <c r="F1823" s="4">
        <v>32</v>
      </c>
      <c r="G1823" s="4">
        <v>5</v>
      </c>
      <c r="H1823" s="4">
        <v>56</v>
      </c>
      <c r="I1823" s="4">
        <v>42.5</v>
      </c>
      <c r="J1823" s="4">
        <v>22.5</v>
      </c>
      <c r="K1823" s="4">
        <v>9</v>
      </c>
      <c r="L1823" s="4">
        <v>10</v>
      </c>
      <c r="M1823" s="4">
        <v>30</v>
      </c>
    </row>
    <row r="1824" spans="1:13">
      <c r="A1824" s="3" t="s">
        <v>2369</v>
      </c>
      <c r="B1824" s="4">
        <v>13</v>
      </c>
      <c r="C1824" s="4">
        <v>20.5</v>
      </c>
      <c r="D1824" s="4">
        <v>24.5</v>
      </c>
      <c r="E1824" s="4">
        <v>6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</row>
    <row r="1825" spans="1:13">
      <c r="A1825" s="3" t="s">
        <v>2370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30</v>
      </c>
      <c r="I1825" s="4">
        <v>45</v>
      </c>
      <c r="J1825" s="4">
        <v>58.5</v>
      </c>
      <c r="K1825" s="4">
        <v>29.25</v>
      </c>
      <c r="L1825" s="4">
        <v>10</v>
      </c>
      <c r="M1825" s="4">
        <v>7.5</v>
      </c>
    </row>
    <row r="1826" spans="1:13">
      <c r="A1826" s="3" t="s">
        <v>2371</v>
      </c>
      <c r="B1826" s="4">
        <v>0</v>
      </c>
      <c r="C1826" s="4">
        <v>0</v>
      </c>
      <c r="D1826" s="4">
        <v>0</v>
      </c>
      <c r="E1826" s="4">
        <v>10</v>
      </c>
      <c r="F1826" s="4">
        <v>20</v>
      </c>
      <c r="G1826" s="4">
        <v>0</v>
      </c>
      <c r="H1826" s="4">
        <v>0</v>
      </c>
      <c r="I1826" s="4">
        <v>10</v>
      </c>
      <c r="J1826" s="4">
        <v>0</v>
      </c>
      <c r="K1826" s="4">
        <v>0</v>
      </c>
      <c r="L1826" s="4">
        <v>0</v>
      </c>
      <c r="M1826" s="4">
        <v>0</v>
      </c>
    </row>
    <row r="1827" spans="1:13">
      <c r="A1827" s="3" t="s">
        <v>2372</v>
      </c>
      <c r="B1827" s="4">
        <v>266.5</v>
      </c>
      <c r="C1827" s="4">
        <v>12</v>
      </c>
      <c r="D1827" s="4">
        <v>85</v>
      </c>
      <c r="E1827" s="4">
        <v>44</v>
      </c>
      <c r="F1827" s="4">
        <v>10</v>
      </c>
      <c r="G1827" s="4">
        <v>53</v>
      </c>
      <c r="H1827" s="4">
        <v>0</v>
      </c>
      <c r="I1827" s="4">
        <v>24</v>
      </c>
      <c r="J1827" s="4">
        <v>10</v>
      </c>
      <c r="K1827" s="4">
        <v>35</v>
      </c>
      <c r="L1827" s="4">
        <v>35</v>
      </c>
      <c r="M1827" s="4">
        <v>38</v>
      </c>
    </row>
    <row r="1828" spans="1:13">
      <c r="A1828" s="3" t="s">
        <v>2373</v>
      </c>
      <c r="B1828" s="4">
        <v>20</v>
      </c>
      <c r="C1828" s="4">
        <v>50</v>
      </c>
      <c r="D1828" s="4">
        <v>72</v>
      </c>
      <c r="E1828" s="4">
        <v>72.8</v>
      </c>
      <c r="F1828" s="4">
        <v>4.5</v>
      </c>
      <c r="G1828" s="4">
        <v>40</v>
      </c>
      <c r="H1828" s="4">
        <v>40</v>
      </c>
      <c r="I1828" s="4">
        <v>30</v>
      </c>
      <c r="J1828" s="4">
        <v>45</v>
      </c>
      <c r="K1828" s="4">
        <v>0</v>
      </c>
      <c r="L1828" s="4">
        <v>10</v>
      </c>
      <c r="M1828" s="4">
        <v>20</v>
      </c>
    </row>
    <row r="1829" spans="1:13">
      <c r="A1829" s="3" t="s">
        <v>2374</v>
      </c>
      <c r="B1829" s="4">
        <v>0</v>
      </c>
      <c r="C1829" s="4">
        <v>0</v>
      </c>
      <c r="D1829" s="4">
        <v>85</v>
      </c>
      <c r="E1829" s="4">
        <v>0</v>
      </c>
      <c r="F1829" s="4">
        <v>72</v>
      </c>
      <c r="G1829" s="4">
        <v>12.5</v>
      </c>
      <c r="H1829" s="4">
        <v>0</v>
      </c>
      <c r="I1829" s="4">
        <v>0</v>
      </c>
      <c r="J1829" s="4">
        <v>40</v>
      </c>
      <c r="K1829" s="4">
        <v>45</v>
      </c>
      <c r="L1829" s="4">
        <v>22.5</v>
      </c>
      <c r="M1829" s="4">
        <v>123</v>
      </c>
    </row>
    <row r="1830" spans="1:13">
      <c r="A1830" s="3" t="s">
        <v>2375</v>
      </c>
      <c r="B1830" s="4">
        <v>0</v>
      </c>
      <c r="C1830" s="4">
        <v>10</v>
      </c>
      <c r="D1830" s="4">
        <v>135</v>
      </c>
      <c r="E1830" s="4">
        <v>25</v>
      </c>
      <c r="F1830" s="4">
        <v>15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</row>
    <row r="1831" spans="1:13">
      <c r="A1831" s="3" t="s">
        <v>2376</v>
      </c>
      <c r="B1831" s="4">
        <v>0</v>
      </c>
      <c r="C1831" s="4">
        <v>30</v>
      </c>
      <c r="D1831" s="4">
        <v>40</v>
      </c>
      <c r="E1831" s="4">
        <v>0</v>
      </c>
      <c r="F1831" s="4">
        <v>2.5</v>
      </c>
      <c r="G1831" s="4">
        <v>15</v>
      </c>
      <c r="H1831" s="4">
        <v>25</v>
      </c>
      <c r="I1831" s="4">
        <v>0</v>
      </c>
      <c r="J1831" s="4">
        <v>57.5</v>
      </c>
      <c r="K1831" s="4">
        <v>0</v>
      </c>
      <c r="L1831" s="4">
        <v>35</v>
      </c>
      <c r="M1831" s="4">
        <v>0</v>
      </c>
    </row>
    <row r="1832" spans="1:13">
      <c r="A1832" s="3" t="s">
        <v>2377</v>
      </c>
      <c r="B1832" s="4">
        <v>100</v>
      </c>
      <c r="C1832" s="4">
        <v>105</v>
      </c>
      <c r="D1832" s="4">
        <v>110</v>
      </c>
      <c r="E1832" s="4">
        <v>55</v>
      </c>
      <c r="F1832" s="4">
        <v>30</v>
      </c>
      <c r="G1832" s="4">
        <v>0</v>
      </c>
      <c r="H1832" s="4">
        <v>28.5</v>
      </c>
      <c r="I1832" s="4">
        <v>0</v>
      </c>
      <c r="J1832" s="4">
        <v>12.5</v>
      </c>
      <c r="K1832" s="4">
        <v>0</v>
      </c>
      <c r="L1832" s="4">
        <v>0</v>
      </c>
      <c r="M1832" s="4">
        <v>10</v>
      </c>
    </row>
    <row r="1833" spans="1:13">
      <c r="A1833" s="3" t="s">
        <v>2378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10</v>
      </c>
      <c r="L1833" s="4">
        <v>0</v>
      </c>
      <c r="M1833" s="4">
        <v>0</v>
      </c>
    </row>
    <row r="1834" spans="1:13">
      <c r="A1834" s="3" t="s">
        <v>2379</v>
      </c>
      <c r="B1834" s="4">
        <v>0</v>
      </c>
      <c r="C1834" s="4">
        <v>0</v>
      </c>
      <c r="D1834" s="4">
        <v>0</v>
      </c>
      <c r="E1834" s="4">
        <v>65</v>
      </c>
      <c r="F1834" s="4">
        <v>35</v>
      </c>
      <c r="G1834" s="4">
        <v>0</v>
      </c>
      <c r="H1834" s="4">
        <v>0</v>
      </c>
      <c r="I1834" s="4">
        <v>0</v>
      </c>
      <c r="J1834" s="4">
        <v>10</v>
      </c>
      <c r="K1834" s="4">
        <v>0</v>
      </c>
      <c r="L1834" s="4">
        <v>42.5</v>
      </c>
      <c r="M1834" s="4">
        <v>135</v>
      </c>
    </row>
    <row r="1835" spans="1:13">
      <c r="A1835" s="3" t="s">
        <v>2380</v>
      </c>
      <c r="B1835" s="4">
        <v>0</v>
      </c>
      <c r="C1835" s="4">
        <v>0</v>
      </c>
      <c r="D1835" s="4">
        <v>0</v>
      </c>
      <c r="E1835" s="4">
        <v>10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</row>
    <row r="1836" spans="1:13">
      <c r="A1836" s="3" t="s">
        <v>2381</v>
      </c>
      <c r="B1836" s="4">
        <v>0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25.35</v>
      </c>
    </row>
    <row r="1837" spans="1:13">
      <c r="A1837" s="3" t="s">
        <v>2382</v>
      </c>
      <c r="B1837" s="4">
        <v>0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108.5</v>
      </c>
      <c r="K1837" s="4">
        <v>68.5</v>
      </c>
      <c r="L1837" s="4">
        <v>78</v>
      </c>
      <c r="M1837" s="4">
        <v>110</v>
      </c>
    </row>
    <row r="1838" spans="1:13">
      <c r="A1838" s="3" t="s">
        <v>2383</v>
      </c>
      <c r="B1838" s="4">
        <v>0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31</v>
      </c>
      <c r="L1838" s="4">
        <v>76.5</v>
      </c>
      <c r="M1838" s="4">
        <v>18.5</v>
      </c>
    </row>
    <row r="1839" spans="1:13">
      <c r="A1839" s="3" t="s">
        <v>2384</v>
      </c>
      <c r="B1839" s="4">
        <v>59</v>
      </c>
      <c r="C1839" s="4">
        <v>15.5</v>
      </c>
      <c r="D1839" s="4">
        <v>51.5</v>
      </c>
      <c r="E1839" s="4">
        <v>54</v>
      </c>
      <c r="F1839" s="4">
        <v>75</v>
      </c>
      <c r="G1839" s="4">
        <v>57.6</v>
      </c>
      <c r="H1839" s="4">
        <v>62</v>
      </c>
      <c r="I1839" s="4">
        <v>51</v>
      </c>
      <c r="J1839" s="4">
        <v>87</v>
      </c>
      <c r="K1839" s="4">
        <v>63.55</v>
      </c>
      <c r="L1839" s="4">
        <v>60</v>
      </c>
      <c r="M1839" s="4">
        <v>15</v>
      </c>
    </row>
    <row r="1840" spans="1:13">
      <c r="A1840" s="3" t="s">
        <v>2385</v>
      </c>
      <c r="B1840" s="4">
        <v>55</v>
      </c>
      <c r="C1840" s="4">
        <v>65</v>
      </c>
      <c r="D1840" s="4">
        <v>55</v>
      </c>
      <c r="E1840" s="4">
        <v>20</v>
      </c>
      <c r="F1840" s="4">
        <v>60</v>
      </c>
      <c r="G1840" s="4">
        <v>20</v>
      </c>
      <c r="H1840" s="4">
        <v>25</v>
      </c>
      <c r="I1840" s="4">
        <v>65</v>
      </c>
      <c r="J1840" s="4">
        <v>47</v>
      </c>
      <c r="K1840" s="4">
        <v>75</v>
      </c>
      <c r="L1840" s="4">
        <v>92</v>
      </c>
      <c r="M1840" s="4">
        <v>103</v>
      </c>
    </row>
    <row r="1841" spans="1:13">
      <c r="A1841" s="3" t="s">
        <v>2386</v>
      </c>
      <c r="B1841" s="4">
        <v>0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10</v>
      </c>
      <c r="M1841" s="4">
        <v>0</v>
      </c>
    </row>
    <row r="1842" spans="1:13">
      <c r="A1842" s="3" t="s">
        <v>2387</v>
      </c>
      <c r="B1842" s="4">
        <v>30</v>
      </c>
      <c r="C1842" s="4">
        <v>25</v>
      </c>
      <c r="D1842" s="4">
        <v>42</v>
      </c>
      <c r="E1842" s="4">
        <v>51.5</v>
      </c>
      <c r="F1842" s="4">
        <v>54</v>
      </c>
      <c r="G1842" s="4">
        <v>37</v>
      </c>
      <c r="H1842" s="4">
        <v>30</v>
      </c>
      <c r="I1842" s="4">
        <v>10</v>
      </c>
      <c r="J1842" s="4">
        <v>36</v>
      </c>
      <c r="K1842" s="4">
        <v>41</v>
      </c>
      <c r="L1842" s="4">
        <v>31</v>
      </c>
      <c r="M1842" s="4">
        <v>109</v>
      </c>
    </row>
    <row r="1843" spans="1:13">
      <c r="A1843" s="3" t="s">
        <v>2388</v>
      </c>
      <c r="B1843" s="4">
        <v>0</v>
      </c>
      <c r="C1843" s="4">
        <v>0</v>
      </c>
      <c r="D1843" s="4">
        <v>0</v>
      </c>
      <c r="E1843" s="4">
        <v>30</v>
      </c>
      <c r="F1843" s="4">
        <v>80</v>
      </c>
      <c r="G1843" s="4">
        <v>60</v>
      </c>
      <c r="H1843" s="4">
        <v>40</v>
      </c>
      <c r="I1843" s="4">
        <v>37.5</v>
      </c>
      <c r="J1843" s="4">
        <v>65</v>
      </c>
      <c r="K1843" s="4">
        <v>60.5</v>
      </c>
      <c r="L1843" s="4">
        <v>191.5</v>
      </c>
      <c r="M1843" s="4">
        <v>72</v>
      </c>
    </row>
    <row r="1844" spans="1:13">
      <c r="A1844" s="3" t="s">
        <v>2389</v>
      </c>
      <c r="B1844" s="4">
        <v>0</v>
      </c>
      <c r="C1844" s="4">
        <v>33.5</v>
      </c>
      <c r="D1844" s="4">
        <v>0</v>
      </c>
      <c r="E1844" s="4">
        <v>101</v>
      </c>
      <c r="F1844" s="4">
        <v>60</v>
      </c>
      <c r="G1844" s="4">
        <v>55</v>
      </c>
      <c r="H1844" s="4">
        <v>14.5</v>
      </c>
      <c r="I1844" s="4">
        <v>20</v>
      </c>
      <c r="J1844" s="4">
        <v>60</v>
      </c>
      <c r="K1844" s="4">
        <v>83</v>
      </c>
      <c r="L1844" s="4">
        <v>20</v>
      </c>
      <c r="M1844" s="4">
        <v>0</v>
      </c>
    </row>
    <row r="1845" spans="1:13">
      <c r="A1845" s="3" t="s">
        <v>2390</v>
      </c>
      <c r="B1845" s="4">
        <v>54</v>
      </c>
      <c r="C1845" s="4">
        <v>105</v>
      </c>
      <c r="D1845" s="4">
        <v>30</v>
      </c>
      <c r="E1845" s="4">
        <v>24</v>
      </c>
      <c r="F1845" s="4">
        <v>0</v>
      </c>
      <c r="G1845" s="4">
        <v>25</v>
      </c>
      <c r="H1845" s="4">
        <v>35</v>
      </c>
      <c r="I1845" s="4">
        <v>0</v>
      </c>
      <c r="J1845" s="4">
        <v>34.5</v>
      </c>
      <c r="K1845" s="4">
        <v>20</v>
      </c>
      <c r="L1845" s="4">
        <v>0</v>
      </c>
      <c r="M1845" s="4">
        <v>10</v>
      </c>
    </row>
    <row r="1846" spans="1:13">
      <c r="A1846" s="3" t="s">
        <v>2391</v>
      </c>
      <c r="B1846" s="4">
        <v>88</v>
      </c>
      <c r="C1846" s="4">
        <v>54</v>
      </c>
      <c r="D1846" s="4">
        <v>54</v>
      </c>
      <c r="E1846" s="4">
        <v>68</v>
      </c>
      <c r="F1846" s="4">
        <v>71</v>
      </c>
      <c r="G1846" s="4">
        <v>73</v>
      </c>
      <c r="H1846" s="4">
        <v>59</v>
      </c>
      <c r="I1846" s="4">
        <v>29</v>
      </c>
      <c r="J1846" s="4">
        <v>59</v>
      </c>
      <c r="K1846" s="4">
        <v>50</v>
      </c>
      <c r="L1846" s="4">
        <v>60</v>
      </c>
      <c r="M1846" s="4">
        <v>40</v>
      </c>
    </row>
    <row r="1847" spans="1:13">
      <c r="A1847" s="3" t="s">
        <v>2392</v>
      </c>
      <c r="B1847" s="4">
        <v>10</v>
      </c>
      <c r="C1847" s="4">
        <v>39</v>
      </c>
      <c r="D1847" s="4">
        <v>77</v>
      </c>
      <c r="E1847" s="4">
        <v>30</v>
      </c>
      <c r="F1847" s="4">
        <v>20</v>
      </c>
      <c r="G1847" s="4">
        <v>10</v>
      </c>
      <c r="H1847" s="4">
        <v>10</v>
      </c>
      <c r="I1847" s="4">
        <v>35</v>
      </c>
      <c r="J1847" s="4">
        <v>35</v>
      </c>
      <c r="K1847" s="4">
        <v>29.5</v>
      </c>
      <c r="L1847" s="4">
        <v>51</v>
      </c>
      <c r="M1847" s="4">
        <v>0</v>
      </c>
    </row>
    <row r="1848" spans="1:13">
      <c r="A1848" s="3" t="s">
        <v>2393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32.5</v>
      </c>
      <c r="K1848" s="4">
        <v>17.5</v>
      </c>
      <c r="L1848" s="4">
        <v>8</v>
      </c>
      <c r="M1848" s="4">
        <v>21.5</v>
      </c>
    </row>
    <row r="1849" spans="1:13">
      <c r="A1849" s="3" t="s">
        <v>2394</v>
      </c>
      <c r="B1849" s="4">
        <v>0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10</v>
      </c>
      <c r="L1849" s="4">
        <v>0</v>
      </c>
      <c r="M1849" s="4">
        <v>0</v>
      </c>
    </row>
    <row r="1850" spans="1:13">
      <c r="A1850" s="3" t="s">
        <v>2395</v>
      </c>
      <c r="B1850" s="4">
        <v>0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10</v>
      </c>
      <c r="L1850" s="4">
        <v>0</v>
      </c>
      <c r="M1850" s="4">
        <v>0</v>
      </c>
    </row>
    <row r="1851" spans="1:13">
      <c r="A1851" s="3" t="s">
        <v>2396</v>
      </c>
      <c r="B1851" s="4">
        <v>10</v>
      </c>
      <c r="C1851" s="4">
        <v>35</v>
      </c>
      <c r="D1851" s="4">
        <v>29</v>
      </c>
      <c r="E1851" s="4">
        <v>70</v>
      </c>
      <c r="F1851" s="4">
        <v>30</v>
      </c>
      <c r="G1851" s="4">
        <v>17.5</v>
      </c>
      <c r="H1851" s="4">
        <v>17.5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</row>
    <row r="1852" spans="1:13">
      <c r="A1852" s="3" t="s">
        <v>2397</v>
      </c>
      <c r="B1852" s="4">
        <v>157</v>
      </c>
      <c r="C1852" s="4">
        <v>80</v>
      </c>
      <c r="D1852" s="4">
        <v>12</v>
      </c>
      <c r="E1852" s="4">
        <v>114</v>
      </c>
      <c r="F1852" s="4">
        <v>100</v>
      </c>
      <c r="G1852" s="4">
        <v>185</v>
      </c>
      <c r="H1852" s="4">
        <v>75</v>
      </c>
      <c r="I1852" s="4">
        <v>45</v>
      </c>
      <c r="J1852" s="4">
        <v>50</v>
      </c>
      <c r="K1852" s="4">
        <v>45</v>
      </c>
      <c r="L1852" s="4">
        <v>55</v>
      </c>
      <c r="M1852" s="4">
        <v>15</v>
      </c>
    </row>
    <row r="1853" spans="1:13">
      <c r="A1853" s="3" t="s">
        <v>2398</v>
      </c>
      <c r="B1853" s="4">
        <v>5</v>
      </c>
      <c r="C1853" s="4">
        <v>0</v>
      </c>
      <c r="D1853" s="4">
        <v>0</v>
      </c>
      <c r="E1853" s="4">
        <v>13.5</v>
      </c>
      <c r="F1853" s="4">
        <v>0</v>
      </c>
      <c r="G1853" s="4">
        <v>15</v>
      </c>
      <c r="H1853" s="4">
        <v>38</v>
      </c>
      <c r="I1853" s="4">
        <v>25</v>
      </c>
      <c r="J1853" s="4">
        <v>37.5</v>
      </c>
      <c r="K1853" s="4">
        <v>20</v>
      </c>
      <c r="L1853" s="4">
        <v>25</v>
      </c>
      <c r="M1853" s="4">
        <v>36</v>
      </c>
    </row>
    <row r="1854" spans="1:13">
      <c r="A1854" s="3" t="s">
        <v>2399</v>
      </c>
      <c r="B1854" s="4">
        <v>0</v>
      </c>
      <c r="C1854" s="4">
        <v>0</v>
      </c>
      <c r="D1854" s="4">
        <v>0</v>
      </c>
      <c r="E1854" s="4">
        <v>93</v>
      </c>
      <c r="F1854" s="4">
        <v>113</v>
      </c>
      <c r="G1854" s="4">
        <v>71.5</v>
      </c>
      <c r="H1854" s="4">
        <v>165.25</v>
      </c>
      <c r="I1854" s="4">
        <v>75</v>
      </c>
      <c r="J1854" s="4">
        <v>145</v>
      </c>
      <c r="K1854" s="4">
        <v>100</v>
      </c>
      <c r="L1854" s="4">
        <v>105</v>
      </c>
      <c r="M1854" s="4">
        <v>216.5</v>
      </c>
    </row>
    <row r="1855" spans="1:13">
      <c r="A1855" s="3" t="s">
        <v>2400</v>
      </c>
      <c r="B1855" s="4">
        <v>0</v>
      </c>
      <c r="C1855" s="4">
        <v>0</v>
      </c>
      <c r="D1855" s="4">
        <v>0</v>
      </c>
      <c r="E1855" s="4">
        <v>0</v>
      </c>
      <c r="F1855" s="4">
        <v>22.5</v>
      </c>
      <c r="G1855" s="4">
        <v>0</v>
      </c>
      <c r="H1855" s="4">
        <v>0</v>
      </c>
      <c r="I1855" s="4">
        <v>0</v>
      </c>
      <c r="J1855" s="4">
        <v>37</v>
      </c>
      <c r="K1855" s="4">
        <v>0</v>
      </c>
      <c r="L1855" s="4">
        <v>0</v>
      </c>
      <c r="M1855" s="4">
        <v>0</v>
      </c>
    </row>
    <row r="1856" spans="1:13">
      <c r="A1856" s="3" t="s">
        <v>2401</v>
      </c>
      <c r="B1856" s="4">
        <v>27.5</v>
      </c>
      <c r="C1856" s="4">
        <v>75</v>
      </c>
      <c r="D1856" s="4">
        <v>85</v>
      </c>
      <c r="E1856" s="4">
        <v>21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</row>
    <row r="1857" spans="1:13">
      <c r="A1857" s="3" t="s">
        <v>2402</v>
      </c>
      <c r="B1857" s="4">
        <v>15</v>
      </c>
      <c r="C1857" s="4">
        <v>65</v>
      </c>
      <c r="D1857" s="4">
        <v>55</v>
      </c>
      <c r="E1857" s="4">
        <v>92</v>
      </c>
      <c r="F1857" s="4">
        <v>79</v>
      </c>
      <c r="G1857" s="4">
        <v>45</v>
      </c>
      <c r="H1857" s="4">
        <v>38</v>
      </c>
      <c r="I1857" s="4">
        <v>20</v>
      </c>
      <c r="J1857" s="4">
        <v>60</v>
      </c>
      <c r="K1857" s="4">
        <v>10</v>
      </c>
      <c r="L1857" s="4">
        <v>30</v>
      </c>
      <c r="M1857" s="4">
        <v>25</v>
      </c>
    </row>
    <row r="1858" spans="1:13">
      <c r="A1858" s="3" t="s">
        <v>2403</v>
      </c>
      <c r="B1858" s="4">
        <v>0</v>
      </c>
      <c r="C1858" s="4">
        <v>0</v>
      </c>
      <c r="D1858" s="4">
        <v>0</v>
      </c>
      <c r="E1858" s="4">
        <v>0</v>
      </c>
      <c r="F1858" s="4">
        <v>0</v>
      </c>
      <c r="G1858" s="4">
        <v>2.5</v>
      </c>
      <c r="H1858" s="4">
        <v>0</v>
      </c>
      <c r="I1858" s="4">
        <v>5</v>
      </c>
      <c r="J1858" s="4">
        <v>0</v>
      </c>
      <c r="K1858" s="4">
        <v>0</v>
      </c>
      <c r="L1858" s="4">
        <v>0</v>
      </c>
      <c r="M1858" s="4">
        <v>0</v>
      </c>
    </row>
    <row r="1859" spans="1:13">
      <c r="A1859" s="3" t="s">
        <v>2404</v>
      </c>
      <c r="B1859" s="4">
        <v>21</v>
      </c>
      <c r="C1859" s="4">
        <v>80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10</v>
      </c>
    </row>
    <row r="1860" spans="1:13">
      <c r="A1860" s="3" t="s">
        <v>2405</v>
      </c>
      <c r="B1860" s="4">
        <v>115</v>
      </c>
      <c r="C1860" s="4">
        <v>51</v>
      </c>
      <c r="D1860" s="4">
        <v>105</v>
      </c>
      <c r="E1860" s="4">
        <v>95</v>
      </c>
      <c r="F1860" s="4">
        <v>168.75</v>
      </c>
      <c r="G1860" s="4">
        <v>83.5</v>
      </c>
      <c r="H1860" s="4">
        <v>45</v>
      </c>
      <c r="I1860" s="4">
        <v>63.5</v>
      </c>
      <c r="J1860" s="4">
        <v>72</v>
      </c>
      <c r="K1860" s="4">
        <v>40</v>
      </c>
      <c r="L1860" s="4">
        <v>10</v>
      </c>
      <c r="M1860" s="4">
        <v>65.400000000000006</v>
      </c>
    </row>
    <row r="1861" spans="1:13">
      <c r="A1861" s="3" t="s">
        <v>2406</v>
      </c>
      <c r="B1861" s="4">
        <v>17.75</v>
      </c>
      <c r="C1861" s="4">
        <v>30</v>
      </c>
      <c r="D1861" s="4">
        <v>35.75</v>
      </c>
      <c r="E1861" s="4">
        <v>65</v>
      </c>
      <c r="F1861" s="4">
        <v>57</v>
      </c>
      <c r="G1861" s="4">
        <v>40.5</v>
      </c>
      <c r="H1861" s="4">
        <v>32</v>
      </c>
      <c r="I1861" s="4">
        <v>68.5</v>
      </c>
      <c r="J1861" s="4">
        <v>72.5</v>
      </c>
      <c r="K1861" s="4">
        <v>22</v>
      </c>
      <c r="L1861" s="4">
        <v>43.05</v>
      </c>
      <c r="M1861" s="4">
        <v>38.75</v>
      </c>
    </row>
    <row r="1862" spans="1:13">
      <c r="A1862" s="3" t="s">
        <v>2407</v>
      </c>
      <c r="B1862" s="4">
        <v>0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9</v>
      </c>
      <c r="K1862" s="4">
        <v>0</v>
      </c>
      <c r="L1862" s="4">
        <v>0</v>
      </c>
      <c r="M1862" s="4">
        <v>0</v>
      </c>
    </row>
    <row r="1863" spans="1:13">
      <c r="A1863" s="3" t="s">
        <v>2408</v>
      </c>
      <c r="B1863" s="4">
        <v>39</v>
      </c>
      <c r="C1863" s="4">
        <v>90.5</v>
      </c>
      <c r="D1863" s="4">
        <v>57.5</v>
      </c>
      <c r="E1863" s="4">
        <v>97.5</v>
      </c>
      <c r="F1863" s="4">
        <v>90</v>
      </c>
      <c r="G1863" s="4">
        <v>70.25</v>
      </c>
      <c r="H1863" s="4">
        <v>60</v>
      </c>
      <c r="I1863" s="4">
        <v>60.5</v>
      </c>
      <c r="J1863" s="4">
        <v>116</v>
      </c>
      <c r="K1863" s="4">
        <v>50.5</v>
      </c>
      <c r="L1863" s="4">
        <v>0</v>
      </c>
      <c r="M1863" s="4">
        <v>0</v>
      </c>
    </row>
    <row r="1864" spans="1:13">
      <c r="A1864" s="3" t="s">
        <v>2409</v>
      </c>
      <c r="B1864" s="4">
        <v>0</v>
      </c>
      <c r="C1864" s="4">
        <v>0</v>
      </c>
      <c r="D1864" s="4">
        <v>30</v>
      </c>
      <c r="E1864" s="4">
        <v>31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24.5</v>
      </c>
      <c r="L1864" s="4">
        <v>0</v>
      </c>
      <c r="M1864" s="4">
        <v>19</v>
      </c>
    </row>
    <row r="1865" spans="1:13">
      <c r="A1865" s="3" t="s">
        <v>2410</v>
      </c>
      <c r="B1865" s="4">
        <v>30</v>
      </c>
      <c r="C1865" s="4">
        <v>30</v>
      </c>
      <c r="D1865" s="4">
        <v>60.5</v>
      </c>
      <c r="E1865" s="4">
        <v>143</v>
      </c>
      <c r="F1865" s="4">
        <v>219</v>
      </c>
      <c r="G1865" s="4">
        <v>177</v>
      </c>
      <c r="H1865" s="4">
        <v>90</v>
      </c>
      <c r="I1865" s="4">
        <v>35</v>
      </c>
      <c r="J1865" s="4">
        <v>164.5</v>
      </c>
      <c r="K1865" s="4">
        <v>100</v>
      </c>
      <c r="L1865" s="4">
        <v>51</v>
      </c>
      <c r="M1865" s="4">
        <v>125</v>
      </c>
    </row>
    <row r="1866" spans="1:13">
      <c r="A1866" s="3" t="s">
        <v>2411</v>
      </c>
      <c r="B1866" s="4">
        <v>55</v>
      </c>
      <c r="C1866" s="4">
        <v>92.5</v>
      </c>
      <c r="D1866" s="4">
        <v>110</v>
      </c>
      <c r="E1866" s="4">
        <v>69</v>
      </c>
      <c r="F1866" s="4">
        <v>31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</row>
    <row r="1867" spans="1:13">
      <c r="A1867" s="3" t="s">
        <v>2412</v>
      </c>
      <c r="B1867" s="4">
        <v>45</v>
      </c>
      <c r="C1867" s="4">
        <v>80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</row>
    <row r="1868" spans="1:13">
      <c r="A1868" s="3" t="s">
        <v>2413</v>
      </c>
      <c r="B1868" s="4">
        <v>0</v>
      </c>
      <c r="C1868" s="4">
        <v>0</v>
      </c>
      <c r="D1868" s="4">
        <v>14</v>
      </c>
      <c r="E1868" s="4">
        <v>0</v>
      </c>
      <c r="F1868" s="4">
        <v>0.5</v>
      </c>
      <c r="G1868" s="4">
        <v>4</v>
      </c>
      <c r="H1868" s="4">
        <v>0</v>
      </c>
      <c r="I1868" s="4">
        <v>2</v>
      </c>
      <c r="J1868" s="4">
        <v>0</v>
      </c>
      <c r="K1868" s="4">
        <v>10</v>
      </c>
      <c r="L1868" s="4">
        <v>0</v>
      </c>
      <c r="M1868" s="4">
        <v>0</v>
      </c>
    </row>
    <row r="1869" spans="1:13">
      <c r="A1869" s="3" t="s">
        <v>2414</v>
      </c>
      <c r="B1869" s="4">
        <v>10</v>
      </c>
      <c r="C1869" s="4">
        <v>15</v>
      </c>
      <c r="D1869" s="4">
        <v>8.25</v>
      </c>
      <c r="E1869" s="4">
        <v>1</v>
      </c>
      <c r="F1869" s="4">
        <v>1</v>
      </c>
      <c r="G1869" s="4">
        <v>4</v>
      </c>
      <c r="H1869" s="4">
        <v>0</v>
      </c>
      <c r="I1869" s="4">
        <v>2</v>
      </c>
      <c r="J1869" s="4">
        <v>1</v>
      </c>
      <c r="K1869" s="4">
        <v>0</v>
      </c>
      <c r="L1869" s="4">
        <v>0</v>
      </c>
      <c r="M1869" s="4">
        <v>0</v>
      </c>
    </row>
    <row r="1870" spans="1:13">
      <c r="A1870" s="3" t="s">
        <v>2415</v>
      </c>
      <c r="B1870" s="4">
        <v>0</v>
      </c>
      <c r="C1870" s="4">
        <v>0</v>
      </c>
      <c r="D1870" s="4">
        <v>0</v>
      </c>
      <c r="E1870" s="4">
        <v>5.25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</row>
    <row r="1871" spans="1:13">
      <c r="A1871" s="3" t="s">
        <v>2416</v>
      </c>
      <c r="B1871" s="4">
        <v>331</v>
      </c>
      <c r="C1871" s="4">
        <v>434.5</v>
      </c>
      <c r="D1871" s="4">
        <v>284</v>
      </c>
      <c r="E1871" s="4">
        <v>158.75</v>
      </c>
      <c r="F1871" s="4">
        <v>30</v>
      </c>
      <c r="G1871" s="4">
        <v>223</v>
      </c>
      <c r="H1871" s="4">
        <v>93</v>
      </c>
      <c r="I1871" s="4">
        <v>35</v>
      </c>
      <c r="J1871" s="4">
        <v>146.25</v>
      </c>
      <c r="K1871" s="4">
        <v>164</v>
      </c>
      <c r="L1871" s="4">
        <v>294.5</v>
      </c>
      <c r="M1871" s="4">
        <v>322.25</v>
      </c>
    </row>
    <row r="1872" spans="1:13">
      <c r="A1872" s="3" t="s">
        <v>2417</v>
      </c>
      <c r="B1872" s="4">
        <v>100</v>
      </c>
      <c r="C1872" s="4">
        <v>146</v>
      </c>
      <c r="D1872" s="4">
        <v>154.5</v>
      </c>
      <c r="E1872" s="4">
        <v>109</v>
      </c>
      <c r="F1872" s="4">
        <v>132.5</v>
      </c>
      <c r="G1872" s="4">
        <v>93.5</v>
      </c>
      <c r="H1872" s="4">
        <v>120</v>
      </c>
      <c r="I1872" s="4">
        <v>55</v>
      </c>
      <c r="J1872" s="4">
        <v>150</v>
      </c>
      <c r="K1872" s="4">
        <v>111</v>
      </c>
      <c r="L1872" s="4">
        <v>123</v>
      </c>
      <c r="M1872" s="4">
        <v>126</v>
      </c>
    </row>
    <row r="1873" spans="1:13">
      <c r="A1873" s="3" t="s">
        <v>2418</v>
      </c>
      <c r="B1873" s="4">
        <v>20</v>
      </c>
      <c r="C1873" s="4">
        <v>10</v>
      </c>
      <c r="D1873" s="4">
        <v>40</v>
      </c>
      <c r="E1873" s="4">
        <v>1</v>
      </c>
      <c r="F1873" s="4">
        <v>1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</row>
    <row r="1874" spans="1:13">
      <c r="A1874" s="3" t="s">
        <v>2419</v>
      </c>
      <c r="B1874" s="4">
        <v>10</v>
      </c>
      <c r="C1874" s="4">
        <v>65</v>
      </c>
      <c r="D1874" s="4">
        <v>70</v>
      </c>
      <c r="E1874" s="4">
        <v>33</v>
      </c>
      <c r="F1874" s="4">
        <v>22</v>
      </c>
      <c r="G1874" s="4">
        <v>37.5</v>
      </c>
      <c r="H1874" s="4">
        <v>38</v>
      </c>
      <c r="I1874" s="4">
        <v>30</v>
      </c>
      <c r="J1874" s="4">
        <v>55</v>
      </c>
      <c r="K1874" s="4">
        <v>25</v>
      </c>
      <c r="L1874" s="4">
        <v>57.5</v>
      </c>
      <c r="M1874" s="4">
        <v>5</v>
      </c>
    </row>
    <row r="1875" spans="1:13">
      <c r="A1875" s="3" t="s">
        <v>2420</v>
      </c>
      <c r="B1875" s="4">
        <v>0</v>
      </c>
      <c r="C1875" s="4">
        <v>20</v>
      </c>
      <c r="D1875" s="4">
        <v>15</v>
      </c>
      <c r="E1875" s="4">
        <v>35</v>
      </c>
      <c r="F1875" s="4">
        <v>0</v>
      </c>
      <c r="G1875" s="4">
        <v>5.5</v>
      </c>
      <c r="H1875" s="4">
        <v>0</v>
      </c>
      <c r="I1875" s="4">
        <v>5</v>
      </c>
      <c r="J1875" s="4">
        <v>0</v>
      </c>
      <c r="K1875" s="4">
        <v>0</v>
      </c>
      <c r="L1875" s="4">
        <v>0</v>
      </c>
      <c r="M1875" s="4">
        <v>0</v>
      </c>
    </row>
    <row r="1876" spans="1:13">
      <c r="A1876" s="3" t="s">
        <v>2421</v>
      </c>
      <c r="B1876" s="4">
        <v>0</v>
      </c>
      <c r="C1876" s="4">
        <v>150</v>
      </c>
      <c r="D1876" s="4">
        <v>10</v>
      </c>
      <c r="E1876" s="4">
        <v>67.5</v>
      </c>
      <c r="F1876" s="4">
        <v>10.5</v>
      </c>
      <c r="G1876" s="4">
        <v>10</v>
      </c>
      <c r="H1876" s="4">
        <v>40</v>
      </c>
      <c r="I1876" s="4">
        <v>10</v>
      </c>
      <c r="J1876" s="4">
        <v>22.5</v>
      </c>
      <c r="K1876" s="4">
        <v>0</v>
      </c>
      <c r="L1876" s="4">
        <v>0</v>
      </c>
      <c r="M1876" s="4">
        <v>0</v>
      </c>
    </row>
    <row r="1877" spans="1:13">
      <c r="A1877" s="3" t="s">
        <v>2422</v>
      </c>
      <c r="B1877" s="4">
        <v>0</v>
      </c>
      <c r="C1877" s="4">
        <v>215.5</v>
      </c>
      <c r="D1877" s="4">
        <v>374.5</v>
      </c>
      <c r="E1877" s="4">
        <v>342.25</v>
      </c>
      <c r="F1877" s="4">
        <v>370.5</v>
      </c>
      <c r="G1877" s="4">
        <v>171.25</v>
      </c>
      <c r="H1877" s="4">
        <v>60</v>
      </c>
      <c r="I1877" s="4">
        <v>95</v>
      </c>
      <c r="J1877" s="4">
        <v>108.5</v>
      </c>
      <c r="K1877" s="4">
        <v>164.35</v>
      </c>
      <c r="L1877" s="4">
        <v>173.25</v>
      </c>
      <c r="M1877" s="4">
        <v>325.25</v>
      </c>
    </row>
    <row r="1878" spans="1:13">
      <c r="A1878" s="3" t="s">
        <v>2423</v>
      </c>
      <c r="B1878" s="4">
        <v>0</v>
      </c>
      <c r="C1878" s="4">
        <v>60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20</v>
      </c>
      <c r="J1878" s="4">
        <v>10</v>
      </c>
      <c r="K1878" s="4">
        <v>0</v>
      </c>
      <c r="L1878" s="4">
        <v>0</v>
      </c>
      <c r="M1878" s="4">
        <v>10</v>
      </c>
    </row>
    <row r="1879" spans="1:13">
      <c r="A1879" s="3" t="s">
        <v>2424</v>
      </c>
      <c r="B1879" s="4">
        <v>0</v>
      </c>
      <c r="C1879" s="4">
        <v>0</v>
      </c>
      <c r="D1879" s="4">
        <v>10</v>
      </c>
      <c r="E1879" s="4">
        <v>20</v>
      </c>
      <c r="F1879" s="4">
        <v>25</v>
      </c>
      <c r="G1879" s="4">
        <v>0</v>
      </c>
      <c r="H1879" s="4">
        <v>0</v>
      </c>
      <c r="I1879" s="4">
        <v>0</v>
      </c>
      <c r="J1879" s="4">
        <v>14.5</v>
      </c>
      <c r="K1879" s="4">
        <v>34.5</v>
      </c>
      <c r="L1879" s="4">
        <v>0</v>
      </c>
      <c r="M1879" s="4">
        <v>0</v>
      </c>
    </row>
    <row r="1880" spans="1:13">
      <c r="A1880" s="3" t="s">
        <v>2425</v>
      </c>
      <c r="B1880" s="4">
        <v>0</v>
      </c>
      <c r="C1880" s="4">
        <v>13</v>
      </c>
      <c r="D1880" s="4">
        <v>32</v>
      </c>
      <c r="E1880" s="4">
        <v>8.5</v>
      </c>
      <c r="F1880" s="4">
        <v>4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</row>
    <row r="1881" spans="1:13">
      <c r="A1881" s="3" t="s">
        <v>2426</v>
      </c>
      <c r="B1881" s="4">
        <v>0</v>
      </c>
      <c r="C1881" s="4">
        <v>20</v>
      </c>
      <c r="D1881" s="4">
        <v>25</v>
      </c>
      <c r="E1881" s="4">
        <v>12.5</v>
      </c>
      <c r="F1881" s="4">
        <v>4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</row>
    <row r="1882" spans="1:13">
      <c r="A1882" s="3" t="s">
        <v>2427</v>
      </c>
      <c r="B1882" s="4">
        <v>0</v>
      </c>
      <c r="C1882" s="4">
        <v>0</v>
      </c>
      <c r="D1882" s="4">
        <v>208</v>
      </c>
      <c r="E1882" s="4">
        <v>262</v>
      </c>
      <c r="F1882" s="4">
        <v>154.5</v>
      </c>
      <c r="G1882" s="4">
        <v>110</v>
      </c>
      <c r="H1882" s="4">
        <v>90.9</v>
      </c>
      <c r="I1882" s="4">
        <v>111.5</v>
      </c>
      <c r="J1882" s="4">
        <v>160</v>
      </c>
      <c r="K1882" s="4">
        <v>165.5</v>
      </c>
      <c r="L1882" s="4">
        <v>206.25</v>
      </c>
      <c r="M1882" s="4">
        <v>277.35000000000002</v>
      </c>
    </row>
    <row r="1883" spans="1:13">
      <c r="A1883" s="3" t="s">
        <v>2428</v>
      </c>
      <c r="B1883" s="4">
        <v>0</v>
      </c>
      <c r="C1883" s="4">
        <v>0</v>
      </c>
      <c r="D1883" s="4">
        <v>23</v>
      </c>
      <c r="E1883" s="4">
        <v>10</v>
      </c>
      <c r="F1883" s="4">
        <v>20</v>
      </c>
      <c r="G1883" s="4">
        <v>20</v>
      </c>
      <c r="H1883" s="4">
        <v>60</v>
      </c>
      <c r="I1883" s="4">
        <v>20</v>
      </c>
      <c r="J1883" s="4">
        <v>37.5</v>
      </c>
      <c r="K1883" s="4">
        <v>15</v>
      </c>
      <c r="L1883" s="4">
        <v>18.600000000000001</v>
      </c>
      <c r="M1883" s="4">
        <v>33</v>
      </c>
    </row>
    <row r="1884" spans="1:13">
      <c r="A1884" s="3" t="s">
        <v>2429</v>
      </c>
      <c r="B1884" s="4">
        <v>0</v>
      </c>
      <c r="C1884" s="4">
        <v>80</v>
      </c>
      <c r="D1884" s="4">
        <v>215</v>
      </c>
      <c r="E1884" s="4">
        <v>125.5</v>
      </c>
      <c r="F1884" s="4">
        <v>82.4</v>
      </c>
      <c r="G1884" s="4">
        <v>224</v>
      </c>
      <c r="H1884" s="4">
        <v>140</v>
      </c>
      <c r="I1884" s="4">
        <v>157.5</v>
      </c>
      <c r="J1884" s="4">
        <v>153.14999999999998</v>
      </c>
      <c r="K1884" s="4">
        <v>148.5</v>
      </c>
      <c r="L1884" s="4">
        <v>85</v>
      </c>
      <c r="M1884" s="4">
        <v>692.5</v>
      </c>
    </row>
    <row r="1885" spans="1:13">
      <c r="A1885" s="3" t="s">
        <v>2430</v>
      </c>
      <c r="B1885" s="4">
        <v>0</v>
      </c>
      <c r="C1885" s="4">
        <v>0</v>
      </c>
      <c r="D1885" s="4">
        <v>75</v>
      </c>
      <c r="E1885" s="4">
        <v>52.5</v>
      </c>
      <c r="F1885" s="4">
        <v>35</v>
      </c>
      <c r="G1885" s="4">
        <v>65</v>
      </c>
      <c r="H1885" s="4">
        <v>65</v>
      </c>
      <c r="I1885" s="4">
        <v>63</v>
      </c>
      <c r="J1885" s="4">
        <v>32.5</v>
      </c>
      <c r="K1885" s="4">
        <v>62.5</v>
      </c>
      <c r="L1885" s="4">
        <v>37.5</v>
      </c>
      <c r="M1885" s="4">
        <v>50</v>
      </c>
    </row>
    <row r="1886" spans="1:13">
      <c r="A1886" s="3" t="s">
        <v>2431</v>
      </c>
      <c r="B1886" s="4">
        <v>0</v>
      </c>
      <c r="C1886" s="4">
        <v>0</v>
      </c>
      <c r="D1886" s="4">
        <v>0</v>
      </c>
      <c r="E1886" s="4">
        <v>0</v>
      </c>
      <c r="F1886" s="4">
        <v>10</v>
      </c>
      <c r="G1886" s="4">
        <v>10</v>
      </c>
      <c r="H1886" s="4">
        <v>0</v>
      </c>
      <c r="I1886" s="4">
        <v>20</v>
      </c>
      <c r="J1886" s="4">
        <v>27.5</v>
      </c>
      <c r="K1886" s="4">
        <v>5</v>
      </c>
      <c r="L1886" s="4">
        <v>12.5</v>
      </c>
      <c r="M1886" s="4">
        <v>0</v>
      </c>
    </row>
    <row r="1887" spans="1:13">
      <c r="A1887" s="3" t="s">
        <v>2432</v>
      </c>
      <c r="B1887" s="4">
        <v>0</v>
      </c>
      <c r="C1887" s="4">
        <v>0</v>
      </c>
      <c r="D1887" s="4">
        <v>10</v>
      </c>
      <c r="E1887" s="4">
        <v>35</v>
      </c>
      <c r="F1887" s="4">
        <v>20</v>
      </c>
      <c r="G1887" s="4">
        <v>20</v>
      </c>
      <c r="H1887" s="4">
        <v>0</v>
      </c>
      <c r="I1887" s="4">
        <v>10</v>
      </c>
      <c r="J1887" s="4">
        <v>25</v>
      </c>
      <c r="K1887" s="4">
        <v>36.950000000000003</v>
      </c>
      <c r="L1887" s="4">
        <v>12.5</v>
      </c>
      <c r="M1887" s="4">
        <v>12.5</v>
      </c>
    </row>
    <row r="1888" spans="1:13">
      <c r="A1888" s="3" t="s">
        <v>2433</v>
      </c>
      <c r="B1888" s="4">
        <v>0</v>
      </c>
      <c r="C1888" s="4">
        <v>0</v>
      </c>
      <c r="D1888" s="4">
        <v>20</v>
      </c>
      <c r="E1888" s="4">
        <v>47.5</v>
      </c>
      <c r="F1888" s="4">
        <v>26</v>
      </c>
      <c r="G1888" s="4">
        <v>20</v>
      </c>
      <c r="H1888" s="4">
        <v>30</v>
      </c>
      <c r="I1888" s="4">
        <v>10</v>
      </c>
      <c r="J1888" s="4">
        <v>37.5</v>
      </c>
      <c r="K1888" s="4">
        <v>10</v>
      </c>
      <c r="L1888" s="4">
        <v>24.5</v>
      </c>
      <c r="M1888" s="4">
        <v>22.5</v>
      </c>
    </row>
    <row r="1889" spans="1:13">
      <c r="A1889" s="3" t="s">
        <v>2434</v>
      </c>
      <c r="B1889" s="4">
        <v>0</v>
      </c>
      <c r="C1889" s="4">
        <v>30</v>
      </c>
      <c r="D1889" s="4">
        <v>150</v>
      </c>
      <c r="E1889" s="4">
        <v>78.150000000000006</v>
      </c>
      <c r="F1889" s="4">
        <v>70</v>
      </c>
      <c r="G1889" s="4">
        <v>67</v>
      </c>
      <c r="H1889" s="4">
        <v>99</v>
      </c>
      <c r="I1889" s="4">
        <v>41</v>
      </c>
      <c r="J1889" s="4">
        <v>97.15</v>
      </c>
      <c r="K1889" s="4">
        <v>88</v>
      </c>
      <c r="L1889" s="4">
        <v>213.7</v>
      </c>
      <c r="M1889" s="4">
        <v>40</v>
      </c>
    </row>
    <row r="1890" spans="1:13">
      <c r="A1890" s="3" t="s">
        <v>2435</v>
      </c>
      <c r="B1890" s="4">
        <v>0</v>
      </c>
      <c r="C1890" s="4">
        <v>0</v>
      </c>
      <c r="D1890" s="4">
        <v>15</v>
      </c>
      <c r="E1890" s="4">
        <v>2.5</v>
      </c>
      <c r="F1890" s="4">
        <v>15</v>
      </c>
      <c r="G1890" s="4">
        <v>0</v>
      </c>
      <c r="H1890" s="4">
        <v>105</v>
      </c>
      <c r="I1890" s="4">
        <v>0</v>
      </c>
      <c r="J1890" s="4">
        <v>2</v>
      </c>
      <c r="K1890" s="4">
        <v>0</v>
      </c>
      <c r="L1890" s="4">
        <v>0</v>
      </c>
      <c r="M1890" s="4">
        <v>0</v>
      </c>
    </row>
    <row r="1891" spans="1:13">
      <c r="A1891" s="3" t="s">
        <v>2436</v>
      </c>
      <c r="B1891" s="4">
        <v>0</v>
      </c>
      <c r="C1891" s="4">
        <v>10</v>
      </c>
      <c r="D1891" s="4">
        <v>15</v>
      </c>
      <c r="E1891" s="4">
        <v>7.5</v>
      </c>
      <c r="F1891" s="4">
        <v>23.25</v>
      </c>
      <c r="G1891" s="4">
        <v>20.5</v>
      </c>
      <c r="H1891" s="4">
        <v>15</v>
      </c>
      <c r="I1891" s="4">
        <v>7.5</v>
      </c>
      <c r="J1891" s="4">
        <v>71.5</v>
      </c>
      <c r="K1891" s="4">
        <v>25.5</v>
      </c>
      <c r="L1891" s="4">
        <v>27.5</v>
      </c>
      <c r="M1891" s="4">
        <v>50</v>
      </c>
    </row>
    <row r="1892" spans="1:13">
      <c r="A1892" s="3" t="s">
        <v>2437</v>
      </c>
      <c r="B1892" s="4">
        <v>0</v>
      </c>
      <c r="C1892" s="4">
        <v>20</v>
      </c>
      <c r="D1892" s="4">
        <v>32</v>
      </c>
      <c r="E1892" s="4">
        <v>30</v>
      </c>
      <c r="F1892" s="4">
        <v>68.5</v>
      </c>
      <c r="G1892" s="4">
        <v>0</v>
      </c>
      <c r="H1892" s="4">
        <v>23</v>
      </c>
      <c r="I1892" s="4">
        <v>5</v>
      </c>
      <c r="J1892" s="4">
        <v>85</v>
      </c>
      <c r="K1892" s="4">
        <v>1.75</v>
      </c>
      <c r="L1892" s="4">
        <v>32.5</v>
      </c>
      <c r="M1892" s="4">
        <v>103</v>
      </c>
    </row>
    <row r="1893" spans="1:13">
      <c r="A1893" s="3" t="s">
        <v>2438</v>
      </c>
      <c r="B1893" s="4">
        <v>0</v>
      </c>
      <c r="C1893" s="4">
        <v>70</v>
      </c>
      <c r="D1893" s="4">
        <v>25</v>
      </c>
      <c r="E1893" s="4">
        <v>10</v>
      </c>
      <c r="F1893" s="4">
        <v>30</v>
      </c>
      <c r="G1893" s="4">
        <v>0</v>
      </c>
      <c r="H1893" s="4">
        <v>35</v>
      </c>
      <c r="I1893" s="4">
        <v>0</v>
      </c>
      <c r="J1893" s="4">
        <v>57</v>
      </c>
      <c r="K1893" s="4">
        <v>5</v>
      </c>
      <c r="L1893" s="4">
        <v>10</v>
      </c>
      <c r="M1893" s="4">
        <v>10</v>
      </c>
    </row>
    <row r="1894" spans="1:13">
      <c r="A1894" s="3" t="s">
        <v>2439</v>
      </c>
      <c r="B1894" s="4">
        <v>0</v>
      </c>
      <c r="C1894" s="4">
        <v>25</v>
      </c>
      <c r="D1894" s="4">
        <v>101.5</v>
      </c>
      <c r="E1894" s="4">
        <v>89.25</v>
      </c>
      <c r="F1894" s="4">
        <v>34.5</v>
      </c>
      <c r="G1894" s="4">
        <v>25</v>
      </c>
      <c r="H1894" s="4">
        <v>18</v>
      </c>
      <c r="I1894" s="4">
        <v>35</v>
      </c>
      <c r="J1894" s="4">
        <v>82.5</v>
      </c>
      <c r="K1894" s="4">
        <v>23</v>
      </c>
      <c r="L1894" s="4">
        <v>15</v>
      </c>
      <c r="M1894" s="4">
        <v>55</v>
      </c>
    </row>
    <row r="1895" spans="1:13">
      <c r="A1895" s="3" t="s">
        <v>2440</v>
      </c>
      <c r="B1895" s="4">
        <v>0</v>
      </c>
      <c r="C1895" s="4">
        <v>0</v>
      </c>
      <c r="D1895" s="4">
        <v>65.25</v>
      </c>
      <c r="E1895" s="4">
        <v>67</v>
      </c>
      <c r="F1895" s="4">
        <v>0</v>
      </c>
      <c r="G1895" s="4">
        <v>76.5</v>
      </c>
      <c r="H1895" s="4">
        <v>25</v>
      </c>
      <c r="I1895" s="4">
        <v>0</v>
      </c>
      <c r="J1895" s="4">
        <v>36</v>
      </c>
      <c r="K1895" s="4">
        <v>0</v>
      </c>
      <c r="L1895" s="4">
        <v>35</v>
      </c>
      <c r="M1895" s="4">
        <v>135.5</v>
      </c>
    </row>
    <row r="1896" spans="1:13">
      <c r="A1896" s="3" t="s">
        <v>2441</v>
      </c>
      <c r="B1896" s="4">
        <v>0</v>
      </c>
      <c r="C1896" s="4">
        <v>0</v>
      </c>
      <c r="D1896" s="4">
        <v>0</v>
      </c>
      <c r="E1896" s="4">
        <v>0</v>
      </c>
      <c r="F1896" s="4">
        <v>10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</row>
    <row r="1897" spans="1:13">
      <c r="A1897" s="3" t="s">
        <v>2442</v>
      </c>
      <c r="B1897" s="4">
        <v>0</v>
      </c>
      <c r="C1897" s="4">
        <v>0</v>
      </c>
      <c r="D1897" s="4">
        <v>79.5</v>
      </c>
      <c r="E1897" s="4">
        <v>44.5</v>
      </c>
      <c r="F1897" s="4">
        <v>91.5</v>
      </c>
      <c r="G1897" s="4">
        <v>107.5</v>
      </c>
      <c r="H1897" s="4">
        <v>42.25</v>
      </c>
      <c r="I1897" s="4">
        <v>30</v>
      </c>
      <c r="J1897" s="4">
        <v>75</v>
      </c>
      <c r="K1897" s="4">
        <v>20</v>
      </c>
      <c r="L1897" s="4">
        <v>78.5</v>
      </c>
      <c r="M1897" s="4">
        <v>92</v>
      </c>
    </row>
    <row r="1898" spans="1:13">
      <c r="A1898" s="3" t="s">
        <v>2443</v>
      </c>
      <c r="B1898" s="4">
        <v>0</v>
      </c>
      <c r="C1898" s="4">
        <v>0</v>
      </c>
      <c r="D1898" s="4">
        <v>30</v>
      </c>
      <c r="E1898" s="4">
        <v>55</v>
      </c>
      <c r="F1898" s="4">
        <v>0</v>
      </c>
      <c r="G1898" s="4">
        <v>38</v>
      </c>
      <c r="H1898" s="4">
        <v>20</v>
      </c>
      <c r="I1898" s="4">
        <v>0</v>
      </c>
      <c r="J1898" s="4">
        <v>47.5</v>
      </c>
      <c r="K1898" s="4">
        <v>10</v>
      </c>
      <c r="L1898" s="4">
        <v>7</v>
      </c>
      <c r="M1898" s="4">
        <v>33</v>
      </c>
    </row>
    <row r="1899" spans="1:13">
      <c r="A1899" s="3" t="s">
        <v>2444</v>
      </c>
      <c r="B1899" s="4">
        <v>0</v>
      </c>
      <c r="C1899" s="4">
        <v>0</v>
      </c>
      <c r="D1899" s="4">
        <v>120</v>
      </c>
      <c r="E1899" s="4">
        <v>20</v>
      </c>
      <c r="F1899" s="4">
        <v>17</v>
      </c>
      <c r="G1899" s="4">
        <v>30</v>
      </c>
      <c r="H1899" s="4">
        <v>10</v>
      </c>
      <c r="I1899" s="4">
        <v>30</v>
      </c>
      <c r="J1899" s="4">
        <v>25</v>
      </c>
      <c r="K1899" s="4">
        <v>30</v>
      </c>
      <c r="L1899" s="4">
        <v>45</v>
      </c>
      <c r="M1899" s="4">
        <v>76.7</v>
      </c>
    </row>
    <row r="1900" spans="1:13">
      <c r="A1900" s="3" t="s">
        <v>2445</v>
      </c>
      <c r="B1900" s="4">
        <v>0</v>
      </c>
      <c r="C1900" s="4">
        <v>0</v>
      </c>
      <c r="D1900" s="4">
        <v>0</v>
      </c>
      <c r="E1900" s="4">
        <v>63.5</v>
      </c>
      <c r="F1900" s="4">
        <v>15</v>
      </c>
      <c r="G1900" s="4">
        <v>20</v>
      </c>
      <c r="H1900" s="4">
        <v>0</v>
      </c>
      <c r="I1900" s="4">
        <v>0</v>
      </c>
      <c r="J1900" s="4">
        <v>0</v>
      </c>
      <c r="K1900" s="4">
        <v>0</v>
      </c>
      <c r="L1900" s="4">
        <v>11</v>
      </c>
      <c r="M1900" s="4">
        <v>0</v>
      </c>
    </row>
    <row r="1901" spans="1:13">
      <c r="A1901" s="3" t="s">
        <v>2446</v>
      </c>
      <c r="B1901" s="4">
        <v>0</v>
      </c>
      <c r="C1901" s="4">
        <v>0</v>
      </c>
      <c r="D1901" s="4">
        <v>110</v>
      </c>
      <c r="E1901" s="4">
        <v>107.5</v>
      </c>
      <c r="F1901" s="4">
        <v>50</v>
      </c>
      <c r="G1901" s="4">
        <v>67.5</v>
      </c>
      <c r="H1901" s="4">
        <v>56</v>
      </c>
      <c r="I1901" s="4">
        <v>50</v>
      </c>
      <c r="J1901" s="4">
        <v>76.650000000000006</v>
      </c>
      <c r="K1901" s="4">
        <v>82.6</v>
      </c>
      <c r="L1901" s="4">
        <v>95.1</v>
      </c>
      <c r="M1901" s="4">
        <v>220</v>
      </c>
    </row>
    <row r="1902" spans="1:13">
      <c r="A1902" s="3" t="s">
        <v>2447</v>
      </c>
      <c r="B1902" s="4">
        <v>0</v>
      </c>
      <c r="C1902" s="4">
        <v>0</v>
      </c>
      <c r="D1902" s="4">
        <v>72.5</v>
      </c>
      <c r="E1902" s="4">
        <v>70</v>
      </c>
      <c r="F1902" s="4">
        <v>15</v>
      </c>
      <c r="G1902" s="4">
        <v>30</v>
      </c>
      <c r="H1902" s="4">
        <v>30</v>
      </c>
      <c r="I1902" s="4">
        <v>17.5</v>
      </c>
      <c r="J1902" s="4">
        <v>70</v>
      </c>
      <c r="K1902" s="4">
        <v>30</v>
      </c>
      <c r="L1902" s="4">
        <v>59</v>
      </c>
      <c r="M1902" s="4">
        <v>34.5</v>
      </c>
    </row>
    <row r="1903" spans="1:13">
      <c r="A1903" s="3" t="s">
        <v>2448</v>
      </c>
      <c r="B1903" s="4">
        <v>0</v>
      </c>
      <c r="C1903" s="4">
        <v>0</v>
      </c>
      <c r="D1903" s="4">
        <v>30</v>
      </c>
      <c r="E1903" s="4">
        <v>26.5</v>
      </c>
      <c r="F1903" s="4">
        <v>8</v>
      </c>
      <c r="G1903" s="4">
        <v>0</v>
      </c>
      <c r="H1903" s="4">
        <v>20</v>
      </c>
      <c r="I1903" s="4">
        <v>12</v>
      </c>
      <c r="J1903" s="4">
        <v>24</v>
      </c>
      <c r="K1903" s="4">
        <v>10</v>
      </c>
      <c r="L1903" s="4">
        <v>0</v>
      </c>
      <c r="M1903" s="4">
        <v>13</v>
      </c>
    </row>
    <row r="1904" spans="1:13">
      <c r="A1904" s="3" t="s">
        <v>2449</v>
      </c>
      <c r="B1904" s="4">
        <v>0</v>
      </c>
      <c r="C1904" s="4">
        <v>0</v>
      </c>
      <c r="D1904" s="4">
        <v>60.5</v>
      </c>
      <c r="E1904" s="4">
        <v>113</v>
      </c>
      <c r="F1904" s="4">
        <v>50</v>
      </c>
      <c r="G1904" s="4">
        <v>60</v>
      </c>
      <c r="H1904" s="4">
        <v>79</v>
      </c>
      <c r="I1904" s="4">
        <v>32.5</v>
      </c>
      <c r="J1904" s="4">
        <v>86</v>
      </c>
      <c r="K1904" s="4">
        <v>60</v>
      </c>
      <c r="L1904" s="4">
        <v>70</v>
      </c>
      <c r="M1904" s="4">
        <v>315</v>
      </c>
    </row>
    <row r="1905" spans="1:13">
      <c r="A1905" s="3" t="s">
        <v>2450</v>
      </c>
      <c r="B1905" s="4">
        <v>0</v>
      </c>
      <c r="C1905" s="4">
        <v>0</v>
      </c>
      <c r="D1905" s="4">
        <v>25</v>
      </c>
      <c r="E1905" s="4">
        <v>36</v>
      </c>
      <c r="F1905" s="4">
        <v>28</v>
      </c>
      <c r="G1905" s="4">
        <v>23</v>
      </c>
      <c r="H1905" s="4">
        <v>15</v>
      </c>
      <c r="I1905" s="4">
        <v>30</v>
      </c>
      <c r="J1905" s="4">
        <v>55</v>
      </c>
      <c r="K1905" s="4">
        <v>42.5</v>
      </c>
      <c r="L1905" s="4">
        <v>27</v>
      </c>
      <c r="M1905" s="4">
        <v>20</v>
      </c>
    </row>
    <row r="1906" spans="1:13">
      <c r="A1906" s="3" t="s">
        <v>2451</v>
      </c>
      <c r="B1906" s="4">
        <v>0</v>
      </c>
      <c r="C1906" s="4">
        <v>0</v>
      </c>
      <c r="D1906" s="4">
        <v>51</v>
      </c>
      <c r="E1906" s="4">
        <v>30</v>
      </c>
      <c r="F1906" s="4">
        <v>25.1</v>
      </c>
      <c r="G1906" s="4">
        <v>15</v>
      </c>
      <c r="H1906" s="4">
        <v>35</v>
      </c>
      <c r="I1906" s="4">
        <v>0</v>
      </c>
      <c r="J1906" s="4">
        <v>26</v>
      </c>
      <c r="K1906" s="4">
        <v>31</v>
      </c>
      <c r="L1906" s="4">
        <v>32</v>
      </c>
      <c r="M1906" s="4">
        <v>20</v>
      </c>
    </row>
    <row r="1907" spans="1:13">
      <c r="A1907" s="3" t="s">
        <v>2452</v>
      </c>
      <c r="B1907" s="4">
        <v>0</v>
      </c>
      <c r="C1907" s="4">
        <v>0</v>
      </c>
      <c r="D1907" s="4">
        <v>133</v>
      </c>
      <c r="E1907" s="4">
        <v>126.1</v>
      </c>
      <c r="F1907" s="4">
        <v>51</v>
      </c>
      <c r="G1907" s="4">
        <v>47.5</v>
      </c>
      <c r="H1907" s="4">
        <v>99.5</v>
      </c>
      <c r="I1907" s="4">
        <v>43</v>
      </c>
      <c r="J1907" s="4">
        <v>70.5</v>
      </c>
      <c r="K1907" s="4">
        <v>37.5</v>
      </c>
      <c r="L1907" s="4">
        <v>0</v>
      </c>
      <c r="M1907" s="4">
        <v>21</v>
      </c>
    </row>
    <row r="1908" spans="1:13">
      <c r="A1908" s="3" t="s">
        <v>2453</v>
      </c>
      <c r="B1908" s="4">
        <v>0</v>
      </c>
      <c r="C1908" s="4">
        <v>0</v>
      </c>
      <c r="D1908" s="4">
        <v>15</v>
      </c>
      <c r="E1908" s="4">
        <v>171</v>
      </c>
      <c r="F1908" s="4">
        <v>22.5</v>
      </c>
      <c r="G1908" s="4">
        <v>0</v>
      </c>
      <c r="H1908" s="4">
        <v>7.5</v>
      </c>
      <c r="I1908" s="4">
        <v>10</v>
      </c>
      <c r="J1908" s="4">
        <v>62.5</v>
      </c>
      <c r="K1908" s="4">
        <v>0</v>
      </c>
      <c r="L1908" s="4">
        <v>0</v>
      </c>
      <c r="M1908" s="4">
        <v>11.5</v>
      </c>
    </row>
    <row r="1909" spans="1:13">
      <c r="A1909" s="3" t="s">
        <v>2454</v>
      </c>
      <c r="B1909" s="4">
        <v>0</v>
      </c>
      <c r="C1909" s="4">
        <v>0</v>
      </c>
      <c r="D1909" s="4">
        <v>40</v>
      </c>
      <c r="E1909" s="4">
        <v>30</v>
      </c>
      <c r="F1909" s="4">
        <v>15</v>
      </c>
      <c r="G1909" s="4">
        <v>0</v>
      </c>
      <c r="H1909" s="4">
        <v>0</v>
      </c>
      <c r="I1909" s="4">
        <v>0</v>
      </c>
      <c r="J1909" s="4">
        <v>70</v>
      </c>
      <c r="K1909" s="4">
        <v>0</v>
      </c>
      <c r="L1909" s="4">
        <v>25</v>
      </c>
      <c r="M1909" s="4">
        <v>10</v>
      </c>
    </row>
    <row r="1910" spans="1:13">
      <c r="A1910" s="3" t="s">
        <v>2455</v>
      </c>
      <c r="B1910" s="4">
        <v>0</v>
      </c>
      <c r="C1910" s="4">
        <v>0</v>
      </c>
      <c r="D1910" s="4">
        <v>110</v>
      </c>
      <c r="E1910" s="4">
        <v>20</v>
      </c>
      <c r="F1910" s="4">
        <v>35</v>
      </c>
      <c r="G1910" s="4">
        <v>7</v>
      </c>
      <c r="H1910" s="4">
        <v>35</v>
      </c>
      <c r="I1910" s="4">
        <v>10</v>
      </c>
      <c r="J1910" s="4">
        <v>35</v>
      </c>
      <c r="K1910" s="4">
        <v>64</v>
      </c>
      <c r="L1910" s="4">
        <v>15</v>
      </c>
      <c r="M1910" s="4">
        <v>75</v>
      </c>
    </row>
    <row r="1911" spans="1:13">
      <c r="A1911" s="3" t="s">
        <v>2456</v>
      </c>
      <c r="B1911" s="4">
        <v>0</v>
      </c>
      <c r="C1911" s="4">
        <v>0</v>
      </c>
      <c r="D1911" s="4">
        <v>121</v>
      </c>
      <c r="E1911" s="4">
        <v>128</v>
      </c>
      <c r="F1911" s="4">
        <v>115</v>
      </c>
      <c r="G1911" s="4">
        <v>127.45</v>
      </c>
      <c r="H1911" s="4">
        <v>52</v>
      </c>
      <c r="I1911" s="4">
        <v>54.7</v>
      </c>
      <c r="J1911" s="4">
        <v>136</v>
      </c>
      <c r="K1911" s="4">
        <v>86</v>
      </c>
      <c r="L1911" s="4">
        <v>102</v>
      </c>
      <c r="M1911" s="4">
        <v>76</v>
      </c>
    </row>
    <row r="1912" spans="1:13">
      <c r="A1912" s="3" t="s">
        <v>2457</v>
      </c>
      <c r="B1912" s="4">
        <v>0</v>
      </c>
      <c r="C1912" s="4">
        <v>0</v>
      </c>
      <c r="D1912" s="4">
        <v>0</v>
      </c>
      <c r="E1912" s="4">
        <v>0</v>
      </c>
      <c r="F1912" s="4">
        <v>0</v>
      </c>
      <c r="G1912" s="4">
        <v>79.5</v>
      </c>
      <c r="H1912" s="4">
        <v>34</v>
      </c>
      <c r="I1912" s="4">
        <v>15</v>
      </c>
      <c r="J1912" s="4">
        <v>67.5</v>
      </c>
      <c r="K1912" s="4">
        <v>0</v>
      </c>
      <c r="L1912" s="4">
        <v>77</v>
      </c>
      <c r="M1912" s="4">
        <v>50</v>
      </c>
    </row>
    <row r="1913" spans="1:13">
      <c r="A1913" s="3" t="s">
        <v>2458</v>
      </c>
      <c r="B1913" s="4">
        <v>0</v>
      </c>
      <c r="C1913" s="4">
        <v>0</v>
      </c>
      <c r="D1913" s="4">
        <v>35</v>
      </c>
      <c r="E1913" s="4">
        <v>26.5</v>
      </c>
      <c r="F1913" s="4">
        <v>35.5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</row>
    <row r="1914" spans="1:13">
      <c r="A1914" s="3" t="s">
        <v>2459</v>
      </c>
      <c r="B1914" s="4">
        <v>0</v>
      </c>
      <c r="C1914" s="4">
        <v>0</v>
      </c>
      <c r="D1914" s="4">
        <v>56.5</v>
      </c>
      <c r="E1914" s="4">
        <v>0</v>
      </c>
      <c r="F1914" s="4">
        <v>35</v>
      </c>
      <c r="G1914" s="4">
        <v>30</v>
      </c>
      <c r="H1914" s="4">
        <v>30</v>
      </c>
      <c r="I1914" s="4">
        <v>20</v>
      </c>
      <c r="J1914" s="4">
        <v>40</v>
      </c>
      <c r="K1914" s="4">
        <v>20</v>
      </c>
      <c r="L1914" s="4">
        <v>40</v>
      </c>
      <c r="M1914" s="4">
        <v>129.5</v>
      </c>
    </row>
    <row r="1915" spans="1:13">
      <c r="A1915" s="3" t="s">
        <v>2460</v>
      </c>
      <c r="B1915" s="4">
        <v>0</v>
      </c>
      <c r="C1915" s="4">
        <v>0</v>
      </c>
      <c r="D1915" s="4">
        <v>0</v>
      </c>
      <c r="E1915" s="4">
        <v>110</v>
      </c>
      <c r="F1915" s="4">
        <v>70</v>
      </c>
      <c r="G1915" s="4">
        <v>90</v>
      </c>
      <c r="H1915" s="4">
        <v>155</v>
      </c>
      <c r="I1915" s="4">
        <v>70</v>
      </c>
      <c r="J1915" s="4">
        <v>72</v>
      </c>
      <c r="K1915" s="4">
        <v>95</v>
      </c>
      <c r="L1915" s="4">
        <v>70</v>
      </c>
      <c r="M1915" s="4">
        <v>125</v>
      </c>
    </row>
    <row r="1916" spans="1:13">
      <c r="A1916" s="3" t="s">
        <v>2461</v>
      </c>
      <c r="B1916" s="4">
        <v>0</v>
      </c>
      <c r="C1916" s="4">
        <v>0</v>
      </c>
      <c r="D1916" s="4">
        <v>65</v>
      </c>
      <c r="E1916" s="4">
        <v>82.5</v>
      </c>
      <c r="F1916" s="4">
        <v>0</v>
      </c>
      <c r="G1916" s="4">
        <v>30</v>
      </c>
      <c r="H1916" s="4">
        <v>0</v>
      </c>
      <c r="I1916" s="4">
        <v>44.5</v>
      </c>
      <c r="J1916" s="4">
        <v>0</v>
      </c>
      <c r="K1916" s="4">
        <v>0</v>
      </c>
      <c r="L1916" s="4">
        <v>0</v>
      </c>
      <c r="M1916" s="4">
        <v>0</v>
      </c>
    </row>
    <row r="1917" spans="1:13">
      <c r="A1917" s="3" t="s">
        <v>2462</v>
      </c>
      <c r="B1917" s="4">
        <v>0</v>
      </c>
      <c r="C1917" s="4">
        <v>0</v>
      </c>
      <c r="D1917" s="4">
        <v>0</v>
      </c>
      <c r="E1917" s="4">
        <v>54.15</v>
      </c>
      <c r="F1917" s="4">
        <v>27</v>
      </c>
      <c r="G1917" s="4">
        <v>17.5</v>
      </c>
      <c r="H1917" s="4">
        <v>0</v>
      </c>
      <c r="I1917" s="4">
        <v>2.5</v>
      </c>
      <c r="J1917" s="4">
        <v>47.5</v>
      </c>
      <c r="K1917" s="4">
        <v>73.349999999999994</v>
      </c>
      <c r="L1917" s="4">
        <v>51</v>
      </c>
      <c r="M1917" s="4">
        <v>20</v>
      </c>
    </row>
    <row r="1918" spans="1:13">
      <c r="A1918" s="3" t="s">
        <v>2463</v>
      </c>
      <c r="B1918" s="4">
        <v>0</v>
      </c>
      <c r="C1918" s="4">
        <v>0</v>
      </c>
      <c r="D1918" s="4">
        <v>46.5</v>
      </c>
      <c r="E1918" s="4">
        <v>66.75</v>
      </c>
      <c r="F1918" s="4">
        <v>30</v>
      </c>
      <c r="G1918" s="4">
        <v>10</v>
      </c>
      <c r="H1918" s="4">
        <v>10</v>
      </c>
      <c r="I1918" s="4">
        <v>0</v>
      </c>
      <c r="J1918" s="4">
        <v>0</v>
      </c>
      <c r="K1918" s="4">
        <v>5</v>
      </c>
      <c r="L1918" s="4">
        <v>10</v>
      </c>
      <c r="M1918" s="4">
        <v>115</v>
      </c>
    </row>
    <row r="1919" spans="1:13">
      <c r="A1919" s="3" t="s">
        <v>2464</v>
      </c>
      <c r="B1919" s="4">
        <v>0</v>
      </c>
      <c r="C1919" s="4">
        <v>0</v>
      </c>
      <c r="D1919" s="4">
        <v>30</v>
      </c>
      <c r="E1919" s="4">
        <v>60</v>
      </c>
      <c r="F1919" s="4">
        <v>2.5</v>
      </c>
      <c r="G1919" s="4">
        <v>35</v>
      </c>
      <c r="H1919" s="4">
        <v>65</v>
      </c>
      <c r="I1919" s="4">
        <v>0</v>
      </c>
      <c r="J1919" s="4">
        <v>22.5</v>
      </c>
      <c r="K1919" s="4">
        <v>30</v>
      </c>
      <c r="L1919" s="4">
        <v>30</v>
      </c>
      <c r="M1919" s="4">
        <v>20</v>
      </c>
    </row>
    <row r="1920" spans="1:13">
      <c r="A1920" s="3" t="s">
        <v>2465</v>
      </c>
      <c r="B1920" s="4">
        <v>0</v>
      </c>
      <c r="C1920" s="4">
        <v>0</v>
      </c>
      <c r="D1920" s="4">
        <v>35</v>
      </c>
      <c r="E1920" s="4">
        <v>55</v>
      </c>
      <c r="F1920" s="4">
        <v>25</v>
      </c>
      <c r="G1920" s="4">
        <v>35</v>
      </c>
      <c r="H1920" s="4">
        <v>15</v>
      </c>
      <c r="I1920" s="4">
        <v>0</v>
      </c>
      <c r="J1920" s="4">
        <v>27.5</v>
      </c>
      <c r="K1920" s="4">
        <v>60</v>
      </c>
      <c r="L1920" s="4">
        <v>60</v>
      </c>
      <c r="M1920" s="4">
        <v>90</v>
      </c>
    </row>
    <row r="1921" spans="1:13">
      <c r="A1921" s="3" t="s">
        <v>2466</v>
      </c>
      <c r="B1921" s="4">
        <v>0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10</v>
      </c>
      <c r="I1921" s="4">
        <v>0</v>
      </c>
      <c r="J1921" s="4">
        <v>0</v>
      </c>
      <c r="K1921" s="4">
        <v>0</v>
      </c>
      <c r="L1921" s="4">
        <v>15</v>
      </c>
      <c r="M1921" s="4">
        <v>0</v>
      </c>
    </row>
    <row r="1922" spans="1:13">
      <c r="A1922" s="3" t="s">
        <v>2467</v>
      </c>
      <c r="B1922" s="4">
        <v>0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52.5</v>
      </c>
    </row>
    <row r="1923" spans="1:13">
      <c r="A1923" s="3" t="s">
        <v>2468</v>
      </c>
      <c r="B1923" s="4">
        <v>0</v>
      </c>
      <c r="C1923" s="4">
        <v>0</v>
      </c>
      <c r="D1923" s="4">
        <v>35</v>
      </c>
      <c r="E1923" s="4">
        <v>0</v>
      </c>
      <c r="F1923" s="4">
        <v>27</v>
      </c>
      <c r="G1923" s="4">
        <v>0</v>
      </c>
      <c r="H1923" s="4">
        <v>10</v>
      </c>
      <c r="I1923" s="4">
        <v>0</v>
      </c>
      <c r="J1923" s="4">
        <v>37.5</v>
      </c>
      <c r="K1923" s="4">
        <v>0</v>
      </c>
      <c r="L1923" s="4">
        <v>17.5</v>
      </c>
      <c r="M1923" s="4">
        <v>16.5</v>
      </c>
    </row>
    <row r="1924" spans="1:13">
      <c r="A1924" s="3" t="s">
        <v>2469</v>
      </c>
      <c r="B1924" s="4">
        <v>0</v>
      </c>
      <c r="C1924" s="4">
        <v>0</v>
      </c>
      <c r="D1924" s="4">
        <v>0</v>
      </c>
      <c r="E1924" s="4">
        <v>51.5</v>
      </c>
      <c r="F1924" s="4">
        <v>40</v>
      </c>
      <c r="G1924" s="4">
        <v>42.9</v>
      </c>
      <c r="H1924" s="4">
        <v>194</v>
      </c>
      <c r="I1924" s="4">
        <v>35</v>
      </c>
      <c r="J1924" s="4">
        <v>52.5</v>
      </c>
      <c r="K1924" s="4">
        <v>177</v>
      </c>
      <c r="L1924" s="4">
        <v>347</v>
      </c>
      <c r="M1924" s="4">
        <v>239</v>
      </c>
    </row>
    <row r="1925" spans="1:13">
      <c r="A1925" s="3" t="s">
        <v>2470</v>
      </c>
      <c r="B1925" s="4">
        <v>0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20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</row>
    <row r="1926" spans="1:13">
      <c r="A1926" s="3" t="s">
        <v>2471</v>
      </c>
      <c r="B1926" s="4">
        <v>0</v>
      </c>
      <c r="C1926" s="4">
        <v>0</v>
      </c>
      <c r="D1926" s="4">
        <v>59.5</v>
      </c>
      <c r="E1926" s="4">
        <v>45</v>
      </c>
      <c r="F1926" s="4">
        <v>20</v>
      </c>
      <c r="G1926" s="4">
        <v>0</v>
      </c>
      <c r="H1926" s="4">
        <v>20</v>
      </c>
      <c r="I1926" s="4">
        <v>15</v>
      </c>
      <c r="J1926" s="4">
        <v>48</v>
      </c>
      <c r="K1926" s="4">
        <v>27</v>
      </c>
      <c r="L1926" s="4">
        <v>22</v>
      </c>
      <c r="M1926" s="4">
        <v>42</v>
      </c>
    </row>
    <row r="1927" spans="1:13">
      <c r="A1927" s="3" t="s">
        <v>2472</v>
      </c>
      <c r="B1927" s="4">
        <v>0</v>
      </c>
      <c r="C1927" s="4">
        <v>0</v>
      </c>
      <c r="D1927" s="4">
        <v>42</v>
      </c>
      <c r="E1927" s="4">
        <v>44.5</v>
      </c>
      <c r="F1927" s="4">
        <v>29.5</v>
      </c>
      <c r="G1927" s="4">
        <v>36</v>
      </c>
      <c r="H1927" s="4">
        <v>18</v>
      </c>
      <c r="I1927" s="4">
        <v>21</v>
      </c>
      <c r="J1927" s="4">
        <v>51.5</v>
      </c>
      <c r="K1927" s="4">
        <v>30</v>
      </c>
      <c r="L1927" s="4">
        <v>10</v>
      </c>
      <c r="M1927" s="4">
        <v>27.5</v>
      </c>
    </row>
    <row r="1928" spans="1:13">
      <c r="A1928" s="3" t="s">
        <v>2473</v>
      </c>
      <c r="B1928" s="4">
        <v>0</v>
      </c>
      <c r="C1928" s="4">
        <v>0</v>
      </c>
      <c r="D1928" s="4">
        <v>35</v>
      </c>
      <c r="E1928" s="4">
        <v>74</v>
      </c>
      <c r="F1928" s="4">
        <v>52</v>
      </c>
      <c r="G1928" s="4">
        <v>69.5</v>
      </c>
      <c r="H1928" s="4">
        <v>53</v>
      </c>
      <c r="I1928" s="4">
        <v>11</v>
      </c>
      <c r="J1928" s="4">
        <v>102.5</v>
      </c>
      <c r="K1928" s="4">
        <v>100</v>
      </c>
      <c r="L1928" s="4">
        <v>47.5</v>
      </c>
      <c r="M1928" s="4">
        <v>57</v>
      </c>
    </row>
    <row r="1929" spans="1:13">
      <c r="A1929" s="3" t="s">
        <v>2474</v>
      </c>
      <c r="B1929" s="4">
        <v>0</v>
      </c>
      <c r="C1929" s="4">
        <v>0</v>
      </c>
      <c r="D1929" s="4">
        <v>101.1</v>
      </c>
      <c r="E1929" s="4">
        <v>53</v>
      </c>
      <c r="F1929" s="4">
        <v>51</v>
      </c>
      <c r="G1929" s="4">
        <v>37</v>
      </c>
      <c r="H1929" s="4">
        <v>1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</row>
    <row r="1930" spans="1:13">
      <c r="A1930" s="3" t="s">
        <v>2475</v>
      </c>
      <c r="B1930" s="4">
        <v>0</v>
      </c>
      <c r="C1930" s="4">
        <v>0</v>
      </c>
      <c r="D1930" s="4">
        <v>10</v>
      </c>
      <c r="E1930" s="4">
        <v>35.35</v>
      </c>
      <c r="F1930" s="4">
        <v>20</v>
      </c>
      <c r="G1930" s="4">
        <v>20</v>
      </c>
      <c r="H1930" s="4">
        <v>33</v>
      </c>
      <c r="I1930" s="4">
        <v>10</v>
      </c>
      <c r="J1930" s="4">
        <v>23</v>
      </c>
      <c r="K1930" s="4">
        <v>30.5</v>
      </c>
      <c r="L1930" s="4">
        <v>10</v>
      </c>
      <c r="M1930" s="4">
        <v>30</v>
      </c>
    </row>
    <row r="1931" spans="1:13">
      <c r="A1931" s="3" t="s">
        <v>2476</v>
      </c>
      <c r="B1931" s="4">
        <v>0</v>
      </c>
      <c r="C1931" s="4">
        <v>0</v>
      </c>
      <c r="D1931" s="4">
        <v>30</v>
      </c>
      <c r="E1931" s="4">
        <v>112.75</v>
      </c>
      <c r="F1931" s="4">
        <v>103.5</v>
      </c>
      <c r="G1931" s="4">
        <v>59</v>
      </c>
      <c r="H1931" s="4">
        <v>122.5</v>
      </c>
      <c r="I1931" s="4">
        <v>112</v>
      </c>
      <c r="J1931" s="4">
        <v>151</v>
      </c>
      <c r="K1931" s="4">
        <v>150</v>
      </c>
      <c r="L1931" s="4">
        <v>106</v>
      </c>
      <c r="M1931" s="4">
        <v>116.5</v>
      </c>
    </row>
    <row r="1932" spans="1:13">
      <c r="A1932" s="3" t="s">
        <v>2477</v>
      </c>
      <c r="B1932" s="4">
        <v>0</v>
      </c>
      <c r="C1932" s="4">
        <v>0</v>
      </c>
      <c r="D1932" s="4">
        <v>35</v>
      </c>
      <c r="E1932" s="4">
        <v>144.94999999999999</v>
      </c>
      <c r="F1932" s="4">
        <v>50</v>
      </c>
      <c r="G1932" s="4">
        <v>20</v>
      </c>
      <c r="H1932" s="4">
        <v>15</v>
      </c>
      <c r="I1932" s="4">
        <v>0</v>
      </c>
      <c r="J1932" s="4">
        <v>50</v>
      </c>
      <c r="K1932" s="4">
        <v>65</v>
      </c>
      <c r="L1932" s="4">
        <v>35</v>
      </c>
      <c r="M1932" s="4">
        <v>60.75</v>
      </c>
    </row>
    <row r="1933" spans="1:13">
      <c r="A1933" s="3" t="s">
        <v>2478</v>
      </c>
      <c r="B1933" s="4">
        <v>0</v>
      </c>
      <c r="C1933" s="4">
        <v>0</v>
      </c>
      <c r="D1933" s="4">
        <v>42</v>
      </c>
      <c r="E1933" s="4">
        <v>260</v>
      </c>
      <c r="F1933" s="4">
        <v>50</v>
      </c>
      <c r="G1933" s="4">
        <v>102.5</v>
      </c>
      <c r="H1933" s="4">
        <v>119</v>
      </c>
      <c r="I1933" s="4">
        <v>42</v>
      </c>
      <c r="J1933" s="4">
        <v>181.85</v>
      </c>
      <c r="K1933" s="4">
        <v>120</v>
      </c>
      <c r="L1933" s="4">
        <v>161</v>
      </c>
      <c r="M1933" s="4">
        <v>229</v>
      </c>
    </row>
    <row r="1934" spans="1:13">
      <c r="A1934" s="3" t="s">
        <v>2479</v>
      </c>
      <c r="B1934" s="4">
        <v>0</v>
      </c>
      <c r="C1934" s="4">
        <v>0</v>
      </c>
      <c r="D1934" s="4">
        <v>47</v>
      </c>
      <c r="E1934" s="4">
        <v>66</v>
      </c>
      <c r="F1934" s="4">
        <v>81.75</v>
      </c>
      <c r="G1934" s="4">
        <v>65</v>
      </c>
      <c r="H1934" s="4">
        <v>71.650000000000006</v>
      </c>
      <c r="I1934" s="4">
        <v>20</v>
      </c>
      <c r="J1934" s="4">
        <v>62</v>
      </c>
      <c r="K1934" s="4">
        <v>85</v>
      </c>
      <c r="L1934" s="4">
        <v>40</v>
      </c>
      <c r="M1934" s="4">
        <v>71</v>
      </c>
    </row>
    <row r="1935" spans="1:13">
      <c r="A1935" s="3" t="s">
        <v>2480</v>
      </c>
      <c r="B1935" s="4">
        <v>0</v>
      </c>
      <c r="C1935" s="4">
        <v>0</v>
      </c>
      <c r="D1935" s="4">
        <v>0</v>
      </c>
      <c r="E1935" s="4">
        <v>22.5</v>
      </c>
      <c r="F1935" s="4">
        <v>0</v>
      </c>
      <c r="G1935" s="4">
        <v>7.5</v>
      </c>
      <c r="H1935" s="4">
        <v>22</v>
      </c>
      <c r="I1935" s="4">
        <v>25</v>
      </c>
      <c r="J1935" s="4">
        <v>30</v>
      </c>
      <c r="K1935" s="4">
        <v>30</v>
      </c>
      <c r="L1935" s="4">
        <v>0</v>
      </c>
      <c r="M1935" s="4">
        <v>0</v>
      </c>
    </row>
    <row r="1936" spans="1:13">
      <c r="A1936" s="3" t="s">
        <v>2481</v>
      </c>
      <c r="B1936" s="4">
        <v>0</v>
      </c>
      <c r="C1936" s="4">
        <v>0</v>
      </c>
      <c r="D1936" s="4">
        <v>0</v>
      </c>
      <c r="E1936" s="4">
        <v>9.5</v>
      </c>
      <c r="F1936" s="4">
        <v>5</v>
      </c>
      <c r="G1936" s="4">
        <v>6</v>
      </c>
      <c r="H1936" s="4">
        <v>5</v>
      </c>
      <c r="I1936" s="4">
        <v>10</v>
      </c>
      <c r="J1936" s="4">
        <v>30</v>
      </c>
      <c r="K1936" s="4">
        <v>35</v>
      </c>
      <c r="L1936" s="4">
        <v>70</v>
      </c>
      <c r="M1936" s="4">
        <v>0</v>
      </c>
    </row>
    <row r="1937" spans="1:13">
      <c r="A1937" s="3" t="s">
        <v>2482</v>
      </c>
      <c r="B1937" s="4">
        <v>0</v>
      </c>
      <c r="C1937" s="4">
        <v>0</v>
      </c>
      <c r="D1937" s="4">
        <v>0</v>
      </c>
      <c r="E1937" s="4">
        <v>4.5</v>
      </c>
      <c r="F1937" s="4">
        <v>0</v>
      </c>
      <c r="G1937" s="4">
        <v>2</v>
      </c>
      <c r="H1937" s="4">
        <v>0</v>
      </c>
      <c r="I1937" s="4">
        <v>0</v>
      </c>
      <c r="J1937" s="4">
        <v>0</v>
      </c>
      <c r="K1937" s="4">
        <v>10</v>
      </c>
      <c r="L1937" s="4">
        <v>10</v>
      </c>
      <c r="M1937" s="4">
        <v>0</v>
      </c>
    </row>
    <row r="1938" spans="1:13">
      <c r="A1938" s="3" t="s">
        <v>2483</v>
      </c>
      <c r="B1938" s="4">
        <v>0</v>
      </c>
      <c r="C1938" s="4">
        <v>0</v>
      </c>
      <c r="D1938" s="4">
        <v>0</v>
      </c>
      <c r="E1938" s="4">
        <v>30</v>
      </c>
      <c r="F1938" s="4">
        <v>20</v>
      </c>
      <c r="G1938" s="4">
        <v>0</v>
      </c>
      <c r="H1938" s="4">
        <v>10</v>
      </c>
      <c r="I1938" s="4">
        <v>25</v>
      </c>
      <c r="J1938" s="4">
        <v>35</v>
      </c>
      <c r="K1938" s="4">
        <v>40</v>
      </c>
      <c r="L1938" s="4">
        <v>30</v>
      </c>
      <c r="M1938" s="4">
        <v>20</v>
      </c>
    </row>
    <row r="1939" spans="1:13">
      <c r="A1939" s="3" t="s">
        <v>2484</v>
      </c>
      <c r="B1939" s="4">
        <v>0</v>
      </c>
      <c r="C1939" s="4">
        <v>0</v>
      </c>
      <c r="D1939" s="4">
        <v>0</v>
      </c>
      <c r="E1939" s="4">
        <v>0</v>
      </c>
      <c r="F1939" s="4">
        <v>50</v>
      </c>
      <c r="G1939" s="4">
        <v>20</v>
      </c>
      <c r="H1939" s="4">
        <v>10</v>
      </c>
      <c r="I1939" s="4">
        <v>5</v>
      </c>
      <c r="J1939" s="4">
        <v>32.5</v>
      </c>
      <c r="K1939" s="4">
        <v>27</v>
      </c>
      <c r="L1939" s="4">
        <v>7.5</v>
      </c>
      <c r="M1939" s="4">
        <v>15</v>
      </c>
    </row>
    <row r="1940" spans="1:13">
      <c r="A1940" s="3" t="s">
        <v>2485</v>
      </c>
      <c r="B1940" s="4">
        <v>0</v>
      </c>
      <c r="C1940" s="4">
        <v>0</v>
      </c>
      <c r="D1940" s="4">
        <v>45</v>
      </c>
      <c r="E1940" s="4">
        <v>157</v>
      </c>
      <c r="F1940" s="4">
        <v>55</v>
      </c>
      <c r="G1940" s="4">
        <v>65</v>
      </c>
      <c r="H1940" s="4">
        <v>85.35</v>
      </c>
      <c r="I1940" s="4">
        <v>70</v>
      </c>
      <c r="J1940" s="4">
        <v>189</v>
      </c>
      <c r="K1940" s="4">
        <v>65</v>
      </c>
      <c r="L1940" s="4">
        <v>214</v>
      </c>
      <c r="M1940" s="4">
        <v>308</v>
      </c>
    </row>
    <row r="1941" spans="1:13">
      <c r="A1941" s="3" t="s">
        <v>2486</v>
      </c>
      <c r="B1941" s="4">
        <v>0</v>
      </c>
      <c r="C1941" s="4">
        <v>0</v>
      </c>
      <c r="D1941" s="4">
        <v>5</v>
      </c>
      <c r="E1941" s="4">
        <v>0</v>
      </c>
      <c r="F1941" s="4">
        <v>10</v>
      </c>
      <c r="G1941" s="4">
        <v>12.05</v>
      </c>
      <c r="H1941" s="4">
        <v>8</v>
      </c>
      <c r="I1941" s="4">
        <v>5</v>
      </c>
      <c r="J1941" s="4">
        <v>5</v>
      </c>
      <c r="K1941" s="4">
        <v>0</v>
      </c>
      <c r="L1941" s="4">
        <v>0</v>
      </c>
      <c r="M1941" s="4">
        <v>2</v>
      </c>
    </row>
    <row r="1942" spans="1:13">
      <c r="A1942" s="3" t="s">
        <v>2487</v>
      </c>
      <c r="B1942" s="4">
        <v>0</v>
      </c>
      <c r="C1942" s="4">
        <v>0</v>
      </c>
      <c r="D1942" s="4">
        <v>0</v>
      </c>
      <c r="E1942" s="4">
        <v>0</v>
      </c>
      <c r="F1942" s="4">
        <v>30</v>
      </c>
      <c r="G1942" s="4">
        <v>20</v>
      </c>
      <c r="H1942" s="4">
        <v>30</v>
      </c>
      <c r="I1942" s="4">
        <v>40</v>
      </c>
      <c r="J1942" s="4">
        <v>0</v>
      </c>
      <c r="K1942" s="4">
        <v>0</v>
      </c>
      <c r="L1942" s="4">
        <v>25</v>
      </c>
      <c r="M1942" s="4">
        <v>0</v>
      </c>
    </row>
    <row r="1943" spans="1:13">
      <c r="A1943" s="3" t="s">
        <v>2488</v>
      </c>
      <c r="B1943" s="4">
        <v>0</v>
      </c>
      <c r="C1943" s="4">
        <v>0</v>
      </c>
      <c r="D1943" s="4">
        <v>0</v>
      </c>
      <c r="E1943" s="4">
        <v>10.5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</row>
    <row r="1944" spans="1:13">
      <c r="A1944" s="3" t="s">
        <v>2489</v>
      </c>
      <c r="B1944" s="4">
        <v>0</v>
      </c>
      <c r="C1944" s="4">
        <v>0</v>
      </c>
      <c r="D1944" s="4">
        <v>10</v>
      </c>
      <c r="E1944" s="4">
        <v>76</v>
      </c>
      <c r="F1944" s="4">
        <v>59.5</v>
      </c>
      <c r="G1944" s="4">
        <v>115</v>
      </c>
      <c r="H1944" s="4">
        <v>169.65</v>
      </c>
      <c r="I1944" s="4">
        <v>33</v>
      </c>
      <c r="J1944" s="4">
        <v>54.25</v>
      </c>
      <c r="K1944" s="4">
        <v>140.5</v>
      </c>
      <c r="L1944" s="4">
        <v>216.5</v>
      </c>
      <c r="M1944" s="4">
        <v>310.5</v>
      </c>
    </row>
    <row r="1945" spans="1:13">
      <c r="A1945" s="3" t="s">
        <v>2490</v>
      </c>
      <c r="B1945" s="4">
        <v>0</v>
      </c>
      <c r="C1945" s="4">
        <v>0</v>
      </c>
      <c r="D1945" s="4">
        <v>0</v>
      </c>
      <c r="E1945" s="4">
        <v>5</v>
      </c>
      <c r="F1945" s="4">
        <v>0</v>
      </c>
      <c r="G1945" s="4">
        <v>10</v>
      </c>
      <c r="H1945" s="4">
        <v>10</v>
      </c>
      <c r="I1945" s="4">
        <v>20</v>
      </c>
      <c r="J1945" s="4">
        <v>2.5</v>
      </c>
      <c r="K1945" s="4">
        <v>0</v>
      </c>
      <c r="L1945" s="4">
        <v>0</v>
      </c>
      <c r="M1945" s="4">
        <v>0</v>
      </c>
    </row>
    <row r="1946" spans="1:13">
      <c r="A1946" s="3" t="s">
        <v>2491</v>
      </c>
      <c r="B1946" s="4">
        <v>0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20</v>
      </c>
      <c r="L1946" s="4">
        <v>157</v>
      </c>
      <c r="M1946" s="4">
        <v>65</v>
      </c>
    </row>
    <row r="1947" spans="1:13">
      <c r="A1947" s="3" t="s">
        <v>2492</v>
      </c>
      <c r="B1947" s="4">
        <v>0</v>
      </c>
      <c r="C1947" s="4">
        <v>0</v>
      </c>
      <c r="D1947" s="4">
        <v>0</v>
      </c>
      <c r="E1947" s="4">
        <v>101.75</v>
      </c>
      <c r="F1947" s="4">
        <v>15</v>
      </c>
      <c r="G1947" s="4">
        <v>63.5</v>
      </c>
      <c r="H1947" s="4">
        <v>10</v>
      </c>
      <c r="I1947" s="4">
        <v>17.5</v>
      </c>
      <c r="J1947" s="4">
        <v>10</v>
      </c>
      <c r="K1947" s="4">
        <v>0</v>
      </c>
      <c r="L1947" s="4">
        <v>0</v>
      </c>
      <c r="M1947" s="4">
        <v>0</v>
      </c>
    </row>
    <row r="1948" spans="1:13">
      <c r="A1948" s="3" t="s">
        <v>2493</v>
      </c>
      <c r="B1948" s="4">
        <v>0</v>
      </c>
      <c r="C1948" s="4">
        <v>0</v>
      </c>
      <c r="D1948" s="4">
        <v>0</v>
      </c>
      <c r="E1948" s="4">
        <v>5</v>
      </c>
      <c r="F1948" s="4">
        <v>23.5</v>
      </c>
      <c r="G1948" s="4">
        <v>54.5</v>
      </c>
      <c r="H1948" s="4">
        <v>5</v>
      </c>
      <c r="I1948" s="4">
        <v>92.5</v>
      </c>
      <c r="J1948" s="4">
        <v>122.25</v>
      </c>
      <c r="K1948" s="4">
        <v>84</v>
      </c>
      <c r="L1948" s="4">
        <v>168.75</v>
      </c>
      <c r="M1948" s="4">
        <v>194.1</v>
      </c>
    </row>
    <row r="1949" spans="1:13">
      <c r="A1949" s="3" t="s">
        <v>2494</v>
      </c>
      <c r="B1949" s="4">
        <v>0</v>
      </c>
      <c r="C1949" s="4">
        <v>0</v>
      </c>
      <c r="D1949" s="4">
        <v>0</v>
      </c>
      <c r="E1949" s="4">
        <v>35</v>
      </c>
      <c r="F1949" s="4">
        <v>80</v>
      </c>
      <c r="G1949" s="4">
        <v>15</v>
      </c>
      <c r="H1949" s="4">
        <v>55</v>
      </c>
      <c r="I1949" s="4">
        <v>0</v>
      </c>
      <c r="J1949" s="4">
        <v>24</v>
      </c>
      <c r="K1949" s="4">
        <v>60</v>
      </c>
      <c r="L1949" s="4">
        <v>80</v>
      </c>
      <c r="M1949" s="4">
        <v>93</v>
      </c>
    </row>
    <row r="1950" spans="1:13">
      <c r="A1950" s="3" t="s">
        <v>2495</v>
      </c>
      <c r="B1950" s="4">
        <v>0</v>
      </c>
      <c r="C1950" s="4">
        <v>0</v>
      </c>
      <c r="D1950" s="4">
        <v>0</v>
      </c>
      <c r="E1950" s="4">
        <v>0</v>
      </c>
      <c r="F1950" s="4">
        <v>25</v>
      </c>
      <c r="G1950" s="4">
        <v>0</v>
      </c>
      <c r="H1950" s="4">
        <v>35</v>
      </c>
      <c r="I1950" s="4">
        <v>0</v>
      </c>
      <c r="J1950" s="4">
        <v>22.5</v>
      </c>
      <c r="K1950" s="4">
        <v>0</v>
      </c>
      <c r="L1950" s="4">
        <v>10</v>
      </c>
      <c r="M1950" s="4">
        <v>0</v>
      </c>
    </row>
    <row r="1951" spans="1:13">
      <c r="A1951" s="3" t="s">
        <v>2496</v>
      </c>
      <c r="B1951" s="4">
        <v>0</v>
      </c>
      <c r="C1951" s="4">
        <v>0</v>
      </c>
      <c r="D1951" s="4">
        <v>0</v>
      </c>
      <c r="E1951" s="4">
        <v>21.5</v>
      </c>
      <c r="F1951" s="4">
        <v>38</v>
      </c>
      <c r="G1951" s="4">
        <v>10</v>
      </c>
      <c r="H1951" s="4">
        <v>6</v>
      </c>
      <c r="I1951" s="4">
        <v>10</v>
      </c>
      <c r="J1951" s="4">
        <v>29.5</v>
      </c>
      <c r="K1951" s="4">
        <v>5</v>
      </c>
      <c r="L1951" s="4">
        <v>21</v>
      </c>
      <c r="M1951" s="4">
        <v>36</v>
      </c>
    </row>
    <row r="1952" spans="1:13">
      <c r="A1952" s="3" t="s">
        <v>2497</v>
      </c>
      <c r="B1952" s="4">
        <v>0</v>
      </c>
      <c r="C1952" s="4">
        <v>0</v>
      </c>
      <c r="D1952" s="4">
        <v>0</v>
      </c>
      <c r="E1952" s="4">
        <v>80</v>
      </c>
      <c r="F1952" s="4">
        <v>113.75</v>
      </c>
      <c r="G1952" s="4">
        <v>67.5</v>
      </c>
      <c r="H1952" s="4">
        <v>33</v>
      </c>
      <c r="I1952" s="4">
        <v>63.5</v>
      </c>
      <c r="J1952" s="4">
        <v>89.5</v>
      </c>
      <c r="K1952" s="4">
        <v>56</v>
      </c>
      <c r="L1952" s="4">
        <v>114.5</v>
      </c>
      <c r="M1952" s="4">
        <v>52.25</v>
      </c>
    </row>
    <row r="1953" spans="1:13">
      <c r="A1953" s="3" t="s">
        <v>2498</v>
      </c>
      <c r="B1953" s="4">
        <v>0</v>
      </c>
      <c r="C1953" s="4">
        <v>0</v>
      </c>
      <c r="D1953" s="4">
        <v>0</v>
      </c>
      <c r="E1953" s="4">
        <v>70</v>
      </c>
      <c r="F1953" s="4">
        <v>35</v>
      </c>
      <c r="G1953" s="4">
        <v>39.5</v>
      </c>
      <c r="H1953" s="4">
        <v>100</v>
      </c>
      <c r="I1953" s="4">
        <v>0</v>
      </c>
      <c r="J1953" s="4">
        <v>147.5</v>
      </c>
      <c r="K1953" s="4">
        <v>112.5</v>
      </c>
      <c r="L1953" s="4">
        <v>75</v>
      </c>
      <c r="M1953" s="4">
        <v>257.5</v>
      </c>
    </row>
    <row r="1954" spans="1:13">
      <c r="A1954" s="3" t="s">
        <v>2499</v>
      </c>
      <c r="B1954" s="4">
        <v>0</v>
      </c>
      <c r="C1954" s="4">
        <v>0</v>
      </c>
      <c r="D1954" s="4">
        <v>0</v>
      </c>
      <c r="E1954" s="4">
        <v>47.5</v>
      </c>
      <c r="F1954" s="4">
        <v>46</v>
      </c>
      <c r="G1954" s="4">
        <v>17.5</v>
      </c>
      <c r="H1954" s="4">
        <v>27.5</v>
      </c>
      <c r="I1954" s="4">
        <v>0</v>
      </c>
      <c r="J1954" s="4">
        <v>11</v>
      </c>
      <c r="K1954" s="4">
        <v>10</v>
      </c>
      <c r="L1954" s="4">
        <v>22.5</v>
      </c>
      <c r="M1954" s="4">
        <v>30</v>
      </c>
    </row>
    <row r="1955" spans="1:13">
      <c r="A1955" s="3" t="s">
        <v>2500</v>
      </c>
      <c r="B1955" s="4">
        <v>0</v>
      </c>
      <c r="C1955" s="4">
        <v>0</v>
      </c>
      <c r="D1955" s="4">
        <v>0</v>
      </c>
      <c r="E1955" s="4">
        <v>39</v>
      </c>
      <c r="F1955" s="4">
        <v>16.5</v>
      </c>
      <c r="G1955" s="4">
        <v>0</v>
      </c>
      <c r="H1955" s="4">
        <v>0</v>
      </c>
      <c r="I1955" s="4">
        <v>0</v>
      </c>
      <c r="J1955" s="4">
        <v>30</v>
      </c>
      <c r="K1955" s="4">
        <v>10</v>
      </c>
      <c r="L1955" s="4">
        <v>15</v>
      </c>
      <c r="M1955" s="4">
        <v>0</v>
      </c>
    </row>
    <row r="1956" spans="1:13">
      <c r="A1956" s="3" t="s">
        <v>2501</v>
      </c>
      <c r="B1956" s="4">
        <v>0</v>
      </c>
      <c r="C1956" s="4">
        <v>0</v>
      </c>
      <c r="D1956" s="4">
        <v>0</v>
      </c>
      <c r="E1956" s="4">
        <v>3</v>
      </c>
      <c r="F1956" s="4">
        <v>17</v>
      </c>
      <c r="G1956" s="4">
        <v>18</v>
      </c>
      <c r="H1956" s="4">
        <v>20.5</v>
      </c>
      <c r="I1956" s="4">
        <v>28</v>
      </c>
      <c r="J1956" s="4">
        <v>7.5</v>
      </c>
      <c r="K1956" s="4">
        <v>0</v>
      </c>
      <c r="L1956" s="4">
        <v>0</v>
      </c>
      <c r="M1956" s="4">
        <v>0</v>
      </c>
    </row>
    <row r="1957" spans="1:13">
      <c r="A1957" s="3" t="s">
        <v>2502</v>
      </c>
      <c r="B1957" s="4">
        <v>0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70</v>
      </c>
      <c r="K1957" s="4">
        <v>30</v>
      </c>
      <c r="L1957" s="4">
        <v>41</v>
      </c>
      <c r="M1957" s="4">
        <v>35</v>
      </c>
    </row>
    <row r="1958" spans="1:13">
      <c r="A1958" s="3" t="s">
        <v>2503</v>
      </c>
      <c r="B1958" s="4">
        <v>0</v>
      </c>
      <c r="C1958" s="4">
        <v>0</v>
      </c>
      <c r="D1958" s="4">
        <v>0</v>
      </c>
      <c r="E1958" s="4">
        <v>70</v>
      </c>
      <c r="F1958" s="4">
        <v>20</v>
      </c>
      <c r="G1958" s="4">
        <v>99</v>
      </c>
      <c r="H1958" s="4">
        <v>130</v>
      </c>
      <c r="I1958" s="4">
        <v>15</v>
      </c>
      <c r="J1958" s="4">
        <v>142</v>
      </c>
      <c r="K1958" s="4">
        <v>45</v>
      </c>
      <c r="L1958" s="4">
        <v>84</v>
      </c>
      <c r="M1958" s="4">
        <v>62</v>
      </c>
    </row>
    <row r="1959" spans="1:13">
      <c r="A1959" s="3" t="s">
        <v>2504</v>
      </c>
      <c r="B1959" s="4">
        <v>0</v>
      </c>
      <c r="C1959" s="4">
        <v>0</v>
      </c>
      <c r="D1959" s="4">
        <v>0</v>
      </c>
      <c r="E1959" s="4">
        <v>50</v>
      </c>
      <c r="F1959" s="4">
        <v>40</v>
      </c>
      <c r="G1959" s="4">
        <v>50</v>
      </c>
      <c r="H1959" s="4">
        <v>37</v>
      </c>
      <c r="I1959" s="4">
        <v>60</v>
      </c>
      <c r="J1959" s="4">
        <v>50</v>
      </c>
      <c r="K1959" s="4">
        <v>40</v>
      </c>
      <c r="L1959" s="4">
        <v>50</v>
      </c>
      <c r="M1959" s="4">
        <v>30</v>
      </c>
    </row>
    <row r="1960" spans="1:13">
      <c r="A1960" s="3" t="s">
        <v>2505</v>
      </c>
      <c r="B1960" s="4">
        <v>0</v>
      </c>
      <c r="C1960" s="4">
        <v>0</v>
      </c>
      <c r="D1960" s="4">
        <v>0</v>
      </c>
      <c r="E1960" s="4">
        <v>122.5</v>
      </c>
      <c r="F1960" s="4">
        <v>123.25</v>
      </c>
      <c r="G1960" s="4">
        <v>82</v>
      </c>
      <c r="H1960" s="4">
        <v>91.5</v>
      </c>
      <c r="I1960" s="4">
        <v>79</v>
      </c>
      <c r="J1960" s="4">
        <v>67.5</v>
      </c>
      <c r="K1960" s="4">
        <v>67</v>
      </c>
      <c r="L1960" s="4">
        <v>55.45</v>
      </c>
      <c r="M1960" s="4">
        <v>79.5</v>
      </c>
    </row>
    <row r="1961" spans="1:13">
      <c r="A1961" s="3" t="s">
        <v>2506</v>
      </c>
      <c r="B1961" s="4">
        <v>0</v>
      </c>
      <c r="C1961" s="4">
        <v>0</v>
      </c>
      <c r="D1961" s="4">
        <v>0</v>
      </c>
      <c r="E1961" s="4">
        <v>5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</row>
    <row r="1962" spans="1:13">
      <c r="A1962" s="3" t="s">
        <v>2507</v>
      </c>
      <c r="B1962" s="4">
        <v>0</v>
      </c>
      <c r="C1962" s="4">
        <v>0</v>
      </c>
      <c r="D1962" s="4">
        <v>0</v>
      </c>
      <c r="E1962" s="4">
        <v>60</v>
      </c>
      <c r="F1962" s="4">
        <v>61</v>
      </c>
      <c r="G1962" s="4">
        <v>7.5</v>
      </c>
      <c r="H1962" s="4">
        <v>53.65</v>
      </c>
      <c r="I1962" s="4">
        <v>7.5</v>
      </c>
      <c r="J1962" s="4">
        <v>60</v>
      </c>
      <c r="K1962" s="4">
        <v>60</v>
      </c>
      <c r="L1962" s="4">
        <v>62.5</v>
      </c>
      <c r="M1962" s="4">
        <v>59.05</v>
      </c>
    </row>
    <row r="1963" spans="1:13">
      <c r="A1963" s="3" t="s">
        <v>2508</v>
      </c>
      <c r="B1963" s="4">
        <v>0</v>
      </c>
      <c r="C1963" s="4">
        <v>0</v>
      </c>
      <c r="D1963" s="4">
        <v>0</v>
      </c>
      <c r="E1963" s="4">
        <v>97</v>
      </c>
      <c r="F1963" s="4">
        <v>20</v>
      </c>
      <c r="G1963" s="4">
        <v>44</v>
      </c>
      <c r="H1963" s="4">
        <v>0</v>
      </c>
      <c r="I1963" s="4">
        <v>62</v>
      </c>
      <c r="J1963" s="4">
        <v>95</v>
      </c>
      <c r="K1963" s="4">
        <v>45</v>
      </c>
      <c r="L1963" s="4">
        <v>35</v>
      </c>
      <c r="M1963" s="4">
        <v>241</v>
      </c>
    </row>
    <row r="1964" spans="1:13">
      <c r="A1964" s="3" t="s">
        <v>2509</v>
      </c>
      <c r="B1964" s="4">
        <v>0</v>
      </c>
      <c r="C1964" s="4">
        <v>0</v>
      </c>
      <c r="D1964" s="4">
        <v>0</v>
      </c>
      <c r="E1964" s="4">
        <v>155</v>
      </c>
      <c r="F1964" s="4">
        <v>162.25</v>
      </c>
      <c r="G1964" s="4">
        <v>124.75</v>
      </c>
      <c r="H1964" s="4">
        <v>30</v>
      </c>
      <c r="I1964" s="4">
        <v>58</v>
      </c>
      <c r="J1964" s="4">
        <v>89</v>
      </c>
      <c r="K1964" s="4">
        <v>198</v>
      </c>
      <c r="L1964" s="4">
        <v>97</v>
      </c>
      <c r="M1964" s="4">
        <v>295</v>
      </c>
    </row>
    <row r="1965" spans="1:13">
      <c r="A1965" s="3" t="s">
        <v>2510</v>
      </c>
      <c r="B1965" s="4">
        <v>0</v>
      </c>
      <c r="C1965" s="4">
        <v>0</v>
      </c>
      <c r="D1965" s="4">
        <v>0</v>
      </c>
      <c r="E1965" s="4">
        <v>16.5</v>
      </c>
      <c r="F1965" s="4">
        <v>24.85</v>
      </c>
      <c r="G1965" s="4">
        <v>28</v>
      </c>
      <c r="H1965" s="4">
        <v>28.5</v>
      </c>
      <c r="I1965" s="4">
        <v>11.5</v>
      </c>
      <c r="J1965" s="4">
        <v>19</v>
      </c>
      <c r="K1965" s="4">
        <v>25</v>
      </c>
      <c r="L1965" s="4">
        <v>12.5</v>
      </c>
      <c r="M1965" s="4">
        <v>37.5</v>
      </c>
    </row>
    <row r="1966" spans="1:13">
      <c r="A1966" s="3" t="s">
        <v>2511</v>
      </c>
      <c r="B1966" s="4">
        <v>0</v>
      </c>
      <c r="C1966" s="4">
        <v>0</v>
      </c>
      <c r="D1966" s="4">
        <v>0</v>
      </c>
      <c r="E1966" s="4">
        <v>52.5</v>
      </c>
      <c r="F1966" s="4">
        <v>107.5</v>
      </c>
      <c r="G1966" s="4">
        <v>59.5</v>
      </c>
      <c r="H1966" s="4">
        <v>83.5</v>
      </c>
      <c r="I1966" s="4">
        <v>42.5</v>
      </c>
      <c r="J1966" s="4">
        <v>107.5</v>
      </c>
      <c r="K1966" s="4">
        <v>59.5</v>
      </c>
      <c r="L1966" s="4">
        <v>15</v>
      </c>
      <c r="M1966" s="4">
        <v>133.5</v>
      </c>
    </row>
    <row r="1967" spans="1:13">
      <c r="A1967" s="3" t="s">
        <v>2512</v>
      </c>
      <c r="B1967" s="4">
        <v>0</v>
      </c>
      <c r="C1967" s="4">
        <v>0</v>
      </c>
      <c r="D1967" s="4">
        <v>0</v>
      </c>
      <c r="E1967" s="4">
        <v>5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</row>
    <row r="1968" spans="1:13">
      <c r="A1968" s="3" t="s">
        <v>2513</v>
      </c>
      <c r="B1968" s="4">
        <v>0</v>
      </c>
      <c r="C1968" s="4">
        <v>0</v>
      </c>
      <c r="D1968" s="4">
        <v>0</v>
      </c>
      <c r="E1968" s="4">
        <v>129</v>
      </c>
      <c r="F1968" s="4">
        <v>40</v>
      </c>
      <c r="G1968" s="4">
        <v>27.5</v>
      </c>
      <c r="H1968" s="4">
        <v>77</v>
      </c>
      <c r="I1968" s="4">
        <v>0</v>
      </c>
      <c r="J1968" s="4">
        <v>10</v>
      </c>
      <c r="K1968" s="4">
        <v>35</v>
      </c>
      <c r="L1968" s="4">
        <v>42</v>
      </c>
      <c r="M1968" s="4">
        <v>50</v>
      </c>
    </row>
    <row r="1969" spans="1:13">
      <c r="A1969" s="3" t="s">
        <v>2514</v>
      </c>
      <c r="B1969" s="4">
        <v>0</v>
      </c>
      <c r="C1969" s="4">
        <v>0</v>
      </c>
      <c r="D1969" s="4">
        <v>0</v>
      </c>
      <c r="E1969" s="4">
        <v>110</v>
      </c>
      <c r="F1969" s="4">
        <v>20</v>
      </c>
      <c r="G1969" s="4">
        <v>90</v>
      </c>
      <c r="H1969" s="4">
        <v>42</v>
      </c>
      <c r="I1969" s="4">
        <v>0</v>
      </c>
      <c r="J1969" s="4">
        <v>0</v>
      </c>
      <c r="K1969" s="4">
        <v>0</v>
      </c>
      <c r="L1969" s="4">
        <v>0</v>
      </c>
      <c r="M1969" s="4">
        <v>10</v>
      </c>
    </row>
    <row r="1970" spans="1:13">
      <c r="A1970" s="3" t="s">
        <v>2515</v>
      </c>
      <c r="B1970" s="4">
        <v>0</v>
      </c>
      <c r="C1970" s="4">
        <v>0</v>
      </c>
      <c r="D1970" s="4">
        <v>0</v>
      </c>
      <c r="E1970" s="4">
        <v>158</v>
      </c>
      <c r="F1970" s="4">
        <v>41</v>
      </c>
      <c r="G1970" s="4">
        <v>188</v>
      </c>
      <c r="H1970" s="4">
        <v>246</v>
      </c>
      <c r="I1970" s="4">
        <v>161</v>
      </c>
      <c r="J1970" s="4">
        <v>105</v>
      </c>
      <c r="K1970" s="4">
        <v>209</v>
      </c>
      <c r="L1970" s="4">
        <v>188.5</v>
      </c>
      <c r="M1970" s="4">
        <v>387.5</v>
      </c>
    </row>
    <row r="1971" spans="1:13">
      <c r="A1971" s="3" t="s">
        <v>2516</v>
      </c>
      <c r="B1971" s="4">
        <v>0</v>
      </c>
      <c r="C1971" s="4">
        <v>0</v>
      </c>
      <c r="D1971" s="4">
        <v>0</v>
      </c>
      <c r="E1971" s="4">
        <v>54.5</v>
      </c>
      <c r="F1971" s="4">
        <v>41.5</v>
      </c>
      <c r="G1971" s="4">
        <v>40</v>
      </c>
      <c r="H1971" s="4">
        <v>35</v>
      </c>
      <c r="I1971" s="4">
        <v>27.6</v>
      </c>
      <c r="J1971" s="4">
        <v>70</v>
      </c>
      <c r="K1971" s="4">
        <v>63.5</v>
      </c>
      <c r="L1971" s="4">
        <v>42.5</v>
      </c>
      <c r="M1971" s="4">
        <v>32.5</v>
      </c>
    </row>
    <row r="1972" spans="1:13">
      <c r="A1972" s="3" t="s">
        <v>2517</v>
      </c>
      <c r="B1972" s="4">
        <v>0</v>
      </c>
      <c r="C1972" s="4">
        <v>0</v>
      </c>
      <c r="D1972" s="4">
        <v>0</v>
      </c>
      <c r="E1972" s="4">
        <v>21.5</v>
      </c>
      <c r="F1972" s="4">
        <v>10</v>
      </c>
      <c r="G1972" s="4">
        <v>10</v>
      </c>
      <c r="H1972" s="4">
        <v>0</v>
      </c>
      <c r="I1972" s="4">
        <v>0</v>
      </c>
      <c r="J1972" s="4">
        <v>0</v>
      </c>
      <c r="K1972" s="4">
        <v>5.2</v>
      </c>
      <c r="L1972" s="4">
        <v>0</v>
      </c>
      <c r="M1972" s="4">
        <v>8.5</v>
      </c>
    </row>
    <row r="1973" spans="1:13">
      <c r="A1973" s="3" t="s">
        <v>2518</v>
      </c>
      <c r="B1973" s="4">
        <v>0</v>
      </c>
      <c r="C1973" s="4">
        <v>0</v>
      </c>
      <c r="D1973" s="4">
        <v>0</v>
      </c>
      <c r="E1973" s="4">
        <v>324.5</v>
      </c>
      <c r="F1973" s="4">
        <v>303.5</v>
      </c>
      <c r="G1973" s="4">
        <v>322</v>
      </c>
      <c r="H1973" s="4">
        <v>232.5</v>
      </c>
      <c r="I1973" s="4">
        <v>180.5</v>
      </c>
      <c r="J1973" s="4">
        <v>502.6</v>
      </c>
      <c r="K1973" s="4">
        <v>332</v>
      </c>
      <c r="L1973" s="4">
        <v>377.75</v>
      </c>
      <c r="M1973" s="4">
        <v>337.25</v>
      </c>
    </row>
    <row r="1974" spans="1:13">
      <c r="A1974" s="3" t="s">
        <v>2519</v>
      </c>
      <c r="B1974" s="4">
        <v>0</v>
      </c>
      <c r="C1974" s="4">
        <v>0</v>
      </c>
      <c r="D1974" s="4">
        <v>0</v>
      </c>
      <c r="E1974" s="4">
        <v>32.5</v>
      </c>
      <c r="F1974" s="4">
        <v>22</v>
      </c>
      <c r="G1974" s="4">
        <v>54</v>
      </c>
      <c r="H1974" s="4">
        <v>21</v>
      </c>
      <c r="I1974" s="4">
        <v>65.5</v>
      </c>
      <c r="J1974" s="4">
        <v>27</v>
      </c>
      <c r="K1974" s="4">
        <v>63</v>
      </c>
      <c r="L1974" s="4">
        <v>73.5</v>
      </c>
      <c r="M1974" s="4">
        <v>66</v>
      </c>
    </row>
    <row r="1975" spans="1:13">
      <c r="A1975" s="3" t="s">
        <v>2520</v>
      </c>
      <c r="B1975" s="4">
        <v>0</v>
      </c>
      <c r="C1975" s="4">
        <v>0</v>
      </c>
      <c r="D1975" s="4">
        <v>0</v>
      </c>
      <c r="E1975" s="4">
        <v>250</v>
      </c>
      <c r="F1975" s="4">
        <v>135.75</v>
      </c>
      <c r="G1975" s="4">
        <v>173</v>
      </c>
      <c r="H1975" s="4">
        <v>75</v>
      </c>
      <c r="I1975" s="4">
        <v>15</v>
      </c>
      <c r="J1975" s="4">
        <v>51</v>
      </c>
      <c r="K1975" s="4">
        <v>10</v>
      </c>
      <c r="L1975" s="4">
        <v>55</v>
      </c>
      <c r="M1975" s="4">
        <v>160</v>
      </c>
    </row>
    <row r="1976" spans="1:13">
      <c r="A1976" s="3" t="s">
        <v>2521</v>
      </c>
      <c r="B1976" s="4">
        <v>0</v>
      </c>
      <c r="C1976" s="4">
        <v>0</v>
      </c>
      <c r="D1976" s="4">
        <v>0</v>
      </c>
      <c r="E1976" s="4">
        <v>80.95</v>
      </c>
      <c r="F1976" s="4">
        <v>35</v>
      </c>
      <c r="G1976" s="4">
        <v>30</v>
      </c>
      <c r="H1976" s="4">
        <v>2</v>
      </c>
      <c r="I1976" s="4">
        <v>23</v>
      </c>
      <c r="J1976" s="4">
        <v>47.5</v>
      </c>
      <c r="K1976" s="4">
        <v>43.5</v>
      </c>
      <c r="L1976" s="4">
        <v>20</v>
      </c>
      <c r="M1976" s="4">
        <v>0</v>
      </c>
    </row>
    <row r="1977" spans="1:13">
      <c r="A1977" s="3" t="s">
        <v>2522</v>
      </c>
      <c r="B1977" s="4">
        <v>0</v>
      </c>
      <c r="C1977" s="4">
        <v>0</v>
      </c>
      <c r="D1977" s="4">
        <v>0</v>
      </c>
      <c r="E1977" s="4">
        <v>60.5</v>
      </c>
      <c r="F1977" s="4">
        <v>47.9</v>
      </c>
      <c r="G1977" s="4">
        <v>31.5</v>
      </c>
      <c r="H1977" s="4">
        <v>17.5</v>
      </c>
      <c r="I1977" s="4">
        <v>0</v>
      </c>
      <c r="J1977" s="4">
        <v>34</v>
      </c>
      <c r="K1977" s="4">
        <v>0</v>
      </c>
      <c r="L1977" s="4">
        <v>0</v>
      </c>
      <c r="M1977" s="4">
        <v>0</v>
      </c>
    </row>
    <row r="1978" spans="1:13">
      <c r="A1978" s="3" t="s">
        <v>2523</v>
      </c>
      <c r="B1978" s="4">
        <v>0</v>
      </c>
      <c r="C1978" s="4">
        <v>0</v>
      </c>
      <c r="D1978" s="4">
        <v>0</v>
      </c>
      <c r="E1978" s="4">
        <v>44</v>
      </c>
      <c r="F1978" s="4">
        <v>65</v>
      </c>
      <c r="G1978" s="4">
        <v>30</v>
      </c>
      <c r="H1978" s="4">
        <v>65</v>
      </c>
      <c r="I1978" s="4">
        <v>81</v>
      </c>
      <c r="J1978" s="4">
        <v>138</v>
      </c>
      <c r="K1978" s="4">
        <v>33.25</v>
      </c>
      <c r="L1978" s="4">
        <v>85</v>
      </c>
      <c r="M1978" s="4">
        <v>138.25</v>
      </c>
    </row>
    <row r="1979" spans="1:13">
      <c r="A1979" s="3" t="s">
        <v>2524</v>
      </c>
      <c r="B1979" s="4">
        <v>0</v>
      </c>
      <c r="C1979" s="4">
        <v>0</v>
      </c>
      <c r="D1979" s="4">
        <v>0</v>
      </c>
      <c r="E1979" s="4">
        <v>0</v>
      </c>
      <c r="F1979" s="4">
        <v>15</v>
      </c>
      <c r="G1979" s="4">
        <v>20</v>
      </c>
      <c r="H1979" s="4">
        <v>0</v>
      </c>
      <c r="I1979" s="4">
        <v>0</v>
      </c>
      <c r="J1979" s="4">
        <v>38</v>
      </c>
      <c r="K1979" s="4">
        <v>0</v>
      </c>
      <c r="L1979" s="4">
        <v>14.5</v>
      </c>
      <c r="M1979" s="4">
        <v>38.5</v>
      </c>
    </row>
    <row r="1980" spans="1:13">
      <c r="A1980" s="3" t="s">
        <v>2525</v>
      </c>
      <c r="B1980" s="4">
        <v>0</v>
      </c>
      <c r="C1980" s="4">
        <v>0</v>
      </c>
      <c r="D1980" s="4">
        <v>0</v>
      </c>
      <c r="E1980" s="4">
        <v>10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</row>
    <row r="1981" spans="1:13">
      <c r="A1981" s="3" t="s">
        <v>2526</v>
      </c>
      <c r="B1981" s="4">
        <v>0</v>
      </c>
      <c r="C1981" s="4">
        <v>0</v>
      </c>
      <c r="D1981" s="4">
        <v>0</v>
      </c>
      <c r="E1981" s="4">
        <v>20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</row>
    <row r="1982" spans="1:13">
      <c r="A1982" s="3" t="s">
        <v>2527</v>
      </c>
      <c r="B1982" s="4">
        <v>0</v>
      </c>
      <c r="C1982" s="4">
        <v>0</v>
      </c>
      <c r="D1982" s="4">
        <v>0</v>
      </c>
      <c r="E1982" s="4">
        <v>35</v>
      </c>
      <c r="F1982" s="4">
        <v>10</v>
      </c>
      <c r="G1982" s="4">
        <v>27.5</v>
      </c>
      <c r="H1982" s="4">
        <v>50</v>
      </c>
      <c r="I1982" s="4">
        <v>10</v>
      </c>
      <c r="J1982" s="4">
        <v>82.5</v>
      </c>
      <c r="K1982" s="4">
        <v>10</v>
      </c>
      <c r="L1982" s="4">
        <v>0</v>
      </c>
      <c r="M1982" s="4">
        <v>0</v>
      </c>
    </row>
    <row r="1983" spans="1:13">
      <c r="A1983" s="3" t="s">
        <v>2528</v>
      </c>
      <c r="B1983" s="4">
        <v>0</v>
      </c>
      <c r="C1983" s="4">
        <v>0</v>
      </c>
      <c r="D1983" s="4">
        <v>0</v>
      </c>
      <c r="E1983" s="4">
        <v>57.5</v>
      </c>
      <c r="F1983" s="4">
        <v>70</v>
      </c>
      <c r="G1983" s="4">
        <v>30</v>
      </c>
      <c r="H1983" s="4">
        <v>20</v>
      </c>
      <c r="I1983" s="4">
        <v>17.5</v>
      </c>
      <c r="J1983" s="4">
        <v>72</v>
      </c>
      <c r="K1983" s="4">
        <v>32.5</v>
      </c>
      <c r="L1983" s="4">
        <v>20</v>
      </c>
      <c r="M1983" s="4">
        <v>15</v>
      </c>
    </row>
    <row r="1984" spans="1:13">
      <c r="A1984" s="3" t="s">
        <v>2529</v>
      </c>
      <c r="B1984" s="4">
        <v>0</v>
      </c>
      <c r="C1984" s="4">
        <v>0</v>
      </c>
      <c r="D1984" s="4">
        <v>0</v>
      </c>
      <c r="E1984" s="4">
        <v>20</v>
      </c>
      <c r="F1984" s="4">
        <v>24.5</v>
      </c>
      <c r="G1984" s="4">
        <v>15</v>
      </c>
      <c r="H1984" s="4">
        <v>20</v>
      </c>
      <c r="I1984" s="4">
        <v>9</v>
      </c>
      <c r="J1984" s="4">
        <v>15</v>
      </c>
      <c r="K1984" s="4">
        <v>10</v>
      </c>
      <c r="L1984" s="4">
        <v>20</v>
      </c>
      <c r="M1984" s="4">
        <v>0</v>
      </c>
    </row>
    <row r="1985" spans="1:13">
      <c r="A1985" s="3" t="s">
        <v>2530</v>
      </c>
      <c r="B1985" s="4">
        <v>0</v>
      </c>
      <c r="C1985" s="4">
        <v>0</v>
      </c>
      <c r="D1985" s="4">
        <v>0</v>
      </c>
      <c r="E1985" s="4">
        <v>0</v>
      </c>
      <c r="F1985" s="4">
        <v>0</v>
      </c>
      <c r="G1985" s="4">
        <v>4</v>
      </c>
      <c r="H1985" s="4">
        <v>5</v>
      </c>
      <c r="I1985" s="4">
        <v>10</v>
      </c>
      <c r="J1985" s="4">
        <v>2</v>
      </c>
      <c r="K1985" s="4">
        <v>10</v>
      </c>
      <c r="L1985" s="4">
        <v>0</v>
      </c>
      <c r="M1985" s="4">
        <v>0</v>
      </c>
    </row>
    <row r="1986" spans="1:13">
      <c r="A1986" s="3" t="s">
        <v>2531</v>
      </c>
      <c r="B1986" s="4">
        <v>0</v>
      </c>
      <c r="C1986" s="4">
        <v>0</v>
      </c>
      <c r="D1986" s="4">
        <v>0</v>
      </c>
      <c r="E1986" s="4">
        <v>57</v>
      </c>
      <c r="F1986" s="4">
        <v>15</v>
      </c>
      <c r="G1986" s="4">
        <v>109</v>
      </c>
      <c r="H1986" s="4">
        <v>35</v>
      </c>
      <c r="I1986" s="4">
        <v>0</v>
      </c>
      <c r="J1986" s="4">
        <v>135</v>
      </c>
      <c r="K1986" s="4">
        <v>62</v>
      </c>
      <c r="L1986" s="4">
        <v>105</v>
      </c>
      <c r="M1986" s="4">
        <v>115</v>
      </c>
    </row>
    <row r="1987" spans="1:13">
      <c r="A1987" s="3" t="s">
        <v>2532</v>
      </c>
      <c r="B1987" s="4">
        <v>0</v>
      </c>
      <c r="C1987" s="4">
        <v>0</v>
      </c>
      <c r="D1987" s="4">
        <v>0</v>
      </c>
      <c r="E1987" s="4">
        <v>10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</row>
    <row r="1988" spans="1:13">
      <c r="A1988" s="3" t="s">
        <v>2533</v>
      </c>
      <c r="B1988" s="4">
        <v>0</v>
      </c>
      <c r="C1988" s="4">
        <v>0</v>
      </c>
      <c r="D1988" s="4">
        <v>0</v>
      </c>
      <c r="E1988" s="4">
        <v>86.5</v>
      </c>
      <c r="F1988" s="4">
        <v>52</v>
      </c>
      <c r="G1988" s="4">
        <v>30</v>
      </c>
      <c r="H1988" s="4">
        <v>53</v>
      </c>
      <c r="I1988" s="4">
        <v>57.2</v>
      </c>
      <c r="J1988" s="4">
        <v>58.25</v>
      </c>
      <c r="K1988" s="4">
        <v>67.5</v>
      </c>
      <c r="L1988" s="4">
        <v>45</v>
      </c>
      <c r="M1988" s="4">
        <v>15</v>
      </c>
    </row>
    <row r="1989" spans="1:13">
      <c r="A1989" s="3" t="s">
        <v>2534</v>
      </c>
      <c r="B1989" s="4">
        <v>0</v>
      </c>
      <c r="C1989" s="4">
        <v>0</v>
      </c>
      <c r="D1989" s="4">
        <v>0</v>
      </c>
      <c r="E1989" s="4">
        <v>20</v>
      </c>
      <c r="F1989" s="4">
        <v>10</v>
      </c>
      <c r="G1989" s="4">
        <v>10</v>
      </c>
      <c r="H1989" s="4">
        <v>10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</row>
    <row r="1990" spans="1:13">
      <c r="A1990" s="3" t="s">
        <v>2535</v>
      </c>
      <c r="B1990" s="4">
        <v>0</v>
      </c>
      <c r="C1990" s="4">
        <v>0</v>
      </c>
      <c r="D1990" s="4">
        <v>0</v>
      </c>
      <c r="E1990" s="4">
        <v>91</v>
      </c>
      <c r="F1990" s="4">
        <v>134.5</v>
      </c>
      <c r="G1990" s="4">
        <v>59.5</v>
      </c>
      <c r="H1990" s="4">
        <v>70.5</v>
      </c>
      <c r="I1990" s="4">
        <v>68</v>
      </c>
      <c r="J1990" s="4">
        <v>50</v>
      </c>
      <c r="K1990" s="4">
        <v>122.5</v>
      </c>
      <c r="L1990" s="4">
        <v>110.05</v>
      </c>
      <c r="M1990" s="4">
        <v>255</v>
      </c>
    </row>
    <row r="1991" spans="1:13">
      <c r="A1991" s="3" t="s">
        <v>2536</v>
      </c>
      <c r="B1991" s="4">
        <v>0</v>
      </c>
      <c r="C1991" s="4">
        <v>0</v>
      </c>
      <c r="D1991" s="4">
        <v>0</v>
      </c>
      <c r="E1991" s="4">
        <v>27.5</v>
      </c>
      <c r="F1991" s="4">
        <v>69</v>
      </c>
      <c r="G1991" s="4">
        <v>45</v>
      </c>
      <c r="H1991" s="4">
        <v>30</v>
      </c>
      <c r="I1991" s="4">
        <v>30</v>
      </c>
      <c r="J1991" s="4">
        <v>40</v>
      </c>
      <c r="K1991" s="4">
        <v>30</v>
      </c>
      <c r="L1991" s="4">
        <v>30</v>
      </c>
      <c r="M1991" s="4">
        <v>45</v>
      </c>
    </row>
    <row r="1992" spans="1:13">
      <c r="A1992" s="3" t="s">
        <v>2537</v>
      </c>
      <c r="B1992" s="4">
        <v>0</v>
      </c>
      <c r="C1992" s="4">
        <v>0</v>
      </c>
      <c r="D1992" s="4">
        <v>0</v>
      </c>
      <c r="E1992" s="4">
        <v>100.5</v>
      </c>
      <c r="F1992" s="4">
        <v>46</v>
      </c>
      <c r="G1992" s="4">
        <v>0</v>
      </c>
      <c r="H1992" s="4">
        <v>15</v>
      </c>
      <c r="I1992" s="4">
        <v>40</v>
      </c>
      <c r="J1992" s="4">
        <v>50</v>
      </c>
      <c r="K1992" s="4">
        <v>35</v>
      </c>
      <c r="L1992" s="4">
        <v>30</v>
      </c>
      <c r="M1992" s="4">
        <v>20</v>
      </c>
    </row>
    <row r="1993" spans="1:13">
      <c r="A1993" s="3" t="s">
        <v>2538</v>
      </c>
      <c r="B1993" s="4">
        <v>0</v>
      </c>
      <c r="C1993" s="4">
        <v>0</v>
      </c>
      <c r="D1993" s="4">
        <v>0</v>
      </c>
      <c r="E1993" s="4">
        <v>100</v>
      </c>
      <c r="F1993" s="4">
        <v>70</v>
      </c>
      <c r="G1993" s="4">
        <v>27.5</v>
      </c>
      <c r="H1993" s="4">
        <v>30</v>
      </c>
      <c r="I1993" s="4">
        <v>10</v>
      </c>
      <c r="J1993" s="4">
        <v>0</v>
      </c>
      <c r="K1993" s="4">
        <v>32.5</v>
      </c>
      <c r="L1993" s="4">
        <v>18.5</v>
      </c>
      <c r="M1993" s="4">
        <v>20</v>
      </c>
    </row>
    <row r="1994" spans="1:13">
      <c r="A1994" s="3" t="s">
        <v>2539</v>
      </c>
      <c r="B1994" s="4">
        <v>0</v>
      </c>
      <c r="C1994" s="4">
        <v>0</v>
      </c>
      <c r="D1994" s="4">
        <v>0</v>
      </c>
      <c r="E1994" s="4">
        <v>0</v>
      </c>
      <c r="F1994" s="4">
        <v>15</v>
      </c>
      <c r="G1994" s="4">
        <v>0</v>
      </c>
      <c r="H1994" s="4">
        <v>0</v>
      </c>
      <c r="I1994" s="4">
        <v>0</v>
      </c>
      <c r="J1994" s="4">
        <v>10</v>
      </c>
      <c r="K1994" s="4">
        <v>20</v>
      </c>
      <c r="L1994" s="4">
        <v>25</v>
      </c>
      <c r="M1994" s="4">
        <v>20</v>
      </c>
    </row>
    <row r="1995" spans="1:13">
      <c r="A1995" s="3" t="s">
        <v>2540</v>
      </c>
      <c r="B1995" s="4">
        <v>0</v>
      </c>
      <c r="C1995" s="4">
        <v>0</v>
      </c>
      <c r="D1995" s="4">
        <v>0</v>
      </c>
      <c r="E1995" s="4">
        <v>7</v>
      </c>
      <c r="F1995" s="4">
        <v>10</v>
      </c>
      <c r="G1995" s="4">
        <v>7.5</v>
      </c>
      <c r="H1995" s="4">
        <v>7.5</v>
      </c>
      <c r="I1995" s="4">
        <v>10</v>
      </c>
      <c r="J1995" s="4">
        <v>0</v>
      </c>
      <c r="K1995" s="4">
        <v>0</v>
      </c>
      <c r="L1995" s="4">
        <v>0</v>
      </c>
      <c r="M1995" s="4">
        <v>0</v>
      </c>
    </row>
    <row r="1996" spans="1:13">
      <c r="A1996" s="3" t="s">
        <v>2541</v>
      </c>
      <c r="B1996" s="4">
        <v>0</v>
      </c>
      <c r="C1996" s="4">
        <v>0</v>
      </c>
      <c r="D1996" s="4">
        <v>0</v>
      </c>
      <c r="E1996" s="4">
        <v>25</v>
      </c>
      <c r="F1996" s="4">
        <v>20</v>
      </c>
      <c r="G1996" s="4">
        <v>14</v>
      </c>
      <c r="H1996" s="4">
        <v>0</v>
      </c>
      <c r="I1996" s="4">
        <v>20</v>
      </c>
      <c r="J1996" s="4">
        <v>0</v>
      </c>
      <c r="K1996" s="4">
        <v>80</v>
      </c>
      <c r="L1996" s="4">
        <v>90</v>
      </c>
      <c r="M1996" s="4">
        <v>70</v>
      </c>
    </row>
    <row r="1997" spans="1:13">
      <c r="A1997" s="3" t="s">
        <v>2542</v>
      </c>
      <c r="B1997" s="4">
        <v>0</v>
      </c>
      <c r="C1997" s="4">
        <v>0</v>
      </c>
      <c r="D1997" s="4">
        <v>0</v>
      </c>
      <c r="E1997" s="4">
        <v>80.5</v>
      </c>
      <c r="F1997" s="4">
        <v>227</v>
      </c>
      <c r="G1997" s="4">
        <v>195.45</v>
      </c>
      <c r="H1997" s="4">
        <v>153.55000000000001</v>
      </c>
      <c r="I1997" s="4">
        <v>99.5</v>
      </c>
      <c r="J1997" s="4">
        <v>107</v>
      </c>
      <c r="K1997" s="4">
        <v>116.5</v>
      </c>
      <c r="L1997" s="4">
        <v>76.5</v>
      </c>
      <c r="M1997" s="4">
        <v>157.25</v>
      </c>
    </row>
    <row r="1998" spans="1:13">
      <c r="A1998" s="3" t="s">
        <v>2543</v>
      </c>
      <c r="B1998" s="4">
        <v>0</v>
      </c>
      <c r="C1998" s="4">
        <v>0</v>
      </c>
      <c r="D1998" s="4">
        <v>0</v>
      </c>
      <c r="E1998" s="4">
        <v>35</v>
      </c>
      <c r="F1998" s="4">
        <v>0</v>
      </c>
      <c r="G1998" s="4">
        <v>20</v>
      </c>
      <c r="H1998" s="4">
        <v>15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</row>
    <row r="1999" spans="1:13">
      <c r="A1999" s="3" t="s">
        <v>2544</v>
      </c>
      <c r="B1999" s="4">
        <v>0</v>
      </c>
      <c r="C1999" s="4">
        <v>0</v>
      </c>
      <c r="D1999" s="4">
        <v>0</v>
      </c>
      <c r="E1999" s="4">
        <v>90</v>
      </c>
      <c r="F1999" s="4">
        <v>20</v>
      </c>
      <c r="G1999" s="4">
        <v>58</v>
      </c>
      <c r="H1999" s="4">
        <v>52</v>
      </c>
      <c r="I1999" s="4">
        <v>10</v>
      </c>
      <c r="J1999" s="4">
        <v>101.5</v>
      </c>
      <c r="K1999" s="4">
        <v>35</v>
      </c>
      <c r="L1999" s="4">
        <v>69</v>
      </c>
      <c r="M1999" s="4">
        <v>50</v>
      </c>
    </row>
    <row r="2000" spans="1:13">
      <c r="A2000" s="3" t="s">
        <v>2545</v>
      </c>
      <c r="B2000" s="4">
        <v>0</v>
      </c>
      <c r="C2000" s="4">
        <v>0</v>
      </c>
      <c r="D2000" s="4">
        <v>0</v>
      </c>
      <c r="E2000" s="4">
        <v>23.5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</row>
    <row r="2001" spans="1:13">
      <c r="A2001" s="3" t="s">
        <v>2546</v>
      </c>
      <c r="B2001" s="4">
        <v>0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10</v>
      </c>
      <c r="L2001" s="4">
        <v>0</v>
      </c>
      <c r="M2001" s="4">
        <v>0</v>
      </c>
    </row>
    <row r="2002" spans="1:13">
      <c r="A2002" s="3" t="s">
        <v>2547</v>
      </c>
      <c r="B2002" s="4">
        <v>0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189</v>
      </c>
      <c r="K2002" s="4">
        <v>221</v>
      </c>
      <c r="L2002" s="4">
        <v>145</v>
      </c>
      <c r="M2002" s="4">
        <v>144</v>
      </c>
    </row>
    <row r="2003" spans="1:13">
      <c r="A2003" s="3" t="s">
        <v>2548</v>
      </c>
      <c r="B2003" s="4">
        <v>0</v>
      </c>
      <c r="C2003" s="4">
        <v>0</v>
      </c>
      <c r="D2003" s="4">
        <v>0</v>
      </c>
      <c r="E2003" s="4">
        <v>105</v>
      </c>
      <c r="F2003" s="4">
        <v>138</v>
      </c>
      <c r="G2003" s="4">
        <v>110</v>
      </c>
      <c r="H2003" s="4">
        <v>70</v>
      </c>
      <c r="I2003" s="4">
        <v>64.5</v>
      </c>
      <c r="J2003" s="4">
        <v>75</v>
      </c>
      <c r="K2003" s="4">
        <v>94</v>
      </c>
      <c r="L2003" s="4">
        <v>145</v>
      </c>
      <c r="M2003" s="4">
        <v>79</v>
      </c>
    </row>
    <row r="2004" spans="1:13">
      <c r="A2004" s="3" t="s">
        <v>2549</v>
      </c>
      <c r="B2004" s="4">
        <v>0</v>
      </c>
      <c r="C2004" s="4">
        <v>0</v>
      </c>
      <c r="D2004" s="4">
        <v>0</v>
      </c>
      <c r="E2004" s="4">
        <v>80</v>
      </c>
      <c r="F2004" s="4">
        <v>70</v>
      </c>
      <c r="G2004" s="4">
        <v>73</v>
      </c>
      <c r="H2004" s="4">
        <v>60</v>
      </c>
      <c r="I2004" s="4">
        <v>25</v>
      </c>
      <c r="J2004" s="4">
        <v>55</v>
      </c>
      <c r="K2004" s="4">
        <v>0</v>
      </c>
      <c r="L2004" s="4">
        <v>30</v>
      </c>
      <c r="M2004" s="4">
        <v>25</v>
      </c>
    </row>
    <row r="2005" spans="1:13">
      <c r="A2005" s="3" t="s">
        <v>2550</v>
      </c>
      <c r="B2005" s="4">
        <v>0</v>
      </c>
      <c r="C2005" s="4">
        <v>0</v>
      </c>
      <c r="D2005" s="4">
        <v>0</v>
      </c>
      <c r="E2005" s="4">
        <v>0</v>
      </c>
      <c r="F2005" s="4">
        <v>45</v>
      </c>
      <c r="G2005" s="4">
        <v>30</v>
      </c>
      <c r="H2005" s="4">
        <v>0</v>
      </c>
      <c r="I2005" s="4">
        <v>0</v>
      </c>
      <c r="J2005" s="4">
        <v>10</v>
      </c>
      <c r="K2005" s="4">
        <v>0</v>
      </c>
      <c r="L2005" s="4">
        <v>0</v>
      </c>
      <c r="M2005" s="4">
        <v>0</v>
      </c>
    </row>
    <row r="2006" spans="1:13">
      <c r="A2006" s="3" t="s">
        <v>2551</v>
      </c>
      <c r="B2006" s="4">
        <v>0</v>
      </c>
      <c r="C2006" s="4">
        <v>0</v>
      </c>
      <c r="D2006" s="4">
        <v>0</v>
      </c>
      <c r="E2006" s="4">
        <v>48</v>
      </c>
      <c r="F2006" s="4">
        <v>44.5</v>
      </c>
      <c r="G2006" s="4">
        <v>65.650000000000006</v>
      </c>
      <c r="H2006" s="4">
        <v>10</v>
      </c>
      <c r="I2006" s="4">
        <v>10</v>
      </c>
      <c r="J2006" s="4">
        <v>20</v>
      </c>
      <c r="K2006" s="4">
        <v>15</v>
      </c>
      <c r="L2006" s="4">
        <v>53</v>
      </c>
      <c r="M2006" s="4">
        <v>135.5</v>
      </c>
    </row>
    <row r="2007" spans="1:13">
      <c r="A2007" s="3" t="s">
        <v>2552</v>
      </c>
      <c r="B2007" s="4">
        <v>0</v>
      </c>
      <c r="C2007" s="4">
        <v>0</v>
      </c>
      <c r="D2007" s="4">
        <v>0</v>
      </c>
      <c r="E2007" s="4">
        <v>30.95</v>
      </c>
      <c r="F2007" s="4">
        <v>35</v>
      </c>
      <c r="G2007" s="4">
        <v>42.5</v>
      </c>
      <c r="H2007" s="4">
        <v>40</v>
      </c>
      <c r="I2007" s="4">
        <v>10</v>
      </c>
      <c r="J2007" s="4">
        <v>44</v>
      </c>
      <c r="K2007" s="4">
        <v>12.45</v>
      </c>
      <c r="L2007" s="4">
        <v>10</v>
      </c>
      <c r="M2007" s="4">
        <v>10</v>
      </c>
    </row>
    <row r="2008" spans="1:13">
      <c r="A2008" s="3" t="s">
        <v>2553</v>
      </c>
      <c r="B2008" s="4">
        <v>0</v>
      </c>
      <c r="C2008" s="4">
        <v>0</v>
      </c>
      <c r="D2008" s="4">
        <v>0</v>
      </c>
      <c r="E2008" s="4">
        <v>0</v>
      </c>
      <c r="F2008" s="4">
        <v>77</v>
      </c>
      <c r="G2008" s="4">
        <v>26</v>
      </c>
      <c r="H2008" s="4">
        <v>7</v>
      </c>
      <c r="I2008" s="4">
        <v>5</v>
      </c>
      <c r="J2008" s="4">
        <v>71</v>
      </c>
      <c r="K2008" s="4">
        <v>94.5</v>
      </c>
      <c r="L2008" s="4">
        <v>110</v>
      </c>
      <c r="M2008" s="4">
        <v>40.5</v>
      </c>
    </row>
    <row r="2009" spans="1:13">
      <c r="A2009" s="3" t="s">
        <v>2554</v>
      </c>
      <c r="B2009" s="4">
        <v>0</v>
      </c>
      <c r="C2009" s="4">
        <v>0</v>
      </c>
      <c r="D2009" s="4">
        <v>0</v>
      </c>
      <c r="E2009" s="4">
        <v>55</v>
      </c>
      <c r="F2009" s="4">
        <v>66</v>
      </c>
      <c r="G2009" s="4">
        <v>40</v>
      </c>
      <c r="H2009" s="4">
        <v>15</v>
      </c>
      <c r="I2009" s="4">
        <v>0</v>
      </c>
      <c r="J2009" s="4">
        <v>15</v>
      </c>
      <c r="K2009" s="4">
        <v>25</v>
      </c>
      <c r="L2009" s="4">
        <v>10</v>
      </c>
      <c r="M2009" s="4">
        <v>25</v>
      </c>
    </row>
    <row r="2010" spans="1:13">
      <c r="A2010" s="3" t="s">
        <v>2555</v>
      </c>
      <c r="B2010" s="4">
        <v>0</v>
      </c>
      <c r="C2010" s="4">
        <v>0</v>
      </c>
      <c r="D2010" s="4">
        <v>0</v>
      </c>
      <c r="E2010" s="4">
        <v>0</v>
      </c>
      <c r="F2010" s="4">
        <v>75</v>
      </c>
      <c r="G2010" s="4">
        <v>47.5</v>
      </c>
      <c r="H2010" s="4">
        <v>30</v>
      </c>
      <c r="I2010" s="4">
        <v>3.5</v>
      </c>
      <c r="J2010" s="4">
        <v>37</v>
      </c>
      <c r="K2010" s="4">
        <v>135</v>
      </c>
      <c r="L2010" s="4">
        <v>105</v>
      </c>
      <c r="M2010" s="4">
        <v>35</v>
      </c>
    </row>
    <row r="2011" spans="1:13">
      <c r="A2011" s="3" t="s">
        <v>2556</v>
      </c>
      <c r="B2011" s="4">
        <v>0</v>
      </c>
      <c r="C2011" s="4">
        <v>0</v>
      </c>
      <c r="D2011" s="4">
        <v>0</v>
      </c>
      <c r="E2011" s="4">
        <v>7.5</v>
      </c>
      <c r="F2011" s="4">
        <v>5</v>
      </c>
      <c r="G2011" s="4">
        <v>13</v>
      </c>
      <c r="H2011" s="4">
        <v>22.5</v>
      </c>
      <c r="I2011" s="4">
        <v>0</v>
      </c>
      <c r="J2011" s="4">
        <v>49</v>
      </c>
      <c r="K2011" s="4">
        <v>40</v>
      </c>
      <c r="L2011" s="4">
        <v>9</v>
      </c>
      <c r="M2011" s="4">
        <v>23.9</v>
      </c>
    </row>
    <row r="2012" spans="1:13">
      <c r="A2012" s="3" t="s">
        <v>2557</v>
      </c>
      <c r="B2012" s="4">
        <v>0</v>
      </c>
      <c r="C2012" s="4">
        <v>0</v>
      </c>
      <c r="D2012" s="4">
        <v>0</v>
      </c>
      <c r="E2012" s="4">
        <v>0</v>
      </c>
      <c r="F2012" s="4">
        <v>0</v>
      </c>
      <c r="G2012" s="4">
        <v>23</v>
      </c>
      <c r="H2012" s="4">
        <v>10</v>
      </c>
      <c r="I2012" s="4">
        <v>0</v>
      </c>
      <c r="J2012" s="4">
        <v>0</v>
      </c>
      <c r="K2012" s="4">
        <v>0</v>
      </c>
      <c r="L2012" s="4">
        <v>0</v>
      </c>
      <c r="M2012" s="4">
        <v>7.5</v>
      </c>
    </row>
    <row r="2013" spans="1:13">
      <c r="A2013" s="3" t="s">
        <v>2558</v>
      </c>
      <c r="B2013" s="4">
        <v>0</v>
      </c>
      <c r="C2013" s="4">
        <v>0</v>
      </c>
      <c r="D2013" s="4">
        <v>0</v>
      </c>
      <c r="E2013" s="4">
        <v>0</v>
      </c>
      <c r="F2013" s="4">
        <v>43</v>
      </c>
      <c r="G2013" s="4">
        <v>9</v>
      </c>
      <c r="H2013" s="4">
        <v>0</v>
      </c>
      <c r="I2013" s="4">
        <v>0</v>
      </c>
      <c r="J2013" s="4">
        <v>0</v>
      </c>
      <c r="K2013" s="4">
        <v>15</v>
      </c>
      <c r="L2013" s="4">
        <v>19.5</v>
      </c>
      <c r="M2013" s="4">
        <v>15</v>
      </c>
    </row>
    <row r="2014" spans="1:13">
      <c r="A2014" s="3" t="s">
        <v>2559</v>
      </c>
      <c r="B2014" s="4">
        <v>0</v>
      </c>
      <c r="C2014" s="4">
        <v>0</v>
      </c>
      <c r="D2014" s="4">
        <v>0</v>
      </c>
      <c r="E2014" s="4">
        <v>20</v>
      </c>
      <c r="F2014" s="4">
        <v>15</v>
      </c>
      <c r="G2014" s="4">
        <v>20</v>
      </c>
      <c r="H2014" s="4">
        <v>30</v>
      </c>
      <c r="I2014" s="4">
        <v>0</v>
      </c>
      <c r="J2014" s="4">
        <v>12.5</v>
      </c>
      <c r="K2014" s="4">
        <v>27.5</v>
      </c>
      <c r="L2014" s="4">
        <v>15</v>
      </c>
      <c r="M2014" s="4">
        <v>50</v>
      </c>
    </row>
    <row r="2015" spans="1:13">
      <c r="A2015" s="3" t="s">
        <v>2560</v>
      </c>
      <c r="B2015" s="4">
        <v>0</v>
      </c>
      <c r="C2015" s="4">
        <v>0</v>
      </c>
      <c r="D2015" s="4">
        <v>0</v>
      </c>
      <c r="E2015" s="4">
        <v>59.5</v>
      </c>
      <c r="F2015" s="4">
        <v>93</v>
      </c>
      <c r="G2015" s="4">
        <v>90</v>
      </c>
      <c r="H2015" s="4">
        <v>132</v>
      </c>
      <c r="I2015" s="4">
        <v>63</v>
      </c>
      <c r="J2015" s="4">
        <v>40</v>
      </c>
      <c r="K2015" s="4">
        <v>40</v>
      </c>
      <c r="L2015" s="4">
        <v>57</v>
      </c>
      <c r="M2015" s="4">
        <v>99</v>
      </c>
    </row>
    <row r="2016" spans="1:13">
      <c r="A2016" s="3" t="s">
        <v>2561</v>
      </c>
      <c r="B2016" s="4">
        <v>0</v>
      </c>
      <c r="C2016" s="4">
        <v>0</v>
      </c>
      <c r="D2016" s="4">
        <v>0</v>
      </c>
      <c r="E2016" s="4">
        <v>12.5</v>
      </c>
      <c r="F2016" s="4">
        <v>5</v>
      </c>
      <c r="G2016" s="4">
        <v>7.5</v>
      </c>
      <c r="H2016" s="4">
        <v>10</v>
      </c>
      <c r="I2016" s="4">
        <v>10</v>
      </c>
      <c r="J2016" s="4">
        <v>7.5</v>
      </c>
      <c r="K2016" s="4">
        <v>5</v>
      </c>
      <c r="L2016" s="4">
        <v>22.5</v>
      </c>
      <c r="M2016" s="4">
        <v>5</v>
      </c>
    </row>
    <row r="2017" spans="1:13">
      <c r="A2017" s="3" t="s">
        <v>2562</v>
      </c>
      <c r="B2017" s="4">
        <v>0</v>
      </c>
      <c r="C2017" s="4">
        <v>0</v>
      </c>
      <c r="D2017" s="4">
        <v>0</v>
      </c>
      <c r="E2017" s="4">
        <v>15</v>
      </c>
      <c r="F2017" s="4">
        <v>0</v>
      </c>
      <c r="G2017" s="4">
        <v>23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</row>
    <row r="2018" spans="1:13">
      <c r="A2018" s="3" t="s">
        <v>2563</v>
      </c>
      <c r="B2018" s="4">
        <v>0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20</v>
      </c>
    </row>
    <row r="2019" spans="1:13">
      <c r="A2019" s="3" t="s">
        <v>2564</v>
      </c>
      <c r="B2019" s="4">
        <v>0</v>
      </c>
      <c r="C2019" s="4">
        <v>0</v>
      </c>
      <c r="D2019" s="4">
        <v>0</v>
      </c>
      <c r="E2019" s="4">
        <v>27.5</v>
      </c>
      <c r="F2019" s="4">
        <v>28.5</v>
      </c>
      <c r="G2019" s="4">
        <v>64</v>
      </c>
      <c r="H2019" s="4">
        <v>14</v>
      </c>
      <c r="I2019" s="4">
        <v>10.5</v>
      </c>
      <c r="J2019" s="4">
        <v>79</v>
      </c>
      <c r="K2019" s="4">
        <v>10</v>
      </c>
      <c r="L2019" s="4">
        <v>0</v>
      </c>
      <c r="M2019" s="4">
        <v>229</v>
      </c>
    </row>
    <row r="2020" spans="1:13">
      <c r="A2020" s="3" t="s">
        <v>2565</v>
      </c>
      <c r="B2020" s="4">
        <v>0</v>
      </c>
      <c r="C2020" s="4">
        <v>0</v>
      </c>
      <c r="D2020" s="4">
        <v>0</v>
      </c>
      <c r="E2020" s="4">
        <v>32</v>
      </c>
      <c r="F2020" s="4">
        <v>71.25</v>
      </c>
      <c r="G2020" s="4">
        <v>52.5</v>
      </c>
      <c r="H2020" s="4">
        <v>40</v>
      </c>
      <c r="I2020" s="4">
        <v>21</v>
      </c>
      <c r="J2020" s="4">
        <v>16</v>
      </c>
      <c r="K2020" s="4">
        <v>26</v>
      </c>
      <c r="L2020" s="4">
        <v>0</v>
      </c>
      <c r="M2020" s="4">
        <v>145</v>
      </c>
    </row>
    <row r="2021" spans="1:13">
      <c r="A2021" s="3" t="s">
        <v>2566</v>
      </c>
      <c r="B2021" s="4">
        <v>0</v>
      </c>
      <c r="C2021" s="4">
        <v>0</v>
      </c>
      <c r="D2021" s="4">
        <v>0</v>
      </c>
      <c r="E2021" s="4">
        <v>36</v>
      </c>
      <c r="F2021" s="4">
        <v>78</v>
      </c>
      <c r="G2021" s="4">
        <v>70</v>
      </c>
      <c r="H2021" s="4">
        <v>47.5</v>
      </c>
      <c r="I2021" s="4">
        <v>42.5</v>
      </c>
      <c r="J2021" s="4">
        <v>116</v>
      </c>
      <c r="K2021" s="4">
        <v>109.5</v>
      </c>
      <c r="L2021" s="4">
        <v>95</v>
      </c>
      <c r="M2021" s="4">
        <v>163</v>
      </c>
    </row>
    <row r="2022" spans="1:13">
      <c r="A2022" s="3" t="s">
        <v>2567</v>
      </c>
      <c r="B2022" s="4">
        <v>0</v>
      </c>
      <c r="C2022" s="4">
        <v>0</v>
      </c>
      <c r="D2022" s="4">
        <v>0</v>
      </c>
      <c r="E2022" s="4">
        <v>0</v>
      </c>
      <c r="F2022" s="4">
        <v>25</v>
      </c>
      <c r="G2022" s="4">
        <v>15</v>
      </c>
      <c r="H2022" s="4">
        <v>0</v>
      </c>
      <c r="I2022" s="4">
        <v>22.5</v>
      </c>
      <c r="J2022" s="4">
        <v>40</v>
      </c>
      <c r="K2022" s="4">
        <v>76.5</v>
      </c>
      <c r="L2022" s="4">
        <v>0</v>
      </c>
      <c r="M2022" s="4">
        <v>17</v>
      </c>
    </row>
    <row r="2023" spans="1:13">
      <c r="A2023" s="3" t="s">
        <v>2568</v>
      </c>
      <c r="B2023" s="4">
        <v>0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15</v>
      </c>
    </row>
    <row r="2024" spans="1:13">
      <c r="A2024" s="3" t="s">
        <v>2569</v>
      </c>
      <c r="B2024" s="4">
        <v>0</v>
      </c>
      <c r="C2024" s="4">
        <v>0</v>
      </c>
      <c r="D2024" s="4">
        <v>0</v>
      </c>
      <c r="E2024" s="4">
        <v>37</v>
      </c>
      <c r="F2024" s="4">
        <v>17.5</v>
      </c>
      <c r="G2024" s="4">
        <v>50</v>
      </c>
      <c r="H2024" s="4">
        <v>10</v>
      </c>
      <c r="I2024" s="4">
        <v>25</v>
      </c>
      <c r="J2024" s="4">
        <v>20</v>
      </c>
      <c r="K2024" s="4">
        <v>0</v>
      </c>
      <c r="L2024" s="4">
        <v>45</v>
      </c>
      <c r="M2024" s="4">
        <v>207</v>
      </c>
    </row>
    <row r="2025" spans="1:13">
      <c r="A2025" s="3" t="s">
        <v>2570</v>
      </c>
      <c r="B2025" s="4">
        <v>0</v>
      </c>
      <c r="C2025" s="4">
        <v>0</v>
      </c>
      <c r="D2025" s="4">
        <v>0</v>
      </c>
      <c r="E2025" s="4">
        <v>0</v>
      </c>
      <c r="F2025" s="4">
        <v>7.5</v>
      </c>
      <c r="G2025" s="4">
        <v>20</v>
      </c>
      <c r="H2025" s="4">
        <v>0</v>
      </c>
      <c r="I2025" s="4">
        <v>13</v>
      </c>
      <c r="J2025" s="4">
        <v>12</v>
      </c>
      <c r="K2025" s="4">
        <v>33</v>
      </c>
      <c r="L2025" s="4">
        <v>37</v>
      </c>
      <c r="M2025" s="4">
        <v>20</v>
      </c>
    </row>
    <row r="2026" spans="1:13">
      <c r="A2026" s="3" t="s">
        <v>2571</v>
      </c>
      <c r="B2026" s="4">
        <v>0</v>
      </c>
      <c r="C2026" s="4">
        <v>0</v>
      </c>
      <c r="D2026" s="4">
        <v>0</v>
      </c>
      <c r="E2026" s="4">
        <v>0</v>
      </c>
      <c r="F2026" s="4">
        <v>15</v>
      </c>
      <c r="G2026" s="4">
        <v>21</v>
      </c>
      <c r="H2026" s="4">
        <v>0</v>
      </c>
      <c r="I2026" s="4">
        <v>0</v>
      </c>
      <c r="J2026" s="4">
        <v>15</v>
      </c>
      <c r="K2026" s="4">
        <v>0</v>
      </c>
      <c r="L2026" s="4">
        <v>50</v>
      </c>
      <c r="M2026" s="4">
        <v>20</v>
      </c>
    </row>
    <row r="2027" spans="1:13">
      <c r="A2027" s="3" t="s">
        <v>2572</v>
      </c>
      <c r="B2027" s="4">
        <v>0</v>
      </c>
      <c r="C2027" s="4">
        <v>0</v>
      </c>
      <c r="D2027" s="4">
        <v>0</v>
      </c>
      <c r="E2027" s="4">
        <v>10</v>
      </c>
      <c r="F2027" s="4">
        <v>10</v>
      </c>
      <c r="G2027" s="4">
        <v>12.5</v>
      </c>
      <c r="H2027" s="4">
        <v>2</v>
      </c>
      <c r="I2027" s="4">
        <v>10</v>
      </c>
      <c r="J2027" s="4">
        <v>28</v>
      </c>
      <c r="K2027" s="4">
        <v>20</v>
      </c>
      <c r="L2027" s="4">
        <v>20</v>
      </c>
      <c r="M2027" s="4">
        <v>10</v>
      </c>
    </row>
    <row r="2028" spans="1:13">
      <c r="A2028" s="3" t="s">
        <v>2573</v>
      </c>
      <c r="B2028" s="4">
        <v>0</v>
      </c>
      <c r="C2028" s="4">
        <v>0</v>
      </c>
      <c r="D2028" s="4">
        <v>0</v>
      </c>
      <c r="E2028" s="4">
        <v>0</v>
      </c>
      <c r="F2028" s="4">
        <v>40</v>
      </c>
      <c r="G2028" s="4">
        <v>17.5</v>
      </c>
      <c r="H2028" s="4">
        <v>20</v>
      </c>
      <c r="I2028" s="4">
        <v>5</v>
      </c>
      <c r="J2028" s="4">
        <v>25</v>
      </c>
      <c r="K2028" s="4">
        <v>6.25</v>
      </c>
      <c r="L2028" s="4">
        <v>0</v>
      </c>
      <c r="M2028" s="4">
        <v>39.25</v>
      </c>
    </row>
    <row r="2029" spans="1:13">
      <c r="A2029" s="3" t="s">
        <v>2574</v>
      </c>
      <c r="B2029" s="4">
        <v>0</v>
      </c>
      <c r="C2029" s="4">
        <v>0</v>
      </c>
      <c r="D2029" s="4">
        <v>0</v>
      </c>
      <c r="E2029" s="4">
        <v>0</v>
      </c>
      <c r="F2029" s="4">
        <v>115.75</v>
      </c>
      <c r="G2029" s="4">
        <v>183.25</v>
      </c>
      <c r="H2029" s="4">
        <v>132</v>
      </c>
      <c r="I2029" s="4">
        <v>47.5</v>
      </c>
      <c r="J2029" s="4">
        <v>124.75</v>
      </c>
      <c r="K2029" s="4">
        <v>355.5</v>
      </c>
      <c r="L2029" s="4">
        <v>273.25</v>
      </c>
      <c r="M2029" s="4">
        <v>396</v>
      </c>
    </row>
    <row r="2030" spans="1:13">
      <c r="A2030" s="3" t="s">
        <v>2575</v>
      </c>
      <c r="B2030" s="4">
        <v>0</v>
      </c>
      <c r="C2030" s="4">
        <v>0</v>
      </c>
      <c r="D2030" s="4">
        <v>0</v>
      </c>
      <c r="E2030" s="4">
        <v>15</v>
      </c>
      <c r="F2030" s="4">
        <v>80</v>
      </c>
      <c r="G2030" s="4">
        <v>139</v>
      </c>
      <c r="H2030" s="4">
        <v>87.25</v>
      </c>
      <c r="I2030" s="4">
        <v>70</v>
      </c>
      <c r="J2030" s="4">
        <v>85</v>
      </c>
      <c r="K2030" s="4">
        <v>57.5</v>
      </c>
      <c r="L2030" s="4">
        <v>43</v>
      </c>
      <c r="M2030" s="4">
        <v>24</v>
      </c>
    </row>
    <row r="2031" spans="1:13">
      <c r="A2031" s="3" t="s">
        <v>2576</v>
      </c>
      <c r="B2031" s="4">
        <v>0</v>
      </c>
      <c r="C2031" s="4">
        <v>0</v>
      </c>
      <c r="D2031" s="4">
        <v>0</v>
      </c>
      <c r="E2031" s="4">
        <v>42</v>
      </c>
      <c r="F2031" s="4">
        <v>40</v>
      </c>
      <c r="G2031" s="4">
        <v>0</v>
      </c>
      <c r="H2031" s="4">
        <v>35</v>
      </c>
      <c r="I2031" s="4">
        <v>20</v>
      </c>
      <c r="J2031" s="4">
        <v>45</v>
      </c>
      <c r="K2031" s="4">
        <v>100</v>
      </c>
      <c r="L2031" s="4">
        <v>97.5</v>
      </c>
      <c r="M2031" s="4">
        <v>45</v>
      </c>
    </row>
    <row r="2032" spans="1:13">
      <c r="A2032" s="3" t="s">
        <v>2577</v>
      </c>
      <c r="B2032" s="4">
        <v>0</v>
      </c>
      <c r="C2032" s="4">
        <v>0</v>
      </c>
      <c r="D2032" s="4">
        <v>0</v>
      </c>
      <c r="E2032" s="4">
        <v>10</v>
      </c>
      <c r="F2032" s="4">
        <v>0</v>
      </c>
      <c r="G2032" s="4">
        <v>25</v>
      </c>
      <c r="H2032" s="4">
        <v>20</v>
      </c>
      <c r="I2032" s="4">
        <v>0</v>
      </c>
      <c r="J2032" s="4">
        <v>15</v>
      </c>
      <c r="K2032" s="4">
        <v>25</v>
      </c>
      <c r="L2032" s="4">
        <v>35</v>
      </c>
      <c r="M2032" s="4">
        <v>0</v>
      </c>
    </row>
    <row r="2033" spans="1:13">
      <c r="A2033" s="3" t="s">
        <v>2578</v>
      </c>
      <c r="B2033" s="4">
        <v>0</v>
      </c>
      <c r="C2033" s="4">
        <v>0</v>
      </c>
      <c r="D2033" s="4">
        <v>0</v>
      </c>
      <c r="E2033" s="4">
        <v>10</v>
      </c>
      <c r="F2033" s="4">
        <v>60</v>
      </c>
      <c r="G2033" s="4">
        <v>30</v>
      </c>
      <c r="H2033" s="4">
        <v>22</v>
      </c>
      <c r="I2033" s="4">
        <v>20</v>
      </c>
      <c r="J2033" s="4">
        <v>50</v>
      </c>
      <c r="K2033" s="4">
        <v>6</v>
      </c>
      <c r="L2033" s="4">
        <v>10</v>
      </c>
      <c r="M2033" s="4">
        <v>57</v>
      </c>
    </row>
    <row r="2034" spans="1:13">
      <c r="A2034" s="3" t="s">
        <v>2579</v>
      </c>
      <c r="B2034" s="4">
        <v>0</v>
      </c>
      <c r="C2034" s="4">
        <v>0</v>
      </c>
      <c r="D2034" s="4">
        <v>0</v>
      </c>
      <c r="E2034" s="4">
        <v>10</v>
      </c>
      <c r="F2034" s="4">
        <v>55</v>
      </c>
      <c r="G2034" s="4">
        <v>60</v>
      </c>
      <c r="H2034" s="4">
        <v>20</v>
      </c>
      <c r="I2034" s="4">
        <v>30</v>
      </c>
      <c r="J2034" s="4">
        <v>26.5</v>
      </c>
      <c r="K2034" s="4">
        <v>20</v>
      </c>
      <c r="L2034" s="4">
        <v>57</v>
      </c>
      <c r="M2034" s="4">
        <v>86.5</v>
      </c>
    </row>
    <row r="2035" spans="1:13">
      <c r="A2035" s="3" t="s">
        <v>2580</v>
      </c>
      <c r="B2035" s="4">
        <v>0</v>
      </c>
      <c r="C2035" s="4">
        <v>0</v>
      </c>
      <c r="D2035" s="4">
        <v>0</v>
      </c>
      <c r="E2035" s="4">
        <v>14</v>
      </c>
      <c r="F2035" s="4">
        <v>24.6</v>
      </c>
      <c r="G2035" s="4">
        <v>20</v>
      </c>
      <c r="H2035" s="4">
        <v>20</v>
      </c>
      <c r="I2035" s="4">
        <v>0</v>
      </c>
      <c r="J2035" s="4">
        <v>0</v>
      </c>
      <c r="K2035" s="4">
        <v>0</v>
      </c>
      <c r="L2035" s="4">
        <v>10</v>
      </c>
      <c r="M2035" s="4">
        <v>20</v>
      </c>
    </row>
    <row r="2036" spans="1:13">
      <c r="A2036" s="3" t="s">
        <v>2581</v>
      </c>
      <c r="B2036" s="4">
        <v>0</v>
      </c>
      <c r="C2036" s="4">
        <v>0</v>
      </c>
      <c r="D2036" s="4">
        <v>0</v>
      </c>
      <c r="E2036" s="4">
        <v>0</v>
      </c>
      <c r="F2036" s="4">
        <v>51</v>
      </c>
      <c r="G2036" s="4">
        <v>0</v>
      </c>
      <c r="H2036" s="4">
        <v>51</v>
      </c>
      <c r="I2036" s="4">
        <v>0</v>
      </c>
      <c r="J2036" s="4">
        <v>0</v>
      </c>
      <c r="K2036" s="4">
        <v>20</v>
      </c>
      <c r="L2036" s="4">
        <v>0</v>
      </c>
      <c r="M2036" s="4">
        <v>0</v>
      </c>
    </row>
    <row r="2037" spans="1:13">
      <c r="A2037" s="3" t="s">
        <v>2582</v>
      </c>
      <c r="B2037" s="4">
        <v>0</v>
      </c>
      <c r="C2037" s="4">
        <v>0</v>
      </c>
      <c r="D2037" s="4">
        <v>0</v>
      </c>
      <c r="E2037" s="4">
        <v>0</v>
      </c>
      <c r="F2037" s="4">
        <v>22.75</v>
      </c>
      <c r="G2037" s="4">
        <v>0</v>
      </c>
      <c r="H2037" s="4">
        <v>10</v>
      </c>
      <c r="I2037" s="4">
        <v>0</v>
      </c>
      <c r="J2037" s="4">
        <v>15.5</v>
      </c>
      <c r="K2037" s="4">
        <v>0</v>
      </c>
      <c r="L2037" s="4">
        <v>0</v>
      </c>
      <c r="M2037" s="4">
        <v>0</v>
      </c>
    </row>
    <row r="2038" spans="1:13">
      <c r="A2038" s="3" t="s">
        <v>2583</v>
      </c>
      <c r="B2038" s="4">
        <v>0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40</v>
      </c>
      <c r="L2038" s="4">
        <v>120</v>
      </c>
      <c r="M2038" s="4">
        <v>65</v>
      </c>
    </row>
    <row r="2039" spans="1:13">
      <c r="A2039" s="3" t="s">
        <v>2584</v>
      </c>
      <c r="B2039" s="4">
        <v>0</v>
      </c>
      <c r="C2039" s="4">
        <v>0</v>
      </c>
      <c r="D2039" s="4">
        <v>0</v>
      </c>
      <c r="E2039" s="4">
        <v>5</v>
      </c>
      <c r="F2039" s="4">
        <v>5</v>
      </c>
      <c r="G2039" s="4">
        <v>25</v>
      </c>
      <c r="H2039" s="4">
        <v>5</v>
      </c>
      <c r="I2039" s="4">
        <v>10</v>
      </c>
      <c r="J2039" s="4">
        <v>10</v>
      </c>
      <c r="K2039" s="4">
        <v>0</v>
      </c>
      <c r="L2039" s="4">
        <v>0</v>
      </c>
      <c r="M2039" s="4">
        <v>0</v>
      </c>
    </row>
    <row r="2040" spans="1:13">
      <c r="A2040" s="3" t="s">
        <v>2585</v>
      </c>
      <c r="B2040" s="4">
        <v>0</v>
      </c>
      <c r="C2040" s="4">
        <v>0</v>
      </c>
      <c r="D2040" s="4">
        <v>0</v>
      </c>
      <c r="E2040" s="4">
        <v>20</v>
      </c>
      <c r="F2040" s="4">
        <v>79</v>
      </c>
      <c r="G2040" s="4">
        <v>47.5</v>
      </c>
      <c r="H2040" s="4">
        <v>39.5</v>
      </c>
      <c r="I2040" s="4">
        <v>45</v>
      </c>
      <c r="J2040" s="4">
        <v>76.5</v>
      </c>
      <c r="K2040" s="4">
        <v>40</v>
      </c>
      <c r="L2040" s="4">
        <v>22.5</v>
      </c>
      <c r="M2040" s="4">
        <v>57.5</v>
      </c>
    </row>
    <row r="2041" spans="1:13">
      <c r="A2041" s="3" t="s">
        <v>2586</v>
      </c>
      <c r="B2041" s="4">
        <v>0</v>
      </c>
      <c r="C2041" s="4">
        <v>0</v>
      </c>
      <c r="D2041" s="4">
        <v>0</v>
      </c>
      <c r="E2041" s="4">
        <v>0</v>
      </c>
      <c r="F2041" s="4">
        <v>57.75</v>
      </c>
      <c r="G2041" s="4">
        <v>75</v>
      </c>
      <c r="H2041" s="4">
        <v>51</v>
      </c>
      <c r="I2041" s="4">
        <v>51.25</v>
      </c>
      <c r="J2041" s="4">
        <v>50.5</v>
      </c>
      <c r="K2041" s="4">
        <v>51</v>
      </c>
      <c r="L2041" s="4">
        <v>55</v>
      </c>
      <c r="M2041" s="4">
        <v>20</v>
      </c>
    </row>
    <row r="2042" spans="1:13">
      <c r="A2042" s="3" t="s">
        <v>2587</v>
      </c>
      <c r="B2042" s="4">
        <v>0</v>
      </c>
      <c r="C2042" s="4">
        <v>0</v>
      </c>
      <c r="D2042" s="4">
        <v>0</v>
      </c>
      <c r="E2042" s="4">
        <v>20</v>
      </c>
      <c r="F2042" s="4">
        <v>20</v>
      </c>
      <c r="G2042" s="4">
        <v>20</v>
      </c>
      <c r="H2042" s="4">
        <v>10</v>
      </c>
      <c r="I2042" s="4">
        <v>20</v>
      </c>
      <c r="J2042" s="4">
        <v>53.5</v>
      </c>
      <c r="K2042" s="4">
        <v>11.4</v>
      </c>
      <c r="L2042" s="4">
        <v>17.5</v>
      </c>
      <c r="M2042" s="4">
        <v>0</v>
      </c>
    </row>
    <row r="2043" spans="1:13">
      <c r="A2043" s="3" t="s">
        <v>2588</v>
      </c>
      <c r="B2043" s="4">
        <v>0</v>
      </c>
      <c r="C2043" s="4">
        <v>0</v>
      </c>
      <c r="D2043" s="4">
        <v>0</v>
      </c>
      <c r="E2043" s="4">
        <v>10</v>
      </c>
      <c r="F2043" s="4">
        <v>20</v>
      </c>
      <c r="G2043" s="4">
        <v>25.5</v>
      </c>
      <c r="H2043" s="4">
        <v>45</v>
      </c>
      <c r="I2043" s="4">
        <v>20</v>
      </c>
      <c r="J2043" s="4">
        <v>63.5</v>
      </c>
      <c r="K2043" s="4">
        <v>10</v>
      </c>
      <c r="L2043" s="4">
        <v>30</v>
      </c>
      <c r="M2043" s="4">
        <v>177.15</v>
      </c>
    </row>
    <row r="2044" spans="1:13">
      <c r="A2044" s="3" t="s">
        <v>2589</v>
      </c>
      <c r="B2044" s="4">
        <v>0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7.5</v>
      </c>
      <c r="K2044" s="4">
        <v>100</v>
      </c>
      <c r="L2044" s="4">
        <v>0</v>
      </c>
      <c r="M2044" s="4">
        <v>30</v>
      </c>
    </row>
    <row r="2045" spans="1:13">
      <c r="A2045" s="3" t="s">
        <v>2590</v>
      </c>
      <c r="B2045" s="4">
        <v>0</v>
      </c>
      <c r="C2045" s="4">
        <v>0</v>
      </c>
      <c r="D2045" s="4">
        <v>0</v>
      </c>
      <c r="E2045" s="4">
        <v>0</v>
      </c>
      <c r="F2045" s="4">
        <v>0</v>
      </c>
      <c r="G2045" s="4">
        <v>40</v>
      </c>
      <c r="H2045" s="4">
        <v>60</v>
      </c>
      <c r="I2045" s="4">
        <v>60</v>
      </c>
      <c r="J2045" s="4">
        <v>42.5</v>
      </c>
      <c r="K2045" s="4">
        <v>95</v>
      </c>
      <c r="L2045" s="4">
        <v>50</v>
      </c>
      <c r="M2045" s="4">
        <v>52</v>
      </c>
    </row>
    <row r="2046" spans="1:13">
      <c r="A2046" s="3" t="s">
        <v>2591</v>
      </c>
      <c r="B2046" s="4">
        <v>0</v>
      </c>
      <c r="C2046" s="4">
        <v>0</v>
      </c>
      <c r="D2046" s="4">
        <v>0</v>
      </c>
      <c r="E2046" s="4">
        <v>30</v>
      </c>
      <c r="F2046" s="4">
        <v>15</v>
      </c>
      <c r="G2046" s="4">
        <v>15</v>
      </c>
      <c r="H2046" s="4">
        <v>10</v>
      </c>
      <c r="I2046" s="4">
        <v>10</v>
      </c>
      <c r="J2046" s="4">
        <v>40</v>
      </c>
      <c r="K2046" s="4">
        <v>20</v>
      </c>
      <c r="L2046" s="4">
        <v>41.2</v>
      </c>
      <c r="M2046" s="4">
        <v>75</v>
      </c>
    </row>
    <row r="2047" spans="1:13">
      <c r="A2047" s="3" t="s">
        <v>2592</v>
      </c>
      <c r="B2047" s="4">
        <v>0</v>
      </c>
      <c r="C2047" s="4">
        <v>0</v>
      </c>
      <c r="D2047" s="4">
        <v>0</v>
      </c>
      <c r="E2047" s="4">
        <v>2</v>
      </c>
      <c r="F2047" s="4">
        <v>10</v>
      </c>
      <c r="G2047" s="4">
        <v>30</v>
      </c>
      <c r="H2047" s="4">
        <v>17.5</v>
      </c>
      <c r="I2047" s="4">
        <v>0</v>
      </c>
      <c r="J2047" s="4">
        <v>0</v>
      </c>
      <c r="K2047" s="4">
        <v>10</v>
      </c>
      <c r="L2047" s="4">
        <v>0</v>
      </c>
      <c r="M2047" s="4">
        <v>20</v>
      </c>
    </row>
    <row r="2048" spans="1:13">
      <c r="A2048" s="3" t="s">
        <v>2593</v>
      </c>
      <c r="B2048" s="4">
        <v>0</v>
      </c>
      <c r="C2048" s="4">
        <v>0</v>
      </c>
      <c r="D2048" s="4">
        <v>0</v>
      </c>
      <c r="E2048" s="4">
        <v>0</v>
      </c>
      <c r="F2048" s="4">
        <v>51</v>
      </c>
      <c r="G2048" s="4">
        <v>0</v>
      </c>
      <c r="H2048" s="4">
        <v>51</v>
      </c>
      <c r="I2048" s="4">
        <v>50</v>
      </c>
      <c r="J2048" s="4">
        <v>31</v>
      </c>
      <c r="K2048" s="4">
        <v>0</v>
      </c>
      <c r="L2048" s="4">
        <v>0</v>
      </c>
      <c r="M2048" s="4">
        <v>0</v>
      </c>
    </row>
    <row r="2049" spans="1:13">
      <c r="A2049" s="3" t="s">
        <v>2594</v>
      </c>
      <c r="B2049" s="4">
        <v>0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30.5</v>
      </c>
      <c r="L2049" s="4">
        <v>0</v>
      </c>
      <c r="M2049" s="4">
        <v>128</v>
      </c>
    </row>
    <row r="2050" spans="1:13">
      <c r="A2050" s="3" t="s">
        <v>2595</v>
      </c>
      <c r="B2050" s="4">
        <v>0</v>
      </c>
      <c r="C2050" s="4">
        <v>0</v>
      </c>
      <c r="D2050" s="4">
        <v>0</v>
      </c>
      <c r="E2050" s="4">
        <v>20</v>
      </c>
      <c r="F2050" s="4">
        <v>28</v>
      </c>
      <c r="G2050" s="4">
        <v>21</v>
      </c>
      <c r="H2050" s="4">
        <v>5.9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</row>
    <row r="2051" spans="1:13">
      <c r="A2051" s="3" t="s">
        <v>2596</v>
      </c>
      <c r="B2051" s="4">
        <v>0</v>
      </c>
      <c r="C2051" s="4">
        <v>0</v>
      </c>
      <c r="D2051" s="4">
        <v>0</v>
      </c>
      <c r="E2051" s="4">
        <v>10</v>
      </c>
      <c r="F2051" s="4">
        <v>16</v>
      </c>
      <c r="G2051" s="4">
        <v>38.5</v>
      </c>
      <c r="H2051" s="4">
        <v>42.5</v>
      </c>
      <c r="I2051" s="4">
        <v>40</v>
      </c>
      <c r="J2051" s="4">
        <v>44</v>
      </c>
      <c r="K2051" s="4">
        <v>20</v>
      </c>
      <c r="L2051" s="4">
        <v>10</v>
      </c>
      <c r="M2051" s="4">
        <v>5</v>
      </c>
    </row>
    <row r="2052" spans="1:13">
      <c r="A2052" s="3" t="s">
        <v>2597</v>
      </c>
      <c r="B2052" s="4">
        <v>0</v>
      </c>
      <c r="C2052" s="4">
        <v>0</v>
      </c>
      <c r="D2052" s="4">
        <v>0</v>
      </c>
      <c r="E2052" s="4">
        <v>7</v>
      </c>
      <c r="F2052" s="4">
        <v>27.5</v>
      </c>
      <c r="G2052" s="4">
        <v>45</v>
      </c>
      <c r="H2052" s="4">
        <v>63</v>
      </c>
      <c r="I2052" s="4">
        <v>60</v>
      </c>
      <c r="J2052" s="4">
        <v>89.5</v>
      </c>
      <c r="K2052" s="4">
        <v>30</v>
      </c>
      <c r="L2052" s="4">
        <v>30</v>
      </c>
      <c r="M2052" s="4">
        <v>74</v>
      </c>
    </row>
    <row r="2053" spans="1:13">
      <c r="A2053" s="3" t="s">
        <v>2598</v>
      </c>
      <c r="B2053" s="4">
        <v>0</v>
      </c>
      <c r="C2053" s="4">
        <v>0</v>
      </c>
      <c r="D2053" s="4">
        <v>0</v>
      </c>
      <c r="E2053" s="4">
        <v>5</v>
      </c>
      <c r="F2053" s="4">
        <v>15</v>
      </c>
      <c r="G2053" s="4">
        <v>15</v>
      </c>
      <c r="H2053" s="4">
        <v>0</v>
      </c>
      <c r="I2053" s="4">
        <v>0</v>
      </c>
      <c r="J2053" s="4">
        <v>10</v>
      </c>
      <c r="K2053" s="4">
        <v>0</v>
      </c>
      <c r="L2053" s="4">
        <v>0</v>
      </c>
      <c r="M2053" s="4">
        <v>0</v>
      </c>
    </row>
    <row r="2054" spans="1:13">
      <c r="A2054" s="3" t="s">
        <v>2599</v>
      </c>
      <c r="B2054" s="4">
        <v>0</v>
      </c>
      <c r="C2054" s="4">
        <v>0</v>
      </c>
      <c r="D2054" s="4">
        <v>0</v>
      </c>
      <c r="E2054" s="4">
        <v>2.5</v>
      </c>
      <c r="F2054" s="4">
        <v>47</v>
      </c>
      <c r="G2054" s="4">
        <v>16.5</v>
      </c>
      <c r="H2054" s="4">
        <v>17.5</v>
      </c>
      <c r="I2054" s="4">
        <v>10</v>
      </c>
      <c r="J2054" s="4">
        <v>21</v>
      </c>
      <c r="K2054" s="4">
        <v>0</v>
      </c>
      <c r="L2054" s="4">
        <v>0</v>
      </c>
      <c r="M2054" s="4">
        <v>0</v>
      </c>
    </row>
    <row r="2055" spans="1:13">
      <c r="A2055" s="3" t="s">
        <v>2600</v>
      </c>
      <c r="B2055" s="4">
        <v>0</v>
      </c>
      <c r="C2055" s="4">
        <v>0</v>
      </c>
      <c r="D2055" s="4">
        <v>0</v>
      </c>
      <c r="E2055" s="4">
        <v>2.5</v>
      </c>
      <c r="F2055" s="4">
        <v>31</v>
      </c>
      <c r="G2055" s="4">
        <v>10</v>
      </c>
      <c r="H2055" s="4">
        <v>15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</row>
    <row r="2056" spans="1:13">
      <c r="A2056" s="3" t="s">
        <v>2601</v>
      </c>
      <c r="B2056" s="4">
        <v>0</v>
      </c>
      <c r="C2056" s="4">
        <v>0</v>
      </c>
      <c r="D2056" s="4">
        <v>0</v>
      </c>
      <c r="E2056" s="4">
        <v>0</v>
      </c>
      <c r="F2056" s="4">
        <v>10</v>
      </c>
      <c r="G2056" s="4">
        <v>15</v>
      </c>
      <c r="H2056" s="4">
        <v>5</v>
      </c>
      <c r="I2056" s="4">
        <v>10</v>
      </c>
      <c r="J2056" s="4">
        <v>12.5</v>
      </c>
      <c r="K2056" s="4">
        <v>0</v>
      </c>
      <c r="L2056" s="4">
        <v>5</v>
      </c>
      <c r="M2056" s="4">
        <v>20</v>
      </c>
    </row>
    <row r="2057" spans="1:13">
      <c r="A2057" s="3" t="s">
        <v>2602</v>
      </c>
      <c r="B2057" s="4">
        <v>0</v>
      </c>
      <c r="C2057" s="4">
        <v>0</v>
      </c>
      <c r="D2057" s="4">
        <v>0</v>
      </c>
      <c r="E2057" s="4">
        <v>0</v>
      </c>
      <c r="F2057" s="4">
        <v>20</v>
      </c>
      <c r="G2057" s="4">
        <v>30</v>
      </c>
      <c r="H2057" s="4">
        <v>22.5</v>
      </c>
      <c r="I2057" s="4">
        <v>20</v>
      </c>
      <c r="J2057" s="4">
        <v>25</v>
      </c>
      <c r="K2057" s="4">
        <v>0</v>
      </c>
      <c r="L2057" s="4">
        <v>20</v>
      </c>
      <c r="M2057" s="4">
        <v>0</v>
      </c>
    </row>
    <row r="2058" spans="1:13">
      <c r="A2058" s="3" t="s">
        <v>2603</v>
      </c>
      <c r="B2058" s="4">
        <v>0</v>
      </c>
      <c r="C2058" s="4">
        <v>0</v>
      </c>
      <c r="D2058" s="4">
        <v>0</v>
      </c>
      <c r="E2058" s="4">
        <v>0</v>
      </c>
      <c r="F2058" s="4">
        <v>30</v>
      </c>
      <c r="G2058" s="4">
        <v>14</v>
      </c>
      <c r="H2058" s="4">
        <v>51</v>
      </c>
      <c r="I2058" s="4">
        <v>30</v>
      </c>
      <c r="J2058" s="4">
        <v>15</v>
      </c>
      <c r="K2058" s="4">
        <v>20</v>
      </c>
      <c r="L2058" s="4">
        <v>20</v>
      </c>
      <c r="M2058" s="4">
        <v>8</v>
      </c>
    </row>
    <row r="2059" spans="1:13">
      <c r="A2059" s="3" t="s">
        <v>2604</v>
      </c>
      <c r="B2059" s="4">
        <v>0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10</v>
      </c>
      <c r="K2059" s="4">
        <v>15</v>
      </c>
      <c r="L2059" s="4">
        <v>15</v>
      </c>
      <c r="M2059" s="4">
        <v>20</v>
      </c>
    </row>
    <row r="2060" spans="1:13">
      <c r="A2060" s="3" t="s">
        <v>2605</v>
      </c>
      <c r="B2060" s="4">
        <v>0</v>
      </c>
      <c r="C2060" s="4">
        <v>0</v>
      </c>
      <c r="D2060" s="4">
        <v>0</v>
      </c>
      <c r="E2060" s="4">
        <v>0</v>
      </c>
      <c r="F2060" s="4">
        <v>92.5</v>
      </c>
      <c r="G2060" s="4">
        <v>57.5</v>
      </c>
      <c r="H2060" s="4">
        <v>105</v>
      </c>
      <c r="I2060" s="4">
        <v>45</v>
      </c>
      <c r="J2060" s="4">
        <v>110</v>
      </c>
      <c r="K2060" s="4">
        <v>50</v>
      </c>
      <c r="L2060" s="4">
        <v>62.5</v>
      </c>
      <c r="M2060" s="4">
        <v>95</v>
      </c>
    </row>
    <row r="2061" spans="1:13">
      <c r="A2061" s="3" t="s">
        <v>2606</v>
      </c>
      <c r="B2061" s="4">
        <v>0</v>
      </c>
      <c r="C2061" s="4">
        <v>0</v>
      </c>
      <c r="D2061" s="4">
        <v>0</v>
      </c>
      <c r="E2061" s="4">
        <v>0</v>
      </c>
      <c r="F2061" s="4">
        <v>122</v>
      </c>
      <c r="G2061" s="4">
        <v>120</v>
      </c>
      <c r="H2061" s="4">
        <v>115</v>
      </c>
      <c r="I2061" s="4">
        <v>35</v>
      </c>
      <c r="J2061" s="4">
        <v>93</v>
      </c>
      <c r="K2061" s="4">
        <v>120</v>
      </c>
      <c r="L2061" s="4">
        <v>45</v>
      </c>
      <c r="M2061" s="4">
        <v>155</v>
      </c>
    </row>
    <row r="2062" spans="1:13">
      <c r="A2062" s="3" t="s">
        <v>2607</v>
      </c>
      <c r="B2062" s="4">
        <v>0</v>
      </c>
      <c r="C2062" s="4">
        <v>0</v>
      </c>
      <c r="D2062" s="4">
        <v>0</v>
      </c>
      <c r="E2062" s="4">
        <v>0</v>
      </c>
      <c r="F2062" s="4">
        <v>24.5</v>
      </c>
      <c r="G2062" s="4">
        <v>25</v>
      </c>
      <c r="H2062" s="4">
        <v>8</v>
      </c>
      <c r="I2062" s="4">
        <v>6</v>
      </c>
      <c r="J2062" s="4">
        <v>15</v>
      </c>
      <c r="K2062" s="4">
        <v>15</v>
      </c>
      <c r="L2062" s="4">
        <v>7.5</v>
      </c>
      <c r="M2062" s="4">
        <v>0</v>
      </c>
    </row>
    <row r="2063" spans="1:13">
      <c r="A2063" s="3" t="s">
        <v>2608</v>
      </c>
      <c r="B2063" s="4">
        <v>0</v>
      </c>
      <c r="C2063" s="4">
        <v>0</v>
      </c>
      <c r="D2063" s="4">
        <v>0</v>
      </c>
      <c r="E2063" s="4">
        <v>0</v>
      </c>
      <c r="F2063" s="4">
        <v>1</v>
      </c>
      <c r="G2063" s="4">
        <v>36.5</v>
      </c>
      <c r="H2063" s="4">
        <v>25</v>
      </c>
      <c r="I2063" s="4">
        <v>25</v>
      </c>
      <c r="J2063" s="4">
        <v>42.25</v>
      </c>
      <c r="K2063" s="4">
        <v>30</v>
      </c>
      <c r="L2063" s="4">
        <v>23.75</v>
      </c>
      <c r="M2063" s="4">
        <v>35</v>
      </c>
    </row>
    <row r="2064" spans="1:13">
      <c r="A2064" s="3" t="s">
        <v>2609</v>
      </c>
      <c r="B2064" s="4">
        <v>0</v>
      </c>
      <c r="C2064" s="4">
        <v>0</v>
      </c>
      <c r="D2064" s="4">
        <v>0</v>
      </c>
      <c r="E2064" s="4">
        <v>0</v>
      </c>
      <c r="F2064" s="4">
        <v>52.5</v>
      </c>
      <c r="G2064" s="4">
        <v>40</v>
      </c>
      <c r="H2064" s="4">
        <v>5</v>
      </c>
      <c r="I2064" s="4">
        <v>10</v>
      </c>
      <c r="J2064" s="4">
        <v>45</v>
      </c>
      <c r="K2064" s="4">
        <v>50</v>
      </c>
      <c r="L2064" s="4">
        <v>50</v>
      </c>
      <c r="M2064" s="4">
        <v>168.2</v>
      </c>
    </row>
    <row r="2065" spans="1:13">
      <c r="A2065" s="3" t="s">
        <v>2610</v>
      </c>
      <c r="B2065" s="4">
        <v>0</v>
      </c>
      <c r="C2065" s="4">
        <v>0</v>
      </c>
      <c r="D2065" s="4">
        <v>0</v>
      </c>
      <c r="E2065" s="4">
        <v>0</v>
      </c>
      <c r="F2065" s="4">
        <v>122.5</v>
      </c>
      <c r="G2065" s="4">
        <v>87.5</v>
      </c>
      <c r="H2065" s="4">
        <v>31</v>
      </c>
      <c r="I2065" s="4">
        <v>30</v>
      </c>
      <c r="J2065" s="4">
        <v>67.5</v>
      </c>
      <c r="K2065" s="4">
        <v>80</v>
      </c>
      <c r="L2065" s="4">
        <v>55</v>
      </c>
      <c r="M2065" s="4">
        <v>66</v>
      </c>
    </row>
    <row r="2066" spans="1:13">
      <c r="A2066" s="3" t="s">
        <v>2611</v>
      </c>
      <c r="B2066" s="4">
        <v>0</v>
      </c>
      <c r="C2066" s="4">
        <v>0</v>
      </c>
      <c r="D2066" s="4">
        <v>0</v>
      </c>
      <c r="E2066" s="4">
        <v>0</v>
      </c>
      <c r="F2066" s="4">
        <v>30</v>
      </c>
      <c r="G2066" s="4">
        <v>70</v>
      </c>
      <c r="H2066" s="4">
        <v>130</v>
      </c>
      <c r="I2066" s="4">
        <v>20</v>
      </c>
      <c r="J2066" s="4">
        <v>55.2</v>
      </c>
      <c r="K2066" s="4">
        <v>10</v>
      </c>
      <c r="L2066" s="4">
        <v>10</v>
      </c>
      <c r="M2066" s="4">
        <v>0</v>
      </c>
    </row>
    <row r="2067" spans="1:13">
      <c r="A2067" s="3" t="s">
        <v>2612</v>
      </c>
      <c r="B2067" s="4">
        <v>0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10</v>
      </c>
      <c r="L2067" s="4">
        <v>0</v>
      </c>
      <c r="M2067" s="4">
        <v>0</v>
      </c>
    </row>
    <row r="2068" spans="1:13">
      <c r="A2068" s="3" t="s">
        <v>2613</v>
      </c>
      <c r="B2068" s="4">
        <v>0</v>
      </c>
      <c r="C2068" s="4">
        <v>0</v>
      </c>
      <c r="D2068" s="4">
        <v>0</v>
      </c>
      <c r="E2068" s="4">
        <v>0</v>
      </c>
      <c r="F2068" s="4">
        <v>50.5</v>
      </c>
      <c r="G2068" s="4">
        <v>30</v>
      </c>
      <c r="H2068" s="4">
        <v>22.5</v>
      </c>
      <c r="I2068" s="4">
        <v>12.5</v>
      </c>
      <c r="J2068" s="4">
        <v>0</v>
      </c>
      <c r="K2068" s="4">
        <v>0</v>
      </c>
      <c r="L2068" s="4">
        <v>0</v>
      </c>
      <c r="M2068" s="4">
        <v>0</v>
      </c>
    </row>
    <row r="2069" spans="1:13">
      <c r="A2069" s="3" t="s">
        <v>2614</v>
      </c>
      <c r="B2069" s="4">
        <v>0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10</v>
      </c>
      <c r="K2069" s="4">
        <v>10</v>
      </c>
      <c r="L2069" s="4">
        <v>0</v>
      </c>
      <c r="M2069" s="4">
        <v>12</v>
      </c>
    </row>
    <row r="2070" spans="1:13">
      <c r="A2070" s="3" t="s">
        <v>2615</v>
      </c>
      <c r="B2070" s="4">
        <v>0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10</v>
      </c>
      <c r="M2070" s="4">
        <v>0</v>
      </c>
    </row>
    <row r="2071" spans="1:13">
      <c r="A2071" s="3" t="s">
        <v>2616</v>
      </c>
      <c r="B2071" s="4">
        <v>0</v>
      </c>
      <c r="C2071" s="4">
        <v>0</v>
      </c>
      <c r="D2071" s="4">
        <v>0</v>
      </c>
      <c r="E2071" s="4">
        <v>0</v>
      </c>
      <c r="F2071" s="4">
        <v>0</v>
      </c>
      <c r="G2071" s="4">
        <v>18</v>
      </c>
      <c r="H2071" s="4">
        <v>15</v>
      </c>
      <c r="I2071" s="4">
        <v>5</v>
      </c>
      <c r="J2071" s="4">
        <v>15</v>
      </c>
      <c r="K2071" s="4">
        <v>5</v>
      </c>
      <c r="L2071" s="4">
        <v>6</v>
      </c>
      <c r="M2071" s="4">
        <v>0</v>
      </c>
    </row>
    <row r="2072" spans="1:13">
      <c r="A2072" s="3" t="s">
        <v>2617</v>
      </c>
      <c r="B2072" s="4">
        <v>0</v>
      </c>
      <c r="C2072" s="4">
        <v>0</v>
      </c>
      <c r="D2072" s="4">
        <v>0</v>
      </c>
      <c r="E2072" s="4">
        <v>0</v>
      </c>
      <c r="F2072" s="4">
        <v>0</v>
      </c>
      <c r="G2072" s="4">
        <v>41.95</v>
      </c>
      <c r="H2072" s="4">
        <v>64</v>
      </c>
      <c r="I2072" s="4">
        <v>20</v>
      </c>
      <c r="J2072" s="4">
        <v>67</v>
      </c>
      <c r="K2072" s="4">
        <v>50</v>
      </c>
      <c r="L2072" s="4">
        <v>75</v>
      </c>
      <c r="M2072" s="4">
        <v>91.5</v>
      </c>
    </row>
    <row r="2073" spans="1:13">
      <c r="A2073" s="3" t="s">
        <v>2618</v>
      </c>
      <c r="B2073" s="4">
        <v>0</v>
      </c>
      <c r="C2073" s="4">
        <v>0</v>
      </c>
      <c r="D2073" s="4">
        <v>0</v>
      </c>
      <c r="E2073" s="4">
        <v>0</v>
      </c>
      <c r="F2073" s="4">
        <v>2</v>
      </c>
      <c r="G2073" s="4">
        <v>15</v>
      </c>
      <c r="H2073" s="4">
        <v>60</v>
      </c>
      <c r="I2073" s="4">
        <v>12</v>
      </c>
      <c r="J2073" s="4">
        <v>13</v>
      </c>
      <c r="K2073" s="4">
        <v>30</v>
      </c>
      <c r="L2073" s="4">
        <v>30</v>
      </c>
      <c r="M2073" s="4">
        <v>20</v>
      </c>
    </row>
    <row r="2074" spans="1:13">
      <c r="A2074" s="3" t="s">
        <v>2619</v>
      </c>
      <c r="B2074" s="4">
        <v>0</v>
      </c>
      <c r="C2074" s="4">
        <v>0</v>
      </c>
      <c r="D2074" s="4">
        <v>0</v>
      </c>
      <c r="E2074" s="4">
        <v>0</v>
      </c>
      <c r="F2074" s="4">
        <v>58.5</v>
      </c>
      <c r="G2074" s="4">
        <v>42.5</v>
      </c>
      <c r="H2074" s="4">
        <v>81</v>
      </c>
      <c r="I2074" s="4">
        <v>37.5</v>
      </c>
      <c r="J2074" s="4">
        <v>99.5</v>
      </c>
      <c r="K2074" s="4">
        <v>104.05</v>
      </c>
      <c r="L2074" s="4">
        <v>101</v>
      </c>
      <c r="M2074" s="4">
        <v>86</v>
      </c>
    </row>
    <row r="2075" spans="1:13">
      <c r="A2075" s="3" t="s">
        <v>2620</v>
      </c>
      <c r="B2075" s="4">
        <v>0</v>
      </c>
      <c r="C2075" s="4">
        <v>0</v>
      </c>
      <c r="D2075" s="4">
        <v>0</v>
      </c>
      <c r="E2075" s="4">
        <v>0</v>
      </c>
      <c r="F2075" s="4">
        <v>71.5</v>
      </c>
      <c r="G2075" s="4">
        <v>27.5</v>
      </c>
      <c r="H2075" s="4">
        <v>20</v>
      </c>
      <c r="I2075" s="4">
        <v>0</v>
      </c>
      <c r="J2075" s="4">
        <v>5</v>
      </c>
      <c r="K2075" s="4">
        <v>0</v>
      </c>
      <c r="L2075" s="4">
        <v>0</v>
      </c>
      <c r="M2075" s="4">
        <v>0</v>
      </c>
    </row>
    <row r="2076" spans="1:13">
      <c r="A2076" s="3" t="s">
        <v>2621</v>
      </c>
      <c r="B2076" s="4">
        <v>0</v>
      </c>
      <c r="C2076" s="4">
        <v>0</v>
      </c>
      <c r="D2076" s="4">
        <v>0</v>
      </c>
      <c r="E2076" s="4">
        <v>0</v>
      </c>
      <c r="F2076" s="4">
        <v>7.5</v>
      </c>
      <c r="G2076" s="4">
        <v>50</v>
      </c>
      <c r="H2076" s="4">
        <v>25</v>
      </c>
      <c r="I2076" s="4">
        <v>40</v>
      </c>
      <c r="J2076" s="4">
        <v>75</v>
      </c>
      <c r="K2076" s="4">
        <v>97.5</v>
      </c>
      <c r="L2076" s="4">
        <v>45</v>
      </c>
      <c r="M2076" s="4">
        <v>201</v>
      </c>
    </row>
    <row r="2077" spans="1:13">
      <c r="A2077" s="3" t="s">
        <v>2622</v>
      </c>
      <c r="B2077" s="4">
        <v>0</v>
      </c>
      <c r="C2077" s="4">
        <v>0</v>
      </c>
      <c r="D2077" s="4">
        <v>0</v>
      </c>
      <c r="E2077" s="4">
        <v>0</v>
      </c>
      <c r="F2077" s="4">
        <v>0</v>
      </c>
      <c r="G2077" s="4">
        <v>15</v>
      </c>
      <c r="H2077" s="4">
        <v>0</v>
      </c>
      <c r="I2077" s="4">
        <v>0</v>
      </c>
      <c r="J2077" s="4">
        <v>10</v>
      </c>
      <c r="K2077" s="4">
        <v>0</v>
      </c>
      <c r="L2077" s="4">
        <v>30</v>
      </c>
      <c r="M2077" s="4">
        <v>20</v>
      </c>
    </row>
    <row r="2078" spans="1:13">
      <c r="A2078" s="3" t="s">
        <v>2623</v>
      </c>
      <c r="B2078" s="4">
        <v>0</v>
      </c>
      <c r="C2078" s="4">
        <v>0</v>
      </c>
      <c r="D2078" s="4">
        <v>0</v>
      </c>
      <c r="E2078" s="4">
        <v>0</v>
      </c>
      <c r="F2078" s="4">
        <v>60</v>
      </c>
      <c r="G2078" s="4">
        <v>60</v>
      </c>
      <c r="H2078" s="4">
        <v>20</v>
      </c>
      <c r="I2078" s="4">
        <v>20</v>
      </c>
      <c r="J2078" s="4">
        <v>76</v>
      </c>
      <c r="K2078" s="4">
        <v>80</v>
      </c>
      <c r="L2078" s="4">
        <v>61</v>
      </c>
      <c r="M2078" s="4">
        <v>77</v>
      </c>
    </row>
    <row r="2079" spans="1:13">
      <c r="A2079" s="3" t="s">
        <v>2624</v>
      </c>
      <c r="B2079" s="4">
        <v>0</v>
      </c>
      <c r="C2079" s="4">
        <v>0</v>
      </c>
      <c r="D2079" s="4">
        <v>0</v>
      </c>
      <c r="E2079" s="4">
        <v>0</v>
      </c>
      <c r="F2079" s="4">
        <v>0</v>
      </c>
      <c r="G2079" s="4">
        <v>20</v>
      </c>
      <c r="H2079" s="4">
        <v>50</v>
      </c>
      <c r="I2079" s="4">
        <v>0</v>
      </c>
      <c r="J2079" s="4">
        <v>7.5</v>
      </c>
      <c r="K2079" s="4">
        <v>10</v>
      </c>
      <c r="L2079" s="4">
        <v>35</v>
      </c>
      <c r="M2079" s="4">
        <v>37.5</v>
      </c>
    </row>
    <row r="2080" spans="1:13">
      <c r="A2080" s="3" t="s">
        <v>2625</v>
      </c>
      <c r="B2080" s="4">
        <v>0</v>
      </c>
      <c r="C2080" s="4">
        <v>0</v>
      </c>
      <c r="D2080" s="4">
        <v>0</v>
      </c>
      <c r="E2080" s="4">
        <v>0</v>
      </c>
      <c r="F2080" s="4">
        <v>20</v>
      </c>
      <c r="G2080" s="4">
        <v>33.75</v>
      </c>
      <c r="H2080" s="4">
        <v>10</v>
      </c>
      <c r="I2080" s="4">
        <v>0</v>
      </c>
      <c r="J2080" s="4">
        <v>40</v>
      </c>
      <c r="K2080" s="4">
        <v>21</v>
      </c>
      <c r="L2080" s="4">
        <v>0</v>
      </c>
      <c r="M2080" s="4">
        <v>10</v>
      </c>
    </row>
    <row r="2081" spans="1:13">
      <c r="A2081" s="3" t="s">
        <v>2626</v>
      </c>
      <c r="B2081" s="4">
        <v>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5</v>
      </c>
      <c r="K2081" s="4">
        <v>0</v>
      </c>
      <c r="L2081" s="4">
        <v>0</v>
      </c>
      <c r="M2081" s="4">
        <v>0</v>
      </c>
    </row>
    <row r="2082" spans="1:13">
      <c r="A2082" s="3" t="s">
        <v>2627</v>
      </c>
      <c r="B2082" s="4">
        <v>0</v>
      </c>
      <c r="C2082" s="4">
        <v>0</v>
      </c>
      <c r="D2082" s="4">
        <v>0</v>
      </c>
      <c r="E2082" s="4">
        <v>0</v>
      </c>
      <c r="F2082" s="4">
        <v>40</v>
      </c>
      <c r="G2082" s="4">
        <v>22.5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8</v>
      </c>
    </row>
    <row r="2083" spans="1:13">
      <c r="A2083" s="3" t="s">
        <v>2628</v>
      </c>
      <c r="B2083" s="4">
        <v>0</v>
      </c>
      <c r="C2083" s="4">
        <v>0</v>
      </c>
      <c r="D2083" s="4">
        <v>0</v>
      </c>
      <c r="E2083" s="4">
        <v>0</v>
      </c>
      <c r="F2083" s="4">
        <v>5</v>
      </c>
      <c r="G2083" s="4">
        <v>3</v>
      </c>
      <c r="H2083" s="4">
        <v>0</v>
      </c>
      <c r="I2083" s="4">
        <v>6</v>
      </c>
      <c r="J2083" s="4">
        <v>17.5</v>
      </c>
      <c r="K2083" s="4">
        <v>0</v>
      </c>
      <c r="L2083" s="4">
        <v>20</v>
      </c>
      <c r="M2083" s="4">
        <v>10</v>
      </c>
    </row>
    <row r="2084" spans="1:13">
      <c r="A2084" s="3" t="s">
        <v>2629</v>
      </c>
      <c r="B2084" s="4">
        <v>0</v>
      </c>
      <c r="C2084" s="4">
        <v>0</v>
      </c>
      <c r="D2084" s="4">
        <v>0</v>
      </c>
      <c r="E2084" s="4">
        <v>0</v>
      </c>
      <c r="F2084" s="4">
        <v>35</v>
      </c>
      <c r="G2084" s="4">
        <v>0</v>
      </c>
      <c r="H2084" s="4">
        <v>15</v>
      </c>
      <c r="I2084" s="4">
        <v>0</v>
      </c>
      <c r="J2084" s="4">
        <v>12.5</v>
      </c>
      <c r="K2084" s="4">
        <v>25</v>
      </c>
      <c r="L2084" s="4">
        <v>0</v>
      </c>
      <c r="M2084" s="4">
        <v>25</v>
      </c>
    </row>
    <row r="2085" spans="1:13">
      <c r="A2085" s="3" t="s">
        <v>2630</v>
      </c>
      <c r="B2085" s="4">
        <v>0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5.8</v>
      </c>
      <c r="K2085" s="4">
        <v>0</v>
      </c>
      <c r="L2085" s="4">
        <v>0</v>
      </c>
      <c r="M2085" s="4">
        <v>0</v>
      </c>
    </row>
    <row r="2086" spans="1:13">
      <c r="A2086" s="3" t="s">
        <v>2631</v>
      </c>
      <c r="B2086" s="4">
        <v>0</v>
      </c>
      <c r="C2086" s="4">
        <v>0</v>
      </c>
      <c r="D2086" s="4">
        <v>0</v>
      </c>
      <c r="E2086" s="4">
        <v>0</v>
      </c>
      <c r="F2086" s="4">
        <v>40</v>
      </c>
      <c r="G2086" s="4">
        <v>25</v>
      </c>
      <c r="H2086" s="4">
        <v>30</v>
      </c>
      <c r="I2086" s="4">
        <v>30</v>
      </c>
      <c r="J2086" s="4">
        <v>85</v>
      </c>
      <c r="K2086" s="4">
        <v>55</v>
      </c>
      <c r="L2086" s="4">
        <v>0</v>
      </c>
      <c r="M2086" s="4">
        <v>0</v>
      </c>
    </row>
    <row r="2087" spans="1:13">
      <c r="A2087" s="3" t="s">
        <v>2632</v>
      </c>
      <c r="B2087" s="4">
        <v>0</v>
      </c>
      <c r="C2087" s="4">
        <v>0</v>
      </c>
      <c r="D2087" s="4">
        <v>0</v>
      </c>
      <c r="E2087" s="4">
        <v>0</v>
      </c>
      <c r="F2087" s="4">
        <v>142.5</v>
      </c>
      <c r="G2087" s="4">
        <v>187.5</v>
      </c>
      <c r="H2087" s="4">
        <v>206.5</v>
      </c>
      <c r="I2087" s="4">
        <v>92.5</v>
      </c>
      <c r="J2087" s="4">
        <v>285</v>
      </c>
      <c r="K2087" s="4">
        <v>271.5</v>
      </c>
      <c r="L2087" s="4">
        <v>189</v>
      </c>
      <c r="M2087" s="4">
        <v>327.5</v>
      </c>
    </row>
    <row r="2088" spans="1:13">
      <c r="A2088" s="3" t="s">
        <v>2633</v>
      </c>
      <c r="B2088" s="4">
        <v>0</v>
      </c>
      <c r="C2088" s="4">
        <v>0</v>
      </c>
      <c r="D2088" s="4">
        <v>0</v>
      </c>
      <c r="E2088" s="4">
        <v>0</v>
      </c>
      <c r="F2088" s="4">
        <v>37.5</v>
      </c>
      <c r="G2088" s="4">
        <v>50</v>
      </c>
      <c r="H2088" s="4">
        <v>32.5</v>
      </c>
      <c r="I2088" s="4">
        <v>25</v>
      </c>
      <c r="J2088" s="4">
        <v>52.5</v>
      </c>
      <c r="K2088" s="4">
        <v>50</v>
      </c>
      <c r="L2088" s="4">
        <v>34</v>
      </c>
      <c r="M2088" s="4">
        <v>65</v>
      </c>
    </row>
    <row r="2089" spans="1:13">
      <c r="A2089" s="3" t="s">
        <v>2634</v>
      </c>
      <c r="B2089" s="4">
        <v>0</v>
      </c>
      <c r="C2089" s="4">
        <v>0</v>
      </c>
      <c r="D2089" s="4">
        <v>0</v>
      </c>
      <c r="E2089" s="4">
        <v>0</v>
      </c>
      <c r="F2089" s="4">
        <v>40</v>
      </c>
      <c r="G2089" s="4">
        <v>40</v>
      </c>
      <c r="H2089" s="4">
        <v>0</v>
      </c>
      <c r="I2089" s="4">
        <v>10</v>
      </c>
      <c r="J2089" s="4">
        <v>55</v>
      </c>
      <c r="K2089" s="4">
        <v>36</v>
      </c>
      <c r="L2089" s="4">
        <v>55</v>
      </c>
      <c r="M2089" s="4">
        <v>64.5</v>
      </c>
    </row>
    <row r="2090" spans="1:13">
      <c r="A2090" s="3" t="s">
        <v>2635</v>
      </c>
      <c r="B2090" s="4">
        <v>0</v>
      </c>
      <c r="C2090" s="4">
        <v>0</v>
      </c>
      <c r="D2090" s="4">
        <v>0</v>
      </c>
      <c r="E2090" s="4">
        <v>0</v>
      </c>
      <c r="F2090" s="4">
        <v>50</v>
      </c>
      <c r="G2090" s="4">
        <v>25</v>
      </c>
      <c r="H2090" s="4">
        <v>40</v>
      </c>
      <c r="I2090" s="4">
        <v>30</v>
      </c>
      <c r="J2090" s="4">
        <v>110</v>
      </c>
      <c r="K2090" s="4">
        <v>25.5</v>
      </c>
      <c r="L2090" s="4">
        <v>80</v>
      </c>
      <c r="M2090" s="4">
        <v>45.5</v>
      </c>
    </row>
    <row r="2091" spans="1:13">
      <c r="A2091" s="3" t="s">
        <v>2636</v>
      </c>
      <c r="B2091" s="4">
        <v>0</v>
      </c>
      <c r="C2091" s="4">
        <v>0</v>
      </c>
      <c r="D2091" s="4">
        <v>0</v>
      </c>
      <c r="E2091" s="4">
        <v>0</v>
      </c>
      <c r="F2091" s="4">
        <v>25.5</v>
      </c>
      <c r="G2091" s="4">
        <v>4</v>
      </c>
      <c r="H2091" s="4">
        <v>16.2</v>
      </c>
      <c r="I2091" s="4">
        <v>10</v>
      </c>
      <c r="J2091" s="4">
        <v>0</v>
      </c>
      <c r="K2091" s="4">
        <v>10</v>
      </c>
      <c r="L2091" s="4">
        <v>13</v>
      </c>
      <c r="M2091" s="4">
        <v>0</v>
      </c>
    </row>
    <row r="2092" spans="1:13">
      <c r="A2092" s="3" t="s">
        <v>2637</v>
      </c>
      <c r="B2092" s="4">
        <v>0</v>
      </c>
      <c r="C2092" s="4">
        <v>0</v>
      </c>
      <c r="D2092" s="4">
        <v>0</v>
      </c>
      <c r="E2092" s="4">
        <v>0</v>
      </c>
      <c r="F2092" s="4">
        <v>0</v>
      </c>
      <c r="G2092" s="4">
        <v>17.5</v>
      </c>
      <c r="H2092" s="4">
        <v>30</v>
      </c>
      <c r="I2092" s="4">
        <v>55</v>
      </c>
      <c r="J2092" s="4">
        <v>54</v>
      </c>
      <c r="K2092" s="4">
        <v>55</v>
      </c>
      <c r="L2092" s="4">
        <v>85</v>
      </c>
      <c r="M2092" s="4">
        <v>168</v>
      </c>
    </row>
    <row r="2093" spans="1:13">
      <c r="A2093" s="3" t="s">
        <v>2638</v>
      </c>
      <c r="B2093" s="4">
        <v>0</v>
      </c>
      <c r="C2093" s="4">
        <v>0</v>
      </c>
      <c r="D2093" s="4">
        <v>0</v>
      </c>
      <c r="E2093" s="4">
        <v>0</v>
      </c>
      <c r="F2093" s="4">
        <v>65</v>
      </c>
      <c r="G2093" s="4">
        <v>35</v>
      </c>
      <c r="H2093" s="4">
        <v>10</v>
      </c>
      <c r="I2093" s="4">
        <v>15</v>
      </c>
      <c r="J2093" s="4">
        <v>54.5</v>
      </c>
      <c r="K2093" s="4">
        <v>20</v>
      </c>
      <c r="L2093" s="4">
        <v>57</v>
      </c>
      <c r="M2093" s="4">
        <v>39</v>
      </c>
    </row>
    <row r="2094" spans="1:13">
      <c r="A2094" s="3" t="s">
        <v>2639</v>
      </c>
      <c r="B2094" s="4">
        <v>0</v>
      </c>
      <c r="C2094" s="4">
        <v>0</v>
      </c>
      <c r="D2094" s="4">
        <v>0</v>
      </c>
      <c r="E2094" s="4">
        <v>0</v>
      </c>
      <c r="F2094" s="4">
        <v>15</v>
      </c>
      <c r="G2094" s="4">
        <v>37.5</v>
      </c>
      <c r="H2094" s="4">
        <v>38.25</v>
      </c>
      <c r="I2094" s="4">
        <v>10.5</v>
      </c>
      <c r="J2094" s="4">
        <v>0</v>
      </c>
      <c r="K2094" s="4">
        <v>0</v>
      </c>
      <c r="L2094" s="4">
        <v>43</v>
      </c>
      <c r="M2094" s="4">
        <v>100</v>
      </c>
    </row>
    <row r="2095" spans="1:13">
      <c r="A2095" s="3" t="s">
        <v>2640</v>
      </c>
      <c r="B2095" s="4">
        <v>0</v>
      </c>
      <c r="C2095" s="4">
        <v>0</v>
      </c>
      <c r="D2095" s="4">
        <v>0</v>
      </c>
      <c r="E2095" s="4">
        <v>0</v>
      </c>
      <c r="F2095" s="4">
        <v>104</v>
      </c>
      <c r="G2095" s="4">
        <v>113</v>
      </c>
      <c r="H2095" s="4">
        <v>68.5</v>
      </c>
      <c r="I2095" s="4">
        <v>25</v>
      </c>
      <c r="J2095" s="4">
        <v>35</v>
      </c>
      <c r="K2095" s="4">
        <v>80</v>
      </c>
      <c r="L2095" s="4">
        <v>51</v>
      </c>
      <c r="M2095" s="4">
        <v>219</v>
      </c>
    </row>
    <row r="2096" spans="1:13">
      <c r="A2096" s="3" t="s">
        <v>2641</v>
      </c>
      <c r="B2096" s="4">
        <v>0</v>
      </c>
      <c r="C2096" s="4">
        <v>0</v>
      </c>
      <c r="D2096" s="4">
        <v>0</v>
      </c>
      <c r="E2096" s="4">
        <v>0</v>
      </c>
      <c r="F2096" s="4">
        <v>40</v>
      </c>
      <c r="G2096" s="4">
        <v>10</v>
      </c>
      <c r="H2096" s="4">
        <v>0</v>
      </c>
      <c r="I2096" s="4">
        <v>15</v>
      </c>
      <c r="J2096" s="4">
        <v>30</v>
      </c>
      <c r="K2096" s="4">
        <v>25</v>
      </c>
      <c r="L2096" s="4">
        <v>20</v>
      </c>
      <c r="M2096" s="4">
        <v>46.25</v>
      </c>
    </row>
    <row r="2097" spans="1:13">
      <c r="A2097" s="3" t="s">
        <v>2642</v>
      </c>
      <c r="B2097" s="4">
        <v>0</v>
      </c>
      <c r="C2097" s="4">
        <v>0</v>
      </c>
      <c r="D2097" s="4">
        <v>0</v>
      </c>
      <c r="E2097" s="4">
        <v>0</v>
      </c>
      <c r="F2097" s="4">
        <v>10</v>
      </c>
      <c r="G2097" s="4">
        <v>10</v>
      </c>
      <c r="H2097" s="4">
        <v>35</v>
      </c>
      <c r="I2097" s="4">
        <v>15</v>
      </c>
      <c r="J2097" s="4">
        <v>45</v>
      </c>
      <c r="K2097" s="4">
        <v>41.5</v>
      </c>
      <c r="L2097" s="4">
        <v>37</v>
      </c>
      <c r="M2097" s="4">
        <v>39.25</v>
      </c>
    </row>
    <row r="2098" spans="1:13">
      <c r="A2098" s="3" t="s">
        <v>2643</v>
      </c>
      <c r="B2098" s="4">
        <v>0</v>
      </c>
      <c r="C2098" s="4">
        <v>0</v>
      </c>
      <c r="D2098" s="4">
        <v>0</v>
      </c>
      <c r="E2098" s="4">
        <v>0</v>
      </c>
      <c r="F2098" s="4">
        <v>74.5</v>
      </c>
      <c r="G2098" s="4">
        <v>110</v>
      </c>
      <c r="H2098" s="4">
        <v>70</v>
      </c>
      <c r="I2098" s="4">
        <v>45</v>
      </c>
      <c r="J2098" s="4">
        <v>75</v>
      </c>
      <c r="K2098" s="4">
        <v>65</v>
      </c>
      <c r="L2098" s="4">
        <v>41.5</v>
      </c>
      <c r="M2098" s="4">
        <v>15</v>
      </c>
    </row>
    <row r="2099" spans="1:13">
      <c r="A2099" s="3" t="s">
        <v>2644</v>
      </c>
      <c r="B2099" s="4">
        <v>0</v>
      </c>
      <c r="C2099" s="4">
        <v>0</v>
      </c>
      <c r="D2099" s="4">
        <v>0</v>
      </c>
      <c r="E2099" s="4">
        <v>0</v>
      </c>
      <c r="F2099" s="4">
        <v>0</v>
      </c>
      <c r="G2099" s="4">
        <v>42.75</v>
      </c>
      <c r="H2099" s="4">
        <v>57</v>
      </c>
      <c r="I2099" s="4">
        <v>40</v>
      </c>
      <c r="J2099" s="4">
        <v>15</v>
      </c>
      <c r="K2099" s="4">
        <v>47.65</v>
      </c>
      <c r="L2099" s="4">
        <v>51.5</v>
      </c>
      <c r="M2099" s="4">
        <v>12.5</v>
      </c>
    </row>
    <row r="2100" spans="1:13">
      <c r="A2100" s="3" t="s">
        <v>2645</v>
      </c>
      <c r="B2100" s="4">
        <v>0</v>
      </c>
      <c r="C2100" s="4">
        <v>0</v>
      </c>
      <c r="D2100" s="4">
        <v>0</v>
      </c>
      <c r="E2100" s="4">
        <v>0</v>
      </c>
      <c r="F2100" s="4">
        <v>70</v>
      </c>
      <c r="G2100" s="4">
        <v>112.5</v>
      </c>
      <c r="H2100" s="4">
        <v>100</v>
      </c>
      <c r="I2100" s="4">
        <v>40</v>
      </c>
      <c r="J2100" s="4">
        <v>111.5</v>
      </c>
      <c r="K2100" s="4">
        <v>71.5</v>
      </c>
      <c r="L2100" s="4">
        <v>85</v>
      </c>
      <c r="M2100" s="4">
        <v>120</v>
      </c>
    </row>
    <row r="2101" spans="1:13">
      <c r="A2101" s="3" t="s">
        <v>2646</v>
      </c>
      <c r="B2101" s="4">
        <v>0</v>
      </c>
      <c r="C2101" s="4">
        <v>0</v>
      </c>
      <c r="D2101" s="4">
        <v>0</v>
      </c>
      <c r="E2101" s="4">
        <v>0</v>
      </c>
      <c r="F2101" s="4">
        <v>127</v>
      </c>
      <c r="G2101" s="4">
        <v>145.5</v>
      </c>
      <c r="H2101" s="4">
        <v>188</v>
      </c>
      <c r="I2101" s="4">
        <v>115</v>
      </c>
      <c r="J2101" s="4">
        <v>55.5</v>
      </c>
      <c r="K2101" s="4">
        <v>80</v>
      </c>
      <c r="L2101" s="4">
        <v>150.5</v>
      </c>
      <c r="M2101" s="4">
        <v>95</v>
      </c>
    </row>
    <row r="2102" spans="1:13">
      <c r="A2102" s="3" t="s">
        <v>2647</v>
      </c>
      <c r="B2102" s="4">
        <v>0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20</v>
      </c>
      <c r="L2102" s="4">
        <v>30</v>
      </c>
      <c r="M2102" s="4">
        <v>0</v>
      </c>
    </row>
    <row r="2103" spans="1:13">
      <c r="A2103" s="3" t="s">
        <v>2648</v>
      </c>
      <c r="B2103" s="4">
        <v>0</v>
      </c>
      <c r="C2103" s="4">
        <v>0</v>
      </c>
      <c r="D2103" s="4">
        <v>0</v>
      </c>
      <c r="E2103" s="4">
        <v>0</v>
      </c>
      <c r="F2103" s="4">
        <v>38.5</v>
      </c>
      <c r="G2103" s="4">
        <v>0</v>
      </c>
      <c r="H2103" s="4">
        <v>31</v>
      </c>
      <c r="I2103" s="4">
        <v>17.5</v>
      </c>
      <c r="J2103" s="4">
        <v>10</v>
      </c>
      <c r="K2103" s="4">
        <v>31</v>
      </c>
      <c r="L2103" s="4">
        <v>17.5</v>
      </c>
      <c r="M2103" s="4">
        <v>80</v>
      </c>
    </row>
    <row r="2104" spans="1:13">
      <c r="A2104" s="3" t="s">
        <v>2649</v>
      </c>
      <c r="B2104" s="4">
        <v>0</v>
      </c>
      <c r="C2104" s="4">
        <v>0</v>
      </c>
      <c r="D2104" s="4">
        <v>0</v>
      </c>
      <c r="E2104" s="4">
        <v>0</v>
      </c>
      <c r="F2104" s="4">
        <v>50</v>
      </c>
      <c r="G2104" s="4">
        <v>60.05</v>
      </c>
      <c r="H2104" s="4">
        <v>38.5</v>
      </c>
      <c r="I2104" s="4">
        <v>0</v>
      </c>
      <c r="J2104" s="4">
        <v>68.3</v>
      </c>
      <c r="K2104" s="4">
        <v>20</v>
      </c>
      <c r="L2104" s="4">
        <v>0</v>
      </c>
      <c r="M2104" s="4">
        <v>0</v>
      </c>
    </row>
    <row r="2105" spans="1:13">
      <c r="A2105" s="3" t="s">
        <v>2650</v>
      </c>
      <c r="B2105" s="4">
        <v>0</v>
      </c>
      <c r="C2105" s="4">
        <v>0</v>
      </c>
      <c r="D2105" s="4">
        <v>0</v>
      </c>
      <c r="E2105" s="4">
        <v>0</v>
      </c>
      <c r="F2105" s="4">
        <v>15</v>
      </c>
      <c r="G2105" s="4">
        <v>20</v>
      </c>
      <c r="H2105" s="4">
        <v>28</v>
      </c>
      <c r="I2105" s="4">
        <v>10</v>
      </c>
      <c r="J2105" s="4">
        <v>0</v>
      </c>
      <c r="K2105" s="4">
        <v>0</v>
      </c>
      <c r="L2105" s="4">
        <v>0</v>
      </c>
      <c r="M2105" s="4">
        <v>0</v>
      </c>
    </row>
    <row r="2106" spans="1:13">
      <c r="A2106" s="3" t="s">
        <v>2651</v>
      </c>
      <c r="B2106" s="4">
        <v>0</v>
      </c>
      <c r="C2106" s="4">
        <v>0</v>
      </c>
      <c r="D2106" s="4">
        <v>0</v>
      </c>
      <c r="E2106" s="4">
        <v>0</v>
      </c>
      <c r="F2106" s="4">
        <v>15</v>
      </c>
      <c r="G2106" s="4">
        <v>22.5</v>
      </c>
      <c r="H2106" s="4">
        <v>29.45</v>
      </c>
      <c r="I2106" s="4">
        <v>10</v>
      </c>
      <c r="J2106" s="4">
        <v>25</v>
      </c>
      <c r="K2106" s="4">
        <v>20</v>
      </c>
      <c r="L2106" s="4">
        <v>0</v>
      </c>
      <c r="M2106" s="4">
        <v>25</v>
      </c>
    </row>
    <row r="2107" spans="1:13">
      <c r="A2107" s="3" t="s">
        <v>2652</v>
      </c>
      <c r="B2107" s="4">
        <v>0</v>
      </c>
      <c r="C2107" s="4">
        <v>0</v>
      </c>
      <c r="D2107" s="4">
        <v>0</v>
      </c>
      <c r="E2107" s="4">
        <v>0</v>
      </c>
      <c r="F2107" s="4">
        <v>52</v>
      </c>
      <c r="G2107" s="4">
        <v>60</v>
      </c>
      <c r="H2107" s="4">
        <v>91.5</v>
      </c>
      <c r="I2107" s="4">
        <v>0</v>
      </c>
      <c r="J2107" s="4">
        <v>77.5</v>
      </c>
      <c r="K2107" s="4">
        <v>98</v>
      </c>
      <c r="L2107" s="4">
        <v>31</v>
      </c>
      <c r="M2107" s="4">
        <v>50</v>
      </c>
    </row>
    <row r="2108" spans="1:13">
      <c r="A2108" s="3" t="s">
        <v>2653</v>
      </c>
      <c r="B2108" s="4">
        <v>0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87.5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</row>
    <row r="2109" spans="1:13">
      <c r="A2109" s="3" t="s">
        <v>2654</v>
      </c>
      <c r="B2109" s="4">
        <v>0</v>
      </c>
      <c r="C2109" s="4">
        <v>0</v>
      </c>
      <c r="D2109" s="4">
        <v>0</v>
      </c>
      <c r="E2109" s="4">
        <v>0</v>
      </c>
      <c r="F2109" s="4">
        <v>0</v>
      </c>
      <c r="G2109" s="4">
        <v>42.5</v>
      </c>
      <c r="H2109" s="4">
        <v>18.5</v>
      </c>
      <c r="I2109" s="4">
        <v>0</v>
      </c>
      <c r="J2109" s="4">
        <v>0</v>
      </c>
      <c r="K2109" s="4">
        <v>0</v>
      </c>
      <c r="L2109" s="4">
        <v>15</v>
      </c>
      <c r="M2109" s="4">
        <v>0</v>
      </c>
    </row>
    <row r="2110" spans="1:13">
      <c r="A2110" s="3" t="s">
        <v>2655</v>
      </c>
      <c r="B2110" s="4">
        <v>0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7.5</v>
      </c>
      <c r="K2110" s="4">
        <v>0</v>
      </c>
      <c r="L2110" s="4">
        <v>0</v>
      </c>
      <c r="M2110" s="4">
        <v>0</v>
      </c>
    </row>
    <row r="2111" spans="1:13">
      <c r="A2111" s="3" t="s">
        <v>2656</v>
      </c>
      <c r="B2111" s="4">
        <v>0</v>
      </c>
      <c r="C2111" s="4">
        <v>0</v>
      </c>
      <c r="D2111" s="4">
        <v>0</v>
      </c>
      <c r="E2111" s="4">
        <v>0</v>
      </c>
      <c r="F2111" s="4">
        <v>32.5</v>
      </c>
      <c r="G2111" s="4">
        <v>52.5</v>
      </c>
      <c r="H2111" s="4">
        <v>27.5</v>
      </c>
      <c r="I2111" s="4">
        <v>51.5</v>
      </c>
      <c r="J2111" s="4">
        <v>57.5</v>
      </c>
      <c r="K2111" s="4">
        <v>70</v>
      </c>
      <c r="L2111" s="4">
        <v>50</v>
      </c>
      <c r="M2111" s="4">
        <v>70</v>
      </c>
    </row>
    <row r="2112" spans="1:13">
      <c r="A2112" s="3" t="s">
        <v>2657</v>
      </c>
      <c r="B2112" s="4">
        <v>0</v>
      </c>
      <c r="C2112" s="4">
        <v>0</v>
      </c>
      <c r="D2112" s="4">
        <v>0</v>
      </c>
      <c r="E2112" s="4">
        <v>0</v>
      </c>
      <c r="F2112" s="4">
        <v>79.25</v>
      </c>
      <c r="G2112" s="4">
        <v>82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</row>
    <row r="2113" spans="1:13">
      <c r="A2113" s="3" t="s">
        <v>2658</v>
      </c>
      <c r="B2113" s="4">
        <v>0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20</v>
      </c>
      <c r="I2113" s="4">
        <v>30</v>
      </c>
      <c r="J2113" s="4">
        <v>46.75</v>
      </c>
      <c r="K2113" s="4">
        <v>37</v>
      </c>
      <c r="L2113" s="4">
        <v>30.5</v>
      </c>
      <c r="M2113" s="4">
        <v>52.5</v>
      </c>
    </row>
    <row r="2114" spans="1:13">
      <c r="A2114" s="3" t="s">
        <v>2659</v>
      </c>
      <c r="B2114" s="4">
        <v>0</v>
      </c>
      <c r="C2114" s="4">
        <v>0</v>
      </c>
      <c r="D2114" s="4">
        <v>0</v>
      </c>
      <c r="E2114" s="4">
        <v>0</v>
      </c>
      <c r="F2114" s="4">
        <v>20</v>
      </c>
      <c r="G2114" s="4">
        <v>91</v>
      </c>
      <c r="H2114" s="4">
        <v>83</v>
      </c>
      <c r="I2114" s="4">
        <v>50</v>
      </c>
      <c r="J2114" s="4">
        <v>20</v>
      </c>
      <c r="K2114" s="4">
        <v>49</v>
      </c>
      <c r="L2114" s="4">
        <v>0</v>
      </c>
      <c r="M2114" s="4">
        <v>15</v>
      </c>
    </row>
    <row r="2115" spans="1:13">
      <c r="A2115" s="3" t="s">
        <v>2660</v>
      </c>
      <c r="B2115" s="4">
        <v>0</v>
      </c>
      <c r="C2115" s="4">
        <v>0</v>
      </c>
      <c r="D2115" s="4">
        <v>0</v>
      </c>
      <c r="E2115" s="4">
        <v>0</v>
      </c>
      <c r="F2115" s="4">
        <v>42</v>
      </c>
      <c r="G2115" s="4">
        <v>15</v>
      </c>
      <c r="H2115" s="4">
        <v>15</v>
      </c>
      <c r="I2115" s="4">
        <v>0</v>
      </c>
      <c r="J2115" s="4">
        <v>105</v>
      </c>
      <c r="K2115" s="4">
        <v>50</v>
      </c>
      <c r="L2115" s="4">
        <v>15</v>
      </c>
      <c r="M2115" s="4">
        <v>40</v>
      </c>
    </row>
    <row r="2116" spans="1:13">
      <c r="A2116" s="3" t="s">
        <v>2661</v>
      </c>
      <c r="B2116" s="4">
        <v>0</v>
      </c>
      <c r="C2116" s="4">
        <v>0</v>
      </c>
      <c r="D2116" s="4">
        <v>0</v>
      </c>
      <c r="E2116" s="4">
        <v>0</v>
      </c>
      <c r="F2116" s="4">
        <v>98</v>
      </c>
      <c r="G2116" s="4">
        <v>97.5</v>
      </c>
      <c r="H2116" s="4">
        <v>70</v>
      </c>
      <c r="I2116" s="4">
        <v>93</v>
      </c>
      <c r="J2116" s="4">
        <v>118.9</v>
      </c>
      <c r="K2116" s="4">
        <v>151</v>
      </c>
      <c r="L2116" s="4">
        <v>84</v>
      </c>
      <c r="M2116" s="4">
        <v>204</v>
      </c>
    </row>
    <row r="2117" spans="1:13">
      <c r="A2117" s="3" t="s">
        <v>2662</v>
      </c>
      <c r="B2117" s="4">
        <v>0</v>
      </c>
      <c r="C2117" s="4">
        <v>0</v>
      </c>
      <c r="D2117" s="4">
        <v>0</v>
      </c>
      <c r="E2117" s="4">
        <v>0</v>
      </c>
      <c r="F2117" s="4">
        <v>135</v>
      </c>
      <c r="G2117" s="4">
        <v>130.5</v>
      </c>
      <c r="H2117" s="4">
        <v>40</v>
      </c>
      <c r="I2117" s="4">
        <v>50</v>
      </c>
      <c r="J2117" s="4">
        <v>28</v>
      </c>
      <c r="K2117" s="4">
        <v>10</v>
      </c>
      <c r="L2117" s="4">
        <v>80</v>
      </c>
      <c r="M2117" s="4">
        <v>167.5</v>
      </c>
    </row>
    <row r="2118" spans="1:13">
      <c r="A2118" s="3" t="s">
        <v>2663</v>
      </c>
      <c r="B2118" s="4">
        <v>0</v>
      </c>
      <c r="C2118" s="4">
        <v>0</v>
      </c>
      <c r="D2118" s="4">
        <v>0</v>
      </c>
      <c r="E2118" s="4">
        <v>0</v>
      </c>
      <c r="F2118" s="4">
        <v>50</v>
      </c>
      <c r="G2118" s="4">
        <v>55</v>
      </c>
      <c r="H2118" s="4">
        <v>10</v>
      </c>
      <c r="I2118" s="4">
        <v>7.5</v>
      </c>
      <c r="J2118" s="4">
        <v>44</v>
      </c>
      <c r="K2118" s="4">
        <v>5</v>
      </c>
      <c r="L2118" s="4">
        <v>12.5</v>
      </c>
      <c r="M2118" s="4">
        <v>7.5</v>
      </c>
    </row>
    <row r="2119" spans="1:13">
      <c r="A2119" s="3" t="s">
        <v>2664</v>
      </c>
      <c r="B2119" s="4">
        <v>0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15</v>
      </c>
      <c r="M2119" s="4">
        <v>0</v>
      </c>
    </row>
    <row r="2120" spans="1:13">
      <c r="A2120" s="3" t="s">
        <v>2665</v>
      </c>
      <c r="B2120" s="4">
        <v>0</v>
      </c>
      <c r="C2120" s="4">
        <v>0</v>
      </c>
      <c r="D2120" s="4">
        <v>0</v>
      </c>
      <c r="E2120" s="4">
        <v>0</v>
      </c>
      <c r="F2120" s="4">
        <v>62</v>
      </c>
      <c r="G2120" s="4">
        <v>107.5</v>
      </c>
      <c r="H2120" s="4">
        <v>135</v>
      </c>
      <c r="I2120" s="4">
        <v>80</v>
      </c>
      <c r="J2120" s="4">
        <v>125</v>
      </c>
      <c r="K2120" s="4">
        <v>116.4</v>
      </c>
      <c r="L2120" s="4">
        <v>172</v>
      </c>
      <c r="M2120" s="4">
        <v>253</v>
      </c>
    </row>
    <row r="2121" spans="1:13">
      <c r="A2121" s="3" t="s">
        <v>2666</v>
      </c>
      <c r="B2121" s="4">
        <v>0</v>
      </c>
      <c r="C2121" s="4">
        <v>0</v>
      </c>
      <c r="D2121" s="4">
        <v>0</v>
      </c>
      <c r="E2121" s="4">
        <v>0</v>
      </c>
      <c r="F2121" s="4">
        <v>0</v>
      </c>
      <c r="G2121" s="4">
        <v>31</v>
      </c>
      <c r="H2121" s="4">
        <v>58</v>
      </c>
      <c r="I2121" s="4">
        <v>6</v>
      </c>
      <c r="J2121" s="4">
        <v>0</v>
      </c>
      <c r="K2121" s="4">
        <v>0</v>
      </c>
      <c r="L2121" s="4">
        <v>0</v>
      </c>
      <c r="M2121" s="4">
        <v>15.5</v>
      </c>
    </row>
    <row r="2122" spans="1:13">
      <c r="A2122" s="3" t="s">
        <v>2667</v>
      </c>
      <c r="B2122" s="4">
        <v>0</v>
      </c>
      <c r="C2122" s="4">
        <v>0</v>
      </c>
      <c r="D2122" s="4">
        <v>0</v>
      </c>
      <c r="E2122" s="4">
        <v>0</v>
      </c>
      <c r="F2122" s="4">
        <v>85</v>
      </c>
      <c r="G2122" s="4">
        <v>65</v>
      </c>
      <c r="H2122" s="4">
        <v>35</v>
      </c>
      <c r="I2122" s="4">
        <v>30</v>
      </c>
      <c r="J2122" s="4">
        <v>55</v>
      </c>
      <c r="K2122" s="4">
        <v>26.5</v>
      </c>
      <c r="L2122" s="4">
        <v>10</v>
      </c>
      <c r="M2122" s="4">
        <v>10</v>
      </c>
    </row>
    <row r="2123" spans="1:13">
      <c r="A2123" s="3" t="s">
        <v>2668</v>
      </c>
      <c r="B2123" s="4">
        <v>0</v>
      </c>
      <c r="C2123" s="4">
        <v>0</v>
      </c>
      <c r="D2123" s="4">
        <v>0</v>
      </c>
      <c r="E2123" s="4">
        <v>0</v>
      </c>
      <c r="F2123" s="4">
        <v>0</v>
      </c>
      <c r="G2123" s="4">
        <v>39.5</v>
      </c>
      <c r="H2123" s="4">
        <v>58.25</v>
      </c>
      <c r="I2123" s="4">
        <v>25</v>
      </c>
      <c r="J2123" s="4">
        <v>15</v>
      </c>
      <c r="K2123" s="4">
        <v>15</v>
      </c>
      <c r="L2123" s="4">
        <v>20</v>
      </c>
      <c r="M2123" s="4">
        <v>37.5</v>
      </c>
    </row>
    <row r="2124" spans="1:13">
      <c r="A2124" s="3" t="s">
        <v>2669</v>
      </c>
      <c r="B2124" s="4">
        <v>0</v>
      </c>
      <c r="C2124" s="4">
        <v>0</v>
      </c>
      <c r="D2124" s="4">
        <v>0</v>
      </c>
      <c r="E2124" s="4">
        <v>0</v>
      </c>
      <c r="F2124" s="4">
        <v>25</v>
      </c>
      <c r="G2124" s="4">
        <v>35</v>
      </c>
      <c r="H2124" s="4">
        <v>25</v>
      </c>
      <c r="I2124" s="4">
        <v>0</v>
      </c>
      <c r="J2124" s="4">
        <v>45</v>
      </c>
      <c r="K2124" s="4">
        <v>65</v>
      </c>
      <c r="L2124" s="4">
        <v>60</v>
      </c>
      <c r="M2124" s="4">
        <v>52</v>
      </c>
    </row>
    <row r="2125" spans="1:13">
      <c r="A2125" s="3" t="s">
        <v>2670</v>
      </c>
      <c r="B2125" s="4">
        <v>0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20</v>
      </c>
      <c r="I2125" s="4">
        <v>0</v>
      </c>
      <c r="J2125" s="4">
        <v>20.5</v>
      </c>
      <c r="K2125" s="4">
        <v>25</v>
      </c>
      <c r="L2125" s="4">
        <v>0</v>
      </c>
      <c r="M2125" s="4">
        <v>10</v>
      </c>
    </row>
    <row r="2126" spans="1:13">
      <c r="A2126" s="3" t="s">
        <v>2671</v>
      </c>
      <c r="B2126" s="4">
        <v>0</v>
      </c>
      <c r="C2126" s="4">
        <v>0</v>
      </c>
      <c r="D2126" s="4">
        <v>0</v>
      </c>
      <c r="E2126" s="4">
        <v>0</v>
      </c>
      <c r="F2126" s="4">
        <v>148.5</v>
      </c>
      <c r="G2126" s="4">
        <v>193.75</v>
      </c>
      <c r="H2126" s="4">
        <v>180.75</v>
      </c>
      <c r="I2126" s="4">
        <v>122.5</v>
      </c>
      <c r="J2126" s="4">
        <v>111.35</v>
      </c>
      <c r="K2126" s="4">
        <v>113</v>
      </c>
      <c r="L2126" s="4">
        <v>125</v>
      </c>
      <c r="M2126" s="4">
        <v>133.5</v>
      </c>
    </row>
    <row r="2127" spans="1:13">
      <c r="A2127" s="3" t="s">
        <v>2672</v>
      </c>
      <c r="B2127" s="4">
        <v>0</v>
      </c>
      <c r="C2127" s="4">
        <v>0</v>
      </c>
      <c r="D2127" s="4">
        <v>0</v>
      </c>
      <c r="E2127" s="4">
        <v>0</v>
      </c>
      <c r="F2127" s="4">
        <v>50</v>
      </c>
      <c r="G2127" s="4">
        <v>35</v>
      </c>
      <c r="H2127" s="4">
        <v>23.5</v>
      </c>
      <c r="I2127" s="4">
        <v>10</v>
      </c>
      <c r="J2127" s="4">
        <v>20</v>
      </c>
      <c r="K2127" s="4">
        <v>76</v>
      </c>
      <c r="L2127" s="4">
        <v>38.5</v>
      </c>
      <c r="M2127" s="4">
        <v>36.5</v>
      </c>
    </row>
    <row r="2128" spans="1:13">
      <c r="A2128" s="3" t="s">
        <v>2673</v>
      </c>
      <c r="B2128" s="4">
        <v>0</v>
      </c>
      <c r="C2128" s="4">
        <v>0</v>
      </c>
      <c r="D2128" s="4">
        <v>0</v>
      </c>
      <c r="E2128" s="4">
        <v>0</v>
      </c>
      <c r="F2128" s="4">
        <v>50</v>
      </c>
      <c r="G2128" s="4">
        <v>60</v>
      </c>
      <c r="H2128" s="4">
        <v>0</v>
      </c>
      <c r="I2128" s="4">
        <v>15</v>
      </c>
      <c r="J2128" s="4">
        <v>17.5</v>
      </c>
      <c r="K2128" s="4">
        <v>0</v>
      </c>
      <c r="L2128" s="4">
        <v>0</v>
      </c>
      <c r="M2128" s="4">
        <v>35</v>
      </c>
    </row>
    <row r="2129" spans="1:13">
      <c r="A2129" s="3" t="s">
        <v>2674</v>
      </c>
      <c r="B2129" s="4">
        <v>0</v>
      </c>
      <c r="C2129" s="4">
        <v>0</v>
      </c>
      <c r="D2129" s="4">
        <v>0</v>
      </c>
      <c r="E2129" s="4">
        <v>0</v>
      </c>
      <c r="F2129" s="4">
        <v>55</v>
      </c>
      <c r="G2129" s="4">
        <v>40</v>
      </c>
      <c r="H2129" s="4">
        <v>0</v>
      </c>
      <c r="I2129" s="4">
        <v>50</v>
      </c>
      <c r="J2129" s="4">
        <v>50</v>
      </c>
      <c r="K2129" s="4">
        <v>20</v>
      </c>
      <c r="L2129" s="4">
        <v>65</v>
      </c>
      <c r="M2129" s="4">
        <v>85</v>
      </c>
    </row>
    <row r="2130" spans="1:13">
      <c r="A2130" s="3" t="s">
        <v>2675</v>
      </c>
      <c r="B2130" s="4">
        <v>0</v>
      </c>
      <c r="C2130" s="4">
        <v>0</v>
      </c>
      <c r="D2130" s="4">
        <v>0</v>
      </c>
      <c r="E2130" s="4">
        <v>0</v>
      </c>
      <c r="F2130" s="4">
        <v>0</v>
      </c>
      <c r="G2130" s="4">
        <v>23</v>
      </c>
      <c r="H2130" s="4">
        <v>34</v>
      </c>
      <c r="I2130" s="4">
        <v>0</v>
      </c>
      <c r="J2130" s="4">
        <v>0</v>
      </c>
      <c r="K2130" s="4">
        <v>0</v>
      </c>
      <c r="L2130" s="4">
        <v>0</v>
      </c>
      <c r="M2130" s="4">
        <v>10</v>
      </c>
    </row>
    <row r="2131" spans="1:13">
      <c r="A2131" s="3" t="s">
        <v>2676</v>
      </c>
      <c r="B2131" s="4">
        <v>0</v>
      </c>
      <c r="C2131" s="4">
        <v>0</v>
      </c>
      <c r="D2131" s="4">
        <v>0</v>
      </c>
      <c r="E2131" s="4">
        <v>0</v>
      </c>
      <c r="F2131" s="4">
        <v>0</v>
      </c>
      <c r="G2131" s="4">
        <v>50</v>
      </c>
      <c r="H2131" s="4">
        <v>35</v>
      </c>
      <c r="I2131" s="4">
        <v>0</v>
      </c>
      <c r="J2131" s="4">
        <v>10</v>
      </c>
      <c r="K2131" s="4">
        <v>0</v>
      </c>
      <c r="L2131" s="4">
        <v>63</v>
      </c>
      <c r="M2131" s="4">
        <v>57</v>
      </c>
    </row>
    <row r="2132" spans="1:13">
      <c r="A2132" s="3" t="s">
        <v>2677</v>
      </c>
      <c r="B2132" s="4">
        <v>0</v>
      </c>
      <c r="C2132" s="4">
        <v>0</v>
      </c>
      <c r="D2132" s="4">
        <v>0</v>
      </c>
      <c r="E2132" s="4">
        <v>0</v>
      </c>
      <c r="F2132" s="4">
        <v>10</v>
      </c>
      <c r="G2132" s="4">
        <v>37</v>
      </c>
      <c r="H2132" s="4">
        <v>25.5</v>
      </c>
      <c r="I2132" s="4">
        <v>26.5</v>
      </c>
      <c r="J2132" s="4">
        <v>22.5</v>
      </c>
      <c r="K2132" s="4">
        <v>43.75</v>
      </c>
      <c r="L2132" s="4">
        <v>41</v>
      </c>
      <c r="M2132" s="4">
        <v>14.5</v>
      </c>
    </row>
    <row r="2133" spans="1:13">
      <c r="A2133" s="3" t="s">
        <v>2678</v>
      </c>
      <c r="B2133" s="4">
        <v>0</v>
      </c>
      <c r="C2133" s="4">
        <v>0</v>
      </c>
      <c r="D2133" s="4">
        <v>0</v>
      </c>
      <c r="E2133" s="4">
        <v>0</v>
      </c>
      <c r="F2133" s="4">
        <v>20</v>
      </c>
      <c r="G2133" s="4">
        <v>15</v>
      </c>
      <c r="H2133" s="4">
        <v>0</v>
      </c>
      <c r="I2133" s="4">
        <v>0</v>
      </c>
      <c r="J2133" s="4">
        <v>0</v>
      </c>
      <c r="K2133" s="4">
        <v>10</v>
      </c>
      <c r="L2133" s="4">
        <v>0</v>
      </c>
      <c r="M2133" s="4">
        <v>30</v>
      </c>
    </row>
    <row r="2134" spans="1:13">
      <c r="A2134" s="3" t="s">
        <v>2679</v>
      </c>
      <c r="B2134" s="4">
        <v>0</v>
      </c>
      <c r="C2134" s="4">
        <v>0</v>
      </c>
      <c r="D2134" s="4">
        <v>0</v>
      </c>
      <c r="E2134" s="4">
        <v>0</v>
      </c>
      <c r="F2134" s="4">
        <v>70</v>
      </c>
      <c r="G2134" s="4">
        <v>60</v>
      </c>
      <c r="H2134" s="4">
        <v>86.65</v>
      </c>
      <c r="I2134" s="4">
        <v>74</v>
      </c>
      <c r="J2134" s="4">
        <v>113.14999999999999</v>
      </c>
      <c r="K2134" s="4">
        <v>86.5</v>
      </c>
      <c r="L2134" s="4">
        <v>96.5</v>
      </c>
      <c r="M2134" s="4">
        <v>62.5</v>
      </c>
    </row>
    <row r="2135" spans="1:13">
      <c r="A2135" s="3" t="s">
        <v>2680</v>
      </c>
      <c r="B2135" s="4">
        <v>0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20</v>
      </c>
      <c r="L2135" s="4">
        <v>0</v>
      </c>
      <c r="M2135" s="4">
        <v>0</v>
      </c>
    </row>
    <row r="2136" spans="1:13">
      <c r="A2136" s="3" t="s">
        <v>2681</v>
      </c>
      <c r="B2136" s="4">
        <v>0</v>
      </c>
      <c r="C2136" s="4">
        <v>0</v>
      </c>
      <c r="D2136" s="4">
        <v>0</v>
      </c>
      <c r="E2136" s="4">
        <v>0</v>
      </c>
      <c r="F2136" s="4">
        <v>0</v>
      </c>
      <c r="G2136" s="4">
        <v>7.5</v>
      </c>
      <c r="H2136" s="4">
        <v>0</v>
      </c>
      <c r="I2136" s="4">
        <v>0</v>
      </c>
      <c r="J2136" s="4">
        <v>10</v>
      </c>
      <c r="K2136" s="4">
        <v>20</v>
      </c>
      <c r="L2136" s="4">
        <v>10</v>
      </c>
      <c r="M2136" s="4">
        <v>0</v>
      </c>
    </row>
    <row r="2137" spans="1:13">
      <c r="A2137" s="3" t="s">
        <v>2682</v>
      </c>
      <c r="B2137" s="4">
        <v>0</v>
      </c>
      <c r="C2137" s="4">
        <v>0</v>
      </c>
      <c r="D2137" s="4">
        <v>0</v>
      </c>
      <c r="E2137" s="4">
        <v>0</v>
      </c>
      <c r="F2137" s="4">
        <v>0</v>
      </c>
      <c r="G2137" s="4">
        <v>14</v>
      </c>
      <c r="H2137" s="4">
        <v>20</v>
      </c>
      <c r="I2137" s="4">
        <v>2</v>
      </c>
      <c r="J2137" s="4">
        <v>8</v>
      </c>
      <c r="K2137" s="4">
        <v>0</v>
      </c>
      <c r="L2137" s="4">
        <v>0</v>
      </c>
      <c r="M2137" s="4">
        <v>10</v>
      </c>
    </row>
    <row r="2138" spans="1:13">
      <c r="A2138" s="3" t="s">
        <v>2683</v>
      </c>
      <c r="B2138" s="4">
        <v>0</v>
      </c>
      <c r="C2138" s="4">
        <v>0</v>
      </c>
      <c r="D2138" s="4">
        <v>0</v>
      </c>
      <c r="E2138" s="4">
        <v>0</v>
      </c>
      <c r="F2138" s="4">
        <v>0</v>
      </c>
      <c r="G2138" s="4">
        <v>4</v>
      </c>
      <c r="H2138" s="4">
        <v>40</v>
      </c>
      <c r="I2138" s="4">
        <v>2</v>
      </c>
      <c r="J2138" s="4">
        <v>25</v>
      </c>
      <c r="K2138" s="4">
        <v>30</v>
      </c>
      <c r="L2138" s="4">
        <v>23</v>
      </c>
      <c r="M2138" s="4">
        <v>53</v>
      </c>
    </row>
    <row r="2139" spans="1:13">
      <c r="A2139" s="3" t="s">
        <v>2684</v>
      </c>
      <c r="B2139" s="4">
        <v>0</v>
      </c>
      <c r="C2139" s="4">
        <v>0</v>
      </c>
      <c r="D2139" s="4">
        <v>0</v>
      </c>
      <c r="E2139" s="4">
        <v>0</v>
      </c>
      <c r="F2139" s="4">
        <v>25</v>
      </c>
      <c r="G2139" s="4">
        <v>35</v>
      </c>
      <c r="H2139" s="4">
        <v>25</v>
      </c>
      <c r="I2139" s="4">
        <v>10</v>
      </c>
      <c r="J2139" s="4">
        <v>34</v>
      </c>
      <c r="K2139" s="4">
        <v>10</v>
      </c>
      <c r="L2139" s="4">
        <v>0</v>
      </c>
      <c r="M2139" s="4">
        <v>17.5</v>
      </c>
    </row>
    <row r="2140" spans="1:13">
      <c r="A2140" s="3" t="s">
        <v>2685</v>
      </c>
      <c r="B2140" s="4">
        <v>0</v>
      </c>
      <c r="C2140" s="4">
        <v>0</v>
      </c>
      <c r="D2140" s="4">
        <v>0</v>
      </c>
      <c r="E2140" s="4">
        <v>0</v>
      </c>
      <c r="F2140" s="4">
        <v>10</v>
      </c>
      <c r="G2140" s="4">
        <v>15</v>
      </c>
      <c r="H2140" s="4">
        <v>10</v>
      </c>
      <c r="I2140" s="4">
        <v>0</v>
      </c>
      <c r="J2140" s="4">
        <v>12.5</v>
      </c>
      <c r="K2140" s="4">
        <v>0</v>
      </c>
      <c r="L2140" s="4">
        <v>0</v>
      </c>
      <c r="M2140" s="4">
        <v>0</v>
      </c>
    </row>
    <row r="2141" spans="1:13">
      <c r="A2141" s="3" t="s">
        <v>2686</v>
      </c>
      <c r="B2141" s="4">
        <v>0</v>
      </c>
      <c r="C2141" s="4">
        <v>0</v>
      </c>
      <c r="D2141" s="4">
        <v>0</v>
      </c>
      <c r="E2141" s="4">
        <v>0</v>
      </c>
      <c r="F2141" s="4">
        <v>119</v>
      </c>
      <c r="G2141" s="4">
        <v>164.5</v>
      </c>
      <c r="H2141" s="4">
        <v>92</v>
      </c>
      <c r="I2141" s="4">
        <v>57.5</v>
      </c>
      <c r="J2141" s="4">
        <v>93.5</v>
      </c>
      <c r="K2141" s="4">
        <v>57.5</v>
      </c>
      <c r="L2141" s="4">
        <v>85</v>
      </c>
      <c r="M2141" s="4">
        <v>100</v>
      </c>
    </row>
    <row r="2142" spans="1:13">
      <c r="A2142" s="3" t="s">
        <v>2687</v>
      </c>
      <c r="B2142" s="4">
        <v>0</v>
      </c>
      <c r="C2142" s="4">
        <v>0</v>
      </c>
      <c r="D2142" s="4">
        <v>0</v>
      </c>
      <c r="E2142" s="4">
        <v>0</v>
      </c>
      <c r="F2142" s="4">
        <v>0</v>
      </c>
      <c r="G2142" s="4">
        <v>97.5</v>
      </c>
      <c r="H2142" s="4">
        <v>35</v>
      </c>
      <c r="I2142" s="4">
        <v>42</v>
      </c>
      <c r="J2142" s="4">
        <v>102</v>
      </c>
      <c r="K2142" s="4">
        <v>70</v>
      </c>
      <c r="L2142" s="4">
        <v>140</v>
      </c>
      <c r="M2142" s="4">
        <v>142</v>
      </c>
    </row>
    <row r="2143" spans="1:13">
      <c r="A2143" s="3" t="s">
        <v>2688</v>
      </c>
      <c r="B2143" s="4">
        <v>0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70</v>
      </c>
      <c r="L2143" s="4">
        <v>44</v>
      </c>
      <c r="M2143" s="4">
        <v>43</v>
      </c>
    </row>
    <row r="2144" spans="1:13">
      <c r="A2144" s="3" t="s">
        <v>2689</v>
      </c>
      <c r="B2144" s="4">
        <v>0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30</v>
      </c>
      <c r="I2144" s="4">
        <v>37.5</v>
      </c>
      <c r="J2144" s="4">
        <v>54</v>
      </c>
      <c r="K2144" s="4">
        <v>10</v>
      </c>
      <c r="L2144" s="4">
        <v>0</v>
      </c>
      <c r="M2144" s="4">
        <v>0</v>
      </c>
    </row>
    <row r="2145" spans="1:13">
      <c r="A2145" s="3" t="s">
        <v>2690</v>
      </c>
      <c r="B2145" s="4">
        <v>0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10</v>
      </c>
      <c r="I2145" s="4">
        <v>0</v>
      </c>
      <c r="J2145" s="4">
        <v>80</v>
      </c>
      <c r="K2145" s="4">
        <v>61</v>
      </c>
      <c r="L2145" s="4">
        <v>60</v>
      </c>
      <c r="M2145" s="4">
        <v>0</v>
      </c>
    </row>
    <row r="2146" spans="1:13">
      <c r="A2146" s="3" t="s">
        <v>2691</v>
      </c>
      <c r="B2146" s="4">
        <v>0</v>
      </c>
      <c r="C2146" s="4">
        <v>0</v>
      </c>
      <c r="D2146" s="4">
        <v>0</v>
      </c>
      <c r="E2146" s="4">
        <v>0</v>
      </c>
      <c r="F2146" s="4">
        <v>30</v>
      </c>
      <c r="G2146" s="4">
        <v>45</v>
      </c>
      <c r="H2146" s="4">
        <v>55</v>
      </c>
      <c r="I2146" s="4">
        <v>0</v>
      </c>
      <c r="J2146" s="4">
        <v>15</v>
      </c>
      <c r="K2146" s="4">
        <v>35</v>
      </c>
      <c r="L2146" s="4">
        <v>98</v>
      </c>
      <c r="M2146" s="4">
        <v>125</v>
      </c>
    </row>
    <row r="2147" spans="1:13">
      <c r="A2147" s="3" t="s">
        <v>2692</v>
      </c>
      <c r="B2147" s="4">
        <v>0</v>
      </c>
      <c r="C2147" s="4">
        <v>0</v>
      </c>
      <c r="D2147" s="4">
        <v>0</v>
      </c>
      <c r="E2147" s="4">
        <v>0</v>
      </c>
      <c r="F2147" s="4">
        <v>0</v>
      </c>
      <c r="G2147" s="4">
        <v>10</v>
      </c>
      <c r="H2147" s="4">
        <v>40</v>
      </c>
      <c r="I2147" s="4">
        <v>30</v>
      </c>
      <c r="J2147" s="4">
        <v>35</v>
      </c>
      <c r="K2147" s="4">
        <v>0</v>
      </c>
      <c r="L2147" s="4">
        <v>0</v>
      </c>
      <c r="M2147" s="4">
        <v>15</v>
      </c>
    </row>
    <row r="2148" spans="1:13">
      <c r="A2148" s="3" t="s">
        <v>2693</v>
      </c>
      <c r="B2148" s="4">
        <v>0</v>
      </c>
      <c r="C2148" s="4">
        <v>0</v>
      </c>
      <c r="D2148" s="4">
        <v>0</v>
      </c>
      <c r="E2148" s="4">
        <v>0</v>
      </c>
      <c r="F2148" s="4">
        <v>25</v>
      </c>
      <c r="G2148" s="4">
        <v>71</v>
      </c>
      <c r="H2148" s="4">
        <v>25</v>
      </c>
      <c r="I2148" s="4">
        <v>0</v>
      </c>
      <c r="J2148" s="4">
        <v>35</v>
      </c>
      <c r="K2148" s="4">
        <v>115</v>
      </c>
      <c r="L2148" s="4">
        <v>55</v>
      </c>
      <c r="M2148" s="4">
        <v>74</v>
      </c>
    </row>
    <row r="2149" spans="1:13">
      <c r="A2149" s="3" t="s">
        <v>2694</v>
      </c>
      <c r="B2149" s="4">
        <v>0</v>
      </c>
      <c r="C2149" s="4">
        <v>0</v>
      </c>
      <c r="D2149" s="4">
        <v>0</v>
      </c>
      <c r="E2149" s="4">
        <v>0</v>
      </c>
      <c r="F2149" s="4">
        <v>49</v>
      </c>
      <c r="G2149" s="4">
        <v>51.5</v>
      </c>
      <c r="H2149" s="4">
        <v>30</v>
      </c>
      <c r="I2149" s="4">
        <v>10</v>
      </c>
      <c r="J2149" s="4">
        <v>53</v>
      </c>
      <c r="K2149" s="4">
        <v>53</v>
      </c>
      <c r="L2149" s="4">
        <v>10</v>
      </c>
      <c r="M2149" s="4">
        <v>102.5</v>
      </c>
    </row>
    <row r="2150" spans="1:13">
      <c r="A2150" s="3" t="s">
        <v>2695</v>
      </c>
      <c r="B2150" s="4">
        <v>0</v>
      </c>
      <c r="C2150" s="4">
        <v>0</v>
      </c>
      <c r="D2150" s="4">
        <v>0</v>
      </c>
      <c r="E2150" s="4">
        <v>0</v>
      </c>
      <c r="F2150" s="4">
        <v>15</v>
      </c>
      <c r="G2150" s="4">
        <v>0</v>
      </c>
      <c r="H2150" s="4">
        <v>30</v>
      </c>
      <c r="I2150" s="4">
        <v>10</v>
      </c>
      <c r="J2150" s="4">
        <v>35</v>
      </c>
      <c r="K2150" s="4">
        <v>25</v>
      </c>
      <c r="L2150" s="4">
        <v>85</v>
      </c>
      <c r="M2150" s="4">
        <v>30</v>
      </c>
    </row>
    <row r="2151" spans="1:13">
      <c r="A2151" s="3" t="s">
        <v>2696</v>
      </c>
      <c r="B2151" s="4">
        <v>0</v>
      </c>
      <c r="C2151" s="4">
        <v>0</v>
      </c>
      <c r="D2151" s="4">
        <v>0</v>
      </c>
      <c r="E2151" s="4">
        <v>0</v>
      </c>
      <c r="F2151" s="4">
        <v>0</v>
      </c>
      <c r="G2151" s="4">
        <v>144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</row>
    <row r="2152" spans="1:13">
      <c r="A2152" s="3" t="s">
        <v>2697</v>
      </c>
      <c r="B2152" s="4">
        <v>0</v>
      </c>
      <c r="C2152" s="4">
        <v>0</v>
      </c>
      <c r="D2152" s="4">
        <v>0</v>
      </c>
      <c r="E2152" s="4">
        <v>0</v>
      </c>
      <c r="F2152" s="4">
        <v>20</v>
      </c>
      <c r="G2152" s="4">
        <v>37.5</v>
      </c>
      <c r="H2152" s="4">
        <v>0</v>
      </c>
      <c r="I2152" s="4">
        <v>0</v>
      </c>
      <c r="J2152" s="4">
        <v>20</v>
      </c>
      <c r="K2152" s="4">
        <v>7.5</v>
      </c>
      <c r="L2152" s="4">
        <v>20</v>
      </c>
      <c r="M2152" s="4">
        <v>35</v>
      </c>
    </row>
    <row r="2153" spans="1:13">
      <c r="A2153" s="3" t="s">
        <v>2698</v>
      </c>
      <c r="B2153" s="4">
        <v>0</v>
      </c>
      <c r="C2153" s="4">
        <v>0</v>
      </c>
      <c r="D2153" s="4">
        <v>0</v>
      </c>
      <c r="E2153" s="4">
        <v>0</v>
      </c>
      <c r="F2153" s="4">
        <v>0</v>
      </c>
      <c r="G2153" s="4">
        <v>124</v>
      </c>
      <c r="H2153" s="4">
        <v>74.5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</row>
    <row r="2154" spans="1:13">
      <c r="A2154" s="3" t="s">
        <v>2699</v>
      </c>
      <c r="B2154" s="4">
        <v>0</v>
      </c>
      <c r="C2154" s="4">
        <v>0</v>
      </c>
      <c r="D2154" s="4">
        <v>0</v>
      </c>
      <c r="E2154" s="4">
        <v>0</v>
      </c>
      <c r="F2154" s="4">
        <v>20</v>
      </c>
      <c r="G2154" s="4">
        <v>131.5</v>
      </c>
      <c r="H2154" s="4">
        <v>85</v>
      </c>
      <c r="I2154" s="4">
        <v>47</v>
      </c>
      <c r="J2154" s="4">
        <v>93</v>
      </c>
      <c r="K2154" s="4">
        <v>60</v>
      </c>
      <c r="L2154" s="4">
        <v>60</v>
      </c>
      <c r="M2154" s="4">
        <v>62.5</v>
      </c>
    </row>
    <row r="2155" spans="1:13">
      <c r="A2155" s="3" t="s">
        <v>2700</v>
      </c>
      <c r="B2155" s="4">
        <v>0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30</v>
      </c>
      <c r="J2155" s="4">
        <v>0</v>
      </c>
      <c r="K2155" s="4">
        <v>15</v>
      </c>
      <c r="L2155" s="4">
        <v>9</v>
      </c>
      <c r="M2155" s="4">
        <v>7.5</v>
      </c>
    </row>
    <row r="2156" spans="1:13">
      <c r="A2156" s="3" t="s">
        <v>2701</v>
      </c>
      <c r="B2156" s="4">
        <v>0</v>
      </c>
      <c r="C2156" s="4">
        <v>0</v>
      </c>
      <c r="D2156" s="4">
        <v>0</v>
      </c>
      <c r="E2156" s="4">
        <v>0</v>
      </c>
      <c r="F2156" s="4">
        <v>0</v>
      </c>
      <c r="G2156" s="4">
        <v>20</v>
      </c>
      <c r="H2156" s="4">
        <v>0</v>
      </c>
      <c r="I2156" s="4">
        <v>10</v>
      </c>
      <c r="J2156" s="4">
        <v>20</v>
      </c>
      <c r="K2156" s="4">
        <v>0</v>
      </c>
      <c r="L2156" s="4">
        <v>0</v>
      </c>
      <c r="M2156" s="4">
        <v>0</v>
      </c>
    </row>
    <row r="2157" spans="1:13">
      <c r="A2157" s="3" t="s">
        <v>2702</v>
      </c>
      <c r="B2157" s="4">
        <v>0</v>
      </c>
      <c r="C2157" s="4">
        <v>0</v>
      </c>
      <c r="D2157" s="4">
        <v>0</v>
      </c>
      <c r="E2157" s="4">
        <v>0</v>
      </c>
      <c r="F2157" s="4">
        <v>5</v>
      </c>
      <c r="G2157" s="4">
        <v>33</v>
      </c>
      <c r="H2157" s="4">
        <v>0</v>
      </c>
      <c r="I2157" s="4">
        <v>5</v>
      </c>
      <c r="J2157" s="4">
        <v>72.5</v>
      </c>
      <c r="K2157" s="4">
        <v>50</v>
      </c>
      <c r="L2157" s="4">
        <v>0</v>
      </c>
      <c r="M2157" s="4">
        <v>0</v>
      </c>
    </row>
    <row r="2158" spans="1:13">
      <c r="A2158" s="3" t="s">
        <v>2703</v>
      </c>
      <c r="B2158" s="4">
        <v>0</v>
      </c>
      <c r="C2158" s="4">
        <v>0</v>
      </c>
      <c r="D2158" s="4">
        <v>0</v>
      </c>
      <c r="E2158" s="4">
        <v>0</v>
      </c>
      <c r="F2158" s="4">
        <v>10</v>
      </c>
      <c r="G2158" s="4">
        <v>20</v>
      </c>
      <c r="H2158" s="4">
        <v>49</v>
      </c>
      <c r="I2158" s="4">
        <v>24</v>
      </c>
      <c r="J2158" s="4">
        <v>48.25</v>
      </c>
      <c r="K2158" s="4">
        <v>36</v>
      </c>
      <c r="L2158" s="4">
        <v>16.25</v>
      </c>
      <c r="M2158" s="4">
        <v>32.5</v>
      </c>
    </row>
    <row r="2159" spans="1:13">
      <c r="A2159" s="3" t="s">
        <v>2704</v>
      </c>
      <c r="B2159" s="4">
        <v>0</v>
      </c>
      <c r="C2159" s="4">
        <v>0</v>
      </c>
      <c r="D2159" s="4">
        <v>0</v>
      </c>
      <c r="E2159" s="4">
        <v>0</v>
      </c>
      <c r="F2159" s="4">
        <v>0</v>
      </c>
      <c r="G2159" s="4">
        <v>65</v>
      </c>
      <c r="H2159" s="4">
        <v>30</v>
      </c>
      <c r="I2159" s="4">
        <v>15</v>
      </c>
      <c r="J2159" s="4">
        <v>73.5</v>
      </c>
      <c r="K2159" s="4">
        <v>15</v>
      </c>
      <c r="L2159" s="4">
        <v>16</v>
      </c>
      <c r="M2159" s="4">
        <v>10</v>
      </c>
    </row>
    <row r="2160" spans="1:13">
      <c r="A2160" s="3" t="s">
        <v>2705</v>
      </c>
      <c r="B2160" s="4">
        <v>0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30</v>
      </c>
    </row>
    <row r="2161" spans="1:13">
      <c r="A2161" s="3" t="s">
        <v>2706</v>
      </c>
      <c r="B2161" s="4">
        <v>0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30</v>
      </c>
      <c r="K2161" s="4">
        <v>10</v>
      </c>
      <c r="L2161" s="4">
        <v>10</v>
      </c>
      <c r="M2161" s="4">
        <v>10</v>
      </c>
    </row>
    <row r="2162" spans="1:13">
      <c r="A2162" s="3" t="s">
        <v>2707</v>
      </c>
      <c r="B2162" s="4">
        <v>0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10</v>
      </c>
      <c r="I2162" s="4">
        <v>0</v>
      </c>
      <c r="J2162" s="4">
        <v>92</v>
      </c>
      <c r="K2162" s="4">
        <v>68</v>
      </c>
      <c r="L2162" s="4">
        <v>91</v>
      </c>
      <c r="M2162" s="4">
        <v>141.5</v>
      </c>
    </row>
    <row r="2163" spans="1:13">
      <c r="A2163" s="3" t="s">
        <v>2708</v>
      </c>
      <c r="B2163" s="4">
        <v>0</v>
      </c>
      <c r="C2163" s="4">
        <v>0</v>
      </c>
      <c r="D2163" s="4">
        <v>0</v>
      </c>
      <c r="E2163" s="4">
        <v>0</v>
      </c>
      <c r="F2163" s="4">
        <v>30</v>
      </c>
      <c r="G2163" s="4">
        <v>45</v>
      </c>
      <c r="H2163" s="4">
        <v>20</v>
      </c>
      <c r="I2163" s="4">
        <v>12</v>
      </c>
      <c r="J2163" s="4">
        <v>47</v>
      </c>
      <c r="K2163" s="4">
        <v>25</v>
      </c>
      <c r="L2163" s="4">
        <v>0</v>
      </c>
      <c r="M2163" s="4">
        <v>0</v>
      </c>
    </row>
    <row r="2164" spans="1:13">
      <c r="A2164" s="3" t="s">
        <v>2709</v>
      </c>
      <c r="B2164" s="4">
        <v>0</v>
      </c>
      <c r="C2164" s="4">
        <v>0</v>
      </c>
      <c r="D2164" s="4">
        <v>0</v>
      </c>
      <c r="E2164" s="4">
        <v>0</v>
      </c>
      <c r="F2164" s="4">
        <v>32.700000000000003</v>
      </c>
      <c r="G2164" s="4">
        <v>85</v>
      </c>
      <c r="H2164" s="4">
        <v>95</v>
      </c>
      <c r="I2164" s="4">
        <v>0</v>
      </c>
      <c r="J2164" s="4">
        <v>0</v>
      </c>
      <c r="K2164" s="4">
        <v>20</v>
      </c>
      <c r="L2164" s="4">
        <v>57</v>
      </c>
      <c r="M2164" s="4">
        <v>55</v>
      </c>
    </row>
    <row r="2165" spans="1:13">
      <c r="A2165" s="3" t="s">
        <v>2710</v>
      </c>
      <c r="B2165" s="4">
        <v>0</v>
      </c>
      <c r="C2165" s="4">
        <v>0</v>
      </c>
      <c r="D2165" s="4">
        <v>0</v>
      </c>
      <c r="E2165" s="4">
        <v>0</v>
      </c>
      <c r="F2165" s="4">
        <v>10</v>
      </c>
      <c r="G2165" s="4">
        <v>20</v>
      </c>
      <c r="H2165" s="4">
        <v>35</v>
      </c>
      <c r="I2165" s="4">
        <v>35</v>
      </c>
      <c r="J2165" s="4">
        <v>59</v>
      </c>
      <c r="K2165" s="4">
        <v>13.75</v>
      </c>
      <c r="L2165" s="4">
        <v>29.65</v>
      </c>
      <c r="M2165" s="4">
        <v>15</v>
      </c>
    </row>
    <row r="2166" spans="1:13">
      <c r="A2166" s="3" t="s">
        <v>2711</v>
      </c>
      <c r="B2166" s="4">
        <v>0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25</v>
      </c>
      <c r="I2166" s="4">
        <v>10</v>
      </c>
      <c r="J2166" s="4">
        <v>20</v>
      </c>
      <c r="K2166" s="4">
        <v>10</v>
      </c>
      <c r="L2166" s="4">
        <v>10</v>
      </c>
      <c r="M2166" s="4">
        <v>0</v>
      </c>
    </row>
    <row r="2167" spans="1:13">
      <c r="A2167" s="3" t="s">
        <v>2712</v>
      </c>
      <c r="B2167" s="4">
        <v>0</v>
      </c>
      <c r="C2167" s="4">
        <v>0</v>
      </c>
      <c r="D2167" s="4">
        <v>0</v>
      </c>
      <c r="E2167" s="4">
        <v>0</v>
      </c>
      <c r="F2167" s="4">
        <v>0</v>
      </c>
      <c r="G2167" s="4">
        <v>60</v>
      </c>
      <c r="H2167" s="4">
        <v>63</v>
      </c>
      <c r="I2167" s="4">
        <v>30</v>
      </c>
      <c r="J2167" s="4">
        <v>76</v>
      </c>
      <c r="K2167" s="4">
        <v>45.5</v>
      </c>
      <c r="L2167" s="4">
        <v>36</v>
      </c>
      <c r="M2167" s="4">
        <v>90</v>
      </c>
    </row>
    <row r="2168" spans="1:13">
      <c r="A2168" s="3" t="s">
        <v>2713</v>
      </c>
      <c r="B2168" s="4">
        <v>0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20</v>
      </c>
      <c r="L2168" s="4">
        <v>75</v>
      </c>
      <c r="M2168" s="4">
        <v>25</v>
      </c>
    </row>
    <row r="2169" spans="1:13">
      <c r="A2169" s="3" t="s">
        <v>2714</v>
      </c>
      <c r="B2169" s="4">
        <v>0</v>
      </c>
      <c r="C2169" s="4">
        <v>0</v>
      </c>
      <c r="D2169" s="4">
        <v>0</v>
      </c>
      <c r="E2169" s="4">
        <v>0</v>
      </c>
      <c r="F2169" s="4">
        <v>0</v>
      </c>
      <c r="G2169" s="4">
        <v>50</v>
      </c>
      <c r="H2169" s="4">
        <v>30</v>
      </c>
      <c r="I2169" s="4">
        <v>30</v>
      </c>
      <c r="J2169" s="4">
        <v>70</v>
      </c>
      <c r="K2169" s="4">
        <v>50</v>
      </c>
      <c r="L2169" s="4">
        <v>70</v>
      </c>
      <c r="M2169" s="4">
        <v>75</v>
      </c>
    </row>
    <row r="2170" spans="1:13">
      <c r="A2170" s="3" t="s">
        <v>2715</v>
      </c>
      <c r="B2170" s="4">
        <v>0</v>
      </c>
      <c r="C2170" s="4">
        <v>0</v>
      </c>
      <c r="D2170" s="4">
        <v>0</v>
      </c>
      <c r="E2170" s="4">
        <v>0</v>
      </c>
      <c r="F2170" s="4">
        <v>0</v>
      </c>
      <c r="G2170" s="4">
        <v>7.5</v>
      </c>
      <c r="H2170" s="4">
        <v>15</v>
      </c>
      <c r="I2170" s="4">
        <v>15</v>
      </c>
      <c r="J2170" s="4">
        <v>12.5</v>
      </c>
      <c r="K2170" s="4">
        <v>10</v>
      </c>
      <c r="L2170" s="4">
        <v>10</v>
      </c>
      <c r="M2170" s="4">
        <v>5</v>
      </c>
    </row>
    <row r="2171" spans="1:13">
      <c r="A2171" s="3" t="s">
        <v>2716</v>
      </c>
      <c r="B2171" s="4">
        <v>0</v>
      </c>
      <c r="C2171" s="4">
        <v>0</v>
      </c>
      <c r="D2171" s="4">
        <v>0</v>
      </c>
      <c r="E2171" s="4">
        <v>0</v>
      </c>
      <c r="F2171" s="4">
        <v>0</v>
      </c>
      <c r="G2171" s="4">
        <v>18</v>
      </c>
      <c r="H2171" s="4">
        <v>53</v>
      </c>
      <c r="I2171" s="4">
        <v>40</v>
      </c>
      <c r="J2171" s="4">
        <v>10</v>
      </c>
      <c r="K2171" s="4">
        <v>0</v>
      </c>
      <c r="L2171" s="4">
        <v>40</v>
      </c>
      <c r="M2171" s="4">
        <v>50</v>
      </c>
    </row>
    <row r="2172" spans="1:13">
      <c r="A2172" s="3" t="s">
        <v>2717</v>
      </c>
      <c r="B2172" s="4">
        <v>0</v>
      </c>
      <c r="C2172" s="4">
        <v>0</v>
      </c>
      <c r="D2172" s="4">
        <v>0</v>
      </c>
      <c r="E2172" s="4">
        <v>0</v>
      </c>
      <c r="F2172" s="4">
        <v>0</v>
      </c>
      <c r="G2172" s="4">
        <v>33</v>
      </c>
      <c r="H2172" s="4">
        <v>25</v>
      </c>
      <c r="I2172" s="4">
        <v>0</v>
      </c>
      <c r="J2172" s="4">
        <v>51.5</v>
      </c>
      <c r="K2172" s="4">
        <v>17.25</v>
      </c>
      <c r="L2172" s="4">
        <v>45</v>
      </c>
      <c r="M2172" s="4">
        <v>52</v>
      </c>
    </row>
    <row r="2173" spans="1:13">
      <c r="A2173" s="3" t="s">
        <v>2718</v>
      </c>
      <c r="B2173" s="4">
        <v>0</v>
      </c>
      <c r="C2173" s="4">
        <v>0</v>
      </c>
      <c r="D2173" s="4">
        <v>0</v>
      </c>
      <c r="E2173" s="4">
        <v>0</v>
      </c>
      <c r="F2173" s="4">
        <v>0</v>
      </c>
      <c r="G2173" s="4">
        <v>214.5</v>
      </c>
      <c r="H2173" s="4">
        <v>39</v>
      </c>
      <c r="I2173" s="4">
        <v>0</v>
      </c>
      <c r="J2173" s="4">
        <v>6.75</v>
      </c>
      <c r="K2173" s="4">
        <v>10</v>
      </c>
      <c r="L2173" s="4">
        <v>30</v>
      </c>
      <c r="M2173" s="4">
        <v>10</v>
      </c>
    </row>
    <row r="2174" spans="1:13">
      <c r="A2174" s="3" t="s">
        <v>2719</v>
      </c>
      <c r="B2174" s="4">
        <v>0</v>
      </c>
      <c r="C2174" s="4">
        <v>0</v>
      </c>
      <c r="D2174" s="4">
        <v>0</v>
      </c>
      <c r="E2174" s="4">
        <v>0</v>
      </c>
      <c r="F2174" s="4">
        <v>0</v>
      </c>
      <c r="G2174" s="4">
        <v>50</v>
      </c>
      <c r="H2174" s="4">
        <v>90</v>
      </c>
      <c r="I2174" s="4">
        <v>80</v>
      </c>
      <c r="J2174" s="4">
        <v>45</v>
      </c>
      <c r="K2174" s="4">
        <v>38</v>
      </c>
      <c r="L2174" s="4">
        <v>60</v>
      </c>
      <c r="M2174" s="4">
        <v>38.5</v>
      </c>
    </row>
    <row r="2175" spans="1:13">
      <c r="A2175" s="3" t="s">
        <v>2720</v>
      </c>
      <c r="B2175" s="4">
        <v>0</v>
      </c>
      <c r="C2175" s="4">
        <v>0</v>
      </c>
      <c r="D2175" s="4">
        <v>0</v>
      </c>
      <c r="E2175" s="4">
        <v>0</v>
      </c>
      <c r="F2175" s="4">
        <v>0</v>
      </c>
      <c r="G2175" s="4">
        <v>42.5</v>
      </c>
      <c r="H2175" s="4">
        <v>65</v>
      </c>
      <c r="I2175" s="4">
        <v>55</v>
      </c>
      <c r="J2175" s="4">
        <v>85</v>
      </c>
      <c r="K2175" s="4">
        <v>75.25</v>
      </c>
      <c r="L2175" s="4">
        <v>76.25</v>
      </c>
      <c r="M2175" s="4">
        <v>115</v>
      </c>
    </row>
    <row r="2176" spans="1:13">
      <c r="A2176" s="3" t="s">
        <v>2721</v>
      </c>
      <c r="B2176" s="4">
        <v>0</v>
      </c>
      <c r="C2176" s="4">
        <v>0</v>
      </c>
      <c r="D2176" s="4">
        <v>0</v>
      </c>
      <c r="E2176" s="4">
        <v>0</v>
      </c>
      <c r="F2176" s="4">
        <v>0</v>
      </c>
      <c r="G2176" s="4">
        <v>40</v>
      </c>
      <c r="H2176" s="4">
        <v>84.5</v>
      </c>
      <c r="I2176" s="4">
        <v>35</v>
      </c>
      <c r="J2176" s="4">
        <v>58</v>
      </c>
      <c r="K2176" s="4">
        <v>60</v>
      </c>
      <c r="L2176" s="4">
        <v>20</v>
      </c>
      <c r="M2176" s="4">
        <v>112</v>
      </c>
    </row>
    <row r="2177" spans="1:13">
      <c r="A2177" s="3" t="s">
        <v>2722</v>
      </c>
      <c r="B2177" s="4">
        <v>0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47.5</v>
      </c>
      <c r="K2177" s="4">
        <v>25</v>
      </c>
      <c r="L2177" s="4">
        <v>50</v>
      </c>
      <c r="M2177" s="4">
        <v>88</v>
      </c>
    </row>
    <row r="2178" spans="1:13">
      <c r="A2178" s="3" t="s">
        <v>2723</v>
      </c>
      <c r="B2178" s="4">
        <v>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20</v>
      </c>
      <c r="M2178" s="4">
        <v>40</v>
      </c>
    </row>
    <row r="2179" spans="1:13">
      <c r="A2179" s="3" t="s">
        <v>2724</v>
      </c>
      <c r="B2179" s="4">
        <v>0</v>
      </c>
      <c r="C2179" s="4">
        <v>0</v>
      </c>
      <c r="D2179" s="4">
        <v>0</v>
      </c>
      <c r="E2179" s="4">
        <v>0</v>
      </c>
      <c r="F2179" s="4">
        <v>0</v>
      </c>
      <c r="G2179" s="4">
        <v>5</v>
      </c>
      <c r="H2179" s="4">
        <v>0</v>
      </c>
      <c r="I2179" s="4">
        <v>0</v>
      </c>
      <c r="J2179" s="4">
        <v>0</v>
      </c>
      <c r="K2179" s="4">
        <v>135</v>
      </c>
      <c r="L2179" s="4">
        <v>60</v>
      </c>
      <c r="M2179" s="4">
        <v>60</v>
      </c>
    </row>
    <row r="2180" spans="1:13">
      <c r="A2180" s="3" t="s">
        <v>2725</v>
      </c>
      <c r="B2180" s="4">
        <v>0</v>
      </c>
      <c r="C2180" s="4">
        <v>0</v>
      </c>
      <c r="D2180" s="4">
        <v>0</v>
      </c>
      <c r="E2180" s="4">
        <v>0</v>
      </c>
      <c r="F2180" s="4">
        <v>0</v>
      </c>
      <c r="G2180" s="4">
        <v>40</v>
      </c>
      <c r="H2180" s="4">
        <v>30</v>
      </c>
      <c r="I2180" s="4">
        <v>15</v>
      </c>
      <c r="J2180" s="4">
        <v>35.5</v>
      </c>
      <c r="K2180" s="4">
        <v>38</v>
      </c>
      <c r="L2180" s="4">
        <v>25.7</v>
      </c>
      <c r="M2180" s="4">
        <v>32.5</v>
      </c>
    </row>
    <row r="2181" spans="1:13">
      <c r="A2181" s="3" t="s">
        <v>2726</v>
      </c>
      <c r="B2181" s="4">
        <v>0</v>
      </c>
      <c r="C2181" s="4">
        <v>0</v>
      </c>
      <c r="D2181" s="4">
        <v>0</v>
      </c>
      <c r="E2181" s="4">
        <v>0</v>
      </c>
      <c r="F2181" s="4">
        <v>0</v>
      </c>
      <c r="G2181" s="4">
        <v>7.5</v>
      </c>
      <c r="H2181" s="4">
        <v>0</v>
      </c>
      <c r="I2181" s="4">
        <v>0</v>
      </c>
      <c r="J2181" s="4">
        <v>1</v>
      </c>
      <c r="K2181" s="4">
        <v>2.5</v>
      </c>
      <c r="L2181" s="4">
        <v>31.25</v>
      </c>
      <c r="M2181" s="4">
        <v>0</v>
      </c>
    </row>
    <row r="2182" spans="1:13">
      <c r="A2182" s="3" t="s">
        <v>2727</v>
      </c>
      <c r="B2182" s="4">
        <v>0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19.5</v>
      </c>
      <c r="K2182" s="4">
        <v>17.5</v>
      </c>
      <c r="L2182" s="4">
        <v>27</v>
      </c>
      <c r="M2182" s="4">
        <v>30.5</v>
      </c>
    </row>
    <row r="2183" spans="1:13">
      <c r="A2183" s="3" t="s">
        <v>2728</v>
      </c>
      <c r="B2183" s="4">
        <v>0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27.5</v>
      </c>
      <c r="J2183" s="4">
        <v>0</v>
      </c>
      <c r="K2183" s="4">
        <v>45</v>
      </c>
      <c r="L2183" s="4">
        <v>0</v>
      </c>
      <c r="M2183" s="4">
        <v>50</v>
      </c>
    </row>
    <row r="2184" spans="1:13">
      <c r="A2184" s="3" t="s">
        <v>2729</v>
      </c>
      <c r="B2184" s="4">
        <v>0</v>
      </c>
      <c r="C2184" s="4">
        <v>0</v>
      </c>
      <c r="D2184" s="4">
        <v>0</v>
      </c>
      <c r="E2184" s="4">
        <v>0</v>
      </c>
      <c r="F2184" s="4">
        <v>0</v>
      </c>
      <c r="G2184" s="4">
        <v>20</v>
      </c>
      <c r="H2184" s="4">
        <v>25</v>
      </c>
      <c r="I2184" s="4">
        <v>59</v>
      </c>
      <c r="J2184" s="4">
        <v>85.5</v>
      </c>
      <c r="K2184" s="4">
        <v>25</v>
      </c>
      <c r="L2184" s="4">
        <v>25</v>
      </c>
      <c r="M2184" s="4">
        <v>101</v>
      </c>
    </row>
    <row r="2185" spans="1:13">
      <c r="A2185" s="3" t="s">
        <v>2730</v>
      </c>
      <c r="B2185" s="4">
        <v>0</v>
      </c>
      <c r="C2185" s="4">
        <v>0</v>
      </c>
      <c r="D2185" s="4">
        <v>0</v>
      </c>
      <c r="E2185" s="4">
        <v>0</v>
      </c>
      <c r="F2185" s="4">
        <v>0</v>
      </c>
      <c r="G2185" s="4">
        <v>10</v>
      </c>
      <c r="H2185" s="4">
        <v>20</v>
      </c>
      <c r="I2185" s="4">
        <v>0</v>
      </c>
      <c r="J2185" s="4">
        <v>32.5</v>
      </c>
      <c r="K2185" s="4">
        <v>27.5</v>
      </c>
      <c r="L2185" s="4">
        <v>39</v>
      </c>
      <c r="M2185" s="4">
        <v>34</v>
      </c>
    </row>
    <row r="2186" spans="1:13">
      <c r="A2186" s="3" t="s">
        <v>2731</v>
      </c>
      <c r="B2186" s="4">
        <v>0</v>
      </c>
      <c r="C2186" s="4">
        <v>0</v>
      </c>
      <c r="D2186" s="4">
        <v>0</v>
      </c>
      <c r="E2186" s="4">
        <v>0</v>
      </c>
      <c r="F2186" s="4">
        <v>0</v>
      </c>
      <c r="G2186" s="4">
        <v>20</v>
      </c>
      <c r="H2186" s="4">
        <v>5</v>
      </c>
      <c r="I2186" s="4">
        <v>15</v>
      </c>
      <c r="J2186" s="4">
        <v>13</v>
      </c>
      <c r="K2186" s="4">
        <v>37.5</v>
      </c>
      <c r="L2186" s="4">
        <v>49</v>
      </c>
      <c r="M2186" s="4">
        <v>96.5</v>
      </c>
    </row>
    <row r="2187" spans="1:13">
      <c r="A2187" s="3" t="s">
        <v>2732</v>
      </c>
      <c r="B2187" s="4">
        <v>0</v>
      </c>
      <c r="C2187" s="4">
        <v>0</v>
      </c>
      <c r="D2187" s="4">
        <v>0</v>
      </c>
      <c r="E2187" s="4">
        <v>0</v>
      </c>
      <c r="F2187" s="4">
        <v>0</v>
      </c>
      <c r="G2187" s="4">
        <v>52</v>
      </c>
      <c r="H2187" s="4">
        <v>62</v>
      </c>
      <c r="I2187" s="4">
        <v>50</v>
      </c>
      <c r="J2187" s="4">
        <v>83</v>
      </c>
      <c r="K2187" s="4">
        <v>40</v>
      </c>
      <c r="L2187" s="4">
        <v>50</v>
      </c>
      <c r="M2187" s="4">
        <v>84.5</v>
      </c>
    </row>
    <row r="2188" spans="1:13">
      <c r="A2188" s="3" t="s">
        <v>2733</v>
      </c>
      <c r="B2188" s="4">
        <v>0</v>
      </c>
      <c r="C2188" s="4">
        <v>0</v>
      </c>
      <c r="D2188" s="4">
        <v>0</v>
      </c>
      <c r="E2188" s="4">
        <v>0</v>
      </c>
      <c r="F2188" s="4">
        <v>0</v>
      </c>
      <c r="G2188" s="4">
        <v>40</v>
      </c>
      <c r="H2188" s="4">
        <v>20</v>
      </c>
      <c r="I2188" s="4">
        <v>5</v>
      </c>
      <c r="J2188" s="4">
        <v>10</v>
      </c>
      <c r="K2188" s="4">
        <v>0</v>
      </c>
      <c r="L2188" s="4">
        <v>0</v>
      </c>
      <c r="M2188" s="4">
        <v>0</v>
      </c>
    </row>
    <row r="2189" spans="1:13">
      <c r="A2189" s="3" t="s">
        <v>2734</v>
      </c>
      <c r="B2189" s="4">
        <v>0</v>
      </c>
      <c r="C2189" s="4">
        <v>0</v>
      </c>
      <c r="D2189" s="4">
        <v>0</v>
      </c>
      <c r="E2189" s="4">
        <v>0</v>
      </c>
      <c r="F2189" s="4">
        <v>0</v>
      </c>
      <c r="G2189" s="4">
        <v>20</v>
      </c>
      <c r="H2189" s="4">
        <v>20.5</v>
      </c>
      <c r="I2189" s="4">
        <v>40</v>
      </c>
      <c r="J2189" s="4">
        <v>55.75</v>
      </c>
      <c r="K2189" s="4">
        <v>62.5</v>
      </c>
      <c r="L2189" s="4">
        <v>60</v>
      </c>
      <c r="M2189" s="4">
        <v>50</v>
      </c>
    </row>
    <row r="2190" spans="1:13">
      <c r="A2190" s="3" t="s">
        <v>2735</v>
      </c>
      <c r="B2190" s="4">
        <v>0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10</v>
      </c>
      <c r="L2190" s="4">
        <v>10</v>
      </c>
      <c r="M2190" s="4">
        <v>40</v>
      </c>
    </row>
    <row r="2191" spans="1:13">
      <c r="A2191" s="3" t="s">
        <v>2736</v>
      </c>
      <c r="B2191" s="4">
        <v>0</v>
      </c>
      <c r="C2191" s="4">
        <v>0</v>
      </c>
      <c r="D2191" s="4">
        <v>0</v>
      </c>
      <c r="E2191" s="4">
        <v>0</v>
      </c>
      <c r="F2191" s="4">
        <v>0</v>
      </c>
      <c r="G2191" s="4">
        <v>7</v>
      </c>
      <c r="H2191" s="4">
        <v>14</v>
      </c>
      <c r="I2191" s="4">
        <v>10</v>
      </c>
      <c r="J2191" s="4">
        <v>33</v>
      </c>
      <c r="K2191" s="4">
        <v>60</v>
      </c>
      <c r="L2191" s="4">
        <v>33</v>
      </c>
      <c r="M2191" s="4">
        <v>30</v>
      </c>
    </row>
    <row r="2192" spans="1:13">
      <c r="A2192" s="3" t="s">
        <v>2737</v>
      </c>
      <c r="B2192" s="4">
        <v>0</v>
      </c>
      <c r="C2192" s="4">
        <v>0</v>
      </c>
      <c r="D2192" s="4">
        <v>0</v>
      </c>
      <c r="E2192" s="4">
        <v>0</v>
      </c>
      <c r="F2192" s="4">
        <v>0</v>
      </c>
      <c r="G2192" s="4">
        <v>70</v>
      </c>
      <c r="H2192" s="4">
        <v>37</v>
      </c>
      <c r="I2192" s="4">
        <v>0</v>
      </c>
      <c r="J2192" s="4">
        <v>140</v>
      </c>
      <c r="K2192" s="4">
        <v>165</v>
      </c>
      <c r="L2192" s="4">
        <v>58</v>
      </c>
      <c r="M2192" s="4">
        <v>135.5</v>
      </c>
    </row>
    <row r="2193" spans="1:13">
      <c r="A2193" s="3" t="s">
        <v>2738</v>
      </c>
      <c r="B2193" s="4">
        <v>0</v>
      </c>
      <c r="C2193" s="4">
        <v>0</v>
      </c>
      <c r="D2193" s="4">
        <v>0</v>
      </c>
      <c r="E2193" s="4">
        <v>0</v>
      </c>
      <c r="F2193" s="4">
        <v>0</v>
      </c>
      <c r="G2193" s="4">
        <v>10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</row>
    <row r="2194" spans="1:13">
      <c r="A2194" s="3" t="s">
        <v>2739</v>
      </c>
      <c r="B2194" s="4">
        <v>0</v>
      </c>
      <c r="C2194" s="4">
        <v>0</v>
      </c>
      <c r="D2194" s="4">
        <v>0</v>
      </c>
      <c r="E2194" s="4">
        <v>0</v>
      </c>
      <c r="F2194" s="4">
        <v>0</v>
      </c>
      <c r="G2194" s="4">
        <v>42.5</v>
      </c>
      <c r="H2194" s="4">
        <v>35</v>
      </c>
      <c r="I2194" s="4">
        <v>10</v>
      </c>
      <c r="J2194" s="4">
        <v>24</v>
      </c>
      <c r="K2194" s="4">
        <v>26</v>
      </c>
      <c r="L2194" s="4">
        <v>23</v>
      </c>
      <c r="M2194" s="4">
        <v>23</v>
      </c>
    </row>
    <row r="2195" spans="1:13">
      <c r="A2195" s="3" t="s">
        <v>2740</v>
      </c>
      <c r="B2195" s="4">
        <v>0</v>
      </c>
      <c r="C2195" s="4">
        <v>0</v>
      </c>
      <c r="D2195" s="4">
        <v>0</v>
      </c>
      <c r="E2195" s="4">
        <v>0</v>
      </c>
      <c r="F2195" s="4">
        <v>0</v>
      </c>
      <c r="G2195" s="4">
        <v>12.5</v>
      </c>
      <c r="H2195" s="4">
        <v>53</v>
      </c>
      <c r="I2195" s="4">
        <v>50.5</v>
      </c>
      <c r="J2195" s="4">
        <v>15</v>
      </c>
      <c r="K2195" s="4">
        <v>49.5</v>
      </c>
      <c r="L2195" s="4">
        <v>0</v>
      </c>
      <c r="M2195" s="4">
        <v>0</v>
      </c>
    </row>
    <row r="2196" spans="1:13">
      <c r="A2196" s="3" t="s">
        <v>2741</v>
      </c>
      <c r="B2196" s="4">
        <v>0</v>
      </c>
      <c r="C2196" s="4">
        <v>0</v>
      </c>
      <c r="D2196" s="4">
        <v>0</v>
      </c>
      <c r="E2196" s="4">
        <v>0</v>
      </c>
      <c r="F2196" s="4">
        <v>0</v>
      </c>
      <c r="G2196" s="4">
        <v>42</v>
      </c>
      <c r="H2196" s="4">
        <v>69.25</v>
      </c>
      <c r="I2196" s="4">
        <v>25</v>
      </c>
      <c r="J2196" s="4">
        <v>27.5</v>
      </c>
      <c r="K2196" s="4">
        <v>40</v>
      </c>
      <c r="L2196" s="4">
        <v>10</v>
      </c>
      <c r="M2196" s="4">
        <v>40</v>
      </c>
    </row>
    <row r="2197" spans="1:13">
      <c r="A2197" s="3" t="s">
        <v>2742</v>
      </c>
      <c r="B2197" s="4">
        <v>0</v>
      </c>
      <c r="C2197" s="4">
        <v>0</v>
      </c>
      <c r="D2197" s="4">
        <v>0</v>
      </c>
      <c r="E2197" s="4">
        <v>0</v>
      </c>
      <c r="F2197" s="4">
        <v>0</v>
      </c>
      <c r="G2197" s="4">
        <v>24.75</v>
      </c>
      <c r="H2197" s="4">
        <v>6.25</v>
      </c>
      <c r="I2197" s="4">
        <v>26.5</v>
      </c>
      <c r="J2197" s="4">
        <v>27</v>
      </c>
      <c r="K2197" s="4">
        <v>30.1</v>
      </c>
      <c r="L2197" s="4">
        <v>0</v>
      </c>
      <c r="M2197" s="4">
        <v>0</v>
      </c>
    </row>
    <row r="2198" spans="1:13">
      <c r="A2198" s="3" t="s">
        <v>2743</v>
      </c>
      <c r="B2198" s="4">
        <v>0</v>
      </c>
      <c r="C2198" s="4">
        <v>0</v>
      </c>
      <c r="D2198" s="4">
        <v>0</v>
      </c>
      <c r="E2198" s="4">
        <v>0</v>
      </c>
      <c r="F2198" s="4">
        <v>0</v>
      </c>
      <c r="G2198" s="4">
        <v>82</v>
      </c>
      <c r="H2198" s="4">
        <v>0</v>
      </c>
      <c r="I2198" s="4">
        <v>63.75</v>
      </c>
      <c r="J2198" s="4">
        <v>0</v>
      </c>
      <c r="K2198" s="4">
        <v>25</v>
      </c>
      <c r="L2198" s="4">
        <v>25</v>
      </c>
      <c r="M2198" s="4">
        <v>22</v>
      </c>
    </row>
    <row r="2199" spans="1:13">
      <c r="A2199" s="3" t="s">
        <v>2744</v>
      </c>
      <c r="B2199" s="4">
        <v>0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5</v>
      </c>
      <c r="I2199" s="4">
        <v>20</v>
      </c>
      <c r="J2199" s="4">
        <v>15</v>
      </c>
      <c r="K2199" s="4">
        <v>10</v>
      </c>
      <c r="L2199" s="4">
        <v>0</v>
      </c>
      <c r="M2199" s="4">
        <v>0</v>
      </c>
    </row>
    <row r="2200" spans="1:13">
      <c r="A2200" s="3" t="s">
        <v>2745</v>
      </c>
      <c r="B2200" s="4">
        <v>0</v>
      </c>
      <c r="C2200" s="4">
        <v>0</v>
      </c>
      <c r="D2200" s="4">
        <v>0</v>
      </c>
      <c r="E2200" s="4">
        <v>0</v>
      </c>
      <c r="F2200" s="4">
        <v>0</v>
      </c>
      <c r="G2200" s="4">
        <v>20</v>
      </c>
      <c r="H2200" s="4">
        <v>0</v>
      </c>
      <c r="I2200" s="4">
        <v>0</v>
      </c>
      <c r="J2200" s="4">
        <v>0</v>
      </c>
      <c r="K2200" s="4">
        <v>10</v>
      </c>
      <c r="L2200" s="4">
        <v>35</v>
      </c>
      <c r="M2200" s="4">
        <v>8</v>
      </c>
    </row>
    <row r="2201" spans="1:13">
      <c r="A2201" s="3" t="s">
        <v>2746</v>
      </c>
      <c r="B2201" s="4">
        <v>0</v>
      </c>
      <c r="C2201" s="4">
        <v>0</v>
      </c>
      <c r="D2201" s="4">
        <v>0</v>
      </c>
      <c r="E2201" s="4">
        <v>0</v>
      </c>
      <c r="F2201" s="4">
        <v>0</v>
      </c>
      <c r="G2201" s="4">
        <v>157</v>
      </c>
      <c r="H2201" s="4">
        <v>202</v>
      </c>
      <c r="I2201" s="4">
        <v>101</v>
      </c>
      <c r="J2201" s="4">
        <v>204</v>
      </c>
      <c r="K2201" s="4">
        <v>135</v>
      </c>
      <c r="L2201" s="4">
        <v>85</v>
      </c>
      <c r="M2201" s="4">
        <v>137.5</v>
      </c>
    </row>
    <row r="2202" spans="1:13">
      <c r="A2202" s="3" t="s">
        <v>2747</v>
      </c>
      <c r="B2202" s="4">
        <v>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1</v>
      </c>
      <c r="I2202" s="4">
        <v>0</v>
      </c>
      <c r="J2202" s="4">
        <v>75</v>
      </c>
      <c r="K2202" s="4">
        <v>0</v>
      </c>
      <c r="L2202" s="4">
        <v>0</v>
      </c>
      <c r="M2202" s="4">
        <v>0</v>
      </c>
    </row>
    <row r="2203" spans="1:13">
      <c r="A2203" s="3" t="s">
        <v>2748</v>
      </c>
      <c r="B2203" s="4">
        <v>0</v>
      </c>
      <c r="C2203" s="4">
        <v>0</v>
      </c>
      <c r="D2203" s="4">
        <v>0</v>
      </c>
      <c r="E2203" s="4">
        <v>0</v>
      </c>
      <c r="F2203" s="4">
        <v>0</v>
      </c>
      <c r="G2203" s="4">
        <v>40</v>
      </c>
      <c r="H2203" s="4">
        <v>62</v>
      </c>
      <c r="I2203" s="4">
        <v>60</v>
      </c>
      <c r="J2203" s="4">
        <v>52</v>
      </c>
      <c r="K2203" s="4">
        <v>30</v>
      </c>
      <c r="L2203" s="4">
        <v>65</v>
      </c>
      <c r="M2203" s="4">
        <v>113</v>
      </c>
    </row>
    <row r="2204" spans="1:13">
      <c r="A2204" s="3" t="s">
        <v>2749</v>
      </c>
      <c r="B2204" s="4">
        <v>0</v>
      </c>
      <c r="C2204" s="4">
        <v>0</v>
      </c>
      <c r="D2204" s="4">
        <v>0</v>
      </c>
      <c r="E2204" s="4">
        <v>0</v>
      </c>
      <c r="F2204" s="4">
        <v>0</v>
      </c>
      <c r="G2204" s="4">
        <v>41</v>
      </c>
      <c r="H2204" s="4">
        <v>70.400000000000006</v>
      </c>
      <c r="I2204" s="4">
        <v>148.1</v>
      </c>
      <c r="J2204" s="4">
        <v>259.55</v>
      </c>
      <c r="K2204" s="4">
        <v>287.8</v>
      </c>
      <c r="L2204" s="4">
        <v>323.64999999999998</v>
      </c>
      <c r="M2204" s="4">
        <v>274.10000000000002</v>
      </c>
    </row>
    <row r="2205" spans="1:13">
      <c r="A2205" s="3" t="s">
        <v>2750</v>
      </c>
      <c r="B2205" s="4">
        <v>0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22</v>
      </c>
      <c r="I2205" s="4">
        <v>30</v>
      </c>
      <c r="J2205" s="4">
        <v>22</v>
      </c>
      <c r="K2205" s="4">
        <v>44</v>
      </c>
      <c r="L2205" s="4">
        <v>41.5</v>
      </c>
      <c r="M2205" s="4">
        <v>35</v>
      </c>
    </row>
    <row r="2206" spans="1:13">
      <c r="A2206" s="3" t="s">
        <v>2751</v>
      </c>
      <c r="B2206" s="4">
        <v>0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20.5</v>
      </c>
      <c r="J2206" s="4">
        <v>118.4</v>
      </c>
      <c r="K2206" s="4">
        <v>87</v>
      </c>
      <c r="L2206" s="4">
        <v>120</v>
      </c>
      <c r="M2206" s="4">
        <v>74</v>
      </c>
    </row>
    <row r="2207" spans="1:13">
      <c r="A2207" s="3" t="s">
        <v>2752</v>
      </c>
      <c r="B2207" s="4">
        <v>0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10</v>
      </c>
      <c r="I2207" s="4">
        <v>0</v>
      </c>
      <c r="J2207" s="4">
        <v>0</v>
      </c>
      <c r="K2207" s="4">
        <v>7.5</v>
      </c>
      <c r="L2207" s="4">
        <v>12.5</v>
      </c>
      <c r="M2207" s="4">
        <v>10</v>
      </c>
    </row>
    <row r="2208" spans="1:13">
      <c r="A2208" s="3" t="s">
        <v>2753</v>
      </c>
      <c r="B2208" s="4">
        <v>0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80</v>
      </c>
      <c r="I2208" s="4">
        <v>76</v>
      </c>
      <c r="J2208" s="4">
        <v>0</v>
      </c>
      <c r="K2208" s="4">
        <v>20</v>
      </c>
      <c r="L2208" s="4">
        <v>40</v>
      </c>
      <c r="M2208" s="4">
        <v>100</v>
      </c>
    </row>
    <row r="2209" spans="1:13">
      <c r="A2209" s="3" t="s">
        <v>2754</v>
      </c>
      <c r="B2209" s="4">
        <v>0</v>
      </c>
      <c r="C2209" s="4">
        <v>0</v>
      </c>
      <c r="D2209" s="4">
        <v>0</v>
      </c>
      <c r="E2209" s="4">
        <v>0</v>
      </c>
      <c r="F2209" s="4">
        <v>0</v>
      </c>
      <c r="G2209" s="4">
        <v>53</v>
      </c>
      <c r="H2209" s="4">
        <v>35</v>
      </c>
      <c r="I2209" s="4">
        <v>10</v>
      </c>
      <c r="J2209" s="4">
        <v>35</v>
      </c>
      <c r="K2209" s="4">
        <v>40</v>
      </c>
      <c r="L2209" s="4">
        <v>0</v>
      </c>
      <c r="M2209" s="4">
        <v>55</v>
      </c>
    </row>
    <row r="2210" spans="1:13">
      <c r="A2210" s="3" t="s">
        <v>2755</v>
      </c>
      <c r="B2210" s="4">
        <v>0</v>
      </c>
      <c r="C2210" s="4">
        <v>0</v>
      </c>
      <c r="D2210" s="4">
        <v>0</v>
      </c>
      <c r="E2210" s="4">
        <v>0</v>
      </c>
      <c r="F2210" s="4">
        <v>0</v>
      </c>
      <c r="G2210" s="4">
        <v>20</v>
      </c>
      <c r="H2210" s="4">
        <v>30</v>
      </c>
      <c r="I2210" s="4">
        <v>0</v>
      </c>
      <c r="J2210" s="4">
        <v>77.5</v>
      </c>
      <c r="K2210" s="4">
        <v>20</v>
      </c>
      <c r="L2210" s="4">
        <v>66</v>
      </c>
      <c r="M2210" s="4">
        <v>10</v>
      </c>
    </row>
    <row r="2211" spans="1:13">
      <c r="A2211" s="3" t="s">
        <v>2756</v>
      </c>
      <c r="B2211" s="4">
        <v>0</v>
      </c>
      <c r="C2211" s="4">
        <v>0</v>
      </c>
      <c r="D2211" s="4">
        <v>0</v>
      </c>
      <c r="E2211" s="4">
        <v>0</v>
      </c>
      <c r="F2211" s="4">
        <v>0</v>
      </c>
      <c r="G2211" s="4">
        <v>20</v>
      </c>
      <c r="H2211" s="4">
        <v>95</v>
      </c>
      <c r="I2211" s="4">
        <v>65</v>
      </c>
      <c r="J2211" s="4">
        <v>77.5</v>
      </c>
      <c r="K2211" s="4">
        <v>77.5</v>
      </c>
      <c r="L2211" s="4">
        <v>25</v>
      </c>
      <c r="M2211" s="4">
        <v>55</v>
      </c>
    </row>
    <row r="2212" spans="1:13">
      <c r="A2212" s="3" t="s">
        <v>2757</v>
      </c>
      <c r="B2212" s="4">
        <v>0</v>
      </c>
      <c r="C2212" s="4">
        <v>0</v>
      </c>
      <c r="D2212" s="4">
        <v>0</v>
      </c>
      <c r="E2212" s="4">
        <v>0</v>
      </c>
      <c r="F2212" s="4">
        <v>0</v>
      </c>
      <c r="G2212" s="4">
        <v>37</v>
      </c>
      <c r="H2212" s="4">
        <v>33</v>
      </c>
      <c r="I2212" s="4">
        <v>38</v>
      </c>
      <c r="J2212" s="4">
        <v>36.5</v>
      </c>
      <c r="K2212" s="4">
        <v>84</v>
      </c>
      <c r="L2212" s="4">
        <v>61</v>
      </c>
      <c r="M2212" s="4">
        <v>116.5</v>
      </c>
    </row>
    <row r="2213" spans="1:13">
      <c r="A2213" s="3" t="s">
        <v>2758</v>
      </c>
      <c r="B2213" s="4">
        <v>0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30</v>
      </c>
      <c r="J2213" s="4">
        <v>25</v>
      </c>
      <c r="K2213" s="4">
        <v>0</v>
      </c>
      <c r="L2213" s="4">
        <v>0</v>
      </c>
      <c r="M2213" s="4">
        <v>10</v>
      </c>
    </row>
    <row r="2214" spans="1:13">
      <c r="A2214" s="3" t="s">
        <v>2759</v>
      </c>
      <c r="B2214" s="4">
        <v>0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35</v>
      </c>
      <c r="L2214" s="4">
        <v>30</v>
      </c>
      <c r="M2214" s="4">
        <v>0</v>
      </c>
    </row>
    <row r="2215" spans="1:13">
      <c r="A2215" s="3" t="s">
        <v>2760</v>
      </c>
      <c r="B2215" s="4">
        <v>0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10</v>
      </c>
      <c r="I2215" s="4">
        <v>22</v>
      </c>
      <c r="J2215" s="4">
        <v>15</v>
      </c>
      <c r="K2215" s="4">
        <v>20</v>
      </c>
      <c r="L2215" s="4">
        <v>0</v>
      </c>
      <c r="M2215" s="4">
        <v>0</v>
      </c>
    </row>
    <row r="2216" spans="1:13">
      <c r="A2216" s="3" t="s">
        <v>2761</v>
      </c>
      <c r="B2216" s="4">
        <v>0</v>
      </c>
      <c r="C2216" s="4">
        <v>0</v>
      </c>
      <c r="D2216" s="4">
        <v>0</v>
      </c>
      <c r="E2216" s="4">
        <v>0</v>
      </c>
      <c r="F2216" s="4">
        <v>0</v>
      </c>
      <c r="G2216" s="4">
        <v>20</v>
      </c>
      <c r="H2216" s="4">
        <v>0</v>
      </c>
      <c r="I2216" s="4">
        <v>10</v>
      </c>
      <c r="J2216" s="4">
        <v>25</v>
      </c>
      <c r="K2216" s="4">
        <v>10</v>
      </c>
      <c r="L2216" s="4">
        <v>0</v>
      </c>
      <c r="M2216" s="4">
        <v>0</v>
      </c>
    </row>
    <row r="2217" spans="1:13">
      <c r="A2217" s="3" t="s">
        <v>2762</v>
      </c>
      <c r="B2217" s="4">
        <v>0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25</v>
      </c>
      <c r="L2217" s="4">
        <v>10</v>
      </c>
      <c r="M2217" s="4">
        <v>30</v>
      </c>
    </row>
    <row r="2218" spans="1:13">
      <c r="A2218" s="3" t="s">
        <v>2763</v>
      </c>
      <c r="B2218" s="4">
        <v>0</v>
      </c>
      <c r="C2218" s="4">
        <v>0</v>
      </c>
      <c r="D2218" s="4">
        <v>0</v>
      </c>
      <c r="E2218" s="4">
        <v>0</v>
      </c>
      <c r="F2218" s="4">
        <v>0</v>
      </c>
      <c r="G2218" s="4">
        <v>31</v>
      </c>
      <c r="H2218" s="4">
        <v>22.85</v>
      </c>
      <c r="I2218" s="4">
        <v>51</v>
      </c>
      <c r="J2218" s="4">
        <v>62.5</v>
      </c>
      <c r="K2218" s="4">
        <v>55</v>
      </c>
      <c r="L2218" s="4">
        <v>88.6</v>
      </c>
      <c r="M2218" s="4">
        <v>110</v>
      </c>
    </row>
    <row r="2219" spans="1:13">
      <c r="A2219" s="3" t="s">
        <v>2764</v>
      </c>
      <c r="B2219" s="4">
        <v>0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35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</row>
    <row r="2220" spans="1:13">
      <c r="A2220" s="3" t="s">
        <v>2765</v>
      </c>
      <c r="B2220" s="4">
        <v>0</v>
      </c>
      <c r="C2220" s="4">
        <v>0</v>
      </c>
      <c r="D2220" s="4">
        <v>0</v>
      </c>
      <c r="E2220" s="4">
        <v>0</v>
      </c>
      <c r="F2220" s="4">
        <v>0</v>
      </c>
      <c r="G2220" s="4">
        <v>91.5</v>
      </c>
      <c r="H2220" s="4">
        <v>8</v>
      </c>
      <c r="I2220" s="4">
        <v>66.55</v>
      </c>
      <c r="J2220" s="4">
        <v>15</v>
      </c>
      <c r="K2220" s="4">
        <v>40</v>
      </c>
      <c r="L2220" s="4">
        <v>45</v>
      </c>
      <c r="M2220" s="4">
        <v>37</v>
      </c>
    </row>
    <row r="2221" spans="1:13">
      <c r="A2221" s="3" t="s">
        <v>2766</v>
      </c>
      <c r="B2221" s="4">
        <v>0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79.5</v>
      </c>
      <c r="I2221" s="4">
        <v>0</v>
      </c>
      <c r="J2221" s="4">
        <v>55.5</v>
      </c>
      <c r="K2221" s="4">
        <v>17.5</v>
      </c>
      <c r="L2221" s="4">
        <v>0</v>
      </c>
      <c r="M2221" s="4">
        <v>27</v>
      </c>
    </row>
    <row r="2222" spans="1:13">
      <c r="A2222" s="3" t="s">
        <v>2767</v>
      </c>
      <c r="B2222" s="4">
        <v>0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20</v>
      </c>
    </row>
    <row r="2223" spans="1:13">
      <c r="A2223" s="3" t="s">
        <v>2768</v>
      </c>
      <c r="B2223" s="4">
        <v>0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28</v>
      </c>
      <c r="I2223" s="4">
        <v>37.5</v>
      </c>
      <c r="J2223" s="4">
        <v>55</v>
      </c>
      <c r="K2223" s="4">
        <v>58.25</v>
      </c>
      <c r="L2223" s="4">
        <v>105</v>
      </c>
      <c r="M2223" s="4">
        <v>52.25</v>
      </c>
    </row>
    <row r="2224" spans="1:13">
      <c r="A2224" s="3" t="s">
        <v>2769</v>
      </c>
      <c r="B2224" s="4">
        <v>0</v>
      </c>
      <c r="C2224" s="4">
        <v>0</v>
      </c>
      <c r="D2224" s="4">
        <v>0</v>
      </c>
      <c r="E2224" s="4">
        <v>0</v>
      </c>
      <c r="F2224" s="4">
        <v>0</v>
      </c>
      <c r="G2224" s="4">
        <v>28</v>
      </c>
      <c r="H2224" s="4">
        <v>37.5</v>
      </c>
      <c r="I2224" s="4">
        <v>5</v>
      </c>
      <c r="J2224" s="4">
        <v>0</v>
      </c>
      <c r="K2224" s="4">
        <v>5</v>
      </c>
      <c r="L2224" s="4">
        <v>0</v>
      </c>
      <c r="M2224" s="4">
        <v>0</v>
      </c>
    </row>
    <row r="2225" spans="1:13">
      <c r="A2225" s="3" t="s">
        <v>2770</v>
      </c>
      <c r="B2225" s="4">
        <v>0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30</v>
      </c>
      <c r="I2225" s="4">
        <v>0</v>
      </c>
      <c r="J2225" s="4">
        <v>60.5</v>
      </c>
      <c r="K2225" s="4">
        <v>0</v>
      </c>
      <c r="L2225" s="4">
        <v>54.5</v>
      </c>
      <c r="M2225" s="4">
        <v>25</v>
      </c>
    </row>
    <row r="2226" spans="1:13">
      <c r="A2226" s="3" t="s">
        <v>2771</v>
      </c>
      <c r="B2226" s="4">
        <v>0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10</v>
      </c>
      <c r="I2226" s="4">
        <v>15</v>
      </c>
      <c r="J2226" s="4">
        <v>37.549999999999997</v>
      </c>
      <c r="K2226" s="4">
        <v>11</v>
      </c>
      <c r="L2226" s="4">
        <v>10</v>
      </c>
      <c r="M2226" s="4">
        <v>12</v>
      </c>
    </row>
    <row r="2227" spans="1:13">
      <c r="A2227" s="3" t="s">
        <v>2772</v>
      </c>
      <c r="B2227" s="4">
        <v>0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32</v>
      </c>
      <c r="I2227" s="4">
        <v>10</v>
      </c>
      <c r="J2227" s="4">
        <v>0</v>
      </c>
      <c r="K2227" s="4">
        <v>0</v>
      </c>
      <c r="L2227" s="4">
        <v>0</v>
      </c>
      <c r="M2227" s="4">
        <v>0</v>
      </c>
    </row>
    <row r="2228" spans="1:13">
      <c r="A2228" s="3" t="s">
        <v>2773</v>
      </c>
      <c r="B2228" s="4">
        <v>0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20</v>
      </c>
      <c r="I2228" s="4">
        <v>20</v>
      </c>
      <c r="J2228" s="4">
        <v>32.5</v>
      </c>
      <c r="K2228" s="4">
        <v>35</v>
      </c>
      <c r="L2228" s="4">
        <v>55</v>
      </c>
      <c r="M2228" s="4">
        <v>40</v>
      </c>
    </row>
    <row r="2229" spans="1:13">
      <c r="A2229" s="3" t="s">
        <v>2774</v>
      </c>
      <c r="B2229" s="4">
        <v>0</v>
      </c>
      <c r="C2229" s="4">
        <v>0</v>
      </c>
      <c r="D2229" s="4">
        <v>0</v>
      </c>
      <c r="E2229" s="4">
        <v>0</v>
      </c>
      <c r="F2229" s="4">
        <v>0</v>
      </c>
      <c r="G2229" s="4">
        <v>12.5</v>
      </c>
      <c r="H2229" s="4">
        <v>10</v>
      </c>
      <c r="I2229" s="4">
        <v>21.5</v>
      </c>
      <c r="J2229" s="4">
        <v>30</v>
      </c>
      <c r="K2229" s="4">
        <v>20</v>
      </c>
      <c r="L2229" s="4">
        <v>15</v>
      </c>
      <c r="M2229" s="4">
        <v>15</v>
      </c>
    </row>
    <row r="2230" spans="1:13">
      <c r="A2230" s="3" t="s">
        <v>2775</v>
      </c>
      <c r="B2230" s="4">
        <v>0</v>
      </c>
      <c r="C2230" s="4">
        <v>0</v>
      </c>
      <c r="D2230" s="4">
        <v>0</v>
      </c>
      <c r="E2230" s="4">
        <v>0</v>
      </c>
      <c r="F2230" s="4">
        <v>0</v>
      </c>
      <c r="G2230" s="4">
        <v>17.5</v>
      </c>
      <c r="H2230" s="4">
        <v>60</v>
      </c>
      <c r="I2230" s="4">
        <v>60</v>
      </c>
      <c r="J2230" s="4">
        <v>42.5</v>
      </c>
      <c r="K2230" s="4">
        <v>97</v>
      </c>
      <c r="L2230" s="4">
        <v>85</v>
      </c>
      <c r="M2230" s="4">
        <v>106.15</v>
      </c>
    </row>
    <row r="2231" spans="1:13">
      <c r="A2231" s="3" t="s">
        <v>2776</v>
      </c>
      <c r="B2231" s="4">
        <v>0</v>
      </c>
      <c r="C2231" s="4">
        <v>0</v>
      </c>
      <c r="D2231" s="4">
        <v>0</v>
      </c>
      <c r="E2231" s="4">
        <v>0</v>
      </c>
      <c r="F2231" s="4">
        <v>0</v>
      </c>
      <c r="G2231" s="4">
        <v>83.35</v>
      </c>
      <c r="H2231" s="4">
        <v>80</v>
      </c>
      <c r="I2231" s="4">
        <v>15</v>
      </c>
      <c r="J2231" s="4">
        <v>125</v>
      </c>
      <c r="K2231" s="4">
        <v>105</v>
      </c>
      <c r="L2231" s="4">
        <v>98</v>
      </c>
      <c r="M2231" s="4">
        <v>97.5</v>
      </c>
    </row>
    <row r="2232" spans="1:13">
      <c r="A2232" s="3" t="s">
        <v>2777</v>
      </c>
      <c r="B2232" s="4">
        <v>0</v>
      </c>
      <c r="C2232" s="4">
        <v>0</v>
      </c>
      <c r="D2232" s="4">
        <v>0</v>
      </c>
      <c r="E2232" s="4">
        <v>0</v>
      </c>
      <c r="F2232" s="4">
        <v>0</v>
      </c>
      <c r="G2232" s="4">
        <v>35</v>
      </c>
      <c r="H2232" s="4">
        <v>0</v>
      </c>
      <c r="I2232" s="4">
        <v>9</v>
      </c>
      <c r="J2232" s="4">
        <v>13</v>
      </c>
      <c r="K2232" s="4">
        <v>35</v>
      </c>
      <c r="L2232" s="4">
        <v>100</v>
      </c>
      <c r="M2232" s="4">
        <v>120</v>
      </c>
    </row>
    <row r="2233" spans="1:13">
      <c r="A2233" s="3" t="s">
        <v>2778</v>
      </c>
      <c r="B2233" s="4">
        <v>0</v>
      </c>
      <c r="C2233" s="4">
        <v>0</v>
      </c>
      <c r="D2233" s="4">
        <v>0</v>
      </c>
      <c r="E2233" s="4">
        <v>0</v>
      </c>
      <c r="F2233" s="4">
        <v>0</v>
      </c>
      <c r="G2233" s="4">
        <v>31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</row>
    <row r="2234" spans="1:13">
      <c r="A2234" s="3" t="s">
        <v>2779</v>
      </c>
      <c r="B2234" s="4">
        <v>0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105</v>
      </c>
      <c r="I2234" s="4">
        <v>80</v>
      </c>
      <c r="J2234" s="4">
        <v>84</v>
      </c>
      <c r="K2234" s="4">
        <v>132</v>
      </c>
      <c r="L2234" s="4">
        <v>119</v>
      </c>
      <c r="M2234" s="4">
        <v>0</v>
      </c>
    </row>
    <row r="2235" spans="1:13">
      <c r="A2235" s="3" t="s">
        <v>2780</v>
      </c>
      <c r="B2235" s="4">
        <v>0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27.75</v>
      </c>
      <c r="L2235" s="4">
        <v>0</v>
      </c>
      <c r="M2235" s="4">
        <v>0</v>
      </c>
    </row>
    <row r="2236" spans="1:13">
      <c r="A2236" s="3" t="s">
        <v>2781</v>
      </c>
      <c r="B2236" s="4">
        <v>0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6</v>
      </c>
      <c r="J2236" s="4">
        <v>32.5</v>
      </c>
      <c r="K2236" s="4">
        <v>0</v>
      </c>
      <c r="L2236" s="4">
        <v>15</v>
      </c>
      <c r="M2236" s="4">
        <v>0</v>
      </c>
    </row>
    <row r="2237" spans="1:13">
      <c r="A2237" s="3" t="s">
        <v>2782</v>
      </c>
      <c r="B2237" s="4">
        <v>0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40</v>
      </c>
      <c r="K2237" s="4">
        <v>56.25</v>
      </c>
      <c r="L2237" s="4">
        <v>47.5</v>
      </c>
      <c r="M2237" s="4">
        <v>80</v>
      </c>
    </row>
    <row r="2238" spans="1:13">
      <c r="A2238" s="3" t="s">
        <v>2783</v>
      </c>
      <c r="B2238" s="4">
        <v>0</v>
      </c>
      <c r="C2238" s="4">
        <v>0</v>
      </c>
      <c r="D2238" s="4">
        <v>0</v>
      </c>
      <c r="E2238" s="4">
        <v>0</v>
      </c>
      <c r="F2238" s="4">
        <v>0</v>
      </c>
      <c r="G2238" s="4">
        <v>35</v>
      </c>
      <c r="H2238" s="4">
        <v>83</v>
      </c>
      <c r="I2238" s="4">
        <v>31</v>
      </c>
      <c r="J2238" s="4">
        <v>82</v>
      </c>
      <c r="K2238" s="4">
        <v>41</v>
      </c>
      <c r="L2238" s="4">
        <v>12.5</v>
      </c>
      <c r="M2238" s="4">
        <v>10</v>
      </c>
    </row>
    <row r="2239" spans="1:13">
      <c r="A2239" s="3" t="s">
        <v>2784</v>
      </c>
      <c r="B2239" s="4">
        <v>0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20</v>
      </c>
      <c r="J2239" s="4">
        <v>0</v>
      </c>
      <c r="K2239" s="4">
        <v>10</v>
      </c>
      <c r="L2239" s="4">
        <v>30</v>
      </c>
      <c r="M2239" s="4">
        <v>40</v>
      </c>
    </row>
    <row r="2240" spans="1:13">
      <c r="A2240" s="3" t="s">
        <v>2785</v>
      </c>
      <c r="B2240" s="4">
        <v>0</v>
      </c>
      <c r="C2240" s="4">
        <v>0</v>
      </c>
      <c r="D2240" s="4">
        <v>0</v>
      </c>
      <c r="E2240" s="4">
        <v>0</v>
      </c>
      <c r="F2240" s="4">
        <v>0</v>
      </c>
      <c r="G2240" s="4">
        <v>81</v>
      </c>
      <c r="H2240" s="4">
        <v>0</v>
      </c>
      <c r="I2240" s="4">
        <v>0</v>
      </c>
      <c r="J2240" s="4">
        <v>76</v>
      </c>
      <c r="K2240" s="4">
        <v>35</v>
      </c>
      <c r="L2240" s="4">
        <v>87.5</v>
      </c>
      <c r="M2240" s="4">
        <v>67.5</v>
      </c>
    </row>
    <row r="2241" spans="1:13">
      <c r="A2241" s="3" t="s">
        <v>2786</v>
      </c>
      <c r="B2241" s="4">
        <v>0</v>
      </c>
      <c r="C2241" s="4">
        <v>0</v>
      </c>
      <c r="D2241" s="4">
        <v>0</v>
      </c>
      <c r="E2241" s="4">
        <v>0</v>
      </c>
      <c r="F2241" s="4">
        <v>0</v>
      </c>
      <c r="G2241" s="4">
        <v>15</v>
      </c>
      <c r="H2241" s="4">
        <v>10</v>
      </c>
      <c r="I2241" s="4">
        <v>0</v>
      </c>
      <c r="J2241" s="4">
        <v>7.5</v>
      </c>
      <c r="K2241" s="4">
        <v>0</v>
      </c>
      <c r="L2241" s="4">
        <v>0</v>
      </c>
      <c r="M2241" s="4">
        <v>0</v>
      </c>
    </row>
    <row r="2242" spans="1:13">
      <c r="A2242" s="3" t="s">
        <v>2787</v>
      </c>
      <c r="B2242" s="4">
        <v>0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20</v>
      </c>
      <c r="I2242" s="4">
        <v>25</v>
      </c>
      <c r="J2242" s="4">
        <v>40</v>
      </c>
      <c r="K2242" s="4">
        <v>35</v>
      </c>
      <c r="L2242" s="4">
        <v>15</v>
      </c>
      <c r="M2242" s="4">
        <v>20</v>
      </c>
    </row>
    <row r="2243" spans="1:13">
      <c r="A2243" s="3" t="s">
        <v>2788</v>
      </c>
      <c r="B2243" s="4">
        <v>0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47.5</v>
      </c>
      <c r="K2243" s="4">
        <v>45.15</v>
      </c>
      <c r="L2243" s="4">
        <v>25</v>
      </c>
      <c r="M2243" s="4">
        <v>42.5</v>
      </c>
    </row>
    <row r="2244" spans="1:13">
      <c r="A2244" s="3" t="s">
        <v>2789</v>
      </c>
      <c r="B2244" s="4">
        <v>0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42.5</v>
      </c>
      <c r="K2244" s="4">
        <v>50</v>
      </c>
      <c r="L2244" s="4">
        <v>12.5</v>
      </c>
      <c r="M2244" s="4">
        <v>25</v>
      </c>
    </row>
    <row r="2245" spans="1:13">
      <c r="A2245" s="3" t="s">
        <v>2790</v>
      </c>
      <c r="B2245" s="4">
        <v>0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25</v>
      </c>
      <c r="J2245" s="4">
        <v>47.5</v>
      </c>
      <c r="K2245" s="4">
        <v>30</v>
      </c>
      <c r="L2245" s="4">
        <v>75</v>
      </c>
      <c r="M2245" s="4">
        <v>45</v>
      </c>
    </row>
    <row r="2246" spans="1:13">
      <c r="A2246" s="3" t="s">
        <v>2791</v>
      </c>
      <c r="B2246" s="4">
        <v>0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87</v>
      </c>
      <c r="I2246" s="4">
        <v>68</v>
      </c>
      <c r="J2246" s="4">
        <v>81</v>
      </c>
      <c r="K2246" s="4">
        <v>84</v>
      </c>
      <c r="L2246" s="4">
        <v>54</v>
      </c>
      <c r="M2246" s="4">
        <v>84</v>
      </c>
    </row>
    <row r="2247" spans="1:13">
      <c r="A2247" s="3" t="s">
        <v>2792</v>
      </c>
      <c r="B2247" s="4">
        <v>0</v>
      </c>
      <c r="C2247" s="4">
        <v>0</v>
      </c>
      <c r="D2247" s="4">
        <v>0</v>
      </c>
      <c r="E2247" s="4">
        <v>0</v>
      </c>
      <c r="F2247" s="4">
        <v>0</v>
      </c>
      <c r="G2247" s="4">
        <v>175</v>
      </c>
      <c r="H2247" s="4">
        <v>30</v>
      </c>
      <c r="I2247" s="4">
        <v>122</v>
      </c>
      <c r="J2247" s="4">
        <v>105.5</v>
      </c>
      <c r="K2247" s="4">
        <v>60</v>
      </c>
      <c r="L2247" s="4">
        <v>50</v>
      </c>
      <c r="M2247" s="4">
        <v>102</v>
      </c>
    </row>
    <row r="2248" spans="1:13">
      <c r="A2248" s="3" t="s">
        <v>2793</v>
      </c>
      <c r="B2248" s="4">
        <v>0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45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</row>
    <row r="2249" spans="1:13">
      <c r="A2249" s="3" t="s">
        <v>2794</v>
      </c>
      <c r="B2249" s="4">
        <v>0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12.5</v>
      </c>
      <c r="J2249" s="4">
        <v>0</v>
      </c>
      <c r="K2249" s="4">
        <v>0</v>
      </c>
      <c r="L2249" s="4">
        <v>0</v>
      </c>
      <c r="M2249" s="4">
        <v>0</v>
      </c>
    </row>
    <row r="2250" spans="1:13">
      <c r="A2250" s="3" t="s">
        <v>2795</v>
      </c>
      <c r="B2250" s="4">
        <v>0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27</v>
      </c>
      <c r="I2250" s="4">
        <v>10</v>
      </c>
      <c r="J2250" s="4">
        <v>40</v>
      </c>
      <c r="K2250" s="4">
        <v>53</v>
      </c>
      <c r="L2250" s="4">
        <v>10</v>
      </c>
      <c r="M2250" s="4">
        <v>58</v>
      </c>
    </row>
    <row r="2251" spans="1:13">
      <c r="A2251" s="3" t="s">
        <v>2796</v>
      </c>
      <c r="B2251" s="4">
        <v>0</v>
      </c>
      <c r="C2251" s="4">
        <v>0</v>
      </c>
      <c r="D2251" s="4">
        <v>0</v>
      </c>
      <c r="E2251" s="4">
        <v>0</v>
      </c>
      <c r="F2251" s="4">
        <v>0</v>
      </c>
      <c r="G2251" s="4">
        <v>15</v>
      </c>
      <c r="H2251" s="4">
        <v>79.5</v>
      </c>
      <c r="I2251" s="4">
        <v>33.5</v>
      </c>
      <c r="J2251" s="4">
        <v>108.5</v>
      </c>
      <c r="K2251" s="4">
        <v>87</v>
      </c>
      <c r="L2251" s="4">
        <v>54</v>
      </c>
      <c r="M2251" s="4">
        <v>40</v>
      </c>
    </row>
    <row r="2252" spans="1:13">
      <c r="A2252" s="3" t="s">
        <v>2797</v>
      </c>
      <c r="B2252" s="4">
        <v>0</v>
      </c>
      <c r="C2252" s="4">
        <v>0</v>
      </c>
      <c r="D2252" s="4">
        <v>0</v>
      </c>
      <c r="E2252" s="4">
        <v>0</v>
      </c>
      <c r="F2252" s="4">
        <v>0</v>
      </c>
      <c r="G2252" s="4">
        <v>20</v>
      </c>
      <c r="H2252" s="4">
        <v>0</v>
      </c>
      <c r="I2252" s="4">
        <v>10</v>
      </c>
      <c r="J2252" s="4">
        <v>55</v>
      </c>
      <c r="K2252" s="4">
        <v>5</v>
      </c>
      <c r="L2252" s="4">
        <v>40</v>
      </c>
      <c r="M2252" s="4">
        <v>0</v>
      </c>
    </row>
    <row r="2253" spans="1:13">
      <c r="A2253" s="3" t="s">
        <v>2798</v>
      </c>
      <c r="B2253" s="4">
        <v>0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22</v>
      </c>
      <c r="J2253" s="4">
        <v>0</v>
      </c>
      <c r="K2253" s="4">
        <v>0</v>
      </c>
      <c r="L2253" s="4">
        <v>0</v>
      </c>
      <c r="M2253" s="4">
        <v>0</v>
      </c>
    </row>
    <row r="2254" spans="1:13">
      <c r="A2254" s="3" t="s">
        <v>2799</v>
      </c>
      <c r="B2254" s="4">
        <v>0</v>
      </c>
      <c r="C2254" s="4">
        <v>0</v>
      </c>
      <c r="D2254" s="4">
        <v>0</v>
      </c>
      <c r="E2254" s="4">
        <v>0</v>
      </c>
      <c r="F2254" s="4">
        <v>0</v>
      </c>
      <c r="G2254" s="4">
        <v>10</v>
      </c>
      <c r="H2254" s="4">
        <v>100</v>
      </c>
      <c r="I2254" s="4">
        <v>41</v>
      </c>
      <c r="J2254" s="4">
        <v>12.5</v>
      </c>
      <c r="K2254" s="4">
        <v>82</v>
      </c>
      <c r="L2254" s="4">
        <v>20</v>
      </c>
      <c r="M2254" s="4">
        <v>148</v>
      </c>
    </row>
    <row r="2255" spans="1:13">
      <c r="A2255" s="3" t="s">
        <v>2800</v>
      </c>
      <c r="B2255" s="4">
        <v>0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35</v>
      </c>
      <c r="I2255" s="4">
        <v>35</v>
      </c>
      <c r="J2255" s="4">
        <v>95</v>
      </c>
      <c r="K2255" s="4">
        <v>70</v>
      </c>
      <c r="L2255" s="4">
        <v>55</v>
      </c>
      <c r="M2255" s="4">
        <v>20</v>
      </c>
    </row>
    <row r="2256" spans="1:13">
      <c r="A2256" s="3" t="s">
        <v>2801</v>
      </c>
      <c r="B2256" s="4">
        <v>0</v>
      </c>
      <c r="C2256" s="4">
        <v>0</v>
      </c>
      <c r="D2256" s="4">
        <v>0</v>
      </c>
      <c r="E2256" s="4">
        <v>0</v>
      </c>
      <c r="F2256" s="4">
        <v>0</v>
      </c>
      <c r="G2256" s="4">
        <v>20</v>
      </c>
      <c r="H2256" s="4">
        <v>50</v>
      </c>
      <c r="I2256" s="4">
        <v>33.5</v>
      </c>
      <c r="J2256" s="4">
        <v>20.5</v>
      </c>
      <c r="K2256" s="4">
        <v>67</v>
      </c>
      <c r="L2256" s="4">
        <v>60</v>
      </c>
      <c r="M2256" s="4">
        <v>30</v>
      </c>
    </row>
    <row r="2257" spans="1:13">
      <c r="A2257" s="3" t="s">
        <v>2802</v>
      </c>
      <c r="B2257" s="4">
        <v>0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40</v>
      </c>
      <c r="I2257" s="4">
        <v>0</v>
      </c>
      <c r="J2257" s="4">
        <v>35</v>
      </c>
      <c r="K2257" s="4">
        <v>0</v>
      </c>
      <c r="L2257" s="4">
        <v>35</v>
      </c>
      <c r="M2257" s="4">
        <v>20</v>
      </c>
    </row>
    <row r="2258" spans="1:13">
      <c r="A2258" s="3" t="s">
        <v>2803</v>
      </c>
      <c r="B2258" s="4">
        <v>0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136.5</v>
      </c>
      <c r="I2258" s="4">
        <v>35</v>
      </c>
      <c r="J2258" s="4">
        <v>182.5</v>
      </c>
      <c r="K2258" s="4">
        <v>133</v>
      </c>
      <c r="L2258" s="4">
        <v>207</v>
      </c>
      <c r="M2258" s="4">
        <v>317</v>
      </c>
    </row>
    <row r="2259" spans="1:13">
      <c r="A2259" s="3" t="s">
        <v>2804</v>
      </c>
      <c r="B2259" s="4">
        <v>0</v>
      </c>
      <c r="C2259" s="4">
        <v>0</v>
      </c>
      <c r="D2259" s="4">
        <v>0</v>
      </c>
      <c r="E2259" s="4">
        <v>0</v>
      </c>
      <c r="F2259" s="4">
        <v>0</v>
      </c>
      <c r="G2259" s="4">
        <v>5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</row>
    <row r="2260" spans="1:13">
      <c r="A2260" s="3" t="s">
        <v>2805</v>
      </c>
      <c r="B2260" s="4">
        <v>0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65</v>
      </c>
      <c r="I2260" s="4">
        <v>25</v>
      </c>
      <c r="J2260" s="4">
        <v>39</v>
      </c>
      <c r="K2260" s="4">
        <v>23</v>
      </c>
      <c r="L2260" s="4">
        <v>21</v>
      </c>
      <c r="M2260" s="4">
        <v>24</v>
      </c>
    </row>
    <row r="2261" spans="1:13">
      <c r="A2261" s="3" t="s">
        <v>2806</v>
      </c>
      <c r="B2261" s="4">
        <v>0</v>
      </c>
      <c r="C2261" s="4">
        <v>0</v>
      </c>
      <c r="D2261" s="4">
        <v>0</v>
      </c>
      <c r="E2261" s="4">
        <v>0</v>
      </c>
      <c r="F2261" s="4">
        <v>0</v>
      </c>
      <c r="G2261" s="4">
        <v>30</v>
      </c>
      <c r="H2261" s="4">
        <v>15</v>
      </c>
      <c r="I2261" s="4">
        <v>10</v>
      </c>
      <c r="J2261" s="4">
        <v>0</v>
      </c>
      <c r="K2261" s="4">
        <v>30</v>
      </c>
      <c r="L2261" s="4">
        <v>15</v>
      </c>
      <c r="M2261" s="4">
        <v>25</v>
      </c>
    </row>
    <row r="2262" spans="1:13">
      <c r="A2262" s="3" t="s">
        <v>2807</v>
      </c>
      <c r="B2262" s="4">
        <v>0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20</v>
      </c>
      <c r="I2262" s="4">
        <v>0</v>
      </c>
      <c r="J2262" s="4">
        <v>20</v>
      </c>
      <c r="K2262" s="4">
        <v>0</v>
      </c>
      <c r="L2262" s="4">
        <v>0</v>
      </c>
      <c r="M2262" s="4">
        <v>0</v>
      </c>
    </row>
    <row r="2263" spans="1:13">
      <c r="A2263" s="3" t="s">
        <v>2808</v>
      </c>
      <c r="B2263" s="4">
        <v>0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13</v>
      </c>
      <c r="K2263" s="4">
        <v>0</v>
      </c>
      <c r="L2263" s="4">
        <v>0</v>
      </c>
      <c r="M2263" s="4">
        <v>10</v>
      </c>
    </row>
    <row r="2264" spans="1:13">
      <c r="A2264" s="3" t="s">
        <v>2809</v>
      </c>
      <c r="B2264" s="4">
        <v>0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47.5</v>
      </c>
      <c r="I2264" s="4">
        <v>5</v>
      </c>
      <c r="J2264" s="4">
        <v>0</v>
      </c>
      <c r="K2264" s="4">
        <v>0</v>
      </c>
      <c r="L2264" s="4">
        <v>0</v>
      </c>
      <c r="M2264" s="4">
        <v>2</v>
      </c>
    </row>
    <row r="2265" spans="1:13">
      <c r="A2265" s="3" t="s">
        <v>2810</v>
      </c>
      <c r="B2265" s="4">
        <v>0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15</v>
      </c>
      <c r="J2265" s="4">
        <v>10</v>
      </c>
      <c r="K2265" s="4">
        <v>0</v>
      </c>
      <c r="L2265" s="4">
        <v>0</v>
      </c>
      <c r="M2265" s="4">
        <v>0</v>
      </c>
    </row>
    <row r="2266" spans="1:13">
      <c r="A2266" s="3" t="s">
        <v>2811</v>
      </c>
      <c r="B2266" s="4">
        <v>0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21</v>
      </c>
      <c r="J2266" s="4">
        <v>10</v>
      </c>
      <c r="K2266" s="4">
        <v>8</v>
      </c>
      <c r="L2266" s="4">
        <v>20</v>
      </c>
      <c r="M2266" s="4">
        <v>0</v>
      </c>
    </row>
    <row r="2267" spans="1:13">
      <c r="A2267" s="3" t="s">
        <v>2812</v>
      </c>
      <c r="B2267" s="4">
        <v>0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20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</row>
    <row r="2268" spans="1:13">
      <c r="A2268" s="3" t="s">
        <v>2813</v>
      </c>
      <c r="B2268" s="4">
        <v>0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46.15</v>
      </c>
      <c r="I2268" s="4">
        <v>54.2</v>
      </c>
      <c r="J2268" s="4">
        <v>72.150000000000006</v>
      </c>
      <c r="K2268" s="4">
        <v>25</v>
      </c>
      <c r="L2268" s="4">
        <v>83.5</v>
      </c>
      <c r="M2268" s="4">
        <v>140</v>
      </c>
    </row>
    <row r="2269" spans="1:13">
      <c r="A2269" s="3" t="s">
        <v>2814</v>
      </c>
      <c r="B2269" s="4">
        <v>0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35</v>
      </c>
      <c r="I2269" s="4">
        <v>10</v>
      </c>
      <c r="J2269" s="4">
        <v>15</v>
      </c>
      <c r="K2269" s="4">
        <v>26</v>
      </c>
      <c r="L2269" s="4">
        <v>10</v>
      </c>
      <c r="M2269" s="4">
        <v>30.5</v>
      </c>
    </row>
    <row r="2270" spans="1:13">
      <c r="A2270" s="3" t="s">
        <v>2815</v>
      </c>
      <c r="B2270" s="4">
        <v>0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15</v>
      </c>
      <c r="J2270" s="4">
        <v>0</v>
      </c>
      <c r="K2270" s="4">
        <v>0</v>
      </c>
      <c r="L2270" s="4">
        <v>0</v>
      </c>
      <c r="M2270" s="4">
        <v>0</v>
      </c>
    </row>
    <row r="2271" spans="1:13">
      <c r="A2271" s="3" t="s">
        <v>2816</v>
      </c>
      <c r="B2271" s="4">
        <v>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38.5</v>
      </c>
      <c r="I2271" s="4">
        <v>13.5</v>
      </c>
      <c r="J2271" s="4">
        <v>50.5</v>
      </c>
      <c r="K2271" s="4">
        <v>38.4</v>
      </c>
      <c r="L2271" s="4">
        <v>19.5</v>
      </c>
      <c r="M2271" s="4">
        <v>31.5</v>
      </c>
    </row>
    <row r="2272" spans="1:13">
      <c r="A2272" s="3" t="s">
        <v>2817</v>
      </c>
      <c r="B2272" s="4">
        <v>0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65</v>
      </c>
      <c r="I2272" s="4">
        <v>15</v>
      </c>
      <c r="J2272" s="4">
        <v>32.5</v>
      </c>
      <c r="K2272" s="4">
        <v>8.5</v>
      </c>
      <c r="L2272" s="4">
        <v>15</v>
      </c>
      <c r="M2272" s="4">
        <v>57.5</v>
      </c>
    </row>
    <row r="2273" spans="1:13">
      <c r="A2273" s="3" t="s">
        <v>2818</v>
      </c>
      <c r="B2273" s="4">
        <v>0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20</v>
      </c>
      <c r="I2273" s="4">
        <v>0</v>
      </c>
      <c r="J2273" s="4">
        <v>25</v>
      </c>
      <c r="K2273" s="4">
        <v>10</v>
      </c>
      <c r="L2273" s="4">
        <v>55</v>
      </c>
      <c r="M2273" s="4">
        <v>20</v>
      </c>
    </row>
    <row r="2274" spans="1:13">
      <c r="A2274" s="3" t="s">
        <v>2819</v>
      </c>
      <c r="B2274" s="4">
        <v>0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20</v>
      </c>
      <c r="J2274" s="4">
        <v>19</v>
      </c>
      <c r="K2274" s="4">
        <v>7.5</v>
      </c>
      <c r="L2274" s="4">
        <v>0</v>
      </c>
      <c r="M2274" s="4">
        <v>10</v>
      </c>
    </row>
    <row r="2275" spans="1:13">
      <c r="A2275" s="3" t="s">
        <v>2820</v>
      </c>
      <c r="B2275" s="4">
        <v>0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10</v>
      </c>
      <c r="M2275" s="4">
        <v>0</v>
      </c>
    </row>
    <row r="2276" spans="1:13">
      <c r="A2276" s="3" t="s">
        <v>2821</v>
      </c>
      <c r="B2276" s="4">
        <v>0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91.5</v>
      </c>
      <c r="I2276" s="4">
        <v>26.75</v>
      </c>
      <c r="J2276" s="4">
        <v>121</v>
      </c>
      <c r="K2276" s="4">
        <v>114.5</v>
      </c>
      <c r="L2276" s="4">
        <v>244.25</v>
      </c>
      <c r="M2276" s="4">
        <v>306.64999999999998</v>
      </c>
    </row>
    <row r="2277" spans="1:13">
      <c r="A2277" s="3" t="s">
        <v>2822</v>
      </c>
      <c r="B2277" s="4">
        <v>0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10</v>
      </c>
      <c r="I2277" s="4">
        <v>30</v>
      </c>
      <c r="J2277" s="4">
        <v>120</v>
      </c>
      <c r="K2277" s="4">
        <v>36</v>
      </c>
      <c r="L2277" s="4">
        <v>20</v>
      </c>
      <c r="M2277" s="4">
        <v>95</v>
      </c>
    </row>
    <row r="2278" spans="1:13">
      <c r="A2278" s="3" t="s">
        <v>2823</v>
      </c>
      <c r="B2278" s="4">
        <v>0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80</v>
      </c>
      <c r="L2278" s="4">
        <v>60</v>
      </c>
      <c r="M2278" s="4">
        <v>95</v>
      </c>
    </row>
    <row r="2279" spans="1:13">
      <c r="A2279" s="3" t="s">
        <v>2824</v>
      </c>
      <c r="B2279" s="4">
        <v>0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62</v>
      </c>
      <c r="I2279" s="4">
        <v>20</v>
      </c>
      <c r="J2279" s="4">
        <v>30.5</v>
      </c>
      <c r="K2279" s="4">
        <v>35</v>
      </c>
      <c r="L2279" s="4">
        <v>30.1</v>
      </c>
      <c r="M2279" s="4">
        <v>10</v>
      </c>
    </row>
    <row r="2280" spans="1:13">
      <c r="A2280" s="3" t="s">
        <v>2825</v>
      </c>
      <c r="B2280" s="4">
        <v>0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25</v>
      </c>
      <c r="I2280" s="4">
        <v>35</v>
      </c>
      <c r="J2280" s="4">
        <v>35.5</v>
      </c>
      <c r="K2280" s="4">
        <v>30</v>
      </c>
      <c r="L2280" s="4">
        <v>40</v>
      </c>
      <c r="M2280" s="4">
        <v>50</v>
      </c>
    </row>
    <row r="2281" spans="1:13">
      <c r="A2281" s="3" t="s">
        <v>2826</v>
      </c>
      <c r="B2281" s="4">
        <v>0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70</v>
      </c>
      <c r="L2281" s="4">
        <v>0</v>
      </c>
      <c r="M2281" s="4">
        <v>22</v>
      </c>
    </row>
    <row r="2282" spans="1:13">
      <c r="A2282" s="3" t="s">
        <v>2827</v>
      </c>
      <c r="B2282" s="4">
        <v>0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62</v>
      </c>
      <c r="I2282" s="4">
        <v>87.5</v>
      </c>
      <c r="J2282" s="4">
        <v>108.75</v>
      </c>
      <c r="K2282" s="4">
        <v>50</v>
      </c>
      <c r="L2282" s="4">
        <v>20</v>
      </c>
      <c r="M2282" s="4">
        <v>72</v>
      </c>
    </row>
    <row r="2283" spans="1:13">
      <c r="A2283" s="3" t="s">
        <v>2828</v>
      </c>
      <c r="B2283" s="4">
        <v>0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29.5</v>
      </c>
      <c r="I2283" s="4">
        <v>50</v>
      </c>
      <c r="J2283" s="4">
        <v>27.5</v>
      </c>
      <c r="K2283" s="4">
        <v>20.5</v>
      </c>
      <c r="L2283" s="4">
        <v>28.5</v>
      </c>
      <c r="M2283" s="4">
        <v>40</v>
      </c>
    </row>
    <row r="2284" spans="1:13">
      <c r="A2284" s="3" t="s">
        <v>2829</v>
      </c>
      <c r="B2284" s="4">
        <v>0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178</v>
      </c>
      <c r="I2284" s="4">
        <v>57.5</v>
      </c>
      <c r="J2284" s="4">
        <v>98</v>
      </c>
      <c r="K2284" s="4">
        <v>78.5</v>
      </c>
      <c r="L2284" s="4">
        <v>10</v>
      </c>
      <c r="M2284" s="4">
        <v>67</v>
      </c>
    </row>
    <row r="2285" spans="1:13">
      <c r="A2285" s="3" t="s">
        <v>2830</v>
      </c>
      <c r="B2285" s="4">
        <v>0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70</v>
      </c>
      <c r="I2285" s="4">
        <v>40</v>
      </c>
      <c r="J2285" s="4">
        <v>32.5</v>
      </c>
      <c r="K2285" s="4">
        <v>15</v>
      </c>
      <c r="L2285" s="4">
        <v>25</v>
      </c>
      <c r="M2285" s="4">
        <v>41.5</v>
      </c>
    </row>
    <row r="2286" spans="1:13">
      <c r="A2286" s="3" t="s">
        <v>2831</v>
      </c>
      <c r="B2286" s="4">
        <v>0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6.5</v>
      </c>
      <c r="L2286" s="4">
        <v>20</v>
      </c>
      <c r="M2286" s="4">
        <v>20</v>
      </c>
    </row>
    <row r="2287" spans="1:13">
      <c r="A2287" s="3" t="s">
        <v>2832</v>
      </c>
      <c r="B2287" s="4">
        <v>0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63.5</v>
      </c>
      <c r="I2287" s="4">
        <v>25</v>
      </c>
      <c r="J2287" s="4">
        <v>131.25</v>
      </c>
      <c r="K2287" s="4">
        <v>90.5</v>
      </c>
      <c r="L2287" s="4">
        <v>61</v>
      </c>
      <c r="M2287" s="4">
        <v>107</v>
      </c>
    </row>
    <row r="2288" spans="1:13">
      <c r="A2288" s="3" t="s">
        <v>2833</v>
      </c>
      <c r="B2288" s="4">
        <v>0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10.75</v>
      </c>
      <c r="I2288" s="4">
        <v>102</v>
      </c>
      <c r="J2288" s="4">
        <v>77.5</v>
      </c>
      <c r="K2288" s="4">
        <v>75</v>
      </c>
      <c r="L2288" s="4">
        <v>20</v>
      </c>
      <c r="M2288" s="4">
        <v>15</v>
      </c>
    </row>
    <row r="2289" spans="1:13">
      <c r="A2289" s="3" t="s">
        <v>2834</v>
      </c>
      <c r="B2289" s="4">
        <v>0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15</v>
      </c>
      <c r="J2289" s="4">
        <v>40</v>
      </c>
      <c r="K2289" s="4">
        <v>56</v>
      </c>
      <c r="L2289" s="4">
        <v>25</v>
      </c>
      <c r="M2289" s="4">
        <v>51</v>
      </c>
    </row>
    <row r="2290" spans="1:13">
      <c r="A2290" s="3" t="s">
        <v>2835</v>
      </c>
      <c r="B2290" s="4">
        <v>0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19.25</v>
      </c>
      <c r="M2290" s="4">
        <v>50</v>
      </c>
    </row>
    <row r="2291" spans="1:13">
      <c r="A2291" s="3" t="s">
        <v>2836</v>
      </c>
      <c r="B2291" s="4">
        <v>0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20</v>
      </c>
      <c r="I2291" s="4">
        <v>20.5</v>
      </c>
      <c r="J2291" s="4">
        <v>12.5</v>
      </c>
      <c r="K2291" s="4">
        <v>40</v>
      </c>
      <c r="L2291" s="4">
        <v>0</v>
      </c>
      <c r="M2291" s="4">
        <v>0</v>
      </c>
    </row>
    <row r="2292" spans="1:13">
      <c r="A2292" s="3" t="s">
        <v>2837</v>
      </c>
      <c r="B2292" s="4">
        <v>0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33</v>
      </c>
      <c r="J2292" s="4">
        <v>0</v>
      </c>
      <c r="K2292" s="4">
        <v>0</v>
      </c>
      <c r="L2292" s="4">
        <v>15</v>
      </c>
      <c r="M2292" s="4">
        <v>0</v>
      </c>
    </row>
    <row r="2293" spans="1:13">
      <c r="A2293" s="3" t="s">
        <v>2838</v>
      </c>
      <c r="B2293" s="4">
        <v>0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67</v>
      </c>
      <c r="I2293" s="4">
        <v>285</v>
      </c>
      <c r="J2293" s="4">
        <v>180</v>
      </c>
      <c r="K2293" s="4">
        <v>142</v>
      </c>
      <c r="L2293" s="4">
        <v>65</v>
      </c>
      <c r="M2293" s="4">
        <v>147</v>
      </c>
    </row>
    <row r="2294" spans="1:13">
      <c r="A2294" s="3" t="s">
        <v>2839</v>
      </c>
      <c r="B2294" s="4">
        <v>0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30</v>
      </c>
      <c r="I2294" s="4">
        <v>173</v>
      </c>
      <c r="J2294" s="4">
        <v>60</v>
      </c>
      <c r="K2294" s="4">
        <v>45</v>
      </c>
      <c r="L2294" s="4">
        <v>77</v>
      </c>
      <c r="M2294" s="4">
        <v>15</v>
      </c>
    </row>
    <row r="2295" spans="1:13">
      <c r="A2295" s="3" t="s">
        <v>2840</v>
      </c>
      <c r="B2295" s="4">
        <v>0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20</v>
      </c>
      <c r="J2295" s="4">
        <v>20</v>
      </c>
      <c r="K2295" s="4">
        <v>0</v>
      </c>
      <c r="L2295" s="4">
        <v>0</v>
      </c>
      <c r="M2295" s="4">
        <v>0</v>
      </c>
    </row>
    <row r="2296" spans="1:13">
      <c r="A2296" s="3" t="s">
        <v>2841</v>
      </c>
      <c r="B2296" s="4">
        <v>0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47</v>
      </c>
      <c r="I2296" s="4">
        <v>30</v>
      </c>
      <c r="J2296" s="4">
        <v>107</v>
      </c>
      <c r="K2296" s="4">
        <v>31</v>
      </c>
      <c r="L2296" s="4">
        <v>52.5</v>
      </c>
      <c r="M2296" s="4">
        <v>140</v>
      </c>
    </row>
    <row r="2297" spans="1:13">
      <c r="A2297" s="3" t="s">
        <v>2842</v>
      </c>
      <c r="B2297" s="4">
        <v>0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10</v>
      </c>
      <c r="I2297" s="4">
        <v>20</v>
      </c>
      <c r="J2297" s="4">
        <v>38</v>
      </c>
      <c r="K2297" s="4">
        <v>20</v>
      </c>
      <c r="L2297" s="4">
        <v>10</v>
      </c>
      <c r="M2297" s="4">
        <v>0</v>
      </c>
    </row>
    <row r="2298" spans="1:13">
      <c r="A2298" s="3" t="s">
        <v>2843</v>
      </c>
      <c r="B2298" s="4">
        <v>0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20</v>
      </c>
      <c r="I2298" s="4">
        <v>30</v>
      </c>
      <c r="J2298" s="4">
        <v>65</v>
      </c>
      <c r="K2298" s="4">
        <v>0</v>
      </c>
      <c r="L2298" s="4">
        <v>40</v>
      </c>
      <c r="M2298" s="4">
        <v>57.5</v>
      </c>
    </row>
    <row r="2299" spans="1:13">
      <c r="A2299" s="3" t="s">
        <v>2844</v>
      </c>
      <c r="B2299" s="4">
        <v>0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10</v>
      </c>
      <c r="L2299" s="4">
        <v>20</v>
      </c>
      <c r="M2299" s="4">
        <v>0</v>
      </c>
    </row>
    <row r="2300" spans="1:13">
      <c r="A2300" s="3" t="s">
        <v>2845</v>
      </c>
      <c r="B2300" s="4">
        <v>0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35</v>
      </c>
      <c r="I2300" s="4">
        <v>43</v>
      </c>
      <c r="J2300" s="4">
        <v>44.1</v>
      </c>
      <c r="K2300" s="4">
        <v>25</v>
      </c>
      <c r="L2300" s="4">
        <v>49.5</v>
      </c>
      <c r="M2300" s="4">
        <v>70</v>
      </c>
    </row>
    <row r="2301" spans="1:13">
      <c r="A2301" s="3" t="s">
        <v>2846</v>
      </c>
      <c r="B2301" s="4">
        <v>0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24</v>
      </c>
      <c r="I2301" s="4">
        <v>0</v>
      </c>
      <c r="J2301" s="4">
        <v>47</v>
      </c>
      <c r="K2301" s="4">
        <v>57</v>
      </c>
      <c r="L2301" s="4">
        <v>21</v>
      </c>
      <c r="M2301" s="4">
        <v>0</v>
      </c>
    </row>
    <row r="2302" spans="1:13">
      <c r="A2302" s="3" t="s">
        <v>2847</v>
      </c>
      <c r="B2302" s="4">
        <v>0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10</v>
      </c>
      <c r="J2302" s="4">
        <v>20</v>
      </c>
      <c r="K2302" s="4">
        <v>0</v>
      </c>
      <c r="L2302" s="4">
        <v>30</v>
      </c>
      <c r="M2302" s="4">
        <v>30</v>
      </c>
    </row>
    <row r="2303" spans="1:13">
      <c r="A2303" s="3" t="s">
        <v>2848</v>
      </c>
      <c r="B2303" s="4">
        <v>0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109</v>
      </c>
      <c r="K2303" s="4">
        <v>93</v>
      </c>
      <c r="L2303" s="4">
        <v>18</v>
      </c>
      <c r="M2303" s="4">
        <v>97</v>
      </c>
    </row>
    <row r="2304" spans="1:13">
      <c r="A2304" s="3" t="s">
        <v>2849</v>
      </c>
      <c r="B2304" s="4">
        <v>0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15</v>
      </c>
      <c r="I2304" s="4">
        <v>53</v>
      </c>
      <c r="J2304" s="4">
        <v>128</v>
      </c>
      <c r="K2304" s="4">
        <v>115.5</v>
      </c>
      <c r="L2304" s="4">
        <v>147</v>
      </c>
      <c r="M2304" s="4">
        <v>144.44999999999999</v>
      </c>
    </row>
    <row r="2305" spans="1:13">
      <c r="A2305" s="3" t="s">
        <v>2850</v>
      </c>
      <c r="B2305" s="4">
        <v>0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20</v>
      </c>
      <c r="J2305" s="4">
        <v>0</v>
      </c>
      <c r="K2305" s="4">
        <v>0</v>
      </c>
      <c r="L2305" s="4">
        <v>0</v>
      </c>
      <c r="M2305" s="4">
        <v>0</v>
      </c>
    </row>
    <row r="2306" spans="1:13">
      <c r="A2306" s="3" t="s">
        <v>2851</v>
      </c>
      <c r="B2306" s="4">
        <v>0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10</v>
      </c>
      <c r="K2306" s="4">
        <v>37.5</v>
      </c>
      <c r="L2306" s="4">
        <v>32.5</v>
      </c>
      <c r="M2306" s="4">
        <v>15</v>
      </c>
    </row>
    <row r="2307" spans="1:13">
      <c r="A2307" s="3" t="s">
        <v>2852</v>
      </c>
      <c r="B2307" s="4">
        <v>0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27</v>
      </c>
      <c r="J2307" s="4">
        <v>80</v>
      </c>
      <c r="K2307" s="4">
        <v>160</v>
      </c>
      <c r="L2307" s="4">
        <v>97.5</v>
      </c>
      <c r="M2307" s="4">
        <v>55</v>
      </c>
    </row>
    <row r="2308" spans="1:13">
      <c r="A2308" s="3" t="s">
        <v>2853</v>
      </c>
      <c r="B2308" s="4">
        <v>0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25</v>
      </c>
      <c r="J2308" s="4">
        <v>105</v>
      </c>
      <c r="K2308" s="4">
        <v>82.05</v>
      </c>
      <c r="L2308" s="4">
        <v>73.5</v>
      </c>
      <c r="M2308" s="4">
        <v>133.5</v>
      </c>
    </row>
    <row r="2309" spans="1:13">
      <c r="A2309" s="3" t="s">
        <v>2854</v>
      </c>
      <c r="B2309" s="4">
        <v>0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5</v>
      </c>
      <c r="J2309" s="4">
        <v>10</v>
      </c>
      <c r="K2309" s="4">
        <v>10</v>
      </c>
      <c r="L2309" s="4">
        <v>10</v>
      </c>
      <c r="M2309" s="4">
        <v>10</v>
      </c>
    </row>
    <row r="2310" spans="1:13">
      <c r="A2310" s="3" t="s">
        <v>2855</v>
      </c>
      <c r="B2310" s="4">
        <v>0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58</v>
      </c>
      <c r="J2310" s="4">
        <v>55</v>
      </c>
      <c r="K2310" s="4">
        <v>34.5</v>
      </c>
      <c r="L2310" s="4">
        <v>75</v>
      </c>
      <c r="M2310" s="4">
        <v>45</v>
      </c>
    </row>
    <row r="2311" spans="1:13">
      <c r="A2311" s="3" t="s">
        <v>2856</v>
      </c>
      <c r="B2311" s="4">
        <v>0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20</v>
      </c>
      <c r="I2311" s="4">
        <v>85</v>
      </c>
      <c r="J2311" s="4">
        <v>52</v>
      </c>
      <c r="K2311" s="4">
        <v>10</v>
      </c>
      <c r="L2311" s="4">
        <v>32.5</v>
      </c>
      <c r="M2311" s="4">
        <v>83.75</v>
      </c>
    </row>
    <row r="2312" spans="1:13">
      <c r="A2312" s="3" t="s">
        <v>2857</v>
      </c>
      <c r="B2312" s="4">
        <v>0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20</v>
      </c>
      <c r="J2312" s="4">
        <v>10</v>
      </c>
      <c r="K2312" s="4">
        <v>0</v>
      </c>
      <c r="L2312" s="4">
        <v>0</v>
      </c>
      <c r="M2312" s="4">
        <v>0</v>
      </c>
    </row>
    <row r="2313" spans="1:13">
      <c r="A2313" s="3" t="s">
        <v>2858</v>
      </c>
      <c r="B2313" s="4">
        <v>0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50.5</v>
      </c>
      <c r="K2313" s="4">
        <v>10</v>
      </c>
      <c r="L2313" s="4">
        <v>32.15</v>
      </c>
      <c r="M2313" s="4">
        <v>0</v>
      </c>
    </row>
    <row r="2314" spans="1:13">
      <c r="A2314" s="3" t="s">
        <v>2859</v>
      </c>
      <c r="B2314" s="4">
        <v>0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15</v>
      </c>
      <c r="J2314" s="4">
        <v>32.5</v>
      </c>
      <c r="K2314" s="4">
        <v>42.5</v>
      </c>
      <c r="L2314" s="4">
        <v>45</v>
      </c>
      <c r="M2314" s="4">
        <v>20</v>
      </c>
    </row>
    <row r="2315" spans="1:13">
      <c r="A2315" s="3" t="s">
        <v>2860</v>
      </c>
      <c r="B2315" s="4">
        <v>0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20</v>
      </c>
      <c r="J2315" s="4">
        <v>20</v>
      </c>
      <c r="K2315" s="4">
        <v>60</v>
      </c>
      <c r="L2315" s="4">
        <v>30</v>
      </c>
      <c r="M2315" s="4">
        <v>50</v>
      </c>
    </row>
    <row r="2316" spans="1:13">
      <c r="A2316" s="3" t="s">
        <v>2861</v>
      </c>
      <c r="B2316" s="4">
        <v>0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10</v>
      </c>
      <c r="J2316" s="4">
        <v>40</v>
      </c>
      <c r="K2316" s="4">
        <v>90.9</v>
      </c>
      <c r="L2316" s="4">
        <v>80</v>
      </c>
      <c r="M2316" s="4">
        <v>110</v>
      </c>
    </row>
    <row r="2317" spans="1:13">
      <c r="A2317" s="3" t="s">
        <v>2862</v>
      </c>
      <c r="B2317" s="4">
        <v>0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12</v>
      </c>
      <c r="K2317" s="4">
        <v>0</v>
      </c>
      <c r="L2317" s="4">
        <v>0</v>
      </c>
      <c r="M2317" s="4">
        <v>0</v>
      </c>
    </row>
    <row r="2318" spans="1:13">
      <c r="A2318" s="3" t="s">
        <v>2863</v>
      </c>
      <c r="B2318" s="4">
        <v>0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97.5</v>
      </c>
      <c r="J2318" s="4">
        <v>10</v>
      </c>
      <c r="K2318" s="4">
        <v>0</v>
      </c>
      <c r="L2318" s="4">
        <v>27.5</v>
      </c>
      <c r="M2318" s="4">
        <v>0</v>
      </c>
    </row>
    <row r="2319" spans="1:13">
      <c r="A2319" s="3" t="s">
        <v>2864</v>
      </c>
      <c r="B2319" s="4">
        <v>0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11</v>
      </c>
      <c r="J2319" s="4">
        <v>10</v>
      </c>
      <c r="K2319" s="4">
        <v>0</v>
      </c>
      <c r="L2319" s="4">
        <v>0</v>
      </c>
      <c r="M2319" s="4">
        <v>0</v>
      </c>
    </row>
    <row r="2320" spans="1:13">
      <c r="A2320" s="3" t="s">
        <v>2865</v>
      </c>
      <c r="B2320" s="4">
        <v>0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50</v>
      </c>
      <c r="J2320" s="4">
        <v>50</v>
      </c>
      <c r="K2320" s="4">
        <v>52.85</v>
      </c>
      <c r="L2320" s="4">
        <v>25</v>
      </c>
      <c r="M2320" s="4">
        <v>22.650000000000002</v>
      </c>
    </row>
    <row r="2321" spans="1:13">
      <c r="A2321" s="3" t="s">
        <v>2866</v>
      </c>
      <c r="B2321" s="4">
        <v>0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10</v>
      </c>
      <c r="J2321" s="4">
        <v>0</v>
      </c>
      <c r="K2321" s="4">
        <v>0</v>
      </c>
      <c r="L2321" s="4">
        <v>0</v>
      </c>
      <c r="M2321" s="4">
        <v>4</v>
      </c>
    </row>
    <row r="2322" spans="1:13">
      <c r="A2322" s="3" t="s">
        <v>2867</v>
      </c>
      <c r="B2322" s="4">
        <v>0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10</v>
      </c>
      <c r="J2322" s="4">
        <v>23.5</v>
      </c>
      <c r="K2322" s="4">
        <v>27.5</v>
      </c>
      <c r="L2322" s="4">
        <v>10</v>
      </c>
      <c r="M2322" s="4">
        <v>2</v>
      </c>
    </row>
    <row r="2323" spans="1:13">
      <c r="A2323" s="3" t="s">
        <v>2868</v>
      </c>
      <c r="B2323" s="4">
        <v>0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10</v>
      </c>
      <c r="J2323" s="4">
        <v>20.2</v>
      </c>
      <c r="K2323" s="4">
        <v>0</v>
      </c>
      <c r="L2323" s="4">
        <v>20</v>
      </c>
      <c r="M2323" s="4">
        <v>13</v>
      </c>
    </row>
    <row r="2324" spans="1:13">
      <c r="A2324" s="3" t="s">
        <v>2869</v>
      </c>
      <c r="B2324" s="4">
        <v>0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50</v>
      </c>
      <c r="J2324" s="4">
        <v>58.75</v>
      </c>
      <c r="K2324" s="4">
        <v>47.5</v>
      </c>
      <c r="L2324" s="4">
        <v>23</v>
      </c>
      <c r="M2324" s="4">
        <v>2</v>
      </c>
    </row>
    <row r="2325" spans="1:13">
      <c r="A2325" s="3" t="s">
        <v>2870</v>
      </c>
      <c r="B2325" s="4">
        <v>0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5</v>
      </c>
      <c r="J2325" s="4">
        <v>35</v>
      </c>
      <c r="K2325" s="4">
        <v>92.5</v>
      </c>
      <c r="L2325" s="4">
        <v>57.5</v>
      </c>
      <c r="M2325" s="4">
        <v>44</v>
      </c>
    </row>
    <row r="2326" spans="1:13">
      <c r="A2326" s="3" t="s">
        <v>2871</v>
      </c>
      <c r="B2326" s="4">
        <v>0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35</v>
      </c>
      <c r="J2326" s="4">
        <v>54</v>
      </c>
      <c r="K2326" s="4">
        <v>0</v>
      </c>
      <c r="L2326" s="4">
        <v>95</v>
      </c>
      <c r="M2326" s="4">
        <v>0</v>
      </c>
    </row>
    <row r="2327" spans="1:13">
      <c r="A2327" s="3" t="s">
        <v>2872</v>
      </c>
      <c r="B2327" s="4">
        <v>0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15</v>
      </c>
      <c r="L2327" s="4">
        <v>55</v>
      </c>
      <c r="M2327" s="4">
        <v>35</v>
      </c>
    </row>
    <row r="2328" spans="1:13">
      <c r="A2328" s="3" t="s">
        <v>2873</v>
      </c>
      <c r="B2328" s="4">
        <v>0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20</v>
      </c>
      <c r="J2328" s="4">
        <v>20</v>
      </c>
      <c r="K2328" s="4">
        <v>40</v>
      </c>
      <c r="L2328" s="4">
        <v>5</v>
      </c>
      <c r="M2328" s="4">
        <v>77.5</v>
      </c>
    </row>
    <row r="2329" spans="1:13">
      <c r="A2329" s="3" t="s">
        <v>2874</v>
      </c>
      <c r="B2329" s="4">
        <v>0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70</v>
      </c>
      <c r="J2329" s="4">
        <v>0</v>
      </c>
      <c r="K2329" s="4">
        <v>5</v>
      </c>
      <c r="L2329" s="4">
        <v>52</v>
      </c>
      <c r="M2329" s="4">
        <v>40</v>
      </c>
    </row>
    <row r="2330" spans="1:13">
      <c r="A2330" s="3" t="s">
        <v>2875</v>
      </c>
      <c r="B2330" s="4">
        <v>0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20</v>
      </c>
      <c r="K2330" s="4">
        <v>10</v>
      </c>
      <c r="L2330" s="4">
        <v>0</v>
      </c>
      <c r="M2330" s="4">
        <v>78.5</v>
      </c>
    </row>
    <row r="2331" spans="1:13">
      <c r="A2331" s="3" t="s">
        <v>2876</v>
      </c>
      <c r="B2331" s="4">
        <v>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120</v>
      </c>
      <c r="K2331" s="4">
        <v>77</v>
      </c>
      <c r="L2331" s="4">
        <v>85</v>
      </c>
      <c r="M2331" s="4">
        <v>200</v>
      </c>
    </row>
    <row r="2332" spans="1:13">
      <c r="A2332" s="3" t="s">
        <v>2877</v>
      </c>
      <c r="B2332" s="4">
        <v>0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10</v>
      </c>
      <c r="J2332" s="4">
        <v>102.3</v>
      </c>
      <c r="K2332" s="4">
        <v>50</v>
      </c>
      <c r="L2332" s="4">
        <v>40</v>
      </c>
      <c r="M2332" s="4">
        <v>50</v>
      </c>
    </row>
    <row r="2333" spans="1:13">
      <c r="A2333" s="3" t="s">
        <v>2878</v>
      </c>
      <c r="B2333" s="4">
        <v>0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219</v>
      </c>
      <c r="L2333" s="4">
        <v>112</v>
      </c>
      <c r="M2333" s="4">
        <v>119</v>
      </c>
    </row>
    <row r="2334" spans="1:13">
      <c r="A2334" s="3" t="s">
        <v>2879</v>
      </c>
      <c r="B2334" s="4">
        <v>0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20</v>
      </c>
      <c r="J2334" s="4">
        <v>0</v>
      </c>
      <c r="K2334" s="4">
        <v>0</v>
      </c>
      <c r="L2334" s="4">
        <v>0</v>
      </c>
      <c r="M2334" s="4">
        <v>0</v>
      </c>
    </row>
    <row r="2335" spans="1:13">
      <c r="A2335" s="3" t="s">
        <v>2880</v>
      </c>
      <c r="B2335" s="4">
        <v>0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10</v>
      </c>
      <c r="K2335" s="4">
        <v>35</v>
      </c>
      <c r="L2335" s="4">
        <v>21</v>
      </c>
      <c r="M2335" s="4">
        <v>35</v>
      </c>
    </row>
    <row r="2336" spans="1:13">
      <c r="A2336" s="3" t="s">
        <v>2881</v>
      </c>
      <c r="B2336" s="4">
        <v>0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10</v>
      </c>
      <c r="K2336" s="4">
        <v>0</v>
      </c>
      <c r="L2336" s="4">
        <v>0</v>
      </c>
      <c r="M2336" s="4">
        <v>45</v>
      </c>
    </row>
    <row r="2337" spans="1:13">
      <c r="A2337" s="3" t="s">
        <v>2882</v>
      </c>
      <c r="B2337" s="4">
        <v>0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32.5</v>
      </c>
      <c r="J2337" s="4">
        <v>25</v>
      </c>
      <c r="K2337" s="4">
        <v>59</v>
      </c>
      <c r="L2337" s="4">
        <v>72.5</v>
      </c>
      <c r="M2337" s="4">
        <v>82.5</v>
      </c>
    </row>
    <row r="2338" spans="1:13">
      <c r="A2338" s="3" t="s">
        <v>2883</v>
      </c>
      <c r="B2338" s="4">
        <v>0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17</v>
      </c>
      <c r="J2338" s="4">
        <v>100</v>
      </c>
      <c r="K2338" s="4">
        <v>125.75</v>
      </c>
      <c r="L2338" s="4">
        <v>91</v>
      </c>
      <c r="M2338" s="4">
        <v>83.5</v>
      </c>
    </row>
    <row r="2339" spans="1:13">
      <c r="A2339" s="3" t="s">
        <v>2884</v>
      </c>
      <c r="B2339" s="4">
        <v>0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7.75</v>
      </c>
    </row>
    <row r="2340" spans="1:13">
      <c r="A2340" s="3" t="s">
        <v>2885</v>
      </c>
      <c r="B2340" s="4">
        <v>0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50</v>
      </c>
      <c r="J2340" s="4">
        <v>36.5</v>
      </c>
      <c r="K2340" s="4">
        <v>10</v>
      </c>
      <c r="L2340" s="4">
        <v>35</v>
      </c>
      <c r="M2340" s="4">
        <v>17.5</v>
      </c>
    </row>
    <row r="2341" spans="1:13">
      <c r="A2341" s="3" t="s">
        <v>2886</v>
      </c>
      <c r="B2341" s="4">
        <v>0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10</v>
      </c>
      <c r="J2341" s="4">
        <v>53</v>
      </c>
      <c r="K2341" s="4">
        <v>10</v>
      </c>
      <c r="L2341" s="4">
        <v>0</v>
      </c>
      <c r="M2341" s="4">
        <v>0</v>
      </c>
    </row>
    <row r="2342" spans="1:13">
      <c r="A2342" s="3" t="s">
        <v>2887</v>
      </c>
      <c r="B2342" s="4">
        <v>0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65</v>
      </c>
      <c r="J2342" s="4">
        <v>37.5</v>
      </c>
      <c r="K2342" s="4">
        <v>0</v>
      </c>
      <c r="L2342" s="4">
        <v>41</v>
      </c>
      <c r="M2342" s="4">
        <v>110</v>
      </c>
    </row>
    <row r="2343" spans="1:13">
      <c r="A2343" s="3" t="s">
        <v>2888</v>
      </c>
      <c r="B2343" s="4">
        <v>0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78</v>
      </c>
      <c r="J2343" s="4">
        <v>75</v>
      </c>
      <c r="K2343" s="4">
        <v>135</v>
      </c>
      <c r="L2343" s="4">
        <v>30</v>
      </c>
      <c r="M2343" s="4">
        <v>0</v>
      </c>
    </row>
    <row r="2344" spans="1:13">
      <c r="A2344" s="3" t="s">
        <v>2889</v>
      </c>
      <c r="B2344" s="4">
        <v>0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7.5</v>
      </c>
      <c r="L2344" s="4">
        <v>18</v>
      </c>
      <c r="M2344" s="4">
        <v>10</v>
      </c>
    </row>
    <row r="2345" spans="1:13">
      <c r="A2345" s="3" t="s">
        <v>2890</v>
      </c>
      <c r="B2345" s="4">
        <v>0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32.5</v>
      </c>
      <c r="K2345" s="4">
        <v>35</v>
      </c>
      <c r="L2345" s="4">
        <v>25</v>
      </c>
      <c r="M2345" s="4">
        <v>40</v>
      </c>
    </row>
    <row r="2346" spans="1:13">
      <c r="A2346" s="3" t="s">
        <v>2891</v>
      </c>
      <c r="B2346" s="4">
        <v>0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8</v>
      </c>
      <c r="J2346" s="4">
        <v>94.5</v>
      </c>
      <c r="K2346" s="4">
        <v>20.5</v>
      </c>
      <c r="L2346" s="4">
        <v>0</v>
      </c>
      <c r="M2346" s="4">
        <v>37</v>
      </c>
    </row>
    <row r="2347" spans="1:13">
      <c r="A2347" s="3" t="s">
        <v>2892</v>
      </c>
      <c r="B2347" s="4">
        <v>0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25</v>
      </c>
    </row>
    <row r="2348" spans="1:13">
      <c r="A2348" s="3" t="s">
        <v>2893</v>
      </c>
      <c r="B2348" s="4">
        <v>0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33.75</v>
      </c>
      <c r="J2348" s="4">
        <v>90.5</v>
      </c>
      <c r="K2348" s="4">
        <v>17.5</v>
      </c>
      <c r="L2348" s="4">
        <v>67.5</v>
      </c>
      <c r="M2348" s="4">
        <v>367.15</v>
      </c>
    </row>
    <row r="2349" spans="1:13">
      <c r="A2349" s="3" t="s">
        <v>2894</v>
      </c>
      <c r="B2349" s="4">
        <v>0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51.25</v>
      </c>
      <c r="K2349" s="4">
        <v>10.25</v>
      </c>
      <c r="L2349" s="4">
        <v>7.5</v>
      </c>
      <c r="M2349" s="4">
        <v>0</v>
      </c>
    </row>
    <row r="2350" spans="1:13">
      <c r="A2350" s="3" t="s">
        <v>2895</v>
      </c>
      <c r="B2350" s="4">
        <v>0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88.5</v>
      </c>
      <c r="J2350" s="4">
        <v>64</v>
      </c>
      <c r="K2350" s="4">
        <v>42</v>
      </c>
      <c r="L2350" s="4">
        <v>54</v>
      </c>
      <c r="M2350" s="4">
        <v>0</v>
      </c>
    </row>
    <row r="2351" spans="1:13">
      <c r="A2351" s="3" t="s">
        <v>2896</v>
      </c>
      <c r="B2351" s="4">
        <v>0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135</v>
      </c>
      <c r="J2351" s="4">
        <v>105</v>
      </c>
      <c r="K2351" s="4">
        <v>75.5</v>
      </c>
      <c r="L2351" s="4">
        <v>95</v>
      </c>
      <c r="M2351" s="4">
        <v>15</v>
      </c>
    </row>
    <row r="2352" spans="1:13">
      <c r="A2352" s="3" t="s">
        <v>2897</v>
      </c>
      <c r="B2352" s="4">
        <v>0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97</v>
      </c>
    </row>
    <row r="2353" spans="1:13">
      <c r="A2353" s="3" t="s">
        <v>2898</v>
      </c>
      <c r="B2353" s="4">
        <v>0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289</v>
      </c>
    </row>
    <row r="2354" spans="1:13">
      <c r="A2354" s="3" t="s">
        <v>2899</v>
      </c>
      <c r="B2354" s="4">
        <v>0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10</v>
      </c>
      <c r="J2354" s="4">
        <v>0</v>
      </c>
      <c r="K2354" s="4">
        <v>0</v>
      </c>
      <c r="L2354" s="4">
        <v>0</v>
      </c>
      <c r="M2354" s="4">
        <v>0</v>
      </c>
    </row>
    <row r="2355" spans="1:13">
      <c r="A2355" s="3" t="s">
        <v>2900</v>
      </c>
      <c r="B2355" s="4">
        <v>0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43</v>
      </c>
      <c r="K2355" s="4">
        <v>21</v>
      </c>
      <c r="L2355" s="4">
        <v>23</v>
      </c>
      <c r="M2355" s="4">
        <v>33</v>
      </c>
    </row>
    <row r="2356" spans="1:13">
      <c r="A2356" s="3" t="s">
        <v>2901</v>
      </c>
      <c r="B2356" s="4">
        <v>0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160</v>
      </c>
      <c r="K2356" s="4">
        <v>92</v>
      </c>
      <c r="L2356" s="4">
        <v>105</v>
      </c>
      <c r="M2356" s="4">
        <v>64</v>
      </c>
    </row>
    <row r="2357" spans="1:13">
      <c r="A2357" s="3" t="s">
        <v>2902</v>
      </c>
      <c r="B2357" s="4">
        <v>0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35</v>
      </c>
      <c r="K2357" s="4">
        <v>0</v>
      </c>
      <c r="L2357" s="4">
        <v>26.5</v>
      </c>
      <c r="M2357" s="4">
        <v>0</v>
      </c>
    </row>
    <row r="2358" spans="1:13">
      <c r="A2358" s="3" t="s">
        <v>2903</v>
      </c>
      <c r="B2358" s="4">
        <v>0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16</v>
      </c>
      <c r="K2358" s="4">
        <v>13</v>
      </c>
      <c r="L2358" s="4">
        <v>11</v>
      </c>
      <c r="M2358" s="4">
        <v>11</v>
      </c>
    </row>
    <row r="2359" spans="1:13">
      <c r="A2359" s="3" t="s">
        <v>2904</v>
      </c>
      <c r="B2359" s="4">
        <v>0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87.5</v>
      </c>
      <c r="K2359" s="4">
        <v>55</v>
      </c>
      <c r="L2359" s="4">
        <v>50</v>
      </c>
      <c r="M2359" s="4">
        <v>65.5</v>
      </c>
    </row>
    <row r="2360" spans="1:13">
      <c r="A2360" s="3" t="s">
        <v>2905</v>
      </c>
      <c r="B2360" s="4">
        <v>0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43</v>
      </c>
      <c r="K2360" s="4">
        <v>21</v>
      </c>
      <c r="L2360" s="4">
        <v>25</v>
      </c>
      <c r="M2360" s="4">
        <v>31</v>
      </c>
    </row>
    <row r="2361" spans="1:13">
      <c r="A2361" s="3" t="s">
        <v>2906</v>
      </c>
      <c r="B2361" s="4">
        <v>0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66.5</v>
      </c>
      <c r="K2361" s="4">
        <v>42.5</v>
      </c>
      <c r="L2361" s="4">
        <v>41.5</v>
      </c>
      <c r="M2361" s="4">
        <v>20</v>
      </c>
    </row>
    <row r="2362" spans="1:13">
      <c r="A2362" s="3" t="s">
        <v>2907</v>
      </c>
      <c r="B2362" s="4">
        <v>0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25</v>
      </c>
      <c r="J2362" s="4">
        <v>32.5</v>
      </c>
      <c r="K2362" s="4">
        <v>60</v>
      </c>
      <c r="L2362" s="4">
        <v>35</v>
      </c>
      <c r="M2362" s="4">
        <v>60</v>
      </c>
    </row>
    <row r="2363" spans="1:13">
      <c r="A2363" s="3" t="s">
        <v>2908</v>
      </c>
      <c r="B2363" s="4">
        <v>0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74</v>
      </c>
    </row>
    <row r="2364" spans="1:13">
      <c r="A2364" s="3" t="s">
        <v>2909</v>
      </c>
      <c r="B2364" s="4">
        <v>0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84</v>
      </c>
      <c r="K2364" s="4">
        <v>128</v>
      </c>
      <c r="L2364" s="4">
        <v>113.85</v>
      </c>
      <c r="M2364" s="4">
        <v>110</v>
      </c>
    </row>
    <row r="2365" spans="1:13">
      <c r="A2365" s="3" t="s">
        <v>2910</v>
      </c>
      <c r="B2365" s="4">
        <v>0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20</v>
      </c>
      <c r="J2365" s="4">
        <v>45</v>
      </c>
      <c r="K2365" s="4">
        <v>79.55</v>
      </c>
      <c r="L2365" s="4">
        <v>28.25</v>
      </c>
      <c r="M2365" s="4">
        <v>5</v>
      </c>
    </row>
    <row r="2366" spans="1:13">
      <c r="A2366" s="3" t="s">
        <v>2911</v>
      </c>
      <c r="B2366" s="4">
        <v>0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34.5</v>
      </c>
      <c r="M2366" s="4">
        <v>0</v>
      </c>
    </row>
    <row r="2367" spans="1:13">
      <c r="A2367" s="3" t="s">
        <v>2912</v>
      </c>
      <c r="B2367" s="4">
        <v>0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66</v>
      </c>
      <c r="J2367" s="4">
        <v>20</v>
      </c>
      <c r="K2367" s="4">
        <v>15</v>
      </c>
      <c r="L2367" s="4">
        <v>32.75</v>
      </c>
      <c r="M2367" s="4">
        <v>5</v>
      </c>
    </row>
    <row r="2368" spans="1:13">
      <c r="A2368" s="3" t="s">
        <v>2913</v>
      </c>
      <c r="B2368" s="4">
        <v>0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45</v>
      </c>
      <c r="J2368" s="4">
        <v>80</v>
      </c>
      <c r="K2368" s="4">
        <v>10</v>
      </c>
      <c r="L2368" s="4">
        <v>47.5</v>
      </c>
      <c r="M2368" s="4">
        <v>102</v>
      </c>
    </row>
    <row r="2369" spans="1:13">
      <c r="A2369" s="3" t="s">
        <v>2914</v>
      </c>
      <c r="B2369" s="4">
        <v>0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6.55</v>
      </c>
      <c r="M2369" s="4">
        <v>0</v>
      </c>
    </row>
    <row r="2370" spans="1:13">
      <c r="A2370" s="3" t="s">
        <v>2915</v>
      </c>
      <c r="B2370" s="4">
        <v>0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6</v>
      </c>
      <c r="K2370" s="4">
        <v>33</v>
      </c>
      <c r="L2370" s="4">
        <v>0</v>
      </c>
      <c r="M2370" s="4">
        <v>88.5</v>
      </c>
    </row>
    <row r="2371" spans="1:13">
      <c r="A2371" s="3" t="s">
        <v>2916</v>
      </c>
      <c r="B2371" s="4">
        <v>0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20</v>
      </c>
      <c r="K2371" s="4">
        <v>20</v>
      </c>
      <c r="L2371" s="4">
        <v>70</v>
      </c>
      <c r="M2371" s="4">
        <v>55</v>
      </c>
    </row>
    <row r="2372" spans="1:13">
      <c r="A2372" s="3" t="s">
        <v>2917</v>
      </c>
      <c r="B2372" s="4">
        <v>0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96.2</v>
      </c>
      <c r="K2372" s="4">
        <v>60.5</v>
      </c>
      <c r="L2372" s="4">
        <v>100</v>
      </c>
      <c r="M2372" s="4">
        <v>145.75</v>
      </c>
    </row>
    <row r="2373" spans="1:13">
      <c r="A2373" s="3" t="s">
        <v>2918</v>
      </c>
      <c r="B2373" s="4">
        <v>0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19</v>
      </c>
      <c r="J2373" s="4">
        <v>30.5</v>
      </c>
      <c r="K2373" s="4">
        <v>42</v>
      </c>
      <c r="L2373" s="4">
        <v>25.5</v>
      </c>
      <c r="M2373" s="4">
        <v>36</v>
      </c>
    </row>
    <row r="2374" spans="1:13">
      <c r="A2374" s="3" t="s">
        <v>2919</v>
      </c>
      <c r="B2374" s="4">
        <v>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10</v>
      </c>
      <c r="J2374" s="4">
        <v>71</v>
      </c>
      <c r="K2374" s="4">
        <v>118.25</v>
      </c>
      <c r="L2374" s="4">
        <v>88.95</v>
      </c>
      <c r="M2374" s="4">
        <v>129.35000000000002</v>
      </c>
    </row>
    <row r="2375" spans="1:13">
      <c r="A2375" s="3" t="s">
        <v>2920</v>
      </c>
      <c r="B2375" s="4">
        <v>0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7.5</v>
      </c>
      <c r="K2375" s="4">
        <v>0</v>
      </c>
      <c r="L2375" s="4">
        <v>0</v>
      </c>
      <c r="M2375" s="4">
        <v>50</v>
      </c>
    </row>
    <row r="2376" spans="1:13">
      <c r="A2376" s="3" t="s">
        <v>2921</v>
      </c>
      <c r="B2376" s="4">
        <v>0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35</v>
      </c>
      <c r="J2376" s="4">
        <v>73.5</v>
      </c>
      <c r="K2376" s="4">
        <v>0</v>
      </c>
      <c r="L2376" s="4">
        <v>25</v>
      </c>
      <c r="M2376" s="4">
        <v>0</v>
      </c>
    </row>
    <row r="2377" spans="1:13">
      <c r="A2377" s="3" t="s">
        <v>2922</v>
      </c>
      <c r="B2377" s="4">
        <v>0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55</v>
      </c>
      <c r="K2377" s="4">
        <v>10</v>
      </c>
      <c r="L2377" s="4">
        <v>0</v>
      </c>
      <c r="M2377" s="4">
        <v>0</v>
      </c>
    </row>
    <row r="2378" spans="1:13">
      <c r="A2378" s="3" t="s">
        <v>2923</v>
      </c>
      <c r="B2378" s="4">
        <v>0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43</v>
      </c>
      <c r="J2378" s="4">
        <v>203.25</v>
      </c>
      <c r="K2378" s="4">
        <v>197</v>
      </c>
      <c r="L2378" s="4">
        <v>181</v>
      </c>
      <c r="M2378" s="4">
        <v>370.1</v>
      </c>
    </row>
    <row r="2379" spans="1:13">
      <c r="A2379" s="3" t="s">
        <v>2924</v>
      </c>
      <c r="B2379" s="4">
        <v>0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81.5</v>
      </c>
      <c r="K2379" s="4">
        <v>133.5</v>
      </c>
      <c r="L2379" s="4">
        <v>69</v>
      </c>
      <c r="M2379" s="4">
        <v>52</v>
      </c>
    </row>
    <row r="2380" spans="1:13">
      <c r="A2380" s="3" t="s">
        <v>2925</v>
      </c>
      <c r="B2380" s="4">
        <v>0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20</v>
      </c>
      <c r="J2380" s="4">
        <v>50.5</v>
      </c>
      <c r="K2380" s="4">
        <v>80</v>
      </c>
      <c r="L2380" s="4">
        <v>45</v>
      </c>
      <c r="M2380" s="4">
        <v>96</v>
      </c>
    </row>
    <row r="2381" spans="1:13">
      <c r="A2381" s="3" t="s">
        <v>2926</v>
      </c>
      <c r="B2381" s="4">
        <v>0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45.5</v>
      </c>
      <c r="J2381" s="4">
        <v>78</v>
      </c>
      <c r="K2381" s="4">
        <v>27.5</v>
      </c>
      <c r="L2381" s="4">
        <v>35</v>
      </c>
      <c r="M2381" s="4">
        <v>75.5</v>
      </c>
    </row>
    <row r="2382" spans="1:13">
      <c r="A2382" s="3" t="s">
        <v>2927</v>
      </c>
      <c r="B2382" s="4">
        <v>0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62</v>
      </c>
      <c r="K2382" s="4">
        <v>29</v>
      </c>
      <c r="L2382" s="4">
        <v>27.5</v>
      </c>
      <c r="M2382" s="4">
        <v>37.5</v>
      </c>
    </row>
    <row r="2383" spans="1:13">
      <c r="A2383" s="3" t="s">
        <v>2928</v>
      </c>
      <c r="B2383" s="4">
        <v>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21</v>
      </c>
      <c r="K2383" s="4">
        <v>20</v>
      </c>
      <c r="L2383" s="4">
        <v>0</v>
      </c>
      <c r="M2383" s="4">
        <v>0</v>
      </c>
    </row>
    <row r="2384" spans="1:13">
      <c r="A2384" s="3" t="s">
        <v>2929</v>
      </c>
      <c r="B2384" s="4">
        <v>0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25</v>
      </c>
      <c r="M2384" s="4">
        <v>0</v>
      </c>
    </row>
    <row r="2385" spans="1:13">
      <c r="A2385" s="3" t="s">
        <v>2930</v>
      </c>
      <c r="B2385" s="4">
        <v>0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11</v>
      </c>
      <c r="K2385" s="4">
        <v>35</v>
      </c>
      <c r="L2385" s="4">
        <v>50</v>
      </c>
      <c r="M2385" s="4">
        <v>45</v>
      </c>
    </row>
    <row r="2386" spans="1:13">
      <c r="A2386" s="3" t="s">
        <v>2931</v>
      </c>
      <c r="B2386" s="4">
        <v>0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53.5</v>
      </c>
      <c r="K2386" s="4">
        <v>20</v>
      </c>
      <c r="L2386" s="4">
        <v>12.5</v>
      </c>
      <c r="M2386" s="4">
        <v>0</v>
      </c>
    </row>
    <row r="2387" spans="1:13">
      <c r="A2387" s="3" t="s">
        <v>2932</v>
      </c>
      <c r="B2387" s="4">
        <v>0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10</v>
      </c>
      <c r="K2387" s="4">
        <v>0</v>
      </c>
      <c r="L2387" s="4">
        <v>0</v>
      </c>
      <c r="M2387" s="4">
        <v>93</v>
      </c>
    </row>
    <row r="2388" spans="1:13">
      <c r="A2388" s="3" t="s">
        <v>2933</v>
      </c>
      <c r="B2388" s="4">
        <v>0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27.5</v>
      </c>
      <c r="K2388" s="4">
        <v>39</v>
      </c>
      <c r="L2388" s="4">
        <v>32</v>
      </c>
      <c r="M2388" s="4">
        <v>0</v>
      </c>
    </row>
    <row r="2389" spans="1:13">
      <c r="A2389" s="3" t="s">
        <v>2934</v>
      </c>
      <c r="B2389" s="4">
        <v>0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51.5</v>
      </c>
      <c r="K2389" s="4">
        <v>68</v>
      </c>
      <c r="L2389" s="4">
        <v>75</v>
      </c>
      <c r="M2389" s="4">
        <v>33.85</v>
      </c>
    </row>
    <row r="2390" spans="1:13">
      <c r="A2390" s="3" t="s">
        <v>2935</v>
      </c>
      <c r="B2390" s="4">
        <v>0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70</v>
      </c>
      <c r="K2390" s="4">
        <v>108</v>
      </c>
      <c r="L2390" s="4">
        <v>90</v>
      </c>
      <c r="M2390" s="4">
        <v>135</v>
      </c>
    </row>
    <row r="2391" spans="1:13">
      <c r="A2391" s="3" t="s">
        <v>2936</v>
      </c>
      <c r="B2391" s="4">
        <v>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47.5</v>
      </c>
      <c r="K2391" s="4">
        <v>85</v>
      </c>
      <c r="L2391" s="4">
        <v>72</v>
      </c>
      <c r="M2391" s="4">
        <v>101.5</v>
      </c>
    </row>
    <row r="2392" spans="1:13">
      <c r="A2392" s="3" t="s">
        <v>2937</v>
      </c>
      <c r="B2392" s="4">
        <v>0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100</v>
      </c>
      <c r="K2392" s="4">
        <v>120</v>
      </c>
      <c r="L2392" s="4">
        <v>0</v>
      </c>
      <c r="M2392" s="4">
        <v>182</v>
      </c>
    </row>
    <row r="2393" spans="1:13">
      <c r="A2393" s="3" t="s">
        <v>2938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95</v>
      </c>
      <c r="K2393" s="4">
        <v>42</v>
      </c>
      <c r="L2393" s="4">
        <v>39</v>
      </c>
      <c r="M2393" s="4">
        <v>40</v>
      </c>
    </row>
    <row r="2394" spans="1:13">
      <c r="A2394" s="3" t="s">
        <v>2939</v>
      </c>
      <c r="B2394" s="4">
        <v>0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145</v>
      </c>
      <c r="K2394" s="4">
        <v>33</v>
      </c>
      <c r="L2394" s="4">
        <v>30</v>
      </c>
      <c r="M2394" s="4">
        <v>20</v>
      </c>
    </row>
    <row r="2395" spans="1:13">
      <c r="A2395" s="3" t="s">
        <v>2940</v>
      </c>
      <c r="B2395" s="4">
        <v>0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76.5</v>
      </c>
      <c r="K2395" s="4">
        <v>115.8</v>
      </c>
      <c r="L2395" s="4">
        <v>76.5</v>
      </c>
      <c r="M2395" s="4">
        <v>75</v>
      </c>
    </row>
    <row r="2396" spans="1:13">
      <c r="A2396" s="3" t="s">
        <v>2941</v>
      </c>
      <c r="B2396" s="4">
        <v>0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31.5</v>
      </c>
      <c r="K2396" s="4">
        <v>52</v>
      </c>
      <c r="L2396" s="4">
        <v>30</v>
      </c>
      <c r="M2396" s="4">
        <v>0</v>
      </c>
    </row>
    <row r="2397" spans="1:13">
      <c r="A2397" s="3" t="s">
        <v>2942</v>
      </c>
      <c r="B2397" s="4">
        <v>0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19</v>
      </c>
      <c r="K2397" s="4">
        <v>10</v>
      </c>
      <c r="L2397" s="4">
        <v>30</v>
      </c>
      <c r="M2397" s="4">
        <v>0</v>
      </c>
    </row>
    <row r="2398" spans="1:13">
      <c r="A2398" s="3" t="s">
        <v>2943</v>
      </c>
      <c r="B2398" s="4">
        <v>0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81.599999999999994</v>
      </c>
      <c r="K2398" s="4">
        <v>76</v>
      </c>
      <c r="L2398" s="4">
        <v>85</v>
      </c>
      <c r="M2398" s="4">
        <v>157</v>
      </c>
    </row>
    <row r="2399" spans="1:13">
      <c r="A2399" s="3" t="s">
        <v>2944</v>
      </c>
      <c r="B2399" s="4">
        <v>0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57.5</v>
      </c>
      <c r="K2399" s="4">
        <v>22.5</v>
      </c>
      <c r="L2399" s="4">
        <v>35</v>
      </c>
      <c r="M2399" s="4">
        <v>43.5</v>
      </c>
    </row>
    <row r="2400" spans="1:13">
      <c r="A2400" s="3" t="s">
        <v>2945</v>
      </c>
      <c r="B2400" s="4">
        <v>0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60</v>
      </c>
      <c r="L2400" s="4">
        <v>72.5</v>
      </c>
      <c r="M2400" s="4">
        <v>30</v>
      </c>
    </row>
    <row r="2401" spans="1:13">
      <c r="A2401" s="3" t="s">
        <v>2946</v>
      </c>
      <c r="B2401" s="4">
        <v>0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40</v>
      </c>
      <c r="K2401" s="4">
        <v>63</v>
      </c>
      <c r="L2401" s="4">
        <v>60</v>
      </c>
      <c r="M2401" s="4">
        <v>60</v>
      </c>
    </row>
    <row r="2402" spans="1:13">
      <c r="A2402" s="3" t="s">
        <v>2947</v>
      </c>
      <c r="B2402" s="4">
        <v>0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152</v>
      </c>
      <c r="K2402" s="4">
        <v>79</v>
      </c>
      <c r="L2402" s="4">
        <v>70</v>
      </c>
      <c r="M2402" s="4">
        <v>123.5</v>
      </c>
    </row>
    <row r="2403" spans="1:13">
      <c r="A2403" s="3" t="s">
        <v>2948</v>
      </c>
      <c r="B2403" s="4">
        <v>0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45</v>
      </c>
      <c r="K2403" s="4">
        <v>40</v>
      </c>
      <c r="L2403" s="4">
        <v>0</v>
      </c>
      <c r="M2403" s="4">
        <v>30</v>
      </c>
    </row>
    <row r="2404" spans="1:13">
      <c r="A2404" s="3" t="s">
        <v>2949</v>
      </c>
      <c r="B2404" s="4">
        <v>0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20</v>
      </c>
      <c r="K2404" s="4">
        <v>60</v>
      </c>
      <c r="L2404" s="4">
        <v>0</v>
      </c>
      <c r="M2404" s="4">
        <v>15</v>
      </c>
    </row>
    <row r="2405" spans="1:13">
      <c r="A2405" s="3" t="s">
        <v>2950</v>
      </c>
      <c r="B2405" s="4">
        <v>0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35</v>
      </c>
    </row>
    <row r="2406" spans="1:13">
      <c r="A2406" s="3" t="s">
        <v>2951</v>
      </c>
      <c r="B2406" s="4">
        <v>0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273.25</v>
      </c>
      <c r="K2406" s="4">
        <v>312.5</v>
      </c>
      <c r="L2406" s="4">
        <v>252</v>
      </c>
      <c r="M2406" s="4">
        <v>349.5</v>
      </c>
    </row>
    <row r="2407" spans="1:13">
      <c r="A2407" s="3" t="s">
        <v>2952</v>
      </c>
      <c r="B2407" s="4">
        <v>0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40</v>
      </c>
      <c r="K2407" s="4">
        <v>65.5</v>
      </c>
      <c r="L2407" s="4">
        <v>20</v>
      </c>
      <c r="M2407" s="4">
        <v>0</v>
      </c>
    </row>
    <row r="2408" spans="1:13">
      <c r="A2408" s="3" t="s">
        <v>2953</v>
      </c>
      <c r="B2408" s="4">
        <v>0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20</v>
      </c>
      <c r="K2408" s="4">
        <v>40</v>
      </c>
      <c r="L2408" s="4">
        <v>30</v>
      </c>
      <c r="M2408" s="4">
        <v>51</v>
      </c>
    </row>
    <row r="2409" spans="1:13">
      <c r="A2409" s="3" t="s">
        <v>2954</v>
      </c>
      <c r="B2409" s="4">
        <v>0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38.5</v>
      </c>
      <c r="K2409" s="4">
        <v>45</v>
      </c>
      <c r="L2409" s="4">
        <v>48.5</v>
      </c>
      <c r="M2409" s="4">
        <v>30</v>
      </c>
    </row>
    <row r="2410" spans="1:13">
      <c r="A2410" s="3" t="s">
        <v>2955</v>
      </c>
      <c r="B2410" s="4">
        <v>0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50</v>
      </c>
      <c r="K2410" s="4">
        <v>17.5</v>
      </c>
      <c r="L2410" s="4">
        <v>0</v>
      </c>
      <c r="M2410" s="4">
        <v>0</v>
      </c>
    </row>
    <row r="2411" spans="1:13">
      <c r="A2411" s="3" t="s">
        <v>2956</v>
      </c>
      <c r="B2411" s="4">
        <v>0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63</v>
      </c>
      <c r="K2411" s="4">
        <v>87.5</v>
      </c>
      <c r="L2411" s="4">
        <v>72.150000000000006</v>
      </c>
      <c r="M2411" s="4">
        <v>178.25</v>
      </c>
    </row>
    <row r="2412" spans="1:13">
      <c r="A2412" s="3" t="s">
        <v>2957</v>
      </c>
      <c r="B2412" s="4">
        <v>0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5</v>
      </c>
      <c r="K2412" s="4">
        <v>5</v>
      </c>
      <c r="L2412" s="4">
        <v>20</v>
      </c>
      <c r="M2412" s="4">
        <v>10</v>
      </c>
    </row>
    <row r="2413" spans="1:13">
      <c r="A2413" s="3" t="s">
        <v>2958</v>
      </c>
      <c r="B2413" s="4">
        <v>0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62.5</v>
      </c>
      <c r="K2413" s="4">
        <v>108.5</v>
      </c>
      <c r="L2413" s="4">
        <v>0</v>
      </c>
      <c r="M2413" s="4">
        <v>130</v>
      </c>
    </row>
    <row r="2414" spans="1:13">
      <c r="A2414" s="3" t="s">
        <v>2959</v>
      </c>
      <c r="B2414" s="4">
        <v>0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55</v>
      </c>
      <c r="K2414" s="4">
        <v>50</v>
      </c>
      <c r="L2414" s="4">
        <v>50.1</v>
      </c>
      <c r="M2414" s="4">
        <v>91</v>
      </c>
    </row>
    <row r="2415" spans="1:13">
      <c r="A2415" s="3" t="s">
        <v>2960</v>
      </c>
      <c r="B2415" s="4">
        <v>0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32.5</v>
      </c>
      <c r="K2415" s="4">
        <v>12.5</v>
      </c>
      <c r="L2415" s="4">
        <v>33.5</v>
      </c>
      <c r="M2415" s="4">
        <v>37.5</v>
      </c>
    </row>
    <row r="2416" spans="1:13">
      <c r="A2416" s="3" t="s">
        <v>2961</v>
      </c>
      <c r="B2416" s="4">
        <v>0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129</v>
      </c>
      <c r="K2416" s="4">
        <v>20</v>
      </c>
      <c r="L2416" s="4">
        <v>133</v>
      </c>
      <c r="M2416" s="4">
        <v>180.5</v>
      </c>
    </row>
    <row r="2417" spans="1:13">
      <c r="A2417" s="3" t="s">
        <v>2962</v>
      </c>
      <c r="B2417" s="4">
        <v>0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35</v>
      </c>
      <c r="K2417" s="4">
        <v>35</v>
      </c>
      <c r="L2417" s="4">
        <v>35</v>
      </c>
      <c r="M2417" s="4">
        <v>34</v>
      </c>
    </row>
    <row r="2418" spans="1:13">
      <c r="A2418" s="3" t="s">
        <v>2963</v>
      </c>
      <c r="B2418" s="4">
        <v>0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109</v>
      </c>
      <c r="K2418" s="4">
        <v>26</v>
      </c>
      <c r="L2418" s="4">
        <v>48</v>
      </c>
      <c r="M2418" s="4">
        <v>126</v>
      </c>
    </row>
    <row r="2419" spans="1:13">
      <c r="A2419" s="3" t="s">
        <v>2964</v>
      </c>
      <c r="B2419" s="4">
        <v>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20</v>
      </c>
      <c r="K2419" s="4">
        <v>41</v>
      </c>
      <c r="L2419" s="4">
        <v>40</v>
      </c>
      <c r="M2419" s="4">
        <v>45</v>
      </c>
    </row>
    <row r="2420" spans="1:13">
      <c r="A2420" s="3" t="s">
        <v>2965</v>
      </c>
      <c r="B2420" s="4">
        <v>0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87</v>
      </c>
      <c r="K2420" s="4">
        <v>67</v>
      </c>
      <c r="L2420" s="4">
        <v>0</v>
      </c>
      <c r="M2420" s="4">
        <v>10</v>
      </c>
    </row>
    <row r="2421" spans="1:13">
      <c r="A2421" s="3" t="s">
        <v>2966</v>
      </c>
      <c r="B2421" s="4">
        <v>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68</v>
      </c>
      <c r="K2421" s="4">
        <v>96</v>
      </c>
      <c r="L2421" s="4">
        <v>40</v>
      </c>
      <c r="M2421" s="4">
        <v>52</v>
      </c>
    </row>
    <row r="2422" spans="1:13">
      <c r="A2422" s="3" t="s">
        <v>2967</v>
      </c>
      <c r="B2422" s="4">
        <v>0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15</v>
      </c>
      <c r="K2422" s="4">
        <v>15</v>
      </c>
      <c r="L2422" s="4">
        <v>28</v>
      </c>
      <c r="M2422" s="4">
        <v>62</v>
      </c>
    </row>
    <row r="2423" spans="1:13">
      <c r="A2423" s="3" t="s">
        <v>2968</v>
      </c>
      <c r="B2423" s="4">
        <v>0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200</v>
      </c>
      <c r="K2423" s="4">
        <v>151</v>
      </c>
      <c r="L2423" s="4">
        <v>176.75</v>
      </c>
      <c r="M2423" s="4">
        <v>119.5</v>
      </c>
    </row>
    <row r="2424" spans="1:13">
      <c r="A2424" s="3" t="s">
        <v>2969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40</v>
      </c>
      <c r="K2424" s="4">
        <v>22.5</v>
      </c>
      <c r="L2424" s="4">
        <v>18.75</v>
      </c>
      <c r="M2424" s="4">
        <v>10</v>
      </c>
    </row>
    <row r="2425" spans="1:13">
      <c r="A2425" s="3" t="s">
        <v>2970</v>
      </c>
      <c r="B2425" s="4">
        <v>0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14</v>
      </c>
      <c r="K2425" s="4">
        <v>0</v>
      </c>
      <c r="L2425" s="4">
        <v>0</v>
      </c>
      <c r="M2425" s="4">
        <v>0</v>
      </c>
    </row>
    <row r="2426" spans="1:13">
      <c r="A2426" s="3" t="s">
        <v>2971</v>
      </c>
      <c r="B2426" s="4">
        <v>0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27</v>
      </c>
      <c r="K2426" s="4">
        <v>25</v>
      </c>
      <c r="L2426" s="4">
        <v>17.5</v>
      </c>
      <c r="M2426" s="4">
        <v>22</v>
      </c>
    </row>
    <row r="2427" spans="1:13">
      <c r="A2427" s="3" t="s">
        <v>2972</v>
      </c>
      <c r="B2427" s="4">
        <v>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53.800000000000004</v>
      </c>
      <c r="L2427" s="4">
        <v>152.5</v>
      </c>
      <c r="M2427" s="4">
        <v>194.5</v>
      </c>
    </row>
    <row r="2428" spans="1:13">
      <c r="A2428" s="3" t="s">
        <v>2973</v>
      </c>
      <c r="B2428" s="4">
        <v>0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30</v>
      </c>
      <c r="K2428" s="4">
        <v>10</v>
      </c>
      <c r="L2428" s="4">
        <v>15</v>
      </c>
      <c r="M2428" s="4">
        <v>0</v>
      </c>
    </row>
    <row r="2429" spans="1:13">
      <c r="A2429" s="3" t="s">
        <v>2974</v>
      </c>
      <c r="B2429" s="4">
        <v>0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40</v>
      </c>
      <c r="K2429" s="4">
        <v>0</v>
      </c>
      <c r="L2429" s="4">
        <v>3.5</v>
      </c>
      <c r="M2429" s="4">
        <v>0</v>
      </c>
    </row>
    <row r="2430" spans="1:13">
      <c r="A2430" s="3" t="s">
        <v>2975</v>
      </c>
      <c r="B2430" s="4">
        <v>0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20</v>
      </c>
      <c r="K2430" s="4">
        <v>45</v>
      </c>
      <c r="L2430" s="4">
        <v>61.5</v>
      </c>
      <c r="M2430" s="4">
        <v>0</v>
      </c>
    </row>
    <row r="2431" spans="1:13">
      <c r="A2431" s="3" t="s">
        <v>2976</v>
      </c>
      <c r="B2431" s="4">
        <v>0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40.5</v>
      </c>
      <c r="K2431" s="4">
        <v>56</v>
      </c>
      <c r="L2431" s="4">
        <v>87.5</v>
      </c>
      <c r="M2431" s="4">
        <v>96</v>
      </c>
    </row>
    <row r="2432" spans="1:13">
      <c r="A2432" s="3" t="s">
        <v>2977</v>
      </c>
      <c r="B2432" s="4">
        <v>0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75.45</v>
      </c>
      <c r="K2432" s="4">
        <v>52</v>
      </c>
      <c r="L2432" s="4">
        <v>27</v>
      </c>
      <c r="M2432" s="4">
        <v>37</v>
      </c>
    </row>
    <row r="2433" spans="1:13">
      <c r="A2433" s="3" t="s">
        <v>2978</v>
      </c>
      <c r="B2433" s="4">
        <v>0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8</v>
      </c>
      <c r="K2433" s="4">
        <v>7.5</v>
      </c>
      <c r="L2433" s="4">
        <v>25</v>
      </c>
      <c r="M2433" s="4">
        <v>25</v>
      </c>
    </row>
    <row r="2434" spans="1:13">
      <c r="A2434" s="3" t="s">
        <v>2979</v>
      </c>
      <c r="B2434" s="4">
        <v>0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30</v>
      </c>
      <c r="K2434" s="4">
        <v>50</v>
      </c>
      <c r="L2434" s="4">
        <v>35</v>
      </c>
      <c r="M2434" s="4">
        <v>65</v>
      </c>
    </row>
    <row r="2435" spans="1:13">
      <c r="A2435" s="3" t="s">
        <v>2980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11.25</v>
      </c>
      <c r="K2435" s="4">
        <v>8</v>
      </c>
      <c r="L2435" s="4">
        <v>0</v>
      </c>
      <c r="M2435" s="4">
        <v>30</v>
      </c>
    </row>
    <row r="2436" spans="1:13">
      <c r="A2436" s="3" t="s">
        <v>2981</v>
      </c>
      <c r="B2436" s="4">
        <v>0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15</v>
      </c>
      <c r="K2436" s="4">
        <v>0</v>
      </c>
      <c r="L2436" s="4">
        <v>0</v>
      </c>
      <c r="M2436" s="4">
        <v>0</v>
      </c>
    </row>
    <row r="2437" spans="1:13">
      <c r="A2437" s="3" t="s">
        <v>2982</v>
      </c>
      <c r="B2437" s="4">
        <v>0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10</v>
      </c>
      <c r="L2437" s="4">
        <v>0</v>
      </c>
      <c r="M2437" s="4">
        <v>15</v>
      </c>
    </row>
    <row r="2438" spans="1:13">
      <c r="A2438" s="3" t="s">
        <v>2983</v>
      </c>
      <c r="B2438" s="4">
        <v>0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32.5</v>
      </c>
      <c r="M2438" s="4">
        <v>35</v>
      </c>
    </row>
    <row r="2439" spans="1:13">
      <c r="A2439" s="3" t="s">
        <v>2984</v>
      </c>
      <c r="B2439" s="4">
        <v>0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52.5</v>
      </c>
      <c r="K2439" s="4">
        <v>60</v>
      </c>
      <c r="L2439" s="4">
        <v>54</v>
      </c>
      <c r="M2439" s="4">
        <v>70</v>
      </c>
    </row>
    <row r="2440" spans="1:13">
      <c r="A2440" s="3" t="s">
        <v>2985</v>
      </c>
      <c r="B2440" s="4">
        <v>0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28.5</v>
      </c>
      <c r="K2440" s="4">
        <v>89</v>
      </c>
      <c r="L2440" s="4">
        <v>109.5</v>
      </c>
      <c r="M2440" s="4">
        <v>145.30000000000001</v>
      </c>
    </row>
    <row r="2441" spans="1:13">
      <c r="A2441" s="3" t="s">
        <v>2986</v>
      </c>
      <c r="B2441" s="4">
        <v>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28.5</v>
      </c>
      <c r="K2441" s="4">
        <v>86</v>
      </c>
      <c r="L2441" s="4">
        <v>127.5</v>
      </c>
      <c r="M2441" s="4">
        <v>115</v>
      </c>
    </row>
    <row r="2442" spans="1:13">
      <c r="A2442" s="3" t="s">
        <v>2987</v>
      </c>
      <c r="B2442" s="4">
        <v>0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15</v>
      </c>
      <c r="K2442" s="4">
        <v>114</v>
      </c>
      <c r="L2442" s="4">
        <v>0</v>
      </c>
      <c r="M2442" s="4">
        <v>20</v>
      </c>
    </row>
    <row r="2443" spans="1:13">
      <c r="A2443" s="3" t="s">
        <v>2988</v>
      </c>
      <c r="B2443" s="4">
        <v>0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25</v>
      </c>
      <c r="K2443" s="4">
        <v>53</v>
      </c>
      <c r="L2443" s="4">
        <v>41</v>
      </c>
      <c r="M2443" s="4">
        <v>3</v>
      </c>
    </row>
    <row r="2444" spans="1:13">
      <c r="A2444" s="3" t="s">
        <v>2989</v>
      </c>
      <c r="B2444" s="4">
        <v>0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100</v>
      </c>
      <c r="K2444" s="4">
        <v>30</v>
      </c>
      <c r="L2444" s="4">
        <v>131</v>
      </c>
      <c r="M2444" s="4">
        <v>140</v>
      </c>
    </row>
    <row r="2445" spans="1:13">
      <c r="A2445" s="3" t="s">
        <v>2990</v>
      </c>
      <c r="B2445" s="4">
        <v>0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39.5</v>
      </c>
      <c r="K2445" s="4">
        <v>66</v>
      </c>
      <c r="L2445" s="4">
        <v>23</v>
      </c>
      <c r="M2445" s="4">
        <v>48.5</v>
      </c>
    </row>
    <row r="2446" spans="1:13">
      <c r="A2446" s="3" t="s">
        <v>2991</v>
      </c>
      <c r="B2446" s="4">
        <v>0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32.5</v>
      </c>
      <c r="L2446" s="4">
        <v>27.5</v>
      </c>
      <c r="M2446" s="4">
        <v>37.5</v>
      </c>
    </row>
    <row r="2447" spans="1:13">
      <c r="A2447" s="3" t="s">
        <v>2992</v>
      </c>
      <c r="B2447" s="4">
        <v>0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42.5</v>
      </c>
      <c r="K2447" s="4">
        <v>36</v>
      </c>
      <c r="L2447" s="4">
        <v>54.75</v>
      </c>
      <c r="M2447" s="4">
        <v>51</v>
      </c>
    </row>
    <row r="2448" spans="1:13">
      <c r="A2448" s="3" t="s">
        <v>2993</v>
      </c>
      <c r="B2448" s="4">
        <v>0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15</v>
      </c>
      <c r="K2448" s="4">
        <v>10</v>
      </c>
      <c r="L2448" s="4">
        <v>0</v>
      </c>
      <c r="M2448" s="4">
        <v>20</v>
      </c>
    </row>
    <row r="2449" spans="1:13">
      <c r="A2449" s="3" t="s">
        <v>2994</v>
      </c>
      <c r="B2449" s="4">
        <v>0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100.5</v>
      </c>
      <c r="K2449" s="4">
        <v>129</v>
      </c>
      <c r="L2449" s="4">
        <v>125</v>
      </c>
      <c r="M2449" s="4">
        <v>175</v>
      </c>
    </row>
    <row r="2450" spans="1:13">
      <c r="A2450" s="3" t="s">
        <v>2995</v>
      </c>
      <c r="B2450" s="4">
        <v>0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7.5</v>
      </c>
      <c r="M2450" s="4">
        <v>0</v>
      </c>
    </row>
    <row r="2451" spans="1:13">
      <c r="A2451" s="3" t="s">
        <v>2996</v>
      </c>
      <c r="B2451" s="4">
        <v>0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101.5</v>
      </c>
      <c r="K2451" s="4">
        <v>171.6</v>
      </c>
      <c r="L2451" s="4">
        <v>81.55</v>
      </c>
      <c r="M2451" s="4">
        <v>111</v>
      </c>
    </row>
    <row r="2452" spans="1:13">
      <c r="A2452" s="3" t="s">
        <v>2997</v>
      </c>
      <c r="B2452" s="4">
        <v>0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40</v>
      </c>
      <c r="K2452" s="4">
        <v>75</v>
      </c>
      <c r="L2452" s="4">
        <v>10</v>
      </c>
      <c r="M2452" s="4">
        <v>44</v>
      </c>
    </row>
    <row r="2453" spans="1:13">
      <c r="A2453" s="3" t="s">
        <v>2998</v>
      </c>
      <c r="B2453" s="4">
        <v>0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125</v>
      </c>
      <c r="K2453" s="4">
        <v>95</v>
      </c>
      <c r="L2453" s="4">
        <v>40</v>
      </c>
      <c r="M2453" s="4">
        <v>20</v>
      </c>
    </row>
    <row r="2454" spans="1:13">
      <c r="A2454" s="3" t="s">
        <v>2999</v>
      </c>
      <c r="B2454" s="4">
        <v>0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35</v>
      </c>
      <c r="K2454" s="4">
        <v>75</v>
      </c>
      <c r="L2454" s="4">
        <v>20</v>
      </c>
      <c r="M2454" s="4">
        <v>40</v>
      </c>
    </row>
    <row r="2455" spans="1:13">
      <c r="A2455" s="3" t="s">
        <v>3000</v>
      </c>
      <c r="B2455" s="4">
        <v>0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20</v>
      </c>
      <c r="K2455" s="4">
        <v>20.5</v>
      </c>
      <c r="L2455" s="4">
        <v>0</v>
      </c>
      <c r="M2455" s="4">
        <v>0</v>
      </c>
    </row>
    <row r="2456" spans="1:13">
      <c r="A2456" s="3" t="s">
        <v>3001</v>
      </c>
      <c r="B2456" s="4">
        <v>0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11</v>
      </c>
      <c r="K2456" s="4">
        <v>0</v>
      </c>
      <c r="L2456" s="4">
        <v>10</v>
      </c>
      <c r="M2456" s="4">
        <v>38</v>
      </c>
    </row>
    <row r="2457" spans="1:13">
      <c r="A2457" s="3" t="s">
        <v>3002</v>
      </c>
      <c r="B2457" s="4">
        <v>0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43</v>
      </c>
      <c r="L2457" s="4">
        <v>59</v>
      </c>
      <c r="M2457" s="4">
        <v>68.849999999999994</v>
      </c>
    </row>
    <row r="2458" spans="1:13">
      <c r="A2458" s="3" t="s">
        <v>3003</v>
      </c>
      <c r="B2458" s="4">
        <v>0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51</v>
      </c>
      <c r="L2458" s="4">
        <v>64</v>
      </c>
      <c r="M2458" s="4">
        <v>126</v>
      </c>
    </row>
    <row r="2459" spans="1:13">
      <c r="A2459" s="3" t="s">
        <v>3004</v>
      </c>
      <c r="B2459" s="4">
        <v>0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10</v>
      </c>
      <c r="L2459" s="4">
        <v>31</v>
      </c>
      <c r="M2459" s="4">
        <v>27</v>
      </c>
    </row>
    <row r="2460" spans="1:13">
      <c r="A2460" s="3" t="s">
        <v>3005</v>
      </c>
      <c r="B2460" s="4">
        <v>0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25</v>
      </c>
      <c r="L2460" s="4">
        <v>35</v>
      </c>
      <c r="M2460" s="4">
        <v>48.5</v>
      </c>
    </row>
    <row r="2461" spans="1:13">
      <c r="A2461" s="3" t="s">
        <v>3006</v>
      </c>
      <c r="B2461" s="4">
        <v>0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30</v>
      </c>
      <c r="K2461" s="4">
        <v>55</v>
      </c>
      <c r="L2461" s="4">
        <v>40</v>
      </c>
      <c r="M2461" s="4">
        <v>0</v>
      </c>
    </row>
    <row r="2462" spans="1:13">
      <c r="A2462" s="3" t="s">
        <v>3007</v>
      </c>
      <c r="B2462" s="4">
        <v>0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25</v>
      </c>
      <c r="M2462" s="4">
        <v>9</v>
      </c>
    </row>
    <row r="2463" spans="1:13">
      <c r="A2463" s="3" t="s">
        <v>3008</v>
      </c>
      <c r="B2463" s="4">
        <v>0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10</v>
      </c>
      <c r="K2463" s="4">
        <v>40</v>
      </c>
      <c r="L2463" s="4">
        <v>10</v>
      </c>
      <c r="M2463" s="4">
        <v>65</v>
      </c>
    </row>
    <row r="2464" spans="1:13">
      <c r="A2464" s="3" t="s">
        <v>3009</v>
      </c>
      <c r="B2464" s="4">
        <v>0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18</v>
      </c>
      <c r="K2464" s="4">
        <v>43.5</v>
      </c>
      <c r="L2464" s="4">
        <v>23.5</v>
      </c>
      <c r="M2464" s="4">
        <v>69</v>
      </c>
    </row>
    <row r="2465" spans="1:13">
      <c r="A2465" s="3" t="s">
        <v>3010</v>
      </c>
      <c r="B2465" s="4">
        <v>0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82</v>
      </c>
      <c r="L2465" s="4">
        <v>100</v>
      </c>
      <c r="M2465" s="4">
        <v>50</v>
      </c>
    </row>
    <row r="2466" spans="1:13">
      <c r="A2466" s="3" t="s">
        <v>3011</v>
      </c>
      <c r="B2466" s="4">
        <v>0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26</v>
      </c>
      <c r="K2466" s="4">
        <v>0</v>
      </c>
      <c r="L2466" s="4">
        <v>52</v>
      </c>
      <c r="M2466" s="4">
        <v>65.5</v>
      </c>
    </row>
    <row r="2467" spans="1:13">
      <c r="A2467" s="3" t="s">
        <v>3012</v>
      </c>
      <c r="B2467" s="4">
        <v>0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70</v>
      </c>
      <c r="L2467" s="4">
        <v>67.400000000000006</v>
      </c>
      <c r="M2467" s="4">
        <v>270.75</v>
      </c>
    </row>
    <row r="2468" spans="1:13">
      <c r="A2468" s="3" t="s">
        <v>3013</v>
      </c>
      <c r="B2468" s="4">
        <v>0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152.5</v>
      </c>
      <c r="L2468" s="4">
        <v>50</v>
      </c>
      <c r="M2468" s="4">
        <v>172</v>
      </c>
    </row>
    <row r="2469" spans="1:13">
      <c r="A2469" s="3" t="s">
        <v>3014</v>
      </c>
      <c r="B2469" s="4">
        <v>0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55</v>
      </c>
      <c r="K2469" s="4">
        <v>59.75</v>
      </c>
      <c r="L2469" s="4">
        <v>56.5</v>
      </c>
      <c r="M2469" s="4">
        <v>61</v>
      </c>
    </row>
    <row r="2470" spans="1:13">
      <c r="A2470" s="3" t="s">
        <v>3015</v>
      </c>
      <c r="B2470" s="4">
        <v>0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30</v>
      </c>
      <c r="L2470" s="4">
        <v>10</v>
      </c>
      <c r="M2470" s="4">
        <v>47</v>
      </c>
    </row>
    <row r="2471" spans="1:13">
      <c r="A2471" s="3" t="s">
        <v>3016</v>
      </c>
      <c r="B2471" s="4">
        <v>0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90</v>
      </c>
      <c r="L2471" s="4">
        <v>35</v>
      </c>
      <c r="M2471" s="4">
        <v>35</v>
      </c>
    </row>
    <row r="2472" spans="1:13">
      <c r="A2472" s="3" t="s">
        <v>3017</v>
      </c>
      <c r="B2472" s="4">
        <v>0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101</v>
      </c>
      <c r="L2472" s="4">
        <v>80</v>
      </c>
      <c r="M2472" s="4">
        <v>102.5</v>
      </c>
    </row>
    <row r="2473" spans="1:13">
      <c r="A2473" s="3" t="s">
        <v>3018</v>
      </c>
      <c r="B2473" s="4">
        <v>0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41.5</v>
      </c>
      <c r="L2473" s="4">
        <v>10</v>
      </c>
      <c r="M2473" s="4">
        <v>44.25</v>
      </c>
    </row>
    <row r="2474" spans="1:13">
      <c r="A2474" s="3" t="s">
        <v>3019</v>
      </c>
      <c r="B2474" s="4">
        <v>0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66</v>
      </c>
      <c r="L2474" s="4">
        <v>25</v>
      </c>
      <c r="M2474" s="4">
        <v>12.5</v>
      </c>
    </row>
    <row r="2475" spans="1:13">
      <c r="A2475" s="3" t="s">
        <v>3020</v>
      </c>
      <c r="B2475" s="4">
        <v>0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25</v>
      </c>
      <c r="L2475" s="4">
        <v>0</v>
      </c>
      <c r="M2475" s="4">
        <v>0</v>
      </c>
    </row>
    <row r="2476" spans="1:13">
      <c r="A2476" s="3" t="s">
        <v>3021</v>
      </c>
      <c r="B2476" s="4">
        <v>0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50</v>
      </c>
      <c r="L2476" s="4">
        <v>149</v>
      </c>
      <c r="M2476" s="4">
        <v>0</v>
      </c>
    </row>
    <row r="2477" spans="1:13">
      <c r="A2477" s="3" t="s">
        <v>3022</v>
      </c>
      <c r="B2477" s="4">
        <v>0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180</v>
      </c>
      <c r="L2477" s="4">
        <v>50</v>
      </c>
      <c r="M2477" s="4">
        <v>70</v>
      </c>
    </row>
    <row r="2478" spans="1:13">
      <c r="A2478" s="3" t="s">
        <v>3023</v>
      </c>
      <c r="B2478" s="4">
        <v>0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113.5</v>
      </c>
      <c r="L2478" s="4">
        <v>100</v>
      </c>
      <c r="M2478" s="4">
        <v>45</v>
      </c>
    </row>
    <row r="2479" spans="1:13">
      <c r="A2479" s="3" t="s">
        <v>3024</v>
      </c>
      <c r="B2479" s="4">
        <v>0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88</v>
      </c>
      <c r="L2479" s="4">
        <v>135.75</v>
      </c>
      <c r="M2479" s="4">
        <v>177</v>
      </c>
    </row>
    <row r="2480" spans="1:13">
      <c r="A2480" s="3" t="s">
        <v>3025</v>
      </c>
      <c r="B2480" s="4">
        <v>0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28</v>
      </c>
      <c r="L2480" s="4">
        <v>55</v>
      </c>
      <c r="M2480" s="4">
        <v>50</v>
      </c>
    </row>
    <row r="2481" spans="1:13">
      <c r="A2481" s="3" t="s">
        <v>3026</v>
      </c>
      <c r="B2481" s="4">
        <v>0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52.5</v>
      </c>
      <c r="L2481" s="4">
        <v>10</v>
      </c>
      <c r="M2481" s="4">
        <v>20</v>
      </c>
    </row>
    <row r="2482" spans="1:13">
      <c r="A2482" s="3" t="s">
        <v>3027</v>
      </c>
      <c r="B2482" s="4">
        <v>0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10</v>
      </c>
      <c r="L2482" s="4">
        <v>30</v>
      </c>
      <c r="M2482" s="4">
        <v>10</v>
      </c>
    </row>
    <row r="2483" spans="1:13">
      <c r="A2483" s="3" t="s">
        <v>3028</v>
      </c>
      <c r="B2483" s="4">
        <v>0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20</v>
      </c>
      <c r="L2483" s="4">
        <v>10</v>
      </c>
      <c r="M2483" s="4">
        <v>0</v>
      </c>
    </row>
    <row r="2484" spans="1:13">
      <c r="A2484" s="3" t="s">
        <v>3029</v>
      </c>
      <c r="B2484" s="4">
        <v>0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60</v>
      </c>
      <c r="L2484" s="4">
        <v>55</v>
      </c>
      <c r="M2484" s="4">
        <v>40</v>
      </c>
    </row>
    <row r="2485" spans="1:13">
      <c r="A2485" s="3" t="s">
        <v>3030</v>
      </c>
      <c r="B2485" s="4">
        <v>0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25</v>
      </c>
      <c r="M2485" s="4">
        <v>15</v>
      </c>
    </row>
    <row r="2486" spans="1:13">
      <c r="A2486" s="3" t="s">
        <v>3031</v>
      </c>
      <c r="B2486" s="4">
        <v>0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10</v>
      </c>
      <c r="L2486" s="4">
        <v>10</v>
      </c>
      <c r="M2486" s="4">
        <v>12.5</v>
      </c>
    </row>
    <row r="2487" spans="1:13">
      <c r="A2487" s="3" t="s">
        <v>3032</v>
      </c>
      <c r="B2487" s="4">
        <v>0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136.5</v>
      </c>
      <c r="L2487" s="4">
        <v>55</v>
      </c>
      <c r="M2487" s="4">
        <v>24</v>
      </c>
    </row>
    <row r="2488" spans="1:13">
      <c r="A2488" s="3" t="s">
        <v>3033</v>
      </c>
      <c r="B2488" s="4">
        <v>0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55</v>
      </c>
      <c r="L2488" s="4">
        <v>104.5</v>
      </c>
      <c r="M2488" s="4">
        <v>75</v>
      </c>
    </row>
    <row r="2489" spans="1:13">
      <c r="A2489" s="3" t="s">
        <v>3034</v>
      </c>
      <c r="B2489" s="4">
        <v>0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45</v>
      </c>
      <c r="L2489" s="4">
        <v>20</v>
      </c>
      <c r="M2489" s="4">
        <v>52</v>
      </c>
    </row>
    <row r="2490" spans="1:13">
      <c r="A2490" s="3" t="s">
        <v>3035</v>
      </c>
      <c r="B2490" s="4">
        <v>0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49.5</v>
      </c>
      <c r="L2490" s="4">
        <v>35</v>
      </c>
      <c r="M2490" s="4">
        <v>195</v>
      </c>
    </row>
    <row r="2491" spans="1:13">
      <c r="A2491" s="3" t="s">
        <v>3036</v>
      </c>
      <c r="B2491" s="4">
        <v>0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10.8</v>
      </c>
      <c r="L2491" s="4">
        <v>40</v>
      </c>
      <c r="M2491" s="4">
        <v>5</v>
      </c>
    </row>
    <row r="2492" spans="1:13">
      <c r="A2492" s="3" t="s">
        <v>3037</v>
      </c>
      <c r="B2492" s="4">
        <v>0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27</v>
      </c>
      <c r="L2492" s="4">
        <v>15</v>
      </c>
      <c r="M2492" s="4">
        <v>47</v>
      </c>
    </row>
    <row r="2493" spans="1:13">
      <c r="A2493" s="3" t="s">
        <v>3038</v>
      </c>
      <c r="B2493" s="4">
        <v>0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30</v>
      </c>
      <c r="L2493" s="4">
        <v>15</v>
      </c>
      <c r="M2493" s="4">
        <v>274</v>
      </c>
    </row>
    <row r="2494" spans="1:13">
      <c r="A2494" s="3" t="s">
        <v>3039</v>
      </c>
      <c r="B2494" s="4">
        <v>0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30</v>
      </c>
      <c r="L2494" s="4">
        <v>30</v>
      </c>
      <c r="M2494" s="4">
        <v>40</v>
      </c>
    </row>
    <row r="2495" spans="1:13">
      <c r="A2495" s="3" t="s">
        <v>3040</v>
      </c>
      <c r="B2495" s="4">
        <v>0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56</v>
      </c>
      <c r="L2495" s="4">
        <v>78</v>
      </c>
      <c r="M2495" s="4">
        <v>146.5</v>
      </c>
    </row>
    <row r="2496" spans="1:13">
      <c r="A2496" s="3" t="s">
        <v>3041</v>
      </c>
      <c r="B2496" s="4">
        <v>0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101</v>
      </c>
      <c r="L2496" s="4">
        <v>0</v>
      </c>
      <c r="M2496" s="4">
        <v>298.5</v>
      </c>
    </row>
    <row r="2497" spans="1:13">
      <c r="A2497" s="3" t="s">
        <v>3042</v>
      </c>
      <c r="B2497" s="4">
        <v>0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40</v>
      </c>
      <c r="L2497" s="4">
        <v>70</v>
      </c>
      <c r="M2497" s="4">
        <v>188.5</v>
      </c>
    </row>
    <row r="2498" spans="1:13">
      <c r="A2498" s="3" t="s">
        <v>3043</v>
      </c>
      <c r="B2498" s="4">
        <v>0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20</v>
      </c>
      <c r="L2498" s="4">
        <v>45</v>
      </c>
      <c r="M2498" s="4">
        <v>115</v>
      </c>
    </row>
    <row r="2499" spans="1:13">
      <c r="A2499" s="3" t="s">
        <v>3044</v>
      </c>
      <c r="B2499" s="4">
        <v>0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19</v>
      </c>
      <c r="L2499" s="4">
        <v>10</v>
      </c>
      <c r="M2499" s="4">
        <v>30</v>
      </c>
    </row>
    <row r="2500" spans="1:13">
      <c r="A2500" s="3" t="s">
        <v>3045</v>
      </c>
      <c r="B2500" s="4">
        <v>0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105</v>
      </c>
      <c r="L2500" s="4">
        <v>270</v>
      </c>
      <c r="M2500" s="4">
        <v>363</v>
      </c>
    </row>
    <row r="2501" spans="1:13">
      <c r="A2501" s="3" t="s">
        <v>3046</v>
      </c>
      <c r="B2501" s="4">
        <v>0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10</v>
      </c>
      <c r="M2501" s="4">
        <v>30</v>
      </c>
    </row>
    <row r="2502" spans="1:13">
      <c r="A2502" s="3" t="s">
        <v>3047</v>
      </c>
      <c r="B2502" s="4">
        <v>0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8</v>
      </c>
      <c r="L2502" s="4">
        <v>112.5</v>
      </c>
      <c r="M2502" s="4">
        <v>147.75</v>
      </c>
    </row>
    <row r="2503" spans="1:13">
      <c r="A2503" s="3" t="s">
        <v>3048</v>
      </c>
      <c r="B2503" s="4">
        <v>0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70</v>
      </c>
      <c r="M2503" s="4">
        <v>127.5</v>
      </c>
    </row>
    <row r="2504" spans="1:13">
      <c r="A2504" s="3" t="s">
        <v>3049</v>
      </c>
      <c r="B2504" s="4">
        <v>0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38</v>
      </c>
      <c r="M2504" s="4">
        <v>57.5</v>
      </c>
    </row>
    <row r="2505" spans="1:13">
      <c r="A2505" s="3" t="s">
        <v>3050</v>
      </c>
      <c r="B2505" s="4">
        <v>0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38</v>
      </c>
      <c r="M2505" s="4">
        <v>10</v>
      </c>
    </row>
    <row r="2506" spans="1:13">
      <c r="A2506" s="3" t="s">
        <v>3051</v>
      </c>
      <c r="B2506" s="4">
        <v>0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77.150000000000006</v>
      </c>
      <c r="L2506" s="4">
        <v>88</v>
      </c>
      <c r="M2506" s="4">
        <v>110</v>
      </c>
    </row>
    <row r="2507" spans="1:13">
      <c r="A2507" s="3" t="s">
        <v>3052</v>
      </c>
      <c r="B2507" s="4">
        <v>0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35</v>
      </c>
      <c r="L2507" s="4">
        <v>0</v>
      </c>
      <c r="M2507" s="4">
        <v>0</v>
      </c>
    </row>
    <row r="2508" spans="1:13">
      <c r="A2508" s="3" t="s">
        <v>3053</v>
      </c>
      <c r="B2508" s="4">
        <v>0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35</v>
      </c>
      <c r="L2508" s="4">
        <v>70</v>
      </c>
      <c r="M2508" s="4">
        <v>0</v>
      </c>
    </row>
    <row r="2509" spans="1:13">
      <c r="A2509" s="3" t="s">
        <v>3054</v>
      </c>
      <c r="B2509" s="4">
        <v>0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48.9</v>
      </c>
      <c r="M2509" s="4">
        <v>67.5</v>
      </c>
    </row>
    <row r="2510" spans="1:13">
      <c r="A2510" s="3" t="s">
        <v>3055</v>
      </c>
      <c r="B2510" s="4">
        <v>0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20</v>
      </c>
      <c r="L2510" s="4">
        <v>64</v>
      </c>
      <c r="M2510" s="4">
        <v>72</v>
      </c>
    </row>
    <row r="2511" spans="1:13">
      <c r="A2511" s="3" t="s">
        <v>3056</v>
      </c>
      <c r="B2511" s="4">
        <v>0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30</v>
      </c>
      <c r="M2511" s="4">
        <v>27.5</v>
      </c>
    </row>
    <row r="2512" spans="1:13">
      <c r="A2512" s="3" t="s">
        <v>3057</v>
      </c>
      <c r="B2512" s="4">
        <v>0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40</v>
      </c>
      <c r="M2512" s="4">
        <v>0</v>
      </c>
    </row>
    <row r="2513" spans="1:13">
      <c r="A2513" s="3" t="s">
        <v>3058</v>
      </c>
      <c r="B2513" s="4">
        <v>0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21</v>
      </c>
      <c r="L2513" s="4">
        <v>21.5</v>
      </c>
      <c r="M2513" s="4">
        <v>21</v>
      </c>
    </row>
    <row r="2514" spans="1:13">
      <c r="A2514" s="3" t="s">
        <v>3059</v>
      </c>
      <c r="B2514" s="4">
        <v>0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40</v>
      </c>
      <c r="L2514" s="4">
        <v>35</v>
      </c>
      <c r="M2514" s="4">
        <v>51.5</v>
      </c>
    </row>
    <row r="2515" spans="1:13">
      <c r="A2515" s="3" t="s">
        <v>3060</v>
      </c>
      <c r="B2515" s="4">
        <v>0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35</v>
      </c>
      <c r="M2515" s="4">
        <v>45</v>
      </c>
    </row>
    <row r="2516" spans="1:13">
      <c r="A2516" s="3" t="s">
        <v>3061</v>
      </c>
      <c r="B2516" s="4">
        <v>0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20</v>
      </c>
      <c r="L2516" s="4">
        <v>56</v>
      </c>
      <c r="M2516" s="4">
        <v>104</v>
      </c>
    </row>
    <row r="2517" spans="1:13">
      <c r="A2517" s="3" t="s">
        <v>3062</v>
      </c>
      <c r="B2517" s="4">
        <v>0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39</v>
      </c>
      <c r="L2517" s="4">
        <v>0</v>
      </c>
      <c r="M2517" s="4">
        <v>80</v>
      </c>
    </row>
    <row r="2518" spans="1:13">
      <c r="A2518" s="3" t="s">
        <v>3063</v>
      </c>
      <c r="B2518" s="4">
        <v>0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20</v>
      </c>
      <c r="L2518" s="4">
        <v>65</v>
      </c>
      <c r="M2518" s="4">
        <v>82</v>
      </c>
    </row>
    <row r="2519" spans="1:13">
      <c r="A2519" s="3" t="s">
        <v>3064</v>
      </c>
      <c r="B2519" s="4">
        <v>0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65</v>
      </c>
      <c r="L2519" s="4">
        <v>120</v>
      </c>
      <c r="M2519" s="4">
        <v>45</v>
      </c>
    </row>
    <row r="2520" spans="1:13">
      <c r="A2520" s="3" t="s">
        <v>3065</v>
      </c>
      <c r="B2520" s="4">
        <v>0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102.5</v>
      </c>
      <c r="L2520" s="4">
        <v>151</v>
      </c>
      <c r="M2520" s="4">
        <v>151.5</v>
      </c>
    </row>
    <row r="2521" spans="1:13">
      <c r="A2521" s="3" t="s">
        <v>3066</v>
      </c>
      <c r="B2521" s="4">
        <v>0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17.5</v>
      </c>
      <c r="L2521" s="4">
        <v>32.5</v>
      </c>
      <c r="M2521" s="4">
        <v>27.5</v>
      </c>
    </row>
    <row r="2522" spans="1:13">
      <c r="A2522" s="3" t="s">
        <v>3067</v>
      </c>
      <c r="B2522" s="4">
        <v>0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65</v>
      </c>
      <c r="L2522" s="4">
        <v>113</v>
      </c>
      <c r="M2522" s="4">
        <v>112</v>
      </c>
    </row>
    <row r="2523" spans="1:13">
      <c r="A2523" s="3" t="s">
        <v>3068</v>
      </c>
      <c r="B2523" s="4">
        <v>0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71</v>
      </c>
      <c r="L2523" s="4">
        <v>85</v>
      </c>
      <c r="M2523" s="4">
        <v>90</v>
      </c>
    </row>
    <row r="2524" spans="1:13">
      <c r="A2524" s="3" t="s">
        <v>3069</v>
      </c>
      <c r="B2524" s="4">
        <v>0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10</v>
      </c>
      <c r="M2524" s="4">
        <v>0</v>
      </c>
    </row>
    <row r="2525" spans="1:13">
      <c r="A2525" s="3" t="s">
        <v>3070</v>
      </c>
      <c r="B2525" s="4">
        <v>0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5</v>
      </c>
      <c r="L2525" s="4">
        <v>135</v>
      </c>
      <c r="M2525" s="4">
        <v>136</v>
      </c>
    </row>
    <row r="2526" spans="1:13">
      <c r="A2526" s="3" t="s">
        <v>3071</v>
      </c>
      <c r="B2526" s="4">
        <v>0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15</v>
      </c>
      <c r="L2526" s="4">
        <v>27.5</v>
      </c>
      <c r="M2526" s="4">
        <v>20</v>
      </c>
    </row>
    <row r="2527" spans="1:13">
      <c r="A2527" s="3" t="s">
        <v>3072</v>
      </c>
      <c r="B2527" s="4">
        <v>0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20</v>
      </c>
      <c r="L2527" s="4">
        <v>102.5</v>
      </c>
      <c r="M2527" s="4">
        <v>30</v>
      </c>
    </row>
    <row r="2528" spans="1:13">
      <c r="A2528" s="3" t="s">
        <v>3073</v>
      </c>
      <c r="B2528" s="4">
        <v>0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20</v>
      </c>
      <c r="L2528" s="4">
        <v>20</v>
      </c>
      <c r="M2528" s="4">
        <v>10</v>
      </c>
    </row>
    <row r="2529" spans="1:13">
      <c r="A2529" s="3" t="s">
        <v>3074</v>
      </c>
      <c r="B2529" s="4">
        <v>0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55</v>
      </c>
      <c r="L2529" s="4">
        <v>62.5</v>
      </c>
      <c r="M2529" s="4">
        <v>112</v>
      </c>
    </row>
    <row r="2530" spans="1:13">
      <c r="A2530" s="3" t="s">
        <v>3075</v>
      </c>
      <c r="B2530" s="4">
        <v>0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106</v>
      </c>
      <c r="M2530" s="4">
        <v>112</v>
      </c>
    </row>
    <row r="2531" spans="1:13">
      <c r="A2531" s="3" t="s">
        <v>3076</v>
      </c>
      <c r="B2531" s="4">
        <v>0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50</v>
      </c>
      <c r="L2531" s="4">
        <v>27.5</v>
      </c>
      <c r="M2531" s="4">
        <v>22.5</v>
      </c>
    </row>
    <row r="2532" spans="1:13">
      <c r="A2532" s="3" t="s">
        <v>3077</v>
      </c>
      <c r="B2532" s="4">
        <v>0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30</v>
      </c>
      <c r="L2532" s="4">
        <v>115</v>
      </c>
      <c r="M2532" s="4">
        <v>90</v>
      </c>
    </row>
    <row r="2533" spans="1:13">
      <c r="A2533" s="3" t="s">
        <v>3078</v>
      </c>
      <c r="B2533" s="4">
        <v>0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30</v>
      </c>
      <c r="L2533" s="4">
        <v>74</v>
      </c>
      <c r="M2533" s="4">
        <v>73.5</v>
      </c>
    </row>
    <row r="2534" spans="1:13">
      <c r="A2534" s="3" t="s">
        <v>3079</v>
      </c>
      <c r="B2534" s="4">
        <v>0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10</v>
      </c>
      <c r="L2534" s="4">
        <v>21.5</v>
      </c>
      <c r="M2534" s="4">
        <v>37.5</v>
      </c>
    </row>
    <row r="2535" spans="1:13">
      <c r="A2535" s="3" t="s">
        <v>3080</v>
      </c>
      <c r="B2535" s="4">
        <v>0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20</v>
      </c>
      <c r="L2535" s="4">
        <v>101.95</v>
      </c>
      <c r="M2535" s="4">
        <v>150</v>
      </c>
    </row>
    <row r="2536" spans="1:13">
      <c r="A2536" s="3" t="s">
        <v>3081</v>
      </c>
      <c r="B2536" s="4">
        <v>0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30</v>
      </c>
      <c r="L2536" s="4">
        <v>150</v>
      </c>
      <c r="M2536" s="4">
        <v>220</v>
      </c>
    </row>
    <row r="2537" spans="1:13">
      <c r="A2537" s="3" t="s">
        <v>3082</v>
      </c>
      <c r="B2537" s="4">
        <v>0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20</v>
      </c>
    </row>
    <row r="2538" spans="1:13">
      <c r="A2538" s="3" t="s">
        <v>3083</v>
      </c>
      <c r="B2538" s="4">
        <v>0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30</v>
      </c>
      <c r="M2538" s="4">
        <v>35</v>
      </c>
    </row>
    <row r="2539" spans="1:13">
      <c r="A2539" s="3" t="s">
        <v>3084</v>
      </c>
      <c r="B2539" s="4">
        <v>0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35</v>
      </c>
      <c r="L2539" s="4">
        <v>95</v>
      </c>
      <c r="M2539" s="4">
        <v>105</v>
      </c>
    </row>
    <row r="2540" spans="1:13">
      <c r="A2540" s="3" t="s">
        <v>3085</v>
      </c>
      <c r="B2540" s="4">
        <v>0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20</v>
      </c>
      <c r="M2540" s="4">
        <v>12</v>
      </c>
    </row>
    <row r="2541" spans="1:13">
      <c r="A2541" s="3" t="s">
        <v>3086</v>
      </c>
      <c r="B2541" s="4">
        <v>0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10</v>
      </c>
      <c r="M2541" s="4">
        <v>13</v>
      </c>
    </row>
    <row r="2542" spans="1:13">
      <c r="A2542" s="3" t="s">
        <v>3087</v>
      </c>
      <c r="B2542" s="4">
        <v>0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15</v>
      </c>
      <c r="L2542" s="4">
        <v>50</v>
      </c>
      <c r="M2542" s="4">
        <v>28</v>
      </c>
    </row>
    <row r="2543" spans="1:13">
      <c r="A2543" s="3" t="s">
        <v>3088</v>
      </c>
      <c r="B2543" s="4">
        <v>0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35</v>
      </c>
      <c r="L2543" s="4">
        <v>129</v>
      </c>
      <c r="M2543" s="4">
        <v>120</v>
      </c>
    </row>
    <row r="2544" spans="1:13">
      <c r="A2544" s="3" t="s">
        <v>3089</v>
      </c>
      <c r="B2544" s="4">
        <v>0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28.5</v>
      </c>
      <c r="M2544" s="4">
        <v>25</v>
      </c>
    </row>
    <row r="2545" spans="1:13">
      <c r="A2545" s="3" t="s">
        <v>3090</v>
      </c>
      <c r="B2545" s="4">
        <v>0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30</v>
      </c>
      <c r="L2545" s="4">
        <v>87</v>
      </c>
      <c r="M2545" s="4">
        <v>90</v>
      </c>
    </row>
    <row r="2546" spans="1:13">
      <c r="A2546" s="3" t="s">
        <v>3091</v>
      </c>
      <c r="B2546" s="4">
        <v>0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35</v>
      </c>
      <c r="M2546" s="4">
        <v>35</v>
      </c>
    </row>
    <row r="2547" spans="1:13">
      <c r="A2547" s="3" t="s">
        <v>3092</v>
      </c>
      <c r="B2547" s="4">
        <v>0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30</v>
      </c>
      <c r="M2547" s="4">
        <v>0</v>
      </c>
    </row>
    <row r="2548" spans="1:13">
      <c r="A2548" s="3" t="s">
        <v>3093</v>
      </c>
      <c r="B2548" s="4">
        <v>0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110</v>
      </c>
      <c r="M2548" s="4">
        <v>35</v>
      </c>
    </row>
    <row r="2549" spans="1:13">
      <c r="A2549" s="3" t="s">
        <v>3094</v>
      </c>
      <c r="B2549" s="4">
        <v>0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143</v>
      </c>
      <c r="M2549" s="4">
        <v>0</v>
      </c>
    </row>
    <row r="2550" spans="1:13">
      <c r="A2550" s="3" t="s">
        <v>3095</v>
      </c>
      <c r="B2550" s="4">
        <v>0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55</v>
      </c>
      <c r="M2550" s="4">
        <v>123.25</v>
      </c>
    </row>
    <row r="2551" spans="1:13">
      <c r="A2551" s="3" t="s">
        <v>3096</v>
      </c>
      <c r="B2551" s="4">
        <v>0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95</v>
      </c>
      <c r="M2551" s="4">
        <v>40</v>
      </c>
    </row>
    <row r="2552" spans="1:13">
      <c r="A2552" s="3" t="s">
        <v>3097</v>
      </c>
      <c r="B2552" s="4">
        <v>0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70</v>
      </c>
      <c r="M2552" s="4">
        <v>112</v>
      </c>
    </row>
    <row r="2553" spans="1:13">
      <c r="A2553" s="3" t="s">
        <v>3098</v>
      </c>
      <c r="B2553" s="4">
        <v>0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50</v>
      </c>
      <c r="M2553" s="4">
        <v>44</v>
      </c>
    </row>
    <row r="2554" spans="1:13">
      <c r="A2554" s="3" t="s">
        <v>3099</v>
      </c>
      <c r="B2554" s="4">
        <v>0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13</v>
      </c>
    </row>
    <row r="2555" spans="1:13">
      <c r="A2555" s="3" t="s">
        <v>3100</v>
      </c>
      <c r="B2555" s="4">
        <v>0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70</v>
      </c>
      <c r="L2555" s="4">
        <v>150</v>
      </c>
      <c r="M2555" s="4">
        <v>397.5</v>
      </c>
    </row>
    <row r="2556" spans="1:13">
      <c r="A2556" s="3" t="s">
        <v>3101</v>
      </c>
      <c r="B2556" s="4">
        <v>0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110.5</v>
      </c>
      <c r="M2556" s="4">
        <v>20</v>
      </c>
    </row>
    <row r="2557" spans="1:13">
      <c r="A2557" s="3" t="s">
        <v>3102</v>
      </c>
      <c r="B2557" s="4">
        <v>0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67</v>
      </c>
      <c r="M2557" s="4">
        <v>51.5</v>
      </c>
    </row>
    <row r="2558" spans="1:13">
      <c r="A2558" s="3" t="s">
        <v>3103</v>
      </c>
      <c r="B2558" s="4">
        <v>0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37.5</v>
      </c>
      <c r="M2558" s="4">
        <v>124.8</v>
      </c>
    </row>
    <row r="2559" spans="1:13">
      <c r="A2559" s="3" t="s">
        <v>3104</v>
      </c>
      <c r="B2559" s="4">
        <v>0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10</v>
      </c>
      <c r="M2559" s="4">
        <v>0</v>
      </c>
    </row>
    <row r="2560" spans="1:13">
      <c r="A2560" s="3" t="s">
        <v>3105</v>
      </c>
      <c r="B2560" s="4">
        <v>0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74</v>
      </c>
      <c r="M2560" s="4">
        <v>134.5</v>
      </c>
    </row>
    <row r="2561" spans="1:13">
      <c r="A2561" s="3" t="s">
        <v>3106</v>
      </c>
      <c r="B2561" s="4">
        <v>0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40</v>
      </c>
      <c r="M2561" s="4">
        <v>0</v>
      </c>
    </row>
    <row r="2562" spans="1:13">
      <c r="A2562" s="3" t="s">
        <v>3107</v>
      </c>
      <c r="B2562" s="4">
        <v>0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55</v>
      </c>
      <c r="M2562" s="4">
        <v>34</v>
      </c>
    </row>
    <row r="2563" spans="1:13">
      <c r="A2563" s="3" t="s">
        <v>3108</v>
      </c>
      <c r="B2563" s="4">
        <v>0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41</v>
      </c>
      <c r="M2563" s="4">
        <v>31</v>
      </c>
    </row>
    <row r="2564" spans="1:13">
      <c r="A2564" s="3" t="s">
        <v>3109</v>
      </c>
      <c r="B2564" s="4">
        <v>0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165</v>
      </c>
      <c r="M2564" s="4">
        <v>163</v>
      </c>
    </row>
    <row r="2565" spans="1:13">
      <c r="A2565" s="3" t="s">
        <v>3110</v>
      </c>
      <c r="B2565" s="4">
        <v>0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17.5</v>
      </c>
      <c r="M2565" s="4">
        <v>30</v>
      </c>
    </row>
    <row r="2566" spans="1:13">
      <c r="A2566" s="3" t="s">
        <v>3111</v>
      </c>
      <c r="B2566" s="4">
        <v>0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15</v>
      </c>
      <c r="M2566" s="4">
        <v>38.5</v>
      </c>
    </row>
    <row r="2567" spans="1:13">
      <c r="A2567" s="3" t="s">
        <v>3112</v>
      </c>
      <c r="B2567" s="4">
        <v>0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10</v>
      </c>
      <c r="M2567" s="4">
        <v>2</v>
      </c>
    </row>
    <row r="2568" spans="1:13">
      <c r="A2568" s="3" t="s">
        <v>3113</v>
      </c>
      <c r="B2568" s="4">
        <v>0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66</v>
      </c>
      <c r="M2568" s="4">
        <v>41</v>
      </c>
    </row>
    <row r="2569" spans="1:13">
      <c r="A2569" s="3" t="s">
        <v>3114</v>
      </c>
      <c r="B2569" s="4">
        <v>0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205</v>
      </c>
      <c r="M2569" s="4">
        <v>325.5</v>
      </c>
    </row>
    <row r="2570" spans="1:13">
      <c r="A2570" s="3" t="s">
        <v>3115</v>
      </c>
      <c r="B2570" s="4">
        <v>0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55</v>
      </c>
      <c r="M2570" s="4">
        <v>31</v>
      </c>
    </row>
    <row r="2571" spans="1:13">
      <c r="A2571" s="3" t="s">
        <v>3116</v>
      </c>
      <c r="B2571" s="4">
        <v>0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85</v>
      </c>
      <c r="M2571" s="4">
        <v>60</v>
      </c>
    </row>
    <row r="2572" spans="1:13">
      <c r="A2572" s="3" t="s">
        <v>3117</v>
      </c>
      <c r="B2572" s="4">
        <v>0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101.3</v>
      </c>
      <c r="M2572" s="4">
        <v>156.05000000000001</v>
      </c>
    </row>
    <row r="2573" spans="1:13">
      <c r="A2573" s="3" t="s">
        <v>3118</v>
      </c>
      <c r="B2573" s="4">
        <v>0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20</v>
      </c>
      <c r="M2573" s="4">
        <v>60</v>
      </c>
    </row>
    <row r="2574" spans="1:13">
      <c r="A2574" s="3" t="s">
        <v>3119</v>
      </c>
      <c r="B2574" s="4">
        <v>0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51</v>
      </c>
      <c r="M2574" s="4">
        <v>81</v>
      </c>
    </row>
    <row r="2575" spans="1:13">
      <c r="A2575" s="3" t="s">
        <v>3120</v>
      </c>
      <c r="B2575" s="4">
        <v>0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30</v>
      </c>
    </row>
    <row r="2576" spans="1:13">
      <c r="A2576" s="3" t="s">
        <v>3121</v>
      </c>
      <c r="B2576" s="4">
        <v>0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42</v>
      </c>
      <c r="M2576" s="4">
        <v>45</v>
      </c>
    </row>
    <row r="2577" spans="1:13">
      <c r="A2577" s="3" t="s">
        <v>3122</v>
      </c>
      <c r="B2577" s="4">
        <v>0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94.5</v>
      </c>
      <c r="M2577" s="4">
        <v>2</v>
      </c>
    </row>
    <row r="2578" spans="1:13">
      <c r="A2578" s="3" t="s">
        <v>3123</v>
      </c>
      <c r="B2578" s="4">
        <v>0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52</v>
      </c>
      <c r="M2578" s="4">
        <v>83</v>
      </c>
    </row>
    <row r="2579" spans="1:13">
      <c r="A2579" s="3" t="s">
        <v>3124</v>
      </c>
      <c r="B2579" s="4">
        <v>0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89</v>
      </c>
    </row>
    <row r="2580" spans="1:13">
      <c r="A2580" s="3" t="s">
        <v>3125</v>
      </c>
      <c r="B2580" s="4">
        <v>0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100</v>
      </c>
      <c r="M2580" s="4">
        <v>100</v>
      </c>
    </row>
    <row r="2581" spans="1:13">
      <c r="A2581" s="3" t="s">
        <v>3126</v>
      </c>
      <c r="B2581" s="4">
        <v>0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28</v>
      </c>
      <c r="M2581" s="4">
        <v>20</v>
      </c>
    </row>
    <row r="2582" spans="1:13">
      <c r="A2582" s="3" t="s">
        <v>3127</v>
      </c>
      <c r="B2582" s="4">
        <v>0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50</v>
      </c>
      <c r="M2582" s="4">
        <v>52</v>
      </c>
    </row>
    <row r="2583" spans="1:13">
      <c r="A2583" s="3" t="s">
        <v>3128</v>
      </c>
      <c r="B2583" s="4">
        <v>0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50</v>
      </c>
    </row>
    <row r="2584" spans="1:13">
      <c r="A2584" s="3" t="s">
        <v>3129</v>
      </c>
      <c r="B2584" s="4">
        <v>0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20</v>
      </c>
    </row>
    <row r="2585" spans="1:13">
      <c r="A2585" s="3" t="s">
        <v>3130</v>
      </c>
      <c r="B2585" s="4">
        <v>0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31</v>
      </c>
    </row>
    <row r="2586" spans="1:13">
      <c r="A2586" s="3" t="s">
        <v>3131</v>
      </c>
      <c r="B2586" s="4">
        <v>0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62.25</v>
      </c>
      <c r="M2586" s="4">
        <v>120.75</v>
      </c>
    </row>
    <row r="2587" spans="1:13">
      <c r="A2587" s="3" t="s">
        <v>3132</v>
      </c>
      <c r="B2587" s="4">
        <v>0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10</v>
      </c>
    </row>
    <row r="2588" spans="1:13">
      <c r="A2588" s="3" t="s">
        <v>3133</v>
      </c>
      <c r="B2588" s="4">
        <v>0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20.149999999999999</v>
      </c>
      <c r="M2588" s="4">
        <v>174.5</v>
      </c>
    </row>
    <row r="2589" spans="1:13">
      <c r="A2589" s="3" t="s">
        <v>3134</v>
      </c>
      <c r="B2589" s="4">
        <v>0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25</v>
      </c>
      <c r="M2589" s="4">
        <v>264</v>
      </c>
    </row>
    <row r="2590" spans="1:13">
      <c r="A2590" s="3" t="s">
        <v>3135</v>
      </c>
      <c r="B2590" s="4">
        <v>0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10</v>
      </c>
      <c r="M2590" s="4">
        <v>105</v>
      </c>
    </row>
    <row r="2591" spans="1:13">
      <c r="A2591" s="3" t="s">
        <v>3136</v>
      </c>
      <c r="B2591" s="4">
        <v>0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50</v>
      </c>
      <c r="M2591" s="4">
        <v>60</v>
      </c>
    </row>
    <row r="2592" spans="1:13">
      <c r="A2592" s="3" t="s">
        <v>3137</v>
      </c>
      <c r="B2592" s="4">
        <v>0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35</v>
      </c>
    </row>
    <row r="2593" spans="1:13">
      <c r="A2593" s="3" t="s">
        <v>3138</v>
      </c>
      <c r="B2593" s="4">
        <v>0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46.95</v>
      </c>
    </row>
    <row r="2594" spans="1:13">
      <c r="A2594" s="3" t="s">
        <v>3139</v>
      </c>
      <c r="B2594" s="4">
        <v>0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35</v>
      </c>
    </row>
    <row r="2595" spans="1:13">
      <c r="A2595" s="3" t="s">
        <v>3140</v>
      </c>
      <c r="B2595" s="4">
        <v>0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45</v>
      </c>
      <c r="M2595" s="4">
        <v>35</v>
      </c>
    </row>
    <row r="2596" spans="1:13">
      <c r="A2596" s="3" t="s">
        <v>3141</v>
      </c>
      <c r="B2596" s="4">
        <v>0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20</v>
      </c>
      <c r="M2596" s="4">
        <v>55</v>
      </c>
    </row>
    <row r="2597" spans="1:13">
      <c r="A2597" s="3" t="s">
        <v>3142</v>
      </c>
      <c r="B2597" s="4">
        <v>0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35</v>
      </c>
      <c r="M2597" s="4">
        <v>35</v>
      </c>
    </row>
    <row r="2598" spans="1:13">
      <c r="A2598" s="3" t="s">
        <v>3143</v>
      </c>
      <c r="B2598" s="4">
        <v>0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70</v>
      </c>
      <c r="M2598" s="4">
        <v>135</v>
      </c>
    </row>
    <row r="2599" spans="1:13">
      <c r="A2599" s="3" t="s">
        <v>3144</v>
      </c>
      <c r="B2599" s="4">
        <v>0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10</v>
      </c>
    </row>
    <row r="2600" spans="1:13">
      <c r="A2600" s="3" t="s">
        <v>3145</v>
      </c>
      <c r="B2600" s="4">
        <v>0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94.75</v>
      </c>
      <c r="M2600" s="4">
        <v>105.25</v>
      </c>
    </row>
    <row r="2601" spans="1:13">
      <c r="A2601" s="3" t="s">
        <v>3146</v>
      </c>
      <c r="B2601" s="4">
        <v>0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22</v>
      </c>
      <c r="M2601" s="4">
        <v>70</v>
      </c>
    </row>
    <row r="2602" spans="1:13">
      <c r="A2602" s="3" t="s">
        <v>3147</v>
      </c>
      <c r="B2602" s="4">
        <v>0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45</v>
      </c>
      <c r="M2602" s="4">
        <v>101</v>
      </c>
    </row>
    <row r="2603" spans="1:13">
      <c r="A2603" s="3" t="s">
        <v>3148</v>
      </c>
      <c r="B2603" s="4">
        <v>0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115</v>
      </c>
      <c r="M2603" s="4">
        <v>190</v>
      </c>
    </row>
    <row r="2604" spans="1:13">
      <c r="A2604" s="3" t="s">
        <v>3149</v>
      </c>
      <c r="B2604" s="4">
        <v>0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20</v>
      </c>
      <c r="M2604" s="4">
        <v>172</v>
      </c>
    </row>
    <row r="2605" spans="1:13">
      <c r="A2605" s="3" t="s">
        <v>3150</v>
      </c>
      <c r="B2605" s="4">
        <v>0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25</v>
      </c>
    </row>
    <row r="2606" spans="1:13">
      <c r="A2606" s="3" t="s">
        <v>3151</v>
      </c>
      <c r="B2606" s="4">
        <v>0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10</v>
      </c>
      <c r="M2606" s="4">
        <v>35</v>
      </c>
    </row>
    <row r="2607" spans="1:13">
      <c r="A2607" s="3" t="s">
        <v>3152</v>
      </c>
      <c r="B2607" s="4">
        <v>0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55</v>
      </c>
      <c r="M2607" s="4">
        <v>145</v>
      </c>
    </row>
    <row r="2608" spans="1:13">
      <c r="A2608" s="3" t="s">
        <v>3153</v>
      </c>
      <c r="B2608" s="4">
        <v>0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50</v>
      </c>
    </row>
    <row r="2609" spans="1:13">
      <c r="A2609" s="3" t="s">
        <v>3154</v>
      </c>
      <c r="B2609" s="4">
        <v>0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60.5</v>
      </c>
    </row>
    <row r="2610" spans="1:13">
      <c r="A2610" s="3" t="s">
        <v>3155</v>
      </c>
      <c r="B2610" s="4">
        <v>0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2.85</v>
      </c>
      <c r="M2610" s="4">
        <v>114.5</v>
      </c>
    </row>
    <row r="2611" spans="1:13">
      <c r="A2611" s="3" t="s">
        <v>3156</v>
      </c>
      <c r="B2611" s="4">
        <v>0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35.5</v>
      </c>
    </row>
    <row r="2612" spans="1:13">
      <c r="A2612" s="3" t="s">
        <v>3157</v>
      </c>
      <c r="B2612" s="4">
        <v>0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15</v>
      </c>
    </row>
    <row r="2613" spans="1:13">
      <c r="A2613" s="3" t="s">
        <v>3158</v>
      </c>
      <c r="B2613" s="4">
        <v>0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15</v>
      </c>
    </row>
    <row r="2614" spans="1:13">
      <c r="A2614" s="3" t="s">
        <v>3159</v>
      </c>
      <c r="B2614" s="4">
        <v>0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102</v>
      </c>
    </row>
    <row r="2615" spans="1:13">
      <c r="A2615" s="3" t="s">
        <v>3160</v>
      </c>
      <c r="B2615" s="4">
        <v>0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85</v>
      </c>
    </row>
    <row r="2616" spans="1:13">
      <c r="A2616" s="3" t="s">
        <v>3161</v>
      </c>
      <c r="B2616" s="4">
        <v>0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55</v>
      </c>
    </row>
    <row r="2617" spans="1:13">
      <c r="A2617" s="3" t="s">
        <v>3162</v>
      </c>
      <c r="B2617" s="4">
        <v>0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10</v>
      </c>
    </row>
    <row r="2618" spans="1:13">
      <c r="A2618" s="3" t="s">
        <v>3163</v>
      </c>
      <c r="B2618" s="4">
        <v>0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80</v>
      </c>
    </row>
    <row r="2619" spans="1:13">
      <c r="A2619" s="3" t="s">
        <v>3164</v>
      </c>
      <c r="B2619" s="4">
        <v>0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22.5</v>
      </c>
    </row>
    <row r="2620" spans="1:13">
      <c r="A2620" s="3" t="s">
        <v>3165</v>
      </c>
      <c r="B2620" s="4">
        <v>0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30</v>
      </c>
    </row>
    <row r="2621" spans="1:13">
      <c r="A2621" s="3" t="s">
        <v>3166</v>
      </c>
      <c r="B2621" s="4">
        <v>0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27.5</v>
      </c>
    </row>
    <row r="2622" spans="1:13">
      <c r="A2622" s="3" t="s">
        <v>3167</v>
      </c>
      <c r="B2622" s="4">
        <v>0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110</v>
      </c>
    </row>
    <row r="2623" spans="1:13">
      <c r="A2623" s="3" t="s">
        <v>3168</v>
      </c>
      <c r="B2623" s="4">
        <v>0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140</v>
      </c>
    </row>
    <row r="2624" spans="1:13">
      <c r="A2624" s="3" t="s">
        <v>3169</v>
      </c>
      <c r="B2624" s="4">
        <v>0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105</v>
      </c>
    </row>
    <row r="2625" spans="1:13">
      <c r="A2625" s="3" t="s">
        <v>3170</v>
      </c>
      <c r="B2625" s="4">
        <v>0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69</v>
      </c>
    </row>
    <row r="2626" spans="1:13">
      <c r="A2626" s="3" t="s">
        <v>3171</v>
      </c>
      <c r="B2626" s="4">
        <v>0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115</v>
      </c>
    </row>
    <row r="2627" spans="1:13">
      <c r="A2627" s="3" t="s">
        <v>3172</v>
      </c>
      <c r="B2627" s="4">
        <v>0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70</v>
      </c>
    </row>
    <row r="2628" spans="1:13">
      <c r="A2628" s="3" t="s">
        <v>3173</v>
      </c>
      <c r="B2628" s="4">
        <v>0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4.5</v>
      </c>
    </row>
    <row r="2629" spans="1:13">
      <c r="A2629" s="3" t="s">
        <v>3174</v>
      </c>
      <c r="B2629" s="4">
        <v>0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30</v>
      </c>
    </row>
    <row r="2630" spans="1:13">
      <c r="A2630" s="3" t="s">
        <v>3175</v>
      </c>
      <c r="B2630" s="4">
        <v>0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15</v>
      </c>
    </row>
    <row r="2631" spans="1:13">
      <c r="A2631" s="3" t="s">
        <v>3176</v>
      </c>
      <c r="B2631" s="4">
        <v>0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85</v>
      </c>
    </row>
    <row r="2632" spans="1:13">
      <c r="A2632" s="3" t="s">
        <v>3177</v>
      </c>
      <c r="B2632" s="4">
        <v>0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67.5</v>
      </c>
    </row>
    <row r="2633" spans="1:13">
      <c r="A2633" s="3" t="s">
        <v>3178</v>
      </c>
      <c r="B2633" s="4">
        <v>0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10</v>
      </c>
    </row>
    <row r="2634" spans="1:13">
      <c r="A2634" s="3" t="s">
        <v>3179</v>
      </c>
      <c r="B2634" s="4">
        <v>0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120</v>
      </c>
    </row>
    <row r="2635" spans="1:13">
      <c r="A2635" s="3" t="s">
        <v>3180</v>
      </c>
      <c r="B2635" s="4">
        <v>0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143.5</v>
      </c>
    </row>
    <row r="2636" spans="1:13">
      <c r="A2636" s="3" t="s">
        <v>3181</v>
      </c>
      <c r="B2636" s="4">
        <v>0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10</v>
      </c>
    </row>
    <row r="2637" spans="1:13">
      <c r="A2637" s="3" t="s">
        <v>3182</v>
      </c>
      <c r="B2637" s="4">
        <v>0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112.5</v>
      </c>
    </row>
    <row r="2638" spans="1:13">
      <c r="A2638" s="3" t="s">
        <v>3183</v>
      </c>
      <c r="B2638" s="4">
        <v>0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95</v>
      </c>
    </row>
    <row r="2639" spans="1:13">
      <c r="A2639" s="3" t="s">
        <v>3184</v>
      </c>
      <c r="B2639" s="4">
        <v>0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20</v>
      </c>
    </row>
    <row r="2640" spans="1:13">
      <c r="A2640" s="3" t="s">
        <v>3185</v>
      </c>
      <c r="B2640" s="4">
        <v>0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25</v>
      </c>
    </row>
    <row r="2641" spans="1:13">
      <c r="A2641" s="3" t="s">
        <v>3186</v>
      </c>
      <c r="B2641" s="4">
        <v>0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84</v>
      </c>
    </row>
    <row r="2642" spans="1:13">
      <c r="A2642" s="3" t="s">
        <v>3187</v>
      </c>
      <c r="B2642" s="4">
        <v>0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10</v>
      </c>
    </row>
    <row r="2643" spans="1:13">
      <c r="A2643" s="3" t="s">
        <v>3188</v>
      </c>
      <c r="B2643" s="4">
        <v>0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95</v>
      </c>
    </row>
    <row r="2644" spans="1:13">
      <c r="A2644" s="3" t="s">
        <v>3189</v>
      </c>
      <c r="B2644" s="4">
        <v>0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23</v>
      </c>
    </row>
    <row r="2645" spans="1:13">
      <c r="A2645" s="3" t="s">
        <v>3190</v>
      </c>
      <c r="B2645" s="4">
        <v>0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10</v>
      </c>
    </row>
    <row r="2646" spans="1:13">
      <c r="A2646" s="3" t="s">
        <v>3191</v>
      </c>
      <c r="B2646" s="4">
        <v>0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157</v>
      </c>
    </row>
    <row r="2647" spans="1:13">
      <c r="A2647" s="3" t="s">
        <v>3192</v>
      </c>
      <c r="B2647" s="4">
        <v>0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39.9</v>
      </c>
    </row>
    <row r="2648" spans="1:13">
      <c r="A2648" s="3" t="s">
        <v>3193</v>
      </c>
      <c r="B2648" s="4">
        <v>0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80</v>
      </c>
    </row>
    <row r="2649" spans="1:13">
      <c r="A2649" s="3" t="s">
        <v>3194</v>
      </c>
      <c r="B2649" s="4">
        <v>0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85</v>
      </c>
    </row>
    <row r="2650" spans="1:13">
      <c r="A2650" s="3" t="s">
        <v>3195</v>
      </c>
      <c r="B2650" s="4">
        <v>0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65</v>
      </c>
    </row>
    <row r="2651" spans="1:13">
      <c r="A2651" s="3" t="s">
        <v>3196</v>
      </c>
      <c r="B2651" s="4">
        <v>0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45</v>
      </c>
    </row>
    <row r="2652" spans="1:13">
      <c r="A2652" s="3" t="s">
        <v>3197</v>
      </c>
      <c r="B2652" s="4">
        <v>0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40</v>
      </c>
    </row>
    <row r="2653" spans="1:13">
      <c r="A2653" s="3" t="s">
        <v>3198</v>
      </c>
      <c r="B2653" s="4">
        <v>0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35</v>
      </c>
    </row>
    <row r="2654" spans="1:13">
      <c r="A2654" s="3" t="s">
        <v>3199</v>
      </c>
      <c r="B2654" s="4">
        <v>0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22.5</v>
      </c>
    </row>
    <row r="2655" spans="1:13">
      <c r="A2655" s="3" t="s">
        <v>3200</v>
      </c>
      <c r="B2655" s="4">
        <v>0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45</v>
      </c>
    </row>
    <row r="2656" spans="1:13">
      <c r="A2656" s="3" t="s">
        <v>3201</v>
      </c>
      <c r="B2656" s="4">
        <v>0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60</v>
      </c>
    </row>
    <row r="2657" spans="1:13">
      <c r="A2657" s="3" t="s">
        <v>3202</v>
      </c>
      <c r="B2657" s="4">
        <v>0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77</v>
      </c>
    </row>
    <row r="2658" spans="1:13">
      <c r="A2658" s="3" t="s">
        <v>3203</v>
      </c>
      <c r="B2658" s="4">
        <v>0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14.5</v>
      </c>
    </row>
    <row r="2659" spans="1:13">
      <c r="A2659" s="3" t="s">
        <v>3204</v>
      </c>
      <c r="B2659" s="4">
        <v>0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50</v>
      </c>
    </row>
    <row r="2660" spans="1:13">
      <c r="A2660" s="3" t="s">
        <v>3205</v>
      </c>
      <c r="B2660" s="4">
        <v>0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96</v>
      </c>
    </row>
    <row r="2661" spans="1:13">
      <c r="A2661" s="3" t="s">
        <v>3206</v>
      </c>
      <c r="B2661" s="4">
        <v>0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70</v>
      </c>
    </row>
    <row r="2662" spans="1:13">
      <c r="A2662" s="3" t="s">
        <v>3207</v>
      </c>
      <c r="B2662" s="4">
        <v>0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18</v>
      </c>
    </row>
    <row r="2663" spans="1:13">
      <c r="A2663" s="3" t="s">
        <v>3208</v>
      </c>
      <c r="B2663" s="4">
        <v>0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115</v>
      </c>
    </row>
    <row r="2664" spans="1:13">
      <c r="A2664" s="3" t="s">
        <v>3209</v>
      </c>
      <c r="B2664" s="4">
        <v>0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96</v>
      </c>
    </row>
    <row r="2665" spans="1:13">
      <c r="A2665" s="3" t="s">
        <v>3210</v>
      </c>
      <c r="B2665" s="4">
        <v>0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63.5</v>
      </c>
    </row>
    <row r="2666" spans="1:13">
      <c r="A2666" s="3" t="s">
        <v>3211</v>
      </c>
      <c r="B2666" s="4">
        <v>0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20</v>
      </c>
    </row>
    <row r="2667" spans="1:13">
      <c r="A2667" s="3" t="s">
        <v>3212</v>
      </c>
      <c r="B2667" s="4">
        <v>0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10</v>
      </c>
    </row>
    <row r="2668" spans="1:13">
      <c r="A2668" s="3" t="s">
        <v>3213</v>
      </c>
      <c r="B2668" s="4">
        <v>0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5</v>
      </c>
    </row>
    <row r="2669" spans="1:13">
      <c r="A2669" s="3" t="s">
        <v>3214</v>
      </c>
      <c r="B2669" s="4">
        <v>0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40</v>
      </c>
    </row>
    <row r="2670" spans="1:13">
      <c r="A2670" s="3" t="s">
        <v>342</v>
      </c>
      <c r="B2670" s="4">
        <v>65326.549999999996</v>
      </c>
      <c r="C2670" s="4">
        <v>64092.4</v>
      </c>
      <c r="D2670" s="4">
        <v>91292.549999999988</v>
      </c>
      <c r="E2670" s="4">
        <v>89459.25</v>
      </c>
      <c r="F2670" s="4">
        <v>78888.650000000023</v>
      </c>
      <c r="G2670" s="4">
        <v>78268.549999999988</v>
      </c>
      <c r="H2670" s="4">
        <v>77181.7</v>
      </c>
      <c r="I2670" s="4">
        <v>57801.549999999996</v>
      </c>
      <c r="J2670" s="4">
        <v>109698.45</v>
      </c>
      <c r="K2670" s="4">
        <v>98770.849999999991</v>
      </c>
      <c r="L2670" s="4">
        <v>105066.15000000001</v>
      </c>
      <c r="M2670" s="4">
        <v>143173.40000000002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668"/>
  <sheetViews>
    <sheetView topLeftCell="B1" workbookViewId="0">
      <selection activeCell="A2" sqref="A2"/>
    </sheetView>
  </sheetViews>
  <sheetFormatPr defaultRowHeight="12.75"/>
  <cols>
    <col min="1" max="1" width="13.140625" bestFit="1" customWidth="1"/>
    <col min="2" max="2" width="13.140625" customWidth="1"/>
    <col min="3" max="3" width="13.7109375" bestFit="1" customWidth="1"/>
    <col min="4" max="4" width="14.28515625" bestFit="1" customWidth="1"/>
    <col min="5" max="5" width="13.85546875" bestFit="1" customWidth="1"/>
    <col min="6" max="6" width="13.28515625" bestFit="1" customWidth="1"/>
    <col min="7" max="8" width="14.140625" bestFit="1" customWidth="1"/>
    <col min="9" max="9" width="13.5703125" bestFit="1" customWidth="1"/>
    <col min="10" max="11" width="14" bestFit="1" customWidth="1"/>
    <col min="12" max="12" width="13.85546875" bestFit="1" customWidth="1"/>
    <col min="13" max="14" width="14" bestFit="1" customWidth="1"/>
  </cols>
  <sheetData>
    <row r="1" spans="1:14">
      <c r="A1" s="17" t="s">
        <v>443</v>
      </c>
      <c r="B1" s="17" t="s">
        <v>3227</v>
      </c>
      <c r="C1" s="17" t="s">
        <v>3215</v>
      </c>
      <c r="D1" s="17" t="s">
        <v>3216</v>
      </c>
      <c r="E1" s="17" t="s">
        <v>3217</v>
      </c>
      <c r="F1" s="17" t="s">
        <v>3218</v>
      </c>
      <c r="G1" s="17" t="s">
        <v>3219</v>
      </c>
      <c r="H1" s="17" t="s">
        <v>3220</v>
      </c>
      <c r="I1" s="17" t="s">
        <v>3221</v>
      </c>
      <c r="J1" s="17" t="s">
        <v>3222</v>
      </c>
      <c r="K1" s="17" t="s">
        <v>3223</v>
      </c>
      <c r="L1" s="17" t="s">
        <v>3224</v>
      </c>
      <c r="M1" s="17" t="s">
        <v>3225</v>
      </c>
      <c r="N1" s="17" t="s">
        <v>3226</v>
      </c>
    </row>
    <row r="2" spans="1:14">
      <c r="A2" s="3">
        <v>801582</v>
      </c>
      <c r="B2" s="3">
        <v>119028</v>
      </c>
      <c r="C2" s="4">
        <v>31</v>
      </c>
      <c r="D2" s="4">
        <v>62</v>
      </c>
      <c r="E2" s="4">
        <v>62</v>
      </c>
      <c r="F2" s="4">
        <v>83</v>
      </c>
      <c r="G2" s="4">
        <v>108</v>
      </c>
      <c r="H2" s="4">
        <v>62</v>
      </c>
      <c r="I2" s="4">
        <v>388</v>
      </c>
      <c r="J2" s="4">
        <v>124</v>
      </c>
      <c r="K2" s="4">
        <v>158</v>
      </c>
      <c r="L2" s="4">
        <v>31</v>
      </c>
      <c r="M2" s="4">
        <v>103</v>
      </c>
      <c r="N2" s="4">
        <v>62</v>
      </c>
    </row>
    <row r="3" spans="1:14">
      <c r="A3" s="3">
        <v>801583</v>
      </c>
      <c r="B3" s="3">
        <v>119044</v>
      </c>
      <c r="C3" s="4">
        <v>70</v>
      </c>
      <c r="D3" s="4">
        <v>0</v>
      </c>
      <c r="E3" s="4">
        <v>179</v>
      </c>
      <c r="F3" s="4">
        <v>65</v>
      </c>
      <c r="G3" s="4">
        <v>2.5</v>
      </c>
      <c r="H3" s="4">
        <v>0</v>
      </c>
      <c r="I3" s="4">
        <v>0</v>
      </c>
      <c r="J3" s="4">
        <v>0</v>
      </c>
      <c r="K3" s="4">
        <v>65</v>
      </c>
      <c r="L3" s="4">
        <v>42</v>
      </c>
      <c r="M3" s="4">
        <v>60</v>
      </c>
      <c r="N3" s="4">
        <v>120</v>
      </c>
    </row>
    <row r="4" spans="1:14">
      <c r="A4" s="3">
        <v>801588</v>
      </c>
      <c r="B4" s="3">
        <v>119047</v>
      </c>
      <c r="C4" s="4">
        <v>194</v>
      </c>
      <c r="D4" s="4">
        <v>174.5</v>
      </c>
      <c r="E4" s="4">
        <v>221.5</v>
      </c>
      <c r="F4" s="4">
        <v>175.3</v>
      </c>
      <c r="G4" s="4">
        <v>187</v>
      </c>
      <c r="H4" s="4">
        <v>139</v>
      </c>
      <c r="I4" s="4">
        <v>127</v>
      </c>
      <c r="J4" s="4">
        <v>121</v>
      </c>
      <c r="K4" s="4">
        <v>102.5</v>
      </c>
      <c r="L4" s="4">
        <v>156</v>
      </c>
      <c r="M4" s="4">
        <v>144</v>
      </c>
      <c r="N4" s="4">
        <v>149</v>
      </c>
    </row>
    <row r="5" spans="1:14">
      <c r="A5" s="3">
        <v>801589</v>
      </c>
      <c r="B5" s="3">
        <v>119047</v>
      </c>
      <c r="C5" s="4">
        <v>41.5</v>
      </c>
      <c r="D5" s="4">
        <v>20</v>
      </c>
      <c r="E5" s="4">
        <v>35</v>
      </c>
      <c r="F5" s="4">
        <v>21.5</v>
      </c>
      <c r="G5" s="4">
        <v>27</v>
      </c>
      <c r="H5" s="4">
        <v>20</v>
      </c>
      <c r="I5" s="4">
        <v>77</v>
      </c>
      <c r="J5" s="4">
        <v>0</v>
      </c>
      <c r="K5" s="4">
        <v>0</v>
      </c>
      <c r="L5" s="4">
        <v>33</v>
      </c>
      <c r="M5" s="4">
        <v>40</v>
      </c>
      <c r="N5" s="4">
        <v>42</v>
      </c>
    </row>
    <row r="6" spans="1:14">
      <c r="A6" s="3">
        <v>801590</v>
      </c>
      <c r="B6" s="3">
        <v>119047</v>
      </c>
      <c r="C6" s="4">
        <v>41.5</v>
      </c>
      <c r="D6" s="4">
        <v>41.5</v>
      </c>
      <c r="E6" s="4">
        <v>99.5</v>
      </c>
      <c r="F6" s="4">
        <v>72</v>
      </c>
      <c r="G6" s="4">
        <v>20</v>
      </c>
      <c r="H6" s="4">
        <v>42</v>
      </c>
      <c r="I6" s="4">
        <v>64</v>
      </c>
      <c r="J6" s="4">
        <v>47</v>
      </c>
      <c r="K6" s="4">
        <v>30</v>
      </c>
      <c r="L6" s="4">
        <v>71</v>
      </c>
      <c r="M6" s="4">
        <v>74</v>
      </c>
      <c r="N6" s="4">
        <v>47.5</v>
      </c>
    </row>
    <row r="7" spans="1:14">
      <c r="A7" s="3">
        <v>801627</v>
      </c>
      <c r="B7" s="3">
        <v>202865</v>
      </c>
      <c r="C7" s="4">
        <v>84</v>
      </c>
      <c r="D7" s="4">
        <v>131</v>
      </c>
      <c r="E7" s="4">
        <v>110</v>
      </c>
      <c r="F7" s="4">
        <v>86.5</v>
      </c>
      <c r="G7" s="4">
        <v>83</v>
      </c>
      <c r="H7" s="4">
        <v>84</v>
      </c>
      <c r="I7" s="4">
        <v>22</v>
      </c>
      <c r="J7" s="4">
        <v>41</v>
      </c>
      <c r="K7" s="4">
        <v>104.5</v>
      </c>
      <c r="L7" s="4">
        <v>0</v>
      </c>
      <c r="M7" s="4">
        <v>42</v>
      </c>
      <c r="N7" s="4">
        <v>42</v>
      </c>
    </row>
    <row r="8" spans="1:14">
      <c r="A8" s="3">
        <v>801716</v>
      </c>
      <c r="B8" s="3">
        <v>119261</v>
      </c>
      <c r="C8" s="4">
        <v>50</v>
      </c>
      <c r="D8" s="4">
        <v>50</v>
      </c>
      <c r="E8" s="4">
        <v>31</v>
      </c>
      <c r="F8" s="4">
        <v>83</v>
      </c>
      <c r="G8" s="4">
        <v>21</v>
      </c>
      <c r="H8" s="4">
        <v>1</v>
      </c>
      <c r="I8" s="4">
        <v>146</v>
      </c>
      <c r="J8" s="4">
        <v>201</v>
      </c>
      <c r="K8" s="4">
        <v>100</v>
      </c>
      <c r="L8" s="4">
        <v>105.75</v>
      </c>
      <c r="M8" s="4">
        <v>118</v>
      </c>
      <c r="N8" s="4">
        <v>150</v>
      </c>
    </row>
    <row r="9" spans="1:14">
      <c r="A9" s="3">
        <v>801727</v>
      </c>
      <c r="B9" s="3">
        <v>170904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3">
        <v>801729</v>
      </c>
      <c r="B10" s="3">
        <v>119261</v>
      </c>
      <c r="C10" s="4">
        <v>30</v>
      </c>
      <c r="D10" s="4">
        <v>0</v>
      </c>
      <c r="E10" s="4">
        <v>50</v>
      </c>
      <c r="F10" s="4">
        <v>22</v>
      </c>
      <c r="G10" s="4">
        <v>50</v>
      </c>
      <c r="H10" s="4">
        <v>0</v>
      </c>
      <c r="I10" s="4">
        <v>0</v>
      </c>
      <c r="J10" s="4">
        <v>50</v>
      </c>
      <c r="K10" s="4">
        <v>21</v>
      </c>
      <c r="L10" s="4">
        <v>0</v>
      </c>
      <c r="M10" s="4">
        <v>0</v>
      </c>
      <c r="N10" s="4">
        <v>0</v>
      </c>
    </row>
    <row r="11" spans="1:14">
      <c r="A11" s="3">
        <v>801757</v>
      </c>
      <c r="B11" s="3">
        <v>140967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144.5</v>
      </c>
      <c r="I11" s="4">
        <v>120.5</v>
      </c>
      <c r="J11" s="4">
        <v>25</v>
      </c>
      <c r="K11" s="4">
        <v>25</v>
      </c>
      <c r="L11" s="4">
        <v>45</v>
      </c>
      <c r="M11" s="4">
        <v>0</v>
      </c>
      <c r="N11" s="4">
        <v>50.5</v>
      </c>
    </row>
    <row r="12" spans="1:14">
      <c r="A12" s="3">
        <v>801764</v>
      </c>
      <c r="B12" s="3">
        <v>170692</v>
      </c>
      <c r="C12" s="4">
        <v>66</v>
      </c>
      <c r="D12" s="4">
        <v>97.5</v>
      </c>
      <c r="E12" s="4">
        <v>80</v>
      </c>
      <c r="F12" s="4">
        <v>65.5</v>
      </c>
      <c r="G12" s="4">
        <v>48.65</v>
      </c>
      <c r="H12" s="4">
        <v>43</v>
      </c>
      <c r="I12" s="4">
        <v>30</v>
      </c>
      <c r="J12" s="4">
        <v>13.15</v>
      </c>
      <c r="K12" s="4">
        <v>37.5</v>
      </c>
      <c r="L12" s="4">
        <v>88.5</v>
      </c>
      <c r="M12" s="4">
        <v>73.75</v>
      </c>
      <c r="N12" s="4">
        <v>111.75</v>
      </c>
    </row>
    <row r="13" spans="1:14">
      <c r="A13" s="3">
        <v>801766</v>
      </c>
      <c r="B13" s="3">
        <v>119028</v>
      </c>
      <c r="C13" s="4">
        <v>31</v>
      </c>
      <c r="D13" s="4">
        <v>0</v>
      </c>
      <c r="E13" s="4">
        <v>155</v>
      </c>
      <c r="F13" s="4">
        <v>93</v>
      </c>
      <c r="G13" s="4">
        <v>47</v>
      </c>
      <c r="H13" s="4">
        <v>0</v>
      </c>
      <c r="I13" s="4">
        <v>0</v>
      </c>
      <c r="J13" s="4">
        <v>0</v>
      </c>
      <c r="K13" s="4">
        <v>36</v>
      </c>
      <c r="L13" s="4">
        <v>47</v>
      </c>
      <c r="M13" s="4">
        <v>25</v>
      </c>
      <c r="N13" s="4">
        <v>0</v>
      </c>
    </row>
    <row r="14" spans="1:14">
      <c r="A14" s="3">
        <v>801796</v>
      </c>
      <c r="B14" s="3">
        <v>119066</v>
      </c>
      <c r="C14" s="4">
        <v>0</v>
      </c>
      <c r="D14" s="4">
        <v>0</v>
      </c>
      <c r="E14" s="4">
        <v>50</v>
      </c>
      <c r="F14" s="4">
        <v>0</v>
      </c>
      <c r="G14" s="4">
        <v>17</v>
      </c>
      <c r="H14" s="4">
        <v>0</v>
      </c>
      <c r="I14" s="4">
        <v>20</v>
      </c>
      <c r="J14" s="4">
        <v>0</v>
      </c>
      <c r="K14" s="4">
        <v>0</v>
      </c>
      <c r="L14" s="4">
        <v>27</v>
      </c>
      <c r="M14" s="4">
        <v>50</v>
      </c>
      <c r="N14" s="4">
        <v>0</v>
      </c>
    </row>
    <row r="15" spans="1:14">
      <c r="A15" s="3">
        <v>801800</v>
      </c>
      <c r="B15" s="3">
        <v>119026</v>
      </c>
      <c r="C15" s="4">
        <v>35</v>
      </c>
      <c r="D15" s="4">
        <v>50</v>
      </c>
      <c r="E15" s="4">
        <v>35</v>
      </c>
      <c r="F15" s="4">
        <v>82.5</v>
      </c>
      <c r="G15" s="4">
        <v>22.5</v>
      </c>
      <c r="H15" s="4">
        <v>20</v>
      </c>
      <c r="I15" s="4">
        <v>89.5</v>
      </c>
      <c r="J15" s="4">
        <v>15</v>
      </c>
      <c r="K15" s="4">
        <v>40</v>
      </c>
      <c r="L15" s="4">
        <v>60</v>
      </c>
      <c r="M15" s="4">
        <v>100</v>
      </c>
      <c r="N15" s="4">
        <v>80</v>
      </c>
    </row>
    <row r="16" spans="1:14">
      <c r="A16" s="3">
        <v>801837</v>
      </c>
      <c r="B16" s="3">
        <v>119154</v>
      </c>
      <c r="C16" s="4">
        <v>20</v>
      </c>
      <c r="D16" s="4">
        <v>60</v>
      </c>
      <c r="E16" s="4">
        <v>25</v>
      </c>
      <c r="F16" s="4">
        <v>35</v>
      </c>
      <c r="G16" s="4">
        <v>2.5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45</v>
      </c>
      <c r="N16" s="4">
        <v>125</v>
      </c>
    </row>
    <row r="17" spans="1:14">
      <c r="A17" s="3">
        <v>801838</v>
      </c>
      <c r="B17" s="3">
        <v>119154</v>
      </c>
      <c r="C17" s="4">
        <v>130</v>
      </c>
      <c r="D17" s="4">
        <v>50</v>
      </c>
      <c r="E17" s="4">
        <v>140</v>
      </c>
      <c r="F17" s="4">
        <v>135</v>
      </c>
      <c r="G17" s="4">
        <v>17.5</v>
      </c>
      <c r="H17" s="4">
        <v>180</v>
      </c>
      <c r="I17" s="4">
        <v>121.5</v>
      </c>
      <c r="J17" s="4">
        <v>25</v>
      </c>
      <c r="K17" s="4">
        <v>240</v>
      </c>
      <c r="L17" s="4">
        <v>252</v>
      </c>
      <c r="M17" s="4">
        <v>160</v>
      </c>
      <c r="N17" s="4">
        <v>302</v>
      </c>
    </row>
    <row r="18" spans="1:14">
      <c r="A18" s="3">
        <v>801867</v>
      </c>
      <c r="B18" s="3">
        <v>119042</v>
      </c>
      <c r="C18" s="4">
        <v>30</v>
      </c>
      <c r="D18" s="4">
        <v>10</v>
      </c>
      <c r="E18" s="4">
        <v>39</v>
      </c>
      <c r="F18" s="4">
        <v>10</v>
      </c>
      <c r="G18" s="4">
        <v>25</v>
      </c>
      <c r="H18" s="4">
        <v>20</v>
      </c>
      <c r="I18" s="4">
        <v>0</v>
      </c>
      <c r="J18" s="4">
        <v>10</v>
      </c>
      <c r="K18" s="4">
        <v>10</v>
      </c>
      <c r="L18" s="4">
        <v>0</v>
      </c>
      <c r="M18" s="4">
        <v>0</v>
      </c>
      <c r="N18" s="4">
        <v>0</v>
      </c>
    </row>
    <row r="19" spans="1:14">
      <c r="A19" s="3">
        <v>801868</v>
      </c>
      <c r="B19" s="3">
        <v>119042</v>
      </c>
      <c r="C19" s="4">
        <v>30</v>
      </c>
      <c r="D19" s="4">
        <v>25</v>
      </c>
      <c r="E19" s="4">
        <v>30</v>
      </c>
      <c r="F19" s="4">
        <v>45</v>
      </c>
      <c r="G19" s="4">
        <v>40</v>
      </c>
      <c r="H19" s="4">
        <v>47.5</v>
      </c>
      <c r="I19" s="4">
        <v>35</v>
      </c>
      <c r="J19" s="4">
        <v>15</v>
      </c>
      <c r="K19" s="4">
        <v>29.5</v>
      </c>
      <c r="L19" s="4">
        <v>42.5</v>
      </c>
      <c r="M19" s="4">
        <v>30</v>
      </c>
      <c r="N19" s="4">
        <v>37.5</v>
      </c>
    </row>
    <row r="20" spans="1:14">
      <c r="A20" s="3">
        <v>801869</v>
      </c>
      <c r="B20" s="3">
        <v>119042</v>
      </c>
      <c r="C20" s="4">
        <v>50</v>
      </c>
      <c r="D20" s="4">
        <v>37</v>
      </c>
      <c r="E20" s="4">
        <v>55</v>
      </c>
      <c r="F20" s="4">
        <v>45</v>
      </c>
      <c r="G20" s="4">
        <v>50</v>
      </c>
      <c r="H20" s="4">
        <v>50</v>
      </c>
      <c r="I20" s="4">
        <v>35</v>
      </c>
      <c r="J20" s="4">
        <v>30</v>
      </c>
      <c r="K20" s="4">
        <v>35</v>
      </c>
      <c r="L20" s="4">
        <v>42.5</v>
      </c>
      <c r="M20" s="4">
        <v>37.5</v>
      </c>
      <c r="N20" s="4">
        <v>0</v>
      </c>
    </row>
    <row r="21" spans="1:14">
      <c r="A21" s="3">
        <v>801871</v>
      </c>
      <c r="B21" s="3">
        <v>119042</v>
      </c>
      <c r="C21" s="4">
        <v>0</v>
      </c>
      <c r="D21" s="4">
        <v>0</v>
      </c>
      <c r="E21" s="4">
        <v>0</v>
      </c>
      <c r="F21" s="4">
        <v>15</v>
      </c>
      <c r="G21" s="4">
        <v>25</v>
      </c>
      <c r="H21" s="4">
        <v>20</v>
      </c>
      <c r="I21" s="4">
        <v>10</v>
      </c>
      <c r="J21" s="4">
        <v>5</v>
      </c>
      <c r="K21" s="4">
        <v>0</v>
      </c>
      <c r="L21" s="4">
        <v>0</v>
      </c>
      <c r="M21" s="4">
        <v>0</v>
      </c>
      <c r="N21" s="4">
        <v>12.5</v>
      </c>
    </row>
    <row r="22" spans="1:14">
      <c r="A22" s="3">
        <v>801876</v>
      </c>
      <c r="B22" s="3">
        <v>119261</v>
      </c>
      <c r="C22" s="4">
        <v>51</v>
      </c>
      <c r="D22" s="4">
        <v>0</v>
      </c>
      <c r="E22" s="4">
        <v>30</v>
      </c>
      <c r="F22" s="4">
        <v>22</v>
      </c>
      <c r="G22" s="4">
        <v>10</v>
      </c>
      <c r="H22" s="4">
        <v>0</v>
      </c>
      <c r="I22" s="4">
        <v>51</v>
      </c>
      <c r="J22" s="4">
        <v>20</v>
      </c>
      <c r="K22" s="4">
        <v>0</v>
      </c>
      <c r="L22" s="4">
        <v>50</v>
      </c>
      <c r="M22" s="4">
        <v>0</v>
      </c>
      <c r="N22" s="4">
        <v>0</v>
      </c>
    </row>
    <row r="23" spans="1:14">
      <c r="A23" s="3">
        <v>801878</v>
      </c>
      <c r="B23" s="3">
        <v>176773</v>
      </c>
      <c r="C23" s="4">
        <v>70.5</v>
      </c>
      <c r="D23" s="4">
        <v>147.05000000000001</v>
      </c>
      <c r="E23" s="4">
        <v>136.5</v>
      </c>
      <c r="F23" s="4">
        <v>107.2</v>
      </c>
      <c r="G23" s="4">
        <v>84</v>
      </c>
      <c r="H23" s="4">
        <v>50.25</v>
      </c>
      <c r="I23" s="4">
        <v>50.85</v>
      </c>
      <c r="J23" s="4">
        <v>45.15</v>
      </c>
      <c r="K23" s="4">
        <v>107.5</v>
      </c>
      <c r="L23" s="4">
        <v>137.5</v>
      </c>
      <c r="M23" s="4">
        <v>103.55</v>
      </c>
      <c r="N23" s="4">
        <v>65</v>
      </c>
    </row>
    <row r="24" spans="1:14">
      <c r="A24" s="3">
        <v>801881</v>
      </c>
      <c r="B24" s="3">
        <v>119028</v>
      </c>
      <c r="C24" s="4">
        <v>149</v>
      </c>
      <c r="D24" s="4">
        <v>186</v>
      </c>
      <c r="E24" s="4">
        <v>155</v>
      </c>
      <c r="F24" s="4">
        <v>165</v>
      </c>
      <c r="G24" s="4">
        <v>224.5</v>
      </c>
      <c r="H24" s="4">
        <v>266.5</v>
      </c>
      <c r="I24" s="4">
        <v>372</v>
      </c>
      <c r="J24" s="4">
        <v>93</v>
      </c>
      <c r="K24" s="4">
        <v>103</v>
      </c>
      <c r="L24" s="4">
        <v>155</v>
      </c>
      <c r="M24" s="4">
        <v>136.5</v>
      </c>
      <c r="N24" s="4">
        <v>496</v>
      </c>
    </row>
    <row r="25" spans="1:14">
      <c r="A25" s="3">
        <v>801883</v>
      </c>
      <c r="B25" s="3">
        <v>176773</v>
      </c>
      <c r="C25" s="4">
        <v>90</v>
      </c>
      <c r="D25" s="4">
        <v>216.5</v>
      </c>
      <c r="E25" s="4">
        <v>246.5</v>
      </c>
      <c r="F25" s="4">
        <v>366.5</v>
      </c>
      <c r="G25" s="4">
        <v>328.25</v>
      </c>
      <c r="H25" s="4">
        <v>146.25</v>
      </c>
      <c r="I25" s="4">
        <v>233.1</v>
      </c>
      <c r="J25" s="4">
        <v>120.15</v>
      </c>
      <c r="K25" s="4">
        <v>367.85</v>
      </c>
      <c r="L25" s="4">
        <v>350.9</v>
      </c>
      <c r="M25" s="4">
        <v>226.05</v>
      </c>
      <c r="N25" s="4">
        <v>241.75</v>
      </c>
    </row>
    <row r="26" spans="1:14">
      <c r="A26" s="3">
        <v>801915</v>
      </c>
      <c r="B26" s="3">
        <v>119044</v>
      </c>
      <c r="C26" s="4">
        <v>65</v>
      </c>
      <c r="D26" s="4">
        <v>50</v>
      </c>
      <c r="E26" s="4">
        <v>70</v>
      </c>
      <c r="F26" s="4">
        <v>100</v>
      </c>
      <c r="G26" s="4">
        <v>35</v>
      </c>
      <c r="H26" s="4">
        <v>0</v>
      </c>
      <c r="I26" s="4">
        <v>35</v>
      </c>
      <c r="J26" s="4">
        <v>0</v>
      </c>
      <c r="K26" s="4">
        <v>70</v>
      </c>
      <c r="L26" s="4">
        <v>0</v>
      </c>
      <c r="M26" s="4">
        <v>50</v>
      </c>
      <c r="N26" s="4">
        <v>30</v>
      </c>
    </row>
    <row r="27" spans="1:14">
      <c r="A27" s="3">
        <v>801916</v>
      </c>
      <c r="B27" s="3">
        <v>119050</v>
      </c>
      <c r="C27" s="4">
        <v>20</v>
      </c>
      <c r="D27" s="4">
        <v>0</v>
      </c>
      <c r="E27" s="4">
        <v>10</v>
      </c>
      <c r="F27" s="4">
        <v>0</v>
      </c>
      <c r="G27" s="4">
        <v>0</v>
      </c>
      <c r="H27" s="4">
        <v>22.5</v>
      </c>
      <c r="I27" s="4">
        <v>5</v>
      </c>
      <c r="J27" s="4">
        <v>5</v>
      </c>
      <c r="K27" s="4">
        <v>0</v>
      </c>
      <c r="L27" s="4">
        <v>0</v>
      </c>
      <c r="M27" s="4">
        <v>15</v>
      </c>
      <c r="N27" s="4">
        <v>0</v>
      </c>
    </row>
    <row r="28" spans="1:14">
      <c r="A28" s="3">
        <v>801918</v>
      </c>
      <c r="B28" s="3">
        <v>178764</v>
      </c>
      <c r="C28" s="4">
        <v>0</v>
      </c>
      <c r="D28" s="4">
        <v>70</v>
      </c>
      <c r="E28" s="4">
        <v>55</v>
      </c>
      <c r="F28" s="4">
        <v>30</v>
      </c>
      <c r="G28" s="4">
        <v>65</v>
      </c>
      <c r="H28" s="4">
        <v>40</v>
      </c>
      <c r="I28" s="4">
        <v>40</v>
      </c>
      <c r="J28" s="4">
        <v>45</v>
      </c>
      <c r="K28" s="4">
        <v>35</v>
      </c>
      <c r="L28" s="4">
        <v>45</v>
      </c>
      <c r="M28" s="4">
        <v>70</v>
      </c>
      <c r="N28" s="4">
        <v>110.5</v>
      </c>
    </row>
    <row r="29" spans="1:14">
      <c r="A29" s="3">
        <v>801920</v>
      </c>
      <c r="B29" s="3">
        <v>119028</v>
      </c>
      <c r="C29" s="4">
        <v>0</v>
      </c>
      <c r="D29" s="4">
        <v>0</v>
      </c>
      <c r="E29" s="4">
        <v>62</v>
      </c>
      <c r="F29" s="4">
        <v>41</v>
      </c>
      <c r="G29" s="4">
        <v>31</v>
      </c>
      <c r="H29" s="4">
        <v>0</v>
      </c>
      <c r="I29" s="4">
        <v>0</v>
      </c>
      <c r="J29" s="4">
        <v>0</v>
      </c>
      <c r="K29" s="4">
        <v>16</v>
      </c>
      <c r="L29" s="4">
        <v>0</v>
      </c>
      <c r="M29" s="4">
        <v>0</v>
      </c>
      <c r="N29" s="4">
        <v>0</v>
      </c>
    </row>
    <row r="30" spans="1:14">
      <c r="A30" s="3">
        <v>801965</v>
      </c>
      <c r="B30" s="3">
        <v>119261</v>
      </c>
      <c r="C30" s="4">
        <v>0</v>
      </c>
      <c r="D30" s="4">
        <v>0</v>
      </c>
      <c r="E30" s="4">
        <v>0</v>
      </c>
      <c r="F30" s="4">
        <v>50.75</v>
      </c>
      <c r="G30" s="4">
        <v>52.5</v>
      </c>
      <c r="H30" s="4">
        <v>21</v>
      </c>
      <c r="I30" s="4">
        <v>20</v>
      </c>
      <c r="J30" s="4">
        <v>0</v>
      </c>
      <c r="K30" s="4">
        <v>52</v>
      </c>
      <c r="L30" s="4">
        <v>50</v>
      </c>
      <c r="M30" s="4">
        <v>0</v>
      </c>
      <c r="N30" s="4">
        <v>30</v>
      </c>
    </row>
    <row r="31" spans="1:14">
      <c r="A31" s="3">
        <v>801966</v>
      </c>
      <c r="B31" s="3">
        <v>119261</v>
      </c>
      <c r="C31" s="4">
        <v>0</v>
      </c>
      <c r="D31" s="4">
        <v>0</v>
      </c>
      <c r="E31" s="4">
        <v>0</v>
      </c>
      <c r="F31" s="4">
        <v>20</v>
      </c>
      <c r="G31" s="4">
        <v>12</v>
      </c>
      <c r="H31" s="4">
        <v>20.5</v>
      </c>
      <c r="I31" s="4">
        <v>30</v>
      </c>
      <c r="J31" s="4">
        <v>30</v>
      </c>
      <c r="K31" s="4">
        <v>21</v>
      </c>
      <c r="L31" s="4">
        <v>0</v>
      </c>
      <c r="M31" s="4">
        <v>0</v>
      </c>
      <c r="N31" s="4">
        <v>0</v>
      </c>
    </row>
    <row r="32" spans="1:14">
      <c r="A32" s="3">
        <v>801967</v>
      </c>
      <c r="B32" s="3">
        <v>119261</v>
      </c>
      <c r="C32" s="4">
        <v>0</v>
      </c>
      <c r="D32" s="4">
        <v>0</v>
      </c>
      <c r="E32" s="4">
        <v>0</v>
      </c>
      <c r="F32" s="4">
        <v>32</v>
      </c>
      <c r="G32" s="4">
        <v>20.5</v>
      </c>
      <c r="H32" s="4">
        <v>0</v>
      </c>
      <c r="I32" s="4">
        <v>20</v>
      </c>
      <c r="J32" s="4">
        <v>10</v>
      </c>
      <c r="K32" s="4">
        <v>13.5</v>
      </c>
      <c r="L32" s="4">
        <v>0</v>
      </c>
      <c r="M32" s="4">
        <v>20</v>
      </c>
      <c r="N32" s="4">
        <v>0</v>
      </c>
    </row>
    <row r="33" spans="1:14">
      <c r="A33" s="3">
        <v>801999</v>
      </c>
      <c r="B33" s="3">
        <v>176773</v>
      </c>
      <c r="C33" s="4">
        <v>138</v>
      </c>
      <c r="D33" s="4">
        <v>204.5</v>
      </c>
      <c r="E33" s="4">
        <v>199.05</v>
      </c>
      <c r="F33" s="4">
        <v>241.1</v>
      </c>
      <c r="G33" s="4">
        <v>179.5</v>
      </c>
      <c r="H33" s="4">
        <v>129.15</v>
      </c>
      <c r="I33" s="4">
        <v>165.65</v>
      </c>
      <c r="J33" s="4">
        <v>94.5</v>
      </c>
      <c r="K33" s="4">
        <v>156</v>
      </c>
      <c r="L33" s="4">
        <v>175.35</v>
      </c>
      <c r="M33" s="4">
        <v>76.75</v>
      </c>
      <c r="N33" s="4">
        <v>143.25</v>
      </c>
    </row>
    <row r="34" spans="1:14">
      <c r="A34" s="3">
        <v>802012</v>
      </c>
      <c r="B34" s="3">
        <v>119028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31</v>
      </c>
      <c r="I34" s="4">
        <v>0</v>
      </c>
      <c r="J34" s="4">
        <v>16</v>
      </c>
      <c r="K34" s="4">
        <v>8</v>
      </c>
      <c r="L34" s="4">
        <v>0</v>
      </c>
      <c r="M34" s="4">
        <v>15</v>
      </c>
      <c r="N34" s="4">
        <v>0</v>
      </c>
    </row>
    <row r="35" spans="1:14">
      <c r="A35" s="3">
        <v>802044</v>
      </c>
      <c r="B35" s="3">
        <v>176773</v>
      </c>
      <c r="C35" s="4">
        <v>50</v>
      </c>
      <c r="D35" s="4">
        <v>80</v>
      </c>
      <c r="E35" s="4">
        <v>91.5</v>
      </c>
      <c r="F35" s="4">
        <v>78</v>
      </c>
      <c r="G35" s="4">
        <v>42.5</v>
      </c>
      <c r="H35" s="4">
        <v>25</v>
      </c>
      <c r="I35" s="4">
        <v>72.5</v>
      </c>
      <c r="J35" s="4">
        <v>20</v>
      </c>
      <c r="K35" s="4">
        <v>90.5</v>
      </c>
      <c r="L35" s="4">
        <v>60</v>
      </c>
      <c r="M35" s="4">
        <v>60</v>
      </c>
      <c r="N35" s="4">
        <v>80</v>
      </c>
    </row>
    <row r="36" spans="1:14">
      <c r="A36" s="3">
        <v>802068</v>
      </c>
      <c r="B36" s="3">
        <v>141556</v>
      </c>
      <c r="C36" s="4">
        <v>35</v>
      </c>
      <c r="D36" s="4">
        <v>40</v>
      </c>
      <c r="E36" s="4">
        <v>32</v>
      </c>
      <c r="F36" s="4">
        <v>33</v>
      </c>
      <c r="G36" s="4">
        <v>15</v>
      </c>
      <c r="H36" s="4">
        <v>30</v>
      </c>
      <c r="I36" s="4">
        <v>10</v>
      </c>
      <c r="J36" s="4">
        <v>5</v>
      </c>
      <c r="K36" s="4">
        <v>21.5</v>
      </c>
      <c r="L36" s="4">
        <v>25</v>
      </c>
      <c r="M36" s="4">
        <v>15</v>
      </c>
      <c r="N36" s="4">
        <v>15</v>
      </c>
    </row>
    <row r="37" spans="1:14">
      <c r="A37" s="3">
        <v>802073</v>
      </c>
      <c r="B37" s="3">
        <v>119261</v>
      </c>
      <c r="C37" s="4">
        <v>30</v>
      </c>
      <c r="D37" s="4">
        <v>0</v>
      </c>
      <c r="E37" s="4">
        <v>30</v>
      </c>
      <c r="F37" s="4">
        <v>22</v>
      </c>
      <c r="G37" s="4">
        <v>0</v>
      </c>
      <c r="H37" s="4">
        <v>13.95</v>
      </c>
      <c r="I37" s="4">
        <v>20</v>
      </c>
      <c r="J37" s="4">
        <v>20</v>
      </c>
      <c r="K37" s="4">
        <v>13.5</v>
      </c>
      <c r="L37" s="4">
        <v>0</v>
      </c>
      <c r="M37" s="4">
        <v>0</v>
      </c>
      <c r="N37" s="4">
        <v>0</v>
      </c>
    </row>
    <row r="38" spans="1:14">
      <c r="A38" s="3">
        <v>802088</v>
      </c>
      <c r="B38" s="3">
        <v>170248</v>
      </c>
      <c r="C38" s="4">
        <v>10</v>
      </c>
      <c r="D38" s="4">
        <v>0</v>
      </c>
      <c r="E38" s="4">
        <v>10</v>
      </c>
      <c r="F38" s="4">
        <v>10</v>
      </c>
      <c r="G38" s="4">
        <v>22</v>
      </c>
      <c r="H38" s="4">
        <v>22.5</v>
      </c>
      <c r="I38" s="4">
        <v>0</v>
      </c>
      <c r="J38" s="4">
        <v>0</v>
      </c>
      <c r="K38" s="4">
        <v>16.95</v>
      </c>
      <c r="L38" s="4">
        <v>7</v>
      </c>
      <c r="M38" s="4">
        <v>0</v>
      </c>
      <c r="N38" s="4">
        <v>0</v>
      </c>
    </row>
    <row r="39" spans="1:14">
      <c r="A39" s="3">
        <v>802089</v>
      </c>
      <c r="B39" s="3">
        <v>176773</v>
      </c>
      <c r="C39" s="4">
        <v>103.9</v>
      </c>
      <c r="D39" s="4">
        <v>122.5</v>
      </c>
      <c r="E39" s="4">
        <v>103.5</v>
      </c>
      <c r="F39" s="4">
        <v>120</v>
      </c>
      <c r="G39" s="4">
        <v>135</v>
      </c>
      <c r="H39" s="4">
        <v>111.55</v>
      </c>
      <c r="I39" s="4">
        <v>131.5</v>
      </c>
      <c r="J39" s="4">
        <v>88</v>
      </c>
      <c r="K39" s="4">
        <v>200.65</v>
      </c>
      <c r="L39" s="4">
        <v>185.75</v>
      </c>
      <c r="M39" s="4">
        <v>190</v>
      </c>
      <c r="N39" s="4">
        <v>236.65</v>
      </c>
    </row>
    <row r="40" spans="1:14">
      <c r="A40" s="3">
        <v>802094</v>
      </c>
      <c r="B40" s="3">
        <v>122282</v>
      </c>
      <c r="C40" s="4">
        <v>25.5</v>
      </c>
      <c r="D40" s="4">
        <v>30</v>
      </c>
      <c r="E40" s="4">
        <v>40</v>
      </c>
      <c r="F40" s="4">
        <v>41</v>
      </c>
      <c r="G40" s="4">
        <v>35</v>
      </c>
      <c r="H40" s="4">
        <v>16</v>
      </c>
      <c r="I40" s="4">
        <v>33</v>
      </c>
      <c r="J40" s="4">
        <v>18</v>
      </c>
      <c r="K40" s="4">
        <v>21</v>
      </c>
      <c r="L40" s="4">
        <v>25</v>
      </c>
      <c r="M40" s="4">
        <v>38</v>
      </c>
      <c r="N40" s="4">
        <v>79</v>
      </c>
    </row>
    <row r="41" spans="1:14">
      <c r="A41" s="3">
        <v>802095</v>
      </c>
      <c r="B41" s="3">
        <v>122282</v>
      </c>
      <c r="C41" s="4">
        <v>30</v>
      </c>
      <c r="D41" s="4">
        <v>40</v>
      </c>
      <c r="E41" s="4">
        <v>48</v>
      </c>
      <c r="F41" s="4">
        <v>41</v>
      </c>
      <c r="G41" s="4">
        <v>36</v>
      </c>
      <c r="H41" s="4">
        <v>8.5</v>
      </c>
      <c r="I41" s="4">
        <v>36.75</v>
      </c>
      <c r="J41" s="4">
        <v>23</v>
      </c>
      <c r="K41" s="4">
        <v>46</v>
      </c>
      <c r="L41" s="4">
        <v>66</v>
      </c>
      <c r="M41" s="4">
        <v>47</v>
      </c>
      <c r="N41" s="4">
        <v>66</v>
      </c>
    </row>
    <row r="42" spans="1:14">
      <c r="A42" s="3">
        <v>802100</v>
      </c>
      <c r="B42" s="3">
        <v>122282</v>
      </c>
      <c r="C42" s="4">
        <v>23</v>
      </c>
      <c r="D42" s="4">
        <v>25</v>
      </c>
      <c r="E42" s="4">
        <v>10</v>
      </c>
      <c r="F42" s="4">
        <v>37</v>
      </c>
      <c r="G42" s="4">
        <v>25.5</v>
      </c>
      <c r="H42" s="4">
        <v>8.5</v>
      </c>
      <c r="I42" s="4">
        <v>27</v>
      </c>
      <c r="J42" s="4">
        <v>15</v>
      </c>
      <c r="K42" s="4">
        <v>24</v>
      </c>
      <c r="L42" s="4">
        <v>27</v>
      </c>
      <c r="M42" s="4">
        <v>19</v>
      </c>
      <c r="N42" s="4">
        <v>26</v>
      </c>
    </row>
    <row r="43" spans="1:14">
      <c r="A43" s="3">
        <v>802105</v>
      </c>
      <c r="B43" s="3">
        <v>209002</v>
      </c>
      <c r="C43" s="4">
        <v>0</v>
      </c>
      <c r="D43" s="4">
        <v>0</v>
      </c>
      <c r="E43" s="4">
        <v>0</v>
      </c>
      <c r="F43" s="4">
        <v>0</v>
      </c>
      <c r="G43" s="4">
        <v>30</v>
      </c>
      <c r="H43" s="4">
        <v>105</v>
      </c>
      <c r="I43" s="4">
        <v>65</v>
      </c>
      <c r="J43" s="4">
        <v>22.5</v>
      </c>
      <c r="K43" s="4">
        <v>60</v>
      </c>
      <c r="L43" s="4">
        <v>79.5</v>
      </c>
      <c r="M43" s="4">
        <v>105</v>
      </c>
      <c r="N43" s="4">
        <v>193.3</v>
      </c>
    </row>
    <row r="44" spans="1:14">
      <c r="A44" s="3">
        <v>802117</v>
      </c>
      <c r="B44" s="3">
        <v>176773</v>
      </c>
      <c r="C44" s="4">
        <v>165</v>
      </c>
      <c r="D44" s="4">
        <v>215</v>
      </c>
      <c r="E44" s="4">
        <v>225</v>
      </c>
      <c r="F44" s="4">
        <v>277</v>
      </c>
      <c r="G44" s="4">
        <v>208.5</v>
      </c>
      <c r="H44" s="4">
        <v>175</v>
      </c>
      <c r="I44" s="4">
        <v>197.5</v>
      </c>
      <c r="J44" s="4">
        <v>137.5</v>
      </c>
      <c r="K44" s="4">
        <v>319.64999999999998</v>
      </c>
      <c r="L44" s="4">
        <v>254.15</v>
      </c>
      <c r="M44" s="4">
        <v>259.55</v>
      </c>
      <c r="N44" s="4">
        <v>334</v>
      </c>
    </row>
    <row r="45" spans="1:14">
      <c r="A45" s="3">
        <v>802147</v>
      </c>
      <c r="B45" s="3">
        <v>141115</v>
      </c>
      <c r="C45" s="4">
        <v>54.5</v>
      </c>
      <c r="D45" s="4">
        <v>40</v>
      </c>
      <c r="E45" s="4">
        <v>50</v>
      </c>
      <c r="F45" s="4">
        <v>10</v>
      </c>
      <c r="G45" s="4">
        <v>23.5</v>
      </c>
      <c r="H45" s="4">
        <v>3</v>
      </c>
      <c r="I45" s="4">
        <v>56</v>
      </c>
      <c r="J45" s="4">
        <v>0</v>
      </c>
      <c r="K45" s="4">
        <v>110</v>
      </c>
      <c r="L45" s="4">
        <v>70</v>
      </c>
      <c r="M45" s="4">
        <v>35</v>
      </c>
      <c r="N45" s="4">
        <v>146.80000000000001</v>
      </c>
    </row>
    <row r="46" spans="1:14">
      <c r="A46" s="3">
        <v>802148</v>
      </c>
      <c r="B46" s="3">
        <v>141115</v>
      </c>
      <c r="C46" s="4">
        <v>115</v>
      </c>
      <c r="D46" s="4">
        <v>147.6</v>
      </c>
      <c r="E46" s="4">
        <v>139.25</v>
      </c>
      <c r="F46" s="4">
        <v>123.75</v>
      </c>
      <c r="G46" s="4">
        <v>100</v>
      </c>
      <c r="H46" s="4">
        <v>106.75</v>
      </c>
      <c r="I46" s="4">
        <v>55</v>
      </c>
      <c r="J46" s="4">
        <v>105</v>
      </c>
      <c r="K46" s="4">
        <v>99</v>
      </c>
      <c r="L46" s="4">
        <v>76</v>
      </c>
      <c r="M46" s="4">
        <v>141</v>
      </c>
      <c r="N46" s="4">
        <v>50</v>
      </c>
    </row>
    <row r="47" spans="1:14">
      <c r="A47" s="3">
        <v>802149</v>
      </c>
      <c r="B47" s="3">
        <v>119050</v>
      </c>
      <c r="C47" s="4">
        <v>42.5</v>
      </c>
      <c r="D47" s="4">
        <v>15</v>
      </c>
      <c r="E47" s="4">
        <v>47</v>
      </c>
      <c r="F47" s="4">
        <v>67.5</v>
      </c>
      <c r="G47" s="4">
        <v>67</v>
      </c>
      <c r="H47" s="4">
        <v>37</v>
      </c>
      <c r="I47" s="4">
        <v>90.5</v>
      </c>
      <c r="J47" s="4">
        <v>103.5</v>
      </c>
      <c r="K47" s="4">
        <v>47.5</v>
      </c>
      <c r="L47" s="4">
        <v>55</v>
      </c>
      <c r="M47" s="4">
        <v>25</v>
      </c>
      <c r="N47" s="4">
        <v>75</v>
      </c>
    </row>
    <row r="48" spans="1:14">
      <c r="A48" s="3">
        <v>802151</v>
      </c>
      <c r="B48" s="3">
        <v>121706</v>
      </c>
      <c r="C48" s="4">
        <v>70</v>
      </c>
      <c r="D48" s="4">
        <v>98</v>
      </c>
      <c r="E48" s="4">
        <v>268</v>
      </c>
      <c r="F48" s="4">
        <v>275</v>
      </c>
      <c r="G48" s="4">
        <v>369</v>
      </c>
      <c r="H48" s="4">
        <v>277</v>
      </c>
      <c r="I48" s="4">
        <v>282</v>
      </c>
      <c r="J48" s="4">
        <v>213</v>
      </c>
      <c r="K48" s="4">
        <v>339</v>
      </c>
      <c r="L48" s="4">
        <v>265</v>
      </c>
      <c r="M48" s="4">
        <v>320</v>
      </c>
      <c r="N48" s="4">
        <v>212</v>
      </c>
    </row>
    <row r="49" spans="1:14">
      <c r="A49" s="3">
        <v>802156</v>
      </c>
      <c r="B49" s="3">
        <v>211138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105</v>
      </c>
      <c r="M49" s="4">
        <v>0</v>
      </c>
      <c r="N49" s="4">
        <v>105</v>
      </c>
    </row>
    <row r="50" spans="1:14">
      <c r="A50" s="3">
        <v>802161</v>
      </c>
      <c r="B50" s="3">
        <v>170248</v>
      </c>
      <c r="C50" s="4">
        <v>15</v>
      </c>
      <c r="D50" s="4">
        <v>18.5</v>
      </c>
      <c r="E50" s="4">
        <v>20</v>
      </c>
      <c r="F50" s="4">
        <v>25</v>
      </c>
      <c r="G50" s="4">
        <v>48.5</v>
      </c>
      <c r="H50" s="4">
        <v>27.5</v>
      </c>
      <c r="I50" s="4">
        <v>35.25</v>
      </c>
      <c r="J50" s="4">
        <v>28.5</v>
      </c>
      <c r="K50" s="4">
        <v>25.5</v>
      </c>
      <c r="L50" s="4">
        <v>20</v>
      </c>
      <c r="M50" s="4">
        <v>17.75</v>
      </c>
      <c r="N50" s="4">
        <v>10</v>
      </c>
    </row>
    <row r="51" spans="1:14">
      <c r="A51" s="3">
        <v>802164</v>
      </c>
      <c r="B51" s="3">
        <v>119208</v>
      </c>
      <c r="C51" s="4">
        <v>95</v>
      </c>
      <c r="D51" s="4">
        <v>70</v>
      </c>
      <c r="E51" s="4">
        <v>114</v>
      </c>
      <c r="F51" s="4">
        <v>167</v>
      </c>
      <c r="G51" s="4">
        <v>0</v>
      </c>
      <c r="H51" s="4">
        <v>105</v>
      </c>
      <c r="I51" s="4">
        <v>0</v>
      </c>
      <c r="J51" s="4">
        <v>80</v>
      </c>
      <c r="K51" s="4">
        <v>35</v>
      </c>
      <c r="L51" s="4">
        <v>97</v>
      </c>
      <c r="M51" s="4">
        <v>0</v>
      </c>
      <c r="N51" s="4">
        <v>35</v>
      </c>
    </row>
    <row r="52" spans="1:14">
      <c r="A52" s="3">
        <v>802165</v>
      </c>
      <c r="B52" s="3">
        <v>143531</v>
      </c>
      <c r="C52" s="4">
        <v>42</v>
      </c>
      <c r="D52" s="4">
        <v>61.5</v>
      </c>
      <c r="E52" s="4">
        <v>124.5</v>
      </c>
      <c r="F52" s="4">
        <v>42</v>
      </c>
      <c r="G52" s="4">
        <v>46.5</v>
      </c>
      <c r="H52" s="4">
        <v>12.5</v>
      </c>
      <c r="I52" s="4">
        <v>25</v>
      </c>
      <c r="J52" s="4">
        <v>25</v>
      </c>
      <c r="K52" s="4">
        <v>50</v>
      </c>
      <c r="L52" s="4">
        <v>41.5</v>
      </c>
      <c r="M52" s="4">
        <v>42</v>
      </c>
      <c r="N52" s="4">
        <v>12.5</v>
      </c>
    </row>
    <row r="53" spans="1:14">
      <c r="A53" s="3">
        <v>802196</v>
      </c>
      <c r="B53" s="3">
        <v>122282</v>
      </c>
      <c r="C53" s="4">
        <v>32.5</v>
      </c>
      <c r="D53" s="4">
        <v>28</v>
      </c>
      <c r="E53" s="4">
        <v>27</v>
      </c>
      <c r="F53" s="4">
        <v>37</v>
      </c>
      <c r="G53" s="4">
        <v>25</v>
      </c>
      <c r="H53" s="4">
        <v>14.5</v>
      </c>
      <c r="I53" s="4">
        <v>15</v>
      </c>
      <c r="J53" s="4">
        <v>15</v>
      </c>
      <c r="K53" s="4">
        <v>30</v>
      </c>
      <c r="L53" s="4">
        <v>19</v>
      </c>
      <c r="M53" s="4">
        <v>18</v>
      </c>
      <c r="N53" s="4">
        <v>29</v>
      </c>
    </row>
    <row r="54" spans="1:14">
      <c r="A54" s="3">
        <v>802210</v>
      </c>
      <c r="B54" s="3">
        <v>174756</v>
      </c>
      <c r="C54" s="4">
        <v>30</v>
      </c>
      <c r="D54" s="4">
        <v>10</v>
      </c>
      <c r="E54" s="4">
        <v>25</v>
      </c>
      <c r="F54" s="4">
        <v>67.5</v>
      </c>
      <c r="G54" s="4">
        <v>20</v>
      </c>
      <c r="H54" s="4">
        <v>0</v>
      </c>
      <c r="I54" s="4">
        <v>35</v>
      </c>
      <c r="J54" s="4">
        <v>10</v>
      </c>
      <c r="K54" s="4">
        <v>27.5</v>
      </c>
      <c r="L54" s="4">
        <v>12</v>
      </c>
      <c r="M54" s="4">
        <v>52.5</v>
      </c>
      <c r="N54" s="4">
        <v>73</v>
      </c>
    </row>
    <row r="55" spans="1:14">
      <c r="A55" s="3">
        <v>802212</v>
      </c>
      <c r="B55" s="3">
        <v>119028</v>
      </c>
      <c r="C55" s="4">
        <v>10</v>
      </c>
      <c r="D55" s="4">
        <v>31</v>
      </c>
      <c r="E55" s="4">
        <v>62</v>
      </c>
      <c r="F55" s="4">
        <v>87</v>
      </c>
      <c r="G55" s="4">
        <v>33.5</v>
      </c>
      <c r="H55" s="4">
        <v>31</v>
      </c>
      <c r="I55" s="4">
        <v>62</v>
      </c>
      <c r="J55" s="4">
        <v>0</v>
      </c>
      <c r="K55" s="4">
        <v>57</v>
      </c>
      <c r="L55" s="4">
        <v>31</v>
      </c>
      <c r="M55" s="4">
        <v>41</v>
      </c>
      <c r="N55" s="4">
        <v>0</v>
      </c>
    </row>
    <row r="56" spans="1:14">
      <c r="A56" s="3">
        <v>802213</v>
      </c>
      <c r="B56" s="3">
        <v>119026</v>
      </c>
      <c r="C56" s="4">
        <v>35</v>
      </c>
      <c r="D56" s="4">
        <v>10</v>
      </c>
      <c r="E56" s="4">
        <v>40</v>
      </c>
      <c r="F56" s="4">
        <v>32.5</v>
      </c>
      <c r="G56" s="4">
        <v>0</v>
      </c>
      <c r="H56" s="4">
        <v>0</v>
      </c>
      <c r="I56" s="4">
        <v>30</v>
      </c>
      <c r="J56" s="4">
        <v>0</v>
      </c>
      <c r="K56" s="4">
        <v>0</v>
      </c>
      <c r="L56" s="4">
        <v>106</v>
      </c>
      <c r="M56" s="4">
        <v>25</v>
      </c>
      <c r="N56" s="4">
        <v>0</v>
      </c>
    </row>
    <row r="57" spans="1:14">
      <c r="A57" s="3">
        <v>802214</v>
      </c>
      <c r="B57" s="3">
        <v>172597</v>
      </c>
      <c r="C57" s="4">
        <v>2</v>
      </c>
      <c r="D57" s="4">
        <v>0</v>
      </c>
      <c r="E57" s="4">
        <v>10</v>
      </c>
      <c r="F57" s="4">
        <v>0</v>
      </c>
      <c r="G57" s="4">
        <v>0</v>
      </c>
      <c r="H57" s="4">
        <v>20</v>
      </c>
      <c r="I57" s="4">
        <v>15</v>
      </c>
      <c r="J57" s="4">
        <v>0</v>
      </c>
      <c r="K57" s="4">
        <v>10</v>
      </c>
      <c r="L57" s="4">
        <v>35</v>
      </c>
      <c r="M57" s="4">
        <v>0</v>
      </c>
      <c r="N57" s="4">
        <v>0</v>
      </c>
    </row>
    <row r="58" spans="1:14">
      <c r="A58" s="3">
        <v>802265</v>
      </c>
      <c r="B58" s="3">
        <v>179560</v>
      </c>
      <c r="C58" s="4">
        <v>5</v>
      </c>
      <c r="D58" s="4">
        <v>0</v>
      </c>
      <c r="E58" s="4">
        <v>0</v>
      </c>
      <c r="F58" s="4">
        <v>0</v>
      </c>
      <c r="G58" s="4">
        <v>7.5</v>
      </c>
      <c r="H58" s="4">
        <v>20</v>
      </c>
      <c r="I58" s="4">
        <v>15</v>
      </c>
      <c r="J58" s="4">
        <v>0</v>
      </c>
      <c r="K58" s="4">
        <v>15</v>
      </c>
      <c r="L58" s="4">
        <v>0</v>
      </c>
      <c r="M58" s="4">
        <v>0</v>
      </c>
      <c r="N58" s="4">
        <v>0</v>
      </c>
    </row>
    <row r="59" spans="1:14">
      <c r="A59" s="3">
        <v>802370</v>
      </c>
      <c r="B59" s="3">
        <v>141115</v>
      </c>
      <c r="C59" s="4">
        <v>0</v>
      </c>
      <c r="D59" s="4">
        <v>0</v>
      </c>
      <c r="E59" s="4">
        <v>0</v>
      </c>
      <c r="F59" s="4">
        <v>22.5</v>
      </c>
      <c r="G59" s="4">
        <v>30</v>
      </c>
      <c r="H59" s="4">
        <v>0</v>
      </c>
      <c r="I59" s="4">
        <v>20</v>
      </c>
      <c r="J59" s="4">
        <v>30</v>
      </c>
      <c r="K59" s="4">
        <v>0</v>
      </c>
      <c r="L59" s="4">
        <v>103.25</v>
      </c>
      <c r="M59" s="4">
        <v>27</v>
      </c>
      <c r="N59" s="4">
        <v>0</v>
      </c>
    </row>
    <row r="60" spans="1:14">
      <c r="A60" s="3">
        <v>802371</v>
      </c>
      <c r="B60" s="3">
        <v>174756</v>
      </c>
      <c r="C60" s="4">
        <v>12</v>
      </c>
      <c r="D60" s="4">
        <v>15</v>
      </c>
      <c r="E60" s="4">
        <v>20</v>
      </c>
      <c r="F60" s="4">
        <v>56.5</v>
      </c>
      <c r="G60" s="4">
        <v>35</v>
      </c>
      <c r="H60" s="4">
        <v>7.5</v>
      </c>
      <c r="I60" s="4">
        <v>72.5</v>
      </c>
      <c r="J60" s="4">
        <v>20</v>
      </c>
      <c r="K60" s="4">
        <v>57</v>
      </c>
      <c r="L60" s="4">
        <v>95</v>
      </c>
      <c r="M60" s="4">
        <v>96</v>
      </c>
      <c r="N60" s="4">
        <v>40</v>
      </c>
    </row>
    <row r="61" spans="1:14">
      <c r="A61" s="3">
        <v>802376</v>
      </c>
      <c r="B61" s="3">
        <v>119031</v>
      </c>
      <c r="C61" s="4">
        <v>125</v>
      </c>
      <c r="D61" s="4">
        <v>130</v>
      </c>
      <c r="E61" s="4">
        <v>30</v>
      </c>
      <c r="F61" s="4">
        <v>60</v>
      </c>
      <c r="G61" s="4">
        <v>10</v>
      </c>
      <c r="H61" s="4">
        <v>0</v>
      </c>
      <c r="I61" s="4">
        <v>55</v>
      </c>
      <c r="J61" s="4">
        <v>52</v>
      </c>
      <c r="K61" s="4">
        <v>60.5</v>
      </c>
      <c r="L61" s="4">
        <v>0</v>
      </c>
      <c r="M61" s="4">
        <v>0</v>
      </c>
      <c r="N61" s="4">
        <v>79</v>
      </c>
    </row>
    <row r="62" spans="1:14">
      <c r="A62" s="3">
        <v>802838</v>
      </c>
      <c r="B62" s="3">
        <v>119038</v>
      </c>
      <c r="C62" s="4">
        <v>110</v>
      </c>
      <c r="D62" s="4">
        <v>120</v>
      </c>
      <c r="E62" s="4">
        <v>29.25</v>
      </c>
      <c r="F62" s="4">
        <v>221.7</v>
      </c>
      <c r="G62" s="4">
        <v>70</v>
      </c>
      <c r="H62" s="4">
        <v>80.25</v>
      </c>
      <c r="I62" s="4">
        <v>107</v>
      </c>
      <c r="J62" s="4">
        <v>70</v>
      </c>
      <c r="K62" s="4">
        <v>146.44999999999999</v>
      </c>
      <c r="L62" s="4">
        <v>83</v>
      </c>
      <c r="M62" s="4">
        <v>138</v>
      </c>
      <c r="N62" s="4">
        <v>35</v>
      </c>
    </row>
    <row r="63" spans="1:14">
      <c r="A63" s="3">
        <v>802841</v>
      </c>
      <c r="B63" s="3">
        <v>119050</v>
      </c>
      <c r="C63" s="4">
        <v>20</v>
      </c>
      <c r="D63" s="4">
        <v>0</v>
      </c>
      <c r="E63" s="4">
        <v>34</v>
      </c>
      <c r="F63" s="4">
        <v>25</v>
      </c>
      <c r="G63" s="4">
        <v>16</v>
      </c>
      <c r="H63" s="4">
        <v>17.5</v>
      </c>
      <c r="I63" s="4">
        <v>5.5</v>
      </c>
      <c r="J63" s="4">
        <v>13</v>
      </c>
      <c r="K63" s="4">
        <v>15</v>
      </c>
      <c r="L63" s="4">
        <v>0</v>
      </c>
      <c r="M63" s="4">
        <v>10</v>
      </c>
      <c r="N63" s="4">
        <v>20</v>
      </c>
    </row>
    <row r="64" spans="1:14">
      <c r="A64" s="3">
        <v>802848</v>
      </c>
      <c r="B64" s="3">
        <v>179560</v>
      </c>
      <c r="C64" s="4">
        <v>20</v>
      </c>
      <c r="D64" s="4">
        <v>20</v>
      </c>
      <c r="E64" s="4">
        <v>45</v>
      </c>
      <c r="F64" s="4">
        <v>47.85</v>
      </c>
      <c r="G64" s="4">
        <v>55</v>
      </c>
      <c r="H64" s="4">
        <v>65</v>
      </c>
      <c r="I64" s="4">
        <v>41</v>
      </c>
      <c r="J64" s="4">
        <v>30</v>
      </c>
      <c r="K64" s="4">
        <v>60</v>
      </c>
      <c r="L64" s="4">
        <v>32.5</v>
      </c>
      <c r="M64" s="4">
        <v>48</v>
      </c>
      <c r="N64" s="4">
        <v>61</v>
      </c>
    </row>
    <row r="65" spans="1:14">
      <c r="A65" s="3">
        <v>802870</v>
      </c>
      <c r="B65" s="3">
        <v>119034</v>
      </c>
      <c r="C65" s="4">
        <v>7.5</v>
      </c>
      <c r="D65" s="4">
        <v>0</v>
      </c>
      <c r="E65" s="4">
        <v>0</v>
      </c>
      <c r="F65" s="4">
        <v>37.5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3">
        <v>802878</v>
      </c>
      <c r="B66" s="3">
        <v>119038</v>
      </c>
      <c r="C66" s="4">
        <v>75</v>
      </c>
      <c r="D66" s="4">
        <v>0</v>
      </c>
      <c r="E66" s="4">
        <v>30</v>
      </c>
      <c r="F66" s="4">
        <v>24</v>
      </c>
      <c r="G66" s="4">
        <v>38.5</v>
      </c>
      <c r="H66" s="4">
        <v>25</v>
      </c>
      <c r="I66" s="4">
        <v>35</v>
      </c>
      <c r="J66" s="4">
        <v>20</v>
      </c>
      <c r="K66" s="4">
        <v>29.5</v>
      </c>
      <c r="L66" s="4">
        <v>10</v>
      </c>
      <c r="M66" s="4">
        <v>14</v>
      </c>
      <c r="N66" s="4">
        <v>100</v>
      </c>
    </row>
    <row r="67" spans="1:14">
      <c r="A67" s="3">
        <v>802893</v>
      </c>
      <c r="B67" s="3">
        <v>140857</v>
      </c>
      <c r="C67" s="4">
        <v>30</v>
      </c>
      <c r="D67" s="4">
        <v>40</v>
      </c>
      <c r="E67" s="4">
        <v>77.5</v>
      </c>
      <c r="F67" s="4">
        <v>39.5</v>
      </c>
      <c r="G67" s="4">
        <v>65</v>
      </c>
      <c r="H67" s="4">
        <v>36.25</v>
      </c>
      <c r="I67" s="4">
        <v>25</v>
      </c>
      <c r="J67" s="4">
        <v>60</v>
      </c>
      <c r="K67" s="4">
        <v>37</v>
      </c>
      <c r="L67" s="4">
        <v>46.5</v>
      </c>
      <c r="M67" s="4">
        <v>30</v>
      </c>
      <c r="N67" s="4">
        <v>60</v>
      </c>
    </row>
    <row r="68" spans="1:14">
      <c r="A68" s="3">
        <v>802894</v>
      </c>
      <c r="B68" s="3">
        <v>140848</v>
      </c>
      <c r="C68" s="4">
        <v>10</v>
      </c>
      <c r="D68" s="4">
        <v>50</v>
      </c>
      <c r="E68" s="4">
        <v>30</v>
      </c>
      <c r="F68" s="4">
        <v>42.5</v>
      </c>
      <c r="G68" s="4">
        <v>22.5</v>
      </c>
      <c r="H68" s="4">
        <v>20</v>
      </c>
      <c r="I68" s="4">
        <v>20</v>
      </c>
      <c r="J68" s="4">
        <v>0</v>
      </c>
      <c r="K68" s="4">
        <v>58.5</v>
      </c>
      <c r="L68" s="4">
        <v>75</v>
      </c>
      <c r="M68" s="4">
        <v>75</v>
      </c>
      <c r="N68" s="4">
        <v>62.25</v>
      </c>
    </row>
    <row r="69" spans="1:14">
      <c r="A69" s="3">
        <v>802895</v>
      </c>
      <c r="B69" s="3">
        <v>140967</v>
      </c>
      <c r="C69" s="4">
        <v>75</v>
      </c>
      <c r="D69" s="4">
        <v>35</v>
      </c>
      <c r="E69" s="4">
        <v>130</v>
      </c>
      <c r="F69" s="4">
        <v>215</v>
      </c>
      <c r="G69" s="4">
        <v>43.25</v>
      </c>
      <c r="H69" s="4">
        <v>185</v>
      </c>
      <c r="I69" s="4">
        <v>142.5</v>
      </c>
      <c r="J69" s="4">
        <v>50</v>
      </c>
      <c r="K69" s="4">
        <v>12.5</v>
      </c>
      <c r="L69" s="4">
        <v>0</v>
      </c>
      <c r="M69" s="4">
        <v>0</v>
      </c>
      <c r="N69" s="4">
        <v>20</v>
      </c>
    </row>
    <row r="70" spans="1:14">
      <c r="A70" s="3">
        <v>802896</v>
      </c>
      <c r="B70" s="3">
        <v>140967</v>
      </c>
      <c r="C70" s="4">
        <v>20</v>
      </c>
      <c r="D70" s="4">
        <v>30</v>
      </c>
      <c r="E70" s="4">
        <v>25</v>
      </c>
      <c r="F70" s="4">
        <v>32.5</v>
      </c>
      <c r="G70" s="4">
        <v>25</v>
      </c>
      <c r="H70" s="4">
        <v>0</v>
      </c>
      <c r="I70" s="4">
        <v>0</v>
      </c>
      <c r="J70" s="4">
        <v>0</v>
      </c>
      <c r="K70" s="4">
        <v>25</v>
      </c>
      <c r="L70" s="4">
        <v>0</v>
      </c>
      <c r="M70" s="4">
        <v>50</v>
      </c>
      <c r="N70" s="4">
        <v>207</v>
      </c>
    </row>
    <row r="71" spans="1:14">
      <c r="A71" s="3">
        <v>802913</v>
      </c>
      <c r="B71" s="3">
        <v>176773</v>
      </c>
      <c r="C71" s="4">
        <v>39.9</v>
      </c>
      <c r="D71" s="4">
        <v>27.5</v>
      </c>
      <c r="E71" s="4">
        <v>60</v>
      </c>
      <c r="F71" s="4">
        <v>137.65</v>
      </c>
      <c r="G71" s="4">
        <v>105</v>
      </c>
      <c r="H71" s="4">
        <v>88.5</v>
      </c>
      <c r="I71" s="4">
        <v>56</v>
      </c>
      <c r="J71" s="4">
        <v>25</v>
      </c>
      <c r="K71" s="4">
        <v>33</v>
      </c>
      <c r="L71" s="4">
        <v>25</v>
      </c>
      <c r="M71" s="4">
        <v>25</v>
      </c>
      <c r="N71" s="4">
        <v>12.5</v>
      </c>
    </row>
    <row r="72" spans="1:14">
      <c r="A72" s="3">
        <v>802918</v>
      </c>
      <c r="B72" s="3">
        <v>143531</v>
      </c>
      <c r="C72" s="4">
        <v>15</v>
      </c>
      <c r="D72" s="4">
        <v>20</v>
      </c>
      <c r="E72" s="4">
        <v>38</v>
      </c>
      <c r="F72" s="4">
        <v>20.5</v>
      </c>
      <c r="G72" s="4">
        <v>15</v>
      </c>
      <c r="H72" s="4">
        <v>0</v>
      </c>
      <c r="I72" s="4">
        <v>0</v>
      </c>
      <c r="J72" s="4">
        <v>12.5</v>
      </c>
      <c r="K72" s="4">
        <v>0</v>
      </c>
      <c r="L72" s="4">
        <v>13</v>
      </c>
      <c r="M72" s="4">
        <v>0</v>
      </c>
      <c r="N72" s="4">
        <v>13</v>
      </c>
    </row>
    <row r="73" spans="1:14">
      <c r="A73" s="3">
        <v>802921</v>
      </c>
      <c r="B73" s="3">
        <v>141115</v>
      </c>
      <c r="C73" s="4">
        <v>0</v>
      </c>
      <c r="D73" s="4">
        <v>9</v>
      </c>
      <c r="E73" s="4">
        <v>0</v>
      </c>
      <c r="F73" s="4">
        <v>40</v>
      </c>
      <c r="G73" s="4">
        <v>0</v>
      </c>
      <c r="H73" s="4">
        <v>14</v>
      </c>
      <c r="I73" s="4">
        <v>0</v>
      </c>
      <c r="J73" s="4">
        <v>30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3">
        <v>802923</v>
      </c>
      <c r="B74" s="3">
        <v>140857</v>
      </c>
      <c r="C74" s="4">
        <v>30</v>
      </c>
      <c r="D74" s="4">
        <v>39.25</v>
      </c>
      <c r="E74" s="4">
        <v>10</v>
      </c>
      <c r="F74" s="4">
        <v>17.5</v>
      </c>
      <c r="G74" s="4">
        <v>35</v>
      </c>
      <c r="H74" s="4">
        <v>20</v>
      </c>
      <c r="I74" s="4">
        <v>31.5</v>
      </c>
      <c r="J74" s="4">
        <v>0</v>
      </c>
      <c r="K74" s="4">
        <v>30</v>
      </c>
      <c r="L74" s="4">
        <v>27.5</v>
      </c>
      <c r="M74" s="4">
        <v>15</v>
      </c>
      <c r="N74" s="4">
        <v>30</v>
      </c>
    </row>
    <row r="75" spans="1:14">
      <c r="A75" s="3">
        <v>802925</v>
      </c>
      <c r="B75" s="3">
        <v>140963</v>
      </c>
      <c r="C75" s="4">
        <v>10</v>
      </c>
      <c r="D75" s="4">
        <v>35</v>
      </c>
      <c r="E75" s="4">
        <v>30</v>
      </c>
      <c r="F75" s="4">
        <v>35</v>
      </c>
      <c r="G75" s="4">
        <v>10</v>
      </c>
      <c r="H75" s="4">
        <v>30</v>
      </c>
      <c r="I75" s="4">
        <v>10</v>
      </c>
      <c r="J75" s="4">
        <v>0</v>
      </c>
      <c r="K75" s="4">
        <v>30</v>
      </c>
      <c r="L75" s="4">
        <v>50</v>
      </c>
      <c r="M75" s="4">
        <v>30</v>
      </c>
      <c r="N75" s="4">
        <v>20</v>
      </c>
    </row>
    <row r="76" spans="1:14">
      <c r="A76" s="3">
        <v>802925</v>
      </c>
      <c r="B76" s="3">
        <v>176098</v>
      </c>
      <c r="C76" s="4">
        <v>0</v>
      </c>
      <c r="D76" s="4">
        <v>0</v>
      </c>
      <c r="E76" s="4">
        <v>10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3">
        <v>802948</v>
      </c>
      <c r="B77" s="3">
        <v>119261</v>
      </c>
      <c r="C77" s="4">
        <v>51</v>
      </c>
      <c r="D77" s="4">
        <v>0</v>
      </c>
      <c r="E77" s="4">
        <v>102</v>
      </c>
      <c r="F77" s="4">
        <v>59.5</v>
      </c>
      <c r="G77" s="4">
        <v>31</v>
      </c>
      <c r="H77" s="4">
        <v>52.5</v>
      </c>
      <c r="I77" s="4">
        <v>0</v>
      </c>
      <c r="J77" s="4">
        <v>52</v>
      </c>
      <c r="K77" s="4">
        <v>50</v>
      </c>
      <c r="L77" s="4">
        <v>80</v>
      </c>
      <c r="M77" s="4">
        <v>50</v>
      </c>
      <c r="N77" s="4">
        <v>0</v>
      </c>
    </row>
    <row r="78" spans="1:14">
      <c r="A78" s="3">
        <v>802964</v>
      </c>
      <c r="B78" s="3">
        <v>119038</v>
      </c>
      <c r="C78" s="4">
        <v>210</v>
      </c>
      <c r="D78" s="4">
        <v>40</v>
      </c>
      <c r="E78" s="4">
        <v>64</v>
      </c>
      <c r="F78" s="4">
        <v>153.5</v>
      </c>
      <c r="G78" s="4">
        <v>130.5</v>
      </c>
      <c r="H78" s="4">
        <v>121</v>
      </c>
      <c r="I78" s="4">
        <v>33.5</v>
      </c>
      <c r="J78" s="4">
        <v>60</v>
      </c>
      <c r="K78" s="4">
        <v>35</v>
      </c>
      <c r="L78" s="4">
        <v>37</v>
      </c>
      <c r="M78" s="4">
        <v>30</v>
      </c>
      <c r="N78" s="4">
        <v>0</v>
      </c>
    </row>
    <row r="79" spans="1:14">
      <c r="A79" s="3">
        <v>802965</v>
      </c>
      <c r="B79" s="3">
        <v>119038</v>
      </c>
      <c r="C79" s="4">
        <v>0</v>
      </c>
      <c r="D79" s="4">
        <v>0</v>
      </c>
      <c r="E79" s="4">
        <v>0</v>
      </c>
      <c r="F79" s="4">
        <v>0</v>
      </c>
      <c r="G79" s="4">
        <v>20</v>
      </c>
      <c r="H79" s="4">
        <v>10</v>
      </c>
      <c r="I79" s="4">
        <v>20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3">
        <v>802968</v>
      </c>
      <c r="B80" s="3">
        <v>174756</v>
      </c>
      <c r="C80" s="4">
        <v>15</v>
      </c>
      <c r="D80" s="4">
        <v>22.5</v>
      </c>
      <c r="E80" s="4">
        <v>40</v>
      </c>
      <c r="F80" s="4">
        <v>32.5</v>
      </c>
      <c r="G80" s="4">
        <v>15</v>
      </c>
      <c r="H80" s="4">
        <v>23.5</v>
      </c>
      <c r="I80" s="4">
        <v>40</v>
      </c>
      <c r="J80" s="4">
        <v>26</v>
      </c>
      <c r="K80" s="4">
        <v>29.5</v>
      </c>
      <c r="L80" s="4">
        <v>52.5</v>
      </c>
      <c r="M80" s="4">
        <v>57</v>
      </c>
      <c r="N80" s="4">
        <v>62.5</v>
      </c>
    </row>
    <row r="81" spans="1:14">
      <c r="A81" s="3">
        <v>802972</v>
      </c>
      <c r="B81" s="3">
        <v>119050</v>
      </c>
      <c r="C81" s="4">
        <v>0</v>
      </c>
      <c r="D81" s="4">
        <v>0</v>
      </c>
      <c r="E81" s="4">
        <v>10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>
      <c r="A82" s="3">
        <v>802972</v>
      </c>
      <c r="B82" s="3">
        <v>174756</v>
      </c>
      <c r="C82" s="4">
        <v>0</v>
      </c>
      <c r="D82" s="4">
        <v>17</v>
      </c>
      <c r="E82" s="4">
        <v>15</v>
      </c>
      <c r="F82" s="4">
        <v>17.5</v>
      </c>
      <c r="G82" s="4">
        <v>16</v>
      </c>
      <c r="H82" s="4">
        <v>10</v>
      </c>
      <c r="I82" s="4">
        <v>10</v>
      </c>
      <c r="J82" s="4">
        <v>20</v>
      </c>
      <c r="K82" s="4">
        <v>7.5</v>
      </c>
      <c r="L82" s="4">
        <v>0</v>
      </c>
      <c r="M82" s="4">
        <v>0</v>
      </c>
      <c r="N82" s="4">
        <v>0</v>
      </c>
    </row>
    <row r="83" spans="1:14">
      <c r="A83" s="3">
        <v>802987</v>
      </c>
      <c r="B83" s="3">
        <v>170146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35</v>
      </c>
      <c r="M83" s="4">
        <v>35</v>
      </c>
      <c r="N83" s="4">
        <v>35</v>
      </c>
    </row>
    <row r="84" spans="1:14">
      <c r="A84" s="3">
        <v>803003</v>
      </c>
      <c r="B84" s="3">
        <v>122282</v>
      </c>
      <c r="C84" s="4">
        <v>74</v>
      </c>
      <c r="D84" s="4">
        <v>44</v>
      </c>
      <c r="E84" s="4">
        <v>86.5</v>
      </c>
      <c r="F84" s="4">
        <v>83.65</v>
      </c>
      <c r="G84" s="4">
        <v>55.5</v>
      </c>
      <c r="H84" s="4">
        <v>52.8</v>
      </c>
      <c r="I84" s="4">
        <v>40.5</v>
      </c>
      <c r="J84" s="4">
        <v>38.5</v>
      </c>
      <c r="K84" s="4">
        <v>123</v>
      </c>
      <c r="L84" s="4">
        <v>85.7</v>
      </c>
      <c r="M84" s="4">
        <v>62</v>
      </c>
      <c r="N84" s="4">
        <v>142.5</v>
      </c>
    </row>
    <row r="85" spans="1:14">
      <c r="A85" s="3">
        <v>803017</v>
      </c>
      <c r="B85" s="3">
        <v>170200</v>
      </c>
      <c r="C85" s="4">
        <v>81</v>
      </c>
      <c r="D85" s="4">
        <v>91</v>
      </c>
      <c r="E85" s="4">
        <v>96</v>
      </c>
      <c r="F85" s="4">
        <v>47</v>
      </c>
      <c r="G85" s="4">
        <v>75</v>
      </c>
      <c r="H85" s="4">
        <v>96</v>
      </c>
      <c r="I85" s="4">
        <v>105</v>
      </c>
      <c r="J85" s="4">
        <v>60</v>
      </c>
      <c r="K85" s="4">
        <v>0</v>
      </c>
      <c r="L85" s="4">
        <v>125</v>
      </c>
      <c r="M85" s="4">
        <v>132</v>
      </c>
      <c r="N85" s="4">
        <v>89</v>
      </c>
    </row>
    <row r="86" spans="1:14">
      <c r="A86" s="3">
        <v>803018</v>
      </c>
      <c r="B86" s="3">
        <v>176276</v>
      </c>
      <c r="C86" s="4">
        <v>25</v>
      </c>
      <c r="D86" s="4">
        <v>10</v>
      </c>
      <c r="E86" s="4">
        <v>5</v>
      </c>
      <c r="F86" s="4">
        <v>17.5</v>
      </c>
      <c r="G86" s="4">
        <v>10</v>
      </c>
      <c r="H86" s="4">
        <v>5</v>
      </c>
      <c r="I86" s="4">
        <v>5</v>
      </c>
      <c r="J86" s="4">
        <v>15</v>
      </c>
      <c r="K86" s="4">
        <v>15</v>
      </c>
      <c r="L86" s="4">
        <v>17.5</v>
      </c>
      <c r="M86" s="4">
        <v>17.5</v>
      </c>
      <c r="N86" s="4">
        <v>13.8</v>
      </c>
    </row>
    <row r="87" spans="1:14">
      <c r="A87" s="3">
        <v>803020</v>
      </c>
      <c r="B87" s="3">
        <v>140851</v>
      </c>
      <c r="C87" s="4">
        <v>20</v>
      </c>
      <c r="D87" s="4">
        <v>30</v>
      </c>
      <c r="E87" s="4">
        <v>45</v>
      </c>
      <c r="F87" s="4">
        <v>25</v>
      </c>
      <c r="G87" s="4">
        <v>20</v>
      </c>
      <c r="H87" s="4">
        <v>10</v>
      </c>
      <c r="I87" s="4">
        <v>0</v>
      </c>
      <c r="J87" s="4">
        <v>0</v>
      </c>
      <c r="K87" s="4">
        <v>7.5</v>
      </c>
      <c r="L87" s="4">
        <v>27.5</v>
      </c>
      <c r="M87" s="4">
        <v>10</v>
      </c>
      <c r="N87" s="4">
        <v>25</v>
      </c>
    </row>
    <row r="88" spans="1:14">
      <c r="A88" s="3">
        <v>803021</v>
      </c>
      <c r="B88" s="3">
        <v>140851</v>
      </c>
      <c r="C88" s="4">
        <v>50</v>
      </c>
      <c r="D88" s="4">
        <v>40</v>
      </c>
      <c r="E88" s="4">
        <v>60</v>
      </c>
      <c r="F88" s="4">
        <v>30</v>
      </c>
      <c r="G88" s="4">
        <v>44</v>
      </c>
      <c r="H88" s="4">
        <v>22.5</v>
      </c>
      <c r="I88" s="4">
        <v>35</v>
      </c>
      <c r="J88" s="4">
        <v>0</v>
      </c>
      <c r="K88" s="4">
        <v>32.5</v>
      </c>
      <c r="L88" s="4">
        <v>35</v>
      </c>
      <c r="M88" s="4">
        <v>22</v>
      </c>
      <c r="N88" s="4">
        <v>45</v>
      </c>
    </row>
    <row r="89" spans="1:14">
      <c r="A89" s="3">
        <v>803022</v>
      </c>
      <c r="B89" s="3">
        <v>140851</v>
      </c>
      <c r="C89" s="4">
        <v>10</v>
      </c>
      <c r="D89" s="4">
        <v>10</v>
      </c>
      <c r="E89" s="4">
        <v>30</v>
      </c>
      <c r="F89" s="4">
        <v>25</v>
      </c>
      <c r="G89" s="4">
        <v>0</v>
      </c>
      <c r="H89" s="4">
        <v>0</v>
      </c>
      <c r="I89" s="4">
        <v>0</v>
      </c>
      <c r="J89" s="4">
        <v>0</v>
      </c>
      <c r="K89" s="4">
        <v>25</v>
      </c>
      <c r="L89" s="4">
        <v>20</v>
      </c>
      <c r="M89" s="4">
        <v>60</v>
      </c>
      <c r="N89" s="4">
        <v>40</v>
      </c>
    </row>
    <row r="90" spans="1:14">
      <c r="A90" s="3">
        <v>803023</v>
      </c>
      <c r="B90" s="3">
        <v>140851</v>
      </c>
      <c r="C90" s="4">
        <v>45</v>
      </c>
      <c r="D90" s="4">
        <v>20</v>
      </c>
      <c r="E90" s="4">
        <v>40</v>
      </c>
      <c r="F90" s="4">
        <v>27.5</v>
      </c>
      <c r="G90" s="4">
        <v>30</v>
      </c>
      <c r="H90" s="4">
        <v>20</v>
      </c>
      <c r="I90" s="4">
        <v>37.5</v>
      </c>
      <c r="J90" s="4">
        <v>0</v>
      </c>
      <c r="K90" s="4">
        <v>42.5</v>
      </c>
      <c r="L90" s="4">
        <v>40</v>
      </c>
      <c r="M90" s="4">
        <v>20</v>
      </c>
      <c r="N90" s="4">
        <v>15</v>
      </c>
    </row>
    <row r="91" spans="1:14">
      <c r="A91" s="3">
        <v>803049</v>
      </c>
      <c r="B91" s="3">
        <v>140860</v>
      </c>
      <c r="C91" s="4">
        <v>30</v>
      </c>
      <c r="D91" s="4">
        <v>10</v>
      </c>
      <c r="E91" s="4">
        <v>30</v>
      </c>
      <c r="F91" s="4">
        <v>52.5</v>
      </c>
      <c r="G91" s="4">
        <v>30</v>
      </c>
      <c r="H91" s="4">
        <v>15</v>
      </c>
      <c r="I91" s="4">
        <v>20</v>
      </c>
      <c r="J91" s="4">
        <v>5</v>
      </c>
      <c r="K91" s="4">
        <v>52.5</v>
      </c>
      <c r="L91" s="4">
        <v>45</v>
      </c>
      <c r="M91" s="4">
        <v>80</v>
      </c>
      <c r="N91" s="4">
        <v>55</v>
      </c>
    </row>
    <row r="92" spans="1:14">
      <c r="A92" s="3">
        <v>803051</v>
      </c>
      <c r="B92" s="3">
        <v>119038</v>
      </c>
      <c r="C92" s="4">
        <v>10</v>
      </c>
      <c r="D92" s="4">
        <v>20</v>
      </c>
      <c r="E92" s="4">
        <v>24</v>
      </c>
      <c r="F92" s="4">
        <v>20</v>
      </c>
      <c r="G92" s="4">
        <v>25</v>
      </c>
      <c r="H92" s="4">
        <v>10</v>
      </c>
      <c r="I92" s="4">
        <v>0</v>
      </c>
      <c r="J92" s="4">
        <v>15</v>
      </c>
      <c r="K92" s="4">
        <v>20</v>
      </c>
      <c r="L92" s="4">
        <v>15</v>
      </c>
      <c r="M92" s="4">
        <v>0</v>
      </c>
      <c r="N92" s="4">
        <v>0</v>
      </c>
    </row>
    <row r="93" spans="1:14">
      <c r="A93" s="3">
        <v>803071</v>
      </c>
      <c r="B93" s="3">
        <v>140848</v>
      </c>
      <c r="C93" s="4">
        <v>116</v>
      </c>
      <c r="D93" s="4">
        <v>168</v>
      </c>
      <c r="E93" s="4">
        <v>217.5</v>
      </c>
      <c r="F93" s="4">
        <v>150</v>
      </c>
      <c r="G93" s="4">
        <v>100</v>
      </c>
      <c r="H93" s="4">
        <v>65</v>
      </c>
      <c r="I93" s="4">
        <v>107.25</v>
      </c>
      <c r="J93" s="4">
        <v>143.5</v>
      </c>
      <c r="K93" s="4">
        <v>130.25</v>
      </c>
      <c r="L93" s="4">
        <v>122.5</v>
      </c>
      <c r="M93" s="4">
        <v>135</v>
      </c>
      <c r="N93" s="4">
        <v>60</v>
      </c>
    </row>
    <row r="94" spans="1:14">
      <c r="A94" s="3">
        <v>803124</v>
      </c>
      <c r="B94" s="3">
        <v>140857</v>
      </c>
      <c r="C94" s="4">
        <v>0</v>
      </c>
      <c r="D94" s="4">
        <v>0</v>
      </c>
      <c r="E94" s="4">
        <v>0</v>
      </c>
      <c r="F94" s="4">
        <v>7.5</v>
      </c>
      <c r="G94" s="4">
        <v>10</v>
      </c>
      <c r="H94" s="4">
        <v>0</v>
      </c>
      <c r="I94" s="4">
        <v>0</v>
      </c>
      <c r="J94" s="4">
        <v>0</v>
      </c>
      <c r="K94" s="4">
        <v>25</v>
      </c>
      <c r="L94" s="4">
        <v>0</v>
      </c>
      <c r="M94" s="4">
        <v>0</v>
      </c>
      <c r="N94" s="4">
        <v>0</v>
      </c>
    </row>
    <row r="95" spans="1:14">
      <c r="A95" s="3">
        <v>803125</v>
      </c>
      <c r="B95" s="3">
        <v>203600</v>
      </c>
      <c r="C95" s="4">
        <v>39</v>
      </c>
      <c r="D95" s="4">
        <v>30</v>
      </c>
      <c r="E95" s="4">
        <v>51.5</v>
      </c>
      <c r="F95" s="4">
        <v>50</v>
      </c>
      <c r="G95" s="4">
        <v>20</v>
      </c>
      <c r="H95" s="4">
        <v>20</v>
      </c>
      <c r="I95" s="4">
        <v>20</v>
      </c>
      <c r="J95" s="4">
        <v>30</v>
      </c>
      <c r="K95" s="4">
        <v>49</v>
      </c>
      <c r="L95" s="4">
        <v>35</v>
      </c>
      <c r="M95" s="4">
        <v>20</v>
      </c>
      <c r="N95" s="4">
        <v>79</v>
      </c>
    </row>
    <row r="96" spans="1:14">
      <c r="A96" s="3">
        <v>803141</v>
      </c>
      <c r="B96" s="3">
        <v>119050</v>
      </c>
      <c r="C96" s="4">
        <v>10</v>
      </c>
      <c r="D96" s="4">
        <v>40</v>
      </c>
      <c r="E96" s="4">
        <v>32.5</v>
      </c>
      <c r="F96" s="4">
        <v>92</v>
      </c>
      <c r="G96" s="4">
        <v>51</v>
      </c>
      <c r="H96" s="4">
        <v>38</v>
      </c>
      <c r="I96" s="4">
        <v>40</v>
      </c>
      <c r="J96" s="4">
        <v>15</v>
      </c>
      <c r="K96" s="4">
        <v>46</v>
      </c>
      <c r="L96" s="4">
        <v>35</v>
      </c>
      <c r="M96" s="4">
        <v>50</v>
      </c>
      <c r="N96" s="4">
        <v>25</v>
      </c>
    </row>
    <row r="97" spans="1:14">
      <c r="A97" s="3">
        <v>803148</v>
      </c>
      <c r="B97" s="3">
        <v>171226</v>
      </c>
      <c r="C97" s="4">
        <v>112</v>
      </c>
      <c r="D97" s="4">
        <v>183</v>
      </c>
      <c r="E97" s="4">
        <v>308</v>
      </c>
      <c r="F97" s="4">
        <v>59</v>
      </c>
      <c r="G97" s="4">
        <v>87</v>
      </c>
      <c r="H97" s="4">
        <v>0</v>
      </c>
      <c r="I97" s="4">
        <v>85</v>
      </c>
      <c r="J97" s="4">
        <v>0</v>
      </c>
      <c r="K97" s="4">
        <v>85</v>
      </c>
      <c r="L97" s="4">
        <v>30</v>
      </c>
      <c r="M97" s="4">
        <v>119</v>
      </c>
      <c r="N97" s="4">
        <v>259</v>
      </c>
    </row>
    <row r="98" spans="1:14">
      <c r="A98" s="3">
        <v>803188</v>
      </c>
      <c r="B98" s="3">
        <v>140851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10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3">
        <v>803188</v>
      </c>
      <c r="B99" s="3">
        <v>140857</v>
      </c>
      <c r="C99" s="4">
        <v>0</v>
      </c>
      <c r="D99" s="4">
        <v>25</v>
      </c>
      <c r="E99" s="4">
        <v>40</v>
      </c>
      <c r="F99" s="4">
        <v>67.5</v>
      </c>
      <c r="G99" s="4">
        <v>34</v>
      </c>
      <c r="H99" s="4">
        <v>55</v>
      </c>
      <c r="I99" s="4">
        <v>25</v>
      </c>
      <c r="J99" s="4">
        <v>25</v>
      </c>
      <c r="K99" s="4">
        <v>25</v>
      </c>
      <c r="L99" s="4">
        <v>12.5</v>
      </c>
      <c r="M99" s="4">
        <v>22.5</v>
      </c>
      <c r="N99" s="4">
        <v>20</v>
      </c>
    </row>
    <row r="100" spans="1:14">
      <c r="A100" s="3">
        <v>803193</v>
      </c>
      <c r="B100" s="3">
        <v>119905</v>
      </c>
      <c r="C100" s="4">
        <v>37.5</v>
      </c>
      <c r="D100" s="4">
        <v>25</v>
      </c>
      <c r="E100" s="4">
        <v>26</v>
      </c>
      <c r="F100" s="4">
        <v>35.75</v>
      </c>
      <c r="G100" s="4">
        <v>29.25</v>
      </c>
      <c r="H100" s="4">
        <v>6.25</v>
      </c>
      <c r="I100" s="4">
        <v>12.5</v>
      </c>
      <c r="J100" s="4">
        <v>29</v>
      </c>
      <c r="K100" s="4">
        <v>35.5</v>
      </c>
      <c r="L100" s="4">
        <v>11.25</v>
      </c>
      <c r="M100" s="4">
        <v>47.5</v>
      </c>
      <c r="N100" s="4">
        <v>17.5</v>
      </c>
    </row>
    <row r="101" spans="1:14">
      <c r="A101" s="3">
        <v>803201</v>
      </c>
      <c r="B101" s="3">
        <v>170204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15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3">
        <v>803201</v>
      </c>
      <c r="B102" s="3">
        <v>171226</v>
      </c>
      <c r="C102" s="4">
        <v>20</v>
      </c>
      <c r="D102" s="4">
        <v>20</v>
      </c>
      <c r="E102" s="4">
        <v>86</v>
      </c>
      <c r="F102" s="4">
        <v>10</v>
      </c>
      <c r="G102" s="4">
        <v>14</v>
      </c>
      <c r="H102" s="4">
        <v>10</v>
      </c>
      <c r="I102" s="4">
        <v>0</v>
      </c>
      <c r="J102" s="4">
        <v>0</v>
      </c>
      <c r="K102" s="4">
        <v>47</v>
      </c>
      <c r="L102" s="4">
        <v>10</v>
      </c>
      <c r="M102" s="4">
        <v>34</v>
      </c>
      <c r="N102" s="4">
        <v>20</v>
      </c>
    </row>
    <row r="103" spans="1:14">
      <c r="A103" s="3">
        <v>803240</v>
      </c>
      <c r="B103" s="3">
        <v>119227</v>
      </c>
      <c r="C103" s="4">
        <v>51</v>
      </c>
      <c r="D103" s="4">
        <v>10</v>
      </c>
      <c r="E103" s="4">
        <v>50.5</v>
      </c>
      <c r="F103" s="4">
        <v>48.5</v>
      </c>
      <c r="G103" s="4">
        <v>10</v>
      </c>
      <c r="H103" s="4">
        <v>47</v>
      </c>
      <c r="I103" s="4">
        <v>53</v>
      </c>
      <c r="J103" s="4">
        <v>21</v>
      </c>
      <c r="K103" s="4">
        <v>24.5</v>
      </c>
      <c r="L103" s="4">
        <v>0</v>
      </c>
      <c r="M103" s="4">
        <v>54</v>
      </c>
      <c r="N103" s="4">
        <v>46</v>
      </c>
    </row>
    <row r="104" spans="1:14">
      <c r="A104" s="3">
        <v>803251</v>
      </c>
      <c r="B104" s="3">
        <v>170200</v>
      </c>
      <c r="C104" s="4">
        <v>15</v>
      </c>
      <c r="D104" s="4">
        <v>20</v>
      </c>
      <c r="E104" s="4">
        <v>15</v>
      </c>
      <c r="F104" s="4">
        <v>20</v>
      </c>
      <c r="G104" s="4">
        <v>10</v>
      </c>
      <c r="H104" s="4">
        <v>10</v>
      </c>
      <c r="I104" s="4">
        <v>0</v>
      </c>
      <c r="J104" s="4">
        <v>17</v>
      </c>
      <c r="K104" s="4">
        <v>0</v>
      </c>
      <c r="L104" s="4">
        <v>28</v>
      </c>
      <c r="M104" s="4">
        <v>15</v>
      </c>
      <c r="N104" s="4">
        <v>15</v>
      </c>
    </row>
    <row r="105" spans="1:14">
      <c r="A105" s="3">
        <v>803256</v>
      </c>
      <c r="B105" s="3">
        <v>170204</v>
      </c>
      <c r="C105" s="4">
        <v>423.5</v>
      </c>
      <c r="D105" s="4">
        <v>124.5</v>
      </c>
      <c r="E105" s="4">
        <v>368</v>
      </c>
      <c r="F105" s="4">
        <v>182</v>
      </c>
      <c r="G105" s="4">
        <v>20</v>
      </c>
      <c r="H105" s="4">
        <v>252</v>
      </c>
      <c r="I105" s="4">
        <v>219</v>
      </c>
      <c r="J105" s="4">
        <v>84</v>
      </c>
      <c r="K105" s="4">
        <v>274</v>
      </c>
      <c r="L105" s="4">
        <v>126</v>
      </c>
      <c r="M105" s="4">
        <v>182</v>
      </c>
      <c r="N105" s="4">
        <v>147</v>
      </c>
    </row>
    <row r="106" spans="1:14">
      <c r="A106" s="3">
        <v>803258</v>
      </c>
      <c r="B106" s="3">
        <v>140859</v>
      </c>
      <c r="C106" s="4">
        <v>25</v>
      </c>
      <c r="D106" s="4">
        <v>5</v>
      </c>
      <c r="E106" s="4">
        <v>20</v>
      </c>
      <c r="F106" s="4">
        <v>21</v>
      </c>
      <c r="G106" s="4">
        <v>10</v>
      </c>
      <c r="H106" s="4">
        <v>0</v>
      </c>
      <c r="I106" s="4">
        <v>0</v>
      </c>
      <c r="J106" s="4">
        <v>0</v>
      </c>
      <c r="K106" s="4">
        <v>30</v>
      </c>
      <c r="L106" s="4">
        <v>10</v>
      </c>
      <c r="M106" s="4">
        <v>25</v>
      </c>
      <c r="N106" s="4">
        <v>30</v>
      </c>
    </row>
    <row r="107" spans="1:14">
      <c r="A107" s="3">
        <v>803260</v>
      </c>
      <c r="B107" s="3">
        <v>140849</v>
      </c>
      <c r="C107" s="4">
        <v>20</v>
      </c>
      <c r="D107" s="4">
        <v>40</v>
      </c>
      <c r="E107" s="4">
        <v>0</v>
      </c>
      <c r="F107" s="4">
        <v>25.5</v>
      </c>
      <c r="G107" s="4">
        <v>28</v>
      </c>
      <c r="H107" s="4">
        <v>0</v>
      </c>
      <c r="I107" s="4">
        <v>0</v>
      </c>
      <c r="J107" s="4">
        <v>0</v>
      </c>
      <c r="K107" s="4">
        <v>20</v>
      </c>
      <c r="L107" s="4">
        <v>25</v>
      </c>
      <c r="M107" s="4">
        <v>33</v>
      </c>
      <c r="N107" s="4">
        <v>30</v>
      </c>
    </row>
    <row r="108" spans="1:14">
      <c r="A108" s="3">
        <v>803292</v>
      </c>
      <c r="B108" s="3">
        <v>119028</v>
      </c>
      <c r="C108" s="4">
        <v>139</v>
      </c>
      <c r="D108" s="4">
        <v>114</v>
      </c>
      <c r="E108" s="4">
        <v>155</v>
      </c>
      <c r="F108" s="4">
        <v>196</v>
      </c>
      <c r="G108" s="4">
        <v>109</v>
      </c>
      <c r="H108" s="4">
        <v>31</v>
      </c>
      <c r="I108" s="4">
        <v>124</v>
      </c>
      <c r="J108" s="4">
        <v>114</v>
      </c>
      <c r="K108" s="4">
        <v>91</v>
      </c>
      <c r="L108" s="4">
        <v>124</v>
      </c>
      <c r="M108" s="4">
        <v>47</v>
      </c>
      <c r="N108" s="4">
        <v>124</v>
      </c>
    </row>
    <row r="109" spans="1:14">
      <c r="A109" s="3">
        <v>803293</v>
      </c>
      <c r="B109" s="3">
        <v>170846</v>
      </c>
      <c r="C109" s="4">
        <v>10</v>
      </c>
      <c r="D109" s="4">
        <v>44.5</v>
      </c>
      <c r="E109" s="4">
        <v>27</v>
      </c>
      <c r="F109" s="4">
        <v>27</v>
      </c>
      <c r="G109" s="4">
        <v>50.75</v>
      </c>
      <c r="H109" s="4">
        <v>33</v>
      </c>
      <c r="I109" s="4">
        <v>0</v>
      </c>
      <c r="J109" s="4">
        <v>23</v>
      </c>
      <c r="K109" s="4">
        <v>22</v>
      </c>
      <c r="L109" s="4">
        <v>0</v>
      </c>
      <c r="M109" s="4">
        <v>20.5</v>
      </c>
      <c r="N109" s="4">
        <v>26</v>
      </c>
    </row>
    <row r="110" spans="1:14">
      <c r="A110" s="3">
        <v>803351</v>
      </c>
      <c r="B110" s="3">
        <v>176773</v>
      </c>
      <c r="C110" s="4">
        <v>0</v>
      </c>
      <c r="D110" s="4">
        <v>15</v>
      </c>
      <c r="E110" s="4">
        <v>26</v>
      </c>
      <c r="F110" s="4">
        <v>17.5</v>
      </c>
      <c r="G110" s="4">
        <v>0</v>
      </c>
      <c r="H110" s="4">
        <v>0</v>
      </c>
      <c r="I110" s="4">
        <v>10</v>
      </c>
      <c r="J110" s="4">
        <v>0</v>
      </c>
      <c r="K110" s="4">
        <v>0</v>
      </c>
      <c r="L110" s="4">
        <v>0</v>
      </c>
      <c r="M110" s="4">
        <v>10</v>
      </c>
      <c r="N110" s="4">
        <v>0</v>
      </c>
    </row>
    <row r="111" spans="1:14">
      <c r="A111" s="3">
        <v>803352</v>
      </c>
      <c r="B111" s="3">
        <v>119038</v>
      </c>
      <c r="C111" s="4">
        <v>0</v>
      </c>
      <c r="D111" s="4">
        <v>0</v>
      </c>
      <c r="E111" s="4">
        <v>0</v>
      </c>
      <c r="F111" s="4">
        <v>0</v>
      </c>
      <c r="G111" s="4">
        <v>11</v>
      </c>
      <c r="H111" s="4">
        <v>59</v>
      </c>
      <c r="I111" s="4">
        <v>34.5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>
      <c r="A112" s="3">
        <v>803364</v>
      </c>
      <c r="B112" s="3">
        <v>170204</v>
      </c>
      <c r="C112" s="4">
        <v>0</v>
      </c>
      <c r="D112" s="4">
        <v>0</v>
      </c>
      <c r="E112" s="4">
        <v>0</v>
      </c>
      <c r="F112" s="4">
        <v>47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49</v>
      </c>
      <c r="N112" s="4">
        <v>10</v>
      </c>
    </row>
    <row r="113" spans="1:14">
      <c r="A113" s="3">
        <v>803425</v>
      </c>
      <c r="B113" s="3">
        <v>119038</v>
      </c>
      <c r="C113" s="4">
        <v>20</v>
      </c>
      <c r="D113" s="4">
        <v>30</v>
      </c>
      <c r="E113" s="4">
        <v>110</v>
      </c>
      <c r="F113" s="4">
        <v>0</v>
      </c>
      <c r="G113" s="4">
        <v>25</v>
      </c>
      <c r="H113" s="4">
        <v>33</v>
      </c>
      <c r="I113" s="4">
        <v>25</v>
      </c>
      <c r="J113" s="4">
        <v>21.5</v>
      </c>
      <c r="K113" s="4">
        <v>80</v>
      </c>
      <c r="L113" s="4">
        <v>45</v>
      </c>
      <c r="M113" s="4">
        <v>0</v>
      </c>
      <c r="N113" s="4">
        <v>15</v>
      </c>
    </row>
    <row r="114" spans="1:14">
      <c r="A114" s="3">
        <v>803501</v>
      </c>
      <c r="B114" s="3">
        <v>172942</v>
      </c>
      <c r="C114" s="4">
        <v>15</v>
      </c>
      <c r="D114" s="4">
        <v>15</v>
      </c>
      <c r="E114" s="4">
        <v>0</v>
      </c>
      <c r="F114" s="4">
        <v>10</v>
      </c>
      <c r="G114" s="4">
        <v>0</v>
      </c>
      <c r="H114" s="4">
        <v>0</v>
      </c>
      <c r="I114" s="4">
        <v>7.5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>
      <c r="A115" s="3">
        <v>803534</v>
      </c>
      <c r="B115" s="3">
        <v>141115</v>
      </c>
      <c r="C115" s="4">
        <v>138.55000000000001</v>
      </c>
      <c r="D115" s="4">
        <v>60</v>
      </c>
      <c r="E115" s="4">
        <v>125</v>
      </c>
      <c r="F115" s="4">
        <v>157</v>
      </c>
      <c r="G115" s="4">
        <v>101.5</v>
      </c>
      <c r="H115" s="4">
        <v>116.5</v>
      </c>
      <c r="I115" s="4">
        <v>65</v>
      </c>
      <c r="J115" s="4">
        <v>84</v>
      </c>
      <c r="K115" s="4">
        <v>129.94999999999999</v>
      </c>
      <c r="L115" s="4">
        <v>101.25</v>
      </c>
      <c r="M115" s="4">
        <v>140.75</v>
      </c>
      <c r="N115" s="4">
        <v>80</v>
      </c>
    </row>
    <row r="116" spans="1:14">
      <c r="A116" s="3">
        <v>803578</v>
      </c>
      <c r="B116" s="3">
        <v>119038</v>
      </c>
      <c r="C116" s="4">
        <v>10</v>
      </c>
      <c r="D116" s="4">
        <v>0</v>
      </c>
      <c r="E116" s="4">
        <v>10</v>
      </c>
      <c r="F116" s="4">
        <v>10</v>
      </c>
      <c r="G116" s="4">
        <v>10</v>
      </c>
      <c r="H116" s="4">
        <v>15</v>
      </c>
      <c r="I116" s="4">
        <v>0</v>
      </c>
      <c r="J116" s="4">
        <v>10</v>
      </c>
      <c r="K116" s="4">
        <v>25</v>
      </c>
      <c r="L116" s="4">
        <v>4.5</v>
      </c>
      <c r="M116" s="4">
        <v>25</v>
      </c>
      <c r="N116" s="4">
        <v>0</v>
      </c>
    </row>
    <row r="117" spans="1:14">
      <c r="A117" s="3">
        <v>803579</v>
      </c>
      <c r="B117" s="3">
        <v>119038</v>
      </c>
      <c r="C117" s="4">
        <v>70</v>
      </c>
      <c r="D117" s="4">
        <v>60</v>
      </c>
      <c r="E117" s="4">
        <v>99</v>
      </c>
      <c r="F117" s="4">
        <v>85</v>
      </c>
      <c r="G117" s="4">
        <v>20</v>
      </c>
      <c r="H117" s="4">
        <v>35</v>
      </c>
      <c r="I117" s="4">
        <v>63</v>
      </c>
      <c r="J117" s="4">
        <v>50</v>
      </c>
      <c r="K117" s="4">
        <v>74.5</v>
      </c>
      <c r="L117" s="4">
        <v>102</v>
      </c>
      <c r="M117" s="4">
        <v>101.5</v>
      </c>
      <c r="N117" s="4">
        <v>140</v>
      </c>
    </row>
    <row r="118" spans="1:14">
      <c r="A118" s="3">
        <v>803594</v>
      </c>
      <c r="B118" s="3">
        <v>119029</v>
      </c>
      <c r="C118" s="4">
        <v>16.600000000000001</v>
      </c>
      <c r="D118" s="4">
        <v>42.5</v>
      </c>
      <c r="E118" s="4">
        <v>73</v>
      </c>
      <c r="F118" s="4">
        <v>25</v>
      </c>
      <c r="G118" s="4">
        <v>32</v>
      </c>
      <c r="H118" s="4">
        <v>35</v>
      </c>
      <c r="I118" s="4">
        <v>57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3">
        <v>803690</v>
      </c>
      <c r="B119" s="3">
        <v>119028</v>
      </c>
      <c r="C119" s="4">
        <v>0</v>
      </c>
      <c r="D119" s="4">
        <v>62</v>
      </c>
      <c r="E119" s="4">
        <v>31</v>
      </c>
      <c r="F119" s="4">
        <v>150</v>
      </c>
      <c r="G119" s="4">
        <v>93</v>
      </c>
      <c r="H119" s="4">
        <v>0</v>
      </c>
      <c r="I119" s="4">
        <v>31</v>
      </c>
      <c r="J119" s="4">
        <v>31</v>
      </c>
      <c r="K119" s="4">
        <v>186</v>
      </c>
      <c r="L119" s="4">
        <v>310</v>
      </c>
      <c r="M119" s="4">
        <v>248</v>
      </c>
      <c r="N119" s="4">
        <v>155</v>
      </c>
    </row>
    <row r="120" spans="1:14">
      <c r="A120" s="3">
        <v>803691</v>
      </c>
      <c r="B120" s="3">
        <v>119028</v>
      </c>
      <c r="C120" s="4">
        <v>158</v>
      </c>
      <c r="D120" s="4">
        <v>196</v>
      </c>
      <c r="E120" s="4">
        <v>248</v>
      </c>
      <c r="F120" s="4">
        <v>170</v>
      </c>
      <c r="G120" s="4">
        <v>115.25</v>
      </c>
      <c r="H120" s="4">
        <v>62</v>
      </c>
      <c r="I120" s="4">
        <v>77</v>
      </c>
      <c r="J120" s="4">
        <v>93</v>
      </c>
      <c r="K120" s="4">
        <v>105</v>
      </c>
      <c r="L120" s="4">
        <v>392</v>
      </c>
      <c r="M120" s="4">
        <v>238</v>
      </c>
      <c r="N120" s="4">
        <v>93</v>
      </c>
    </row>
    <row r="121" spans="1:14">
      <c r="A121" s="3">
        <v>803698</v>
      </c>
      <c r="B121" s="3">
        <v>172976</v>
      </c>
      <c r="C121" s="4">
        <v>0</v>
      </c>
      <c r="D121" s="4">
        <v>5</v>
      </c>
      <c r="E121" s="4">
        <v>21</v>
      </c>
      <c r="F121" s="4">
        <v>17.5</v>
      </c>
      <c r="G121" s="4">
        <v>53</v>
      </c>
      <c r="H121" s="4">
        <v>1</v>
      </c>
      <c r="I121" s="4">
        <v>32.5</v>
      </c>
      <c r="J121" s="4">
        <v>10</v>
      </c>
      <c r="K121" s="4">
        <v>32.5</v>
      </c>
      <c r="L121" s="4">
        <v>42</v>
      </c>
      <c r="M121" s="4">
        <v>35.5</v>
      </c>
      <c r="N121" s="4">
        <v>20</v>
      </c>
    </row>
    <row r="122" spans="1:14">
      <c r="A122" s="3">
        <v>803721</v>
      </c>
      <c r="B122" s="3">
        <v>206102</v>
      </c>
      <c r="C122" s="4">
        <v>131</v>
      </c>
      <c r="D122" s="4">
        <v>81</v>
      </c>
      <c r="E122" s="4">
        <v>116</v>
      </c>
      <c r="F122" s="4">
        <v>100</v>
      </c>
      <c r="G122" s="4">
        <v>10</v>
      </c>
      <c r="H122" s="4">
        <v>40</v>
      </c>
      <c r="I122" s="4">
        <v>65</v>
      </c>
      <c r="J122" s="4">
        <v>75</v>
      </c>
      <c r="K122" s="4">
        <v>55</v>
      </c>
      <c r="L122" s="4">
        <v>60</v>
      </c>
      <c r="M122" s="4">
        <v>60</v>
      </c>
      <c r="N122" s="4">
        <v>104.5</v>
      </c>
    </row>
    <row r="123" spans="1:14">
      <c r="A123" s="3">
        <v>803755</v>
      </c>
      <c r="B123" s="3">
        <v>119029</v>
      </c>
      <c r="C123" s="4">
        <v>5</v>
      </c>
      <c r="D123" s="4">
        <v>0</v>
      </c>
      <c r="E123" s="4">
        <v>0</v>
      </c>
      <c r="F123" s="4">
        <v>0</v>
      </c>
      <c r="G123" s="4">
        <v>15</v>
      </c>
      <c r="H123" s="4">
        <v>5</v>
      </c>
      <c r="I123" s="4">
        <v>10</v>
      </c>
      <c r="J123" s="4">
        <v>0</v>
      </c>
      <c r="K123" s="4">
        <v>0</v>
      </c>
      <c r="L123" s="4">
        <v>0</v>
      </c>
      <c r="M123" s="4">
        <v>0</v>
      </c>
      <c r="N123" s="4">
        <v>20</v>
      </c>
    </row>
    <row r="124" spans="1:14">
      <c r="A124" s="3">
        <v>803769</v>
      </c>
      <c r="B124" s="3">
        <v>119031</v>
      </c>
      <c r="C124" s="4">
        <v>0</v>
      </c>
      <c r="D124" s="4">
        <v>0</v>
      </c>
      <c r="E124" s="4">
        <v>0</v>
      </c>
      <c r="F124" s="4">
        <v>0</v>
      </c>
      <c r="G124" s="4">
        <v>13</v>
      </c>
      <c r="H124" s="4">
        <v>65</v>
      </c>
      <c r="I124" s="4">
        <v>20</v>
      </c>
      <c r="J124" s="4">
        <v>15</v>
      </c>
      <c r="K124" s="4">
        <v>0</v>
      </c>
      <c r="L124" s="4">
        <v>65</v>
      </c>
      <c r="M124" s="4">
        <v>71</v>
      </c>
      <c r="N124" s="4">
        <v>31</v>
      </c>
    </row>
    <row r="125" spans="1:14">
      <c r="A125" s="3">
        <v>803770</v>
      </c>
      <c r="B125" s="3">
        <v>119031</v>
      </c>
      <c r="C125" s="4">
        <v>250</v>
      </c>
      <c r="D125" s="4">
        <v>121</v>
      </c>
      <c r="E125" s="4">
        <v>72</v>
      </c>
      <c r="F125" s="4">
        <v>146</v>
      </c>
      <c r="G125" s="4">
        <v>121</v>
      </c>
      <c r="H125" s="4">
        <v>121</v>
      </c>
      <c r="I125" s="4">
        <v>165</v>
      </c>
      <c r="J125" s="4">
        <v>120</v>
      </c>
      <c r="K125" s="4">
        <v>120</v>
      </c>
      <c r="L125" s="4">
        <v>62.5</v>
      </c>
      <c r="M125" s="4">
        <v>98.5</v>
      </c>
      <c r="N125" s="4">
        <v>50</v>
      </c>
    </row>
    <row r="126" spans="1:14">
      <c r="A126" s="3">
        <v>803775</v>
      </c>
      <c r="B126" s="3">
        <v>144170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10</v>
      </c>
      <c r="N126" s="4">
        <v>25</v>
      </c>
    </row>
    <row r="127" spans="1:14">
      <c r="A127" s="3">
        <v>803778</v>
      </c>
      <c r="B127" s="3">
        <v>140849</v>
      </c>
      <c r="C127" s="4">
        <v>0</v>
      </c>
      <c r="D127" s="4">
        <v>10</v>
      </c>
      <c r="E127" s="4">
        <v>0</v>
      </c>
      <c r="F127" s="4">
        <v>1</v>
      </c>
      <c r="G127" s="4">
        <v>26</v>
      </c>
      <c r="H127" s="4">
        <v>10</v>
      </c>
      <c r="I127" s="4">
        <v>0</v>
      </c>
      <c r="J127" s="4">
        <v>10</v>
      </c>
      <c r="K127" s="4">
        <v>30</v>
      </c>
      <c r="L127" s="4">
        <v>31</v>
      </c>
      <c r="M127" s="4">
        <v>24.5</v>
      </c>
      <c r="N127" s="4">
        <v>62</v>
      </c>
    </row>
    <row r="128" spans="1:14">
      <c r="A128" s="3">
        <v>803794</v>
      </c>
      <c r="B128" s="3">
        <v>119050</v>
      </c>
      <c r="C128" s="4">
        <v>0</v>
      </c>
      <c r="D128" s="4">
        <v>20</v>
      </c>
      <c r="E128" s="4">
        <v>15</v>
      </c>
      <c r="F128" s="4">
        <v>73.5</v>
      </c>
      <c r="G128" s="4">
        <v>60</v>
      </c>
      <c r="H128" s="4">
        <v>110</v>
      </c>
      <c r="I128" s="4">
        <v>93</v>
      </c>
      <c r="J128" s="4">
        <v>47</v>
      </c>
      <c r="K128" s="4">
        <v>50</v>
      </c>
      <c r="L128" s="4">
        <v>50</v>
      </c>
      <c r="M128" s="4">
        <v>92.5</v>
      </c>
      <c r="N128" s="4">
        <v>25.25</v>
      </c>
    </row>
    <row r="129" spans="1:14">
      <c r="A129" s="3">
        <v>803794</v>
      </c>
      <c r="B129" s="3">
        <v>142332</v>
      </c>
      <c r="C129" s="4">
        <v>20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</row>
    <row r="130" spans="1:14">
      <c r="A130" s="3">
        <v>803809</v>
      </c>
      <c r="B130" s="3">
        <v>140849</v>
      </c>
      <c r="C130" s="4">
        <v>65</v>
      </c>
      <c r="D130" s="4">
        <v>80</v>
      </c>
      <c r="E130" s="4">
        <v>133</v>
      </c>
      <c r="F130" s="4">
        <v>16</v>
      </c>
      <c r="G130" s="4">
        <v>35</v>
      </c>
      <c r="H130" s="4">
        <v>80</v>
      </c>
      <c r="I130" s="4">
        <v>55.5</v>
      </c>
      <c r="J130" s="4">
        <v>30</v>
      </c>
      <c r="K130" s="4">
        <v>12.5</v>
      </c>
      <c r="L130" s="4">
        <v>127.5</v>
      </c>
      <c r="M130" s="4">
        <v>94</v>
      </c>
      <c r="N130" s="4">
        <v>115</v>
      </c>
    </row>
    <row r="131" spans="1:14">
      <c r="A131" s="3">
        <v>803820</v>
      </c>
      <c r="B131" s="3">
        <v>129599</v>
      </c>
      <c r="C131" s="4">
        <v>41.5</v>
      </c>
      <c r="D131" s="4">
        <v>50</v>
      </c>
      <c r="E131" s="4">
        <v>62</v>
      </c>
      <c r="F131" s="4">
        <v>42</v>
      </c>
      <c r="G131" s="4">
        <v>39.75</v>
      </c>
      <c r="H131" s="4">
        <v>56.5</v>
      </c>
      <c r="I131" s="4">
        <v>66.25</v>
      </c>
      <c r="J131" s="4">
        <v>26</v>
      </c>
      <c r="K131" s="4">
        <v>52</v>
      </c>
      <c r="L131" s="4">
        <v>45</v>
      </c>
      <c r="M131" s="4">
        <v>63.5</v>
      </c>
      <c r="N131" s="4">
        <v>66.5</v>
      </c>
    </row>
    <row r="132" spans="1:14">
      <c r="A132" s="3">
        <v>803821</v>
      </c>
      <c r="B132" s="3">
        <v>119066</v>
      </c>
      <c r="C132" s="4">
        <v>86.35</v>
      </c>
      <c r="D132" s="4">
        <v>49</v>
      </c>
      <c r="E132" s="4">
        <v>199.5</v>
      </c>
      <c r="F132" s="4">
        <v>61.5</v>
      </c>
      <c r="G132" s="4">
        <v>91</v>
      </c>
      <c r="H132" s="4">
        <v>111</v>
      </c>
      <c r="I132" s="4">
        <v>147</v>
      </c>
      <c r="J132" s="4">
        <v>51</v>
      </c>
      <c r="K132" s="4">
        <v>54</v>
      </c>
      <c r="L132" s="4">
        <v>151.85</v>
      </c>
      <c r="M132" s="4">
        <v>125</v>
      </c>
      <c r="N132" s="4">
        <v>80.95</v>
      </c>
    </row>
    <row r="133" spans="1:14">
      <c r="A133" s="3">
        <v>803832</v>
      </c>
      <c r="B133" s="3">
        <v>119050</v>
      </c>
      <c r="C133" s="4">
        <v>31</v>
      </c>
      <c r="D133" s="4">
        <v>0</v>
      </c>
      <c r="E133" s="4">
        <v>40</v>
      </c>
      <c r="F133" s="4">
        <v>59.5</v>
      </c>
      <c r="G133" s="4">
        <v>30</v>
      </c>
      <c r="H133" s="4">
        <v>35.5</v>
      </c>
      <c r="I133" s="4">
        <v>30</v>
      </c>
      <c r="J133" s="4">
        <v>30</v>
      </c>
      <c r="K133" s="4">
        <v>37.5</v>
      </c>
      <c r="L133" s="4">
        <v>40</v>
      </c>
      <c r="M133" s="4">
        <v>40</v>
      </c>
      <c r="N133" s="4">
        <v>50</v>
      </c>
    </row>
    <row r="134" spans="1:14">
      <c r="A134" s="3">
        <v>803843</v>
      </c>
      <c r="B134" s="3">
        <v>119038</v>
      </c>
      <c r="C134" s="4">
        <v>10</v>
      </c>
      <c r="D134" s="4">
        <v>20</v>
      </c>
      <c r="E134" s="4">
        <v>10</v>
      </c>
      <c r="F134" s="4">
        <v>30</v>
      </c>
      <c r="G134" s="4">
        <v>45</v>
      </c>
      <c r="H134" s="4">
        <v>28</v>
      </c>
      <c r="I134" s="4">
        <v>29</v>
      </c>
      <c r="J134" s="4">
        <v>24.5</v>
      </c>
      <c r="K134" s="4">
        <v>35</v>
      </c>
      <c r="L134" s="4">
        <v>40</v>
      </c>
      <c r="M134" s="4">
        <v>50</v>
      </c>
      <c r="N134" s="4">
        <v>80</v>
      </c>
    </row>
    <row r="135" spans="1:14">
      <c r="A135" s="3">
        <v>803877</v>
      </c>
      <c r="B135" s="3">
        <v>143416</v>
      </c>
      <c r="C135" s="4">
        <v>5</v>
      </c>
      <c r="D135" s="4">
        <v>6.75</v>
      </c>
      <c r="E135" s="4">
        <v>12.25</v>
      </c>
      <c r="F135" s="4">
        <v>22.5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26.25</v>
      </c>
      <c r="M135" s="4">
        <v>0</v>
      </c>
      <c r="N135" s="4">
        <v>0</v>
      </c>
    </row>
    <row r="136" spans="1:14">
      <c r="A136" s="3">
        <v>803885</v>
      </c>
      <c r="B136" s="3">
        <v>119263</v>
      </c>
      <c r="C136" s="4">
        <v>33</v>
      </c>
      <c r="D136" s="4">
        <v>33</v>
      </c>
      <c r="E136" s="4">
        <v>70</v>
      </c>
      <c r="F136" s="4">
        <v>41</v>
      </c>
      <c r="G136" s="4">
        <v>43.5</v>
      </c>
      <c r="H136" s="4">
        <v>67.599999999999994</v>
      </c>
      <c r="I136" s="4">
        <v>50.4</v>
      </c>
      <c r="J136" s="4">
        <v>0</v>
      </c>
      <c r="K136" s="4">
        <v>25.5</v>
      </c>
      <c r="L136" s="4">
        <v>14.5</v>
      </c>
      <c r="M136" s="4">
        <v>15</v>
      </c>
      <c r="N136" s="4">
        <v>54</v>
      </c>
    </row>
    <row r="137" spans="1:14">
      <c r="A137" s="3">
        <v>803886</v>
      </c>
      <c r="B137" s="3">
        <v>119066</v>
      </c>
      <c r="C137" s="4">
        <v>105</v>
      </c>
      <c r="D137" s="4">
        <v>140</v>
      </c>
      <c r="E137" s="4">
        <v>192</v>
      </c>
      <c r="F137" s="4">
        <v>53</v>
      </c>
      <c r="G137" s="4">
        <v>103</v>
      </c>
      <c r="H137" s="4">
        <v>37</v>
      </c>
      <c r="I137" s="4">
        <v>86</v>
      </c>
      <c r="J137" s="4">
        <v>35</v>
      </c>
      <c r="K137" s="4">
        <v>110.5</v>
      </c>
      <c r="L137" s="4">
        <v>115</v>
      </c>
      <c r="M137" s="4">
        <v>90</v>
      </c>
      <c r="N137" s="4">
        <v>134.5</v>
      </c>
    </row>
    <row r="138" spans="1:14">
      <c r="A138" s="3">
        <v>803946</v>
      </c>
      <c r="B138" s="3">
        <v>140851</v>
      </c>
      <c r="C138" s="4">
        <v>60</v>
      </c>
      <c r="D138" s="4">
        <v>50</v>
      </c>
      <c r="E138" s="4">
        <v>95</v>
      </c>
      <c r="F138" s="4">
        <v>37.5</v>
      </c>
      <c r="G138" s="4">
        <v>30</v>
      </c>
      <c r="H138" s="4">
        <v>20</v>
      </c>
      <c r="I138" s="4">
        <v>20</v>
      </c>
      <c r="J138" s="4">
        <v>30</v>
      </c>
      <c r="K138" s="4">
        <v>77.5</v>
      </c>
      <c r="L138" s="4">
        <v>10</v>
      </c>
      <c r="M138" s="4">
        <v>0</v>
      </c>
      <c r="N138" s="4">
        <v>10</v>
      </c>
    </row>
    <row r="139" spans="1:14">
      <c r="A139" s="3">
        <v>803952</v>
      </c>
      <c r="B139" s="3">
        <v>119044</v>
      </c>
      <c r="C139" s="4">
        <v>102.5</v>
      </c>
      <c r="D139" s="4">
        <v>30</v>
      </c>
      <c r="E139" s="4">
        <v>197</v>
      </c>
      <c r="F139" s="4">
        <v>100</v>
      </c>
      <c r="G139" s="4">
        <v>144.5</v>
      </c>
      <c r="H139" s="4">
        <v>105</v>
      </c>
      <c r="I139" s="4">
        <v>70</v>
      </c>
      <c r="J139" s="4">
        <v>90</v>
      </c>
      <c r="K139" s="4">
        <v>0</v>
      </c>
      <c r="L139" s="4">
        <v>20</v>
      </c>
      <c r="M139" s="4">
        <v>80</v>
      </c>
      <c r="N139" s="4">
        <v>170</v>
      </c>
    </row>
    <row r="140" spans="1:14">
      <c r="A140" s="3">
        <v>803954</v>
      </c>
      <c r="B140" s="3">
        <v>202842</v>
      </c>
      <c r="C140" s="4">
        <v>0</v>
      </c>
      <c r="D140" s="4">
        <v>10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</v>
      </c>
      <c r="L140" s="4">
        <v>20</v>
      </c>
      <c r="M140" s="4">
        <v>0</v>
      </c>
      <c r="N140" s="4">
        <v>0</v>
      </c>
    </row>
    <row r="141" spans="1:14">
      <c r="A141" s="3">
        <v>803955</v>
      </c>
      <c r="B141" s="3">
        <v>119905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</v>
      </c>
      <c r="K141" s="4">
        <v>0</v>
      </c>
      <c r="L141" s="4">
        <v>0</v>
      </c>
      <c r="M141" s="4">
        <v>0</v>
      </c>
      <c r="N141" s="4">
        <v>8.5</v>
      </c>
    </row>
    <row r="142" spans="1:14">
      <c r="A142" s="3">
        <v>803983</v>
      </c>
      <c r="B142" s="3">
        <v>119034</v>
      </c>
      <c r="C142" s="4">
        <v>60</v>
      </c>
      <c r="D142" s="4">
        <v>30</v>
      </c>
      <c r="E142" s="4">
        <v>67.5</v>
      </c>
      <c r="F142" s="4">
        <v>51.5</v>
      </c>
      <c r="G142" s="4">
        <v>20</v>
      </c>
      <c r="H142" s="4">
        <v>10</v>
      </c>
      <c r="I142" s="4">
        <v>32.5</v>
      </c>
      <c r="J142" s="4">
        <v>30</v>
      </c>
      <c r="K142" s="4">
        <v>22.5</v>
      </c>
      <c r="L142" s="4">
        <v>60</v>
      </c>
      <c r="M142" s="4">
        <v>40</v>
      </c>
      <c r="N142" s="4">
        <v>70</v>
      </c>
    </row>
    <row r="143" spans="1:14">
      <c r="A143" s="3">
        <v>803990</v>
      </c>
      <c r="B143" s="3">
        <v>140849</v>
      </c>
      <c r="C143" s="4">
        <v>40</v>
      </c>
      <c r="D143" s="4">
        <v>10</v>
      </c>
      <c r="E143" s="4">
        <v>75</v>
      </c>
      <c r="F143" s="4">
        <v>60</v>
      </c>
      <c r="G143" s="4">
        <v>10</v>
      </c>
      <c r="H143" s="4">
        <v>17.5</v>
      </c>
      <c r="I143" s="4">
        <v>14</v>
      </c>
      <c r="J143" s="4">
        <v>20</v>
      </c>
      <c r="K143" s="4">
        <v>0</v>
      </c>
      <c r="L143" s="4">
        <v>21</v>
      </c>
      <c r="M143" s="4">
        <v>57.5</v>
      </c>
      <c r="N143" s="4">
        <v>34.5</v>
      </c>
    </row>
    <row r="144" spans="1:14">
      <c r="A144" s="3">
        <v>803991</v>
      </c>
      <c r="B144" s="3">
        <v>140858</v>
      </c>
      <c r="C144" s="4">
        <v>60</v>
      </c>
      <c r="D144" s="4">
        <v>30</v>
      </c>
      <c r="E144" s="4">
        <v>65</v>
      </c>
      <c r="F144" s="4">
        <v>40</v>
      </c>
      <c r="G144" s="4">
        <v>60</v>
      </c>
      <c r="H144" s="4">
        <v>52.5</v>
      </c>
      <c r="I144" s="4">
        <v>45</v>
      </c>
      <c r="J144" s="4">
        <v>66.25</v>
      </c>
      <c r="K144" s="4">
        <v>95</v>
      </c>
      <c r="L144" s="4">
        <v>50</v>
      </c>
      <c r="M144" s="4">
        <v>10</v>
      </c>
      <c r="N144" s="4">
        <v>45</v>
      </c>
    </row>
    <row r="145" spans="1:14">
      <c r="A145" s="3">
        <v>803992</v>
      </c>
      <c r="B145" s="3">
        <v>140860</v>
      </c>
      <c r="C145" s="4">
        <v>10</v>
      </c>
      <c r="D145" s="4">
        <v>20</v>
      </c>
      <c r="E145" s="4">
        <v>40</v>
      </c>
      <c r="F145" s="4">
        <v>42.5</v>
      </c>
      <c r="G145" s="4">
        <v>25</v>
      </c>
      <c r="H145" s="4">
        <v>20</v>
      </c>
      <c r="I145" s="4">
        <v>20</v>
      </c>
      <c r="J145" s="4">
        <v>10</v>
      </c>
      <c r="K145" s="4">
        <v>27.5</v>
      </c>
      <c r="L145" s="4">
        <v>10</v>
      </c>
      <c r="M145" s="4">
        <v>50</v>
      </c>
      <c r="N145" s="4">
        <v>85</v>
      </c>
    </row>
    <row r="146" spans="1:14">
      <c r="A146" s="3">
        <v>803993</v>
      </c>
      <c r="B146" s="3">
        <v>140860</v>
      </c>
      <c r="C146" s="4">
        <v>30</v>
      </c>
      <c r="D146" s="4">
        <v>20</v>
      </c>
      <c r="E146" s="4">
        <v>90</v>
      </c>
      <c r="F146" s="4">
        <v>45</v>
      </c>
      <c r="G146" s="4">
        <v>60</v>
      </c>
      <c r="H146" s="4">
        <v>40</v>
      </c>
      <c r="I146" s="4">
        <v>40</v>
      </c>
      <c r="J146" s="4">
        <v>20</v>
      </c>
      <c r="K146" s="4">
        <v>40</v>
      </c>
      <c r="L146" s="4">
        <v>12</v>
      </c>
      <c r="M146" s="4">
        <v>5</v>
      </c>
      <c r="N146" s="4">
        <v>50</v>
      </c>
    </row>
    <row r="147" spans="1:14">
      <c r="A147" s="3">
        <v>804006</v>
      </c>
      <c r="B147" s="3">
        <v>140966</v>
      </c>
      <c r="C147" s="4">
        <v>20</v>
      </c>
      <c r="D147" s="4">
        <v>0</v>
      </c>
      <c r="E147" s="4">
        <v>0</v>
      </c>
      <c r="F147" s="4">
        <v>5</v>
      </c>
      <c r="G147" s="4">
        <v>0</v>
      </c>
      <c r="H147" s="4">
        <v>0</v>
      </c>
      <c r="I147" s="4">
        <v>0</v>
      </c>
      <c r="J147" s="4">
        <v>0</v>
      </c>
      <c r="K147" s="4">
        <v>10</v>
      </c>
      <c r="L147" s="4">
        <v>5</v>
      </c>
      <c r="M147" s="4">
        <v>0</v>
      </c>
      <c r="N147" s="4">
        <v>12.5</v>
      </c>
    </row>
    <row r="148" spans="1:14">
      <c r="A148" s="3">
        <v>804023</v>
      </c>
      <c r="B148" s="3">
        <v>119038</v>
      </c>
      <c r="C148" s="4">
        <v>20</v>
      </c>
      <c r="D148" s="4">
        <v>20</v>
      </c>
      <c r="E148" s="4">
        <v>13.5</v>
      </c>
      <c r="F148" s="4">
        <v>0</v>
      </c>
      <c r="G148" s="4">
        <v>20</v>
      </c>
      <c r="H148" s="4">
        <v>13.5</v>
      </c>
      <c r="I148" s="4">
        <v>0</v>
      </c>
      <c r="J148" s="4">
        <v>25</v>
      </c>
      <c r="K148" s="4">
        <v>0</v>
      </c>
      <c r="L148" s="4">
        <v>37.5</v>
      </c>
      <c r="M148" s="4">
        <v>15</v>
      </c>
      <c r="N148" s="4">
        <v>20</v>
      </c>
    </row>
    <row r="149" spans="1:14">
      <c r="A149" s="3">
        <v>804031</v>
      </c>
      <c r="B149" s="3">
        <v>119038</v>
      </c>
      <c r="C149" s="4">
        <v>10</v>
      </c>
      <c r="D149" s="4">
        <v>10</v>
      </c>
      <c r="E149" s="4">
        <v>40</v>
      </c>
      <c r="F149" s="4">
        <v>0</v>
      </c>
      <c r="G149" s="4">
        <v>10</v>
      </c>
      <c r="H149" s="4">
        <v>10</v>
      </c>
      <c r="I149" s="4">
        <v>5</v>
      </c>
      <c r="J149" s="4">
        <v>10</v>
      </c>
      <c r="K149" s="4">
        <v>17.5</v>
      </c>
      <c r="L149" s="4">
        <v>7.5</v>
      </c>
      <c r="M149" s="4">
        <v>39.5</v>
      </c>
      <c r="N149" s="4">
        <v>0</v>
      </c>
    </row>
    <row r="150" spans="1:14">
      <c r="A150" s="3">
        <v>804050</v>
      </c>
      <c r="B150" s="3">
        <v>174756</v>
      </c>
      <c r="C150" s="4">
        <v>30</v>
      </c>
      <c r="D150" s="4">
        <v>34.5</v>
      </c>
      <c r="E150" s="4">
        <v>45</v>
      </c>
      <c r="F150" s="4">
        <v>70</v>
      </c>
      <c r="G150" s="4">
        <v>15</v>
      </c>
      <c r="H150" s="4">
        <v>13</v>
      </c>
      <c r="I150" s="4">
        <v>35</v>
      </c>
      <c r="J150" s="4">
        <v>0</v>
      </c>
      <c r="K150" s="4">
        <v>37.5</v>
      </c>
      <c r="L150" s="4">
        <v>72</v>
      </c>
      <c r="M150" s="4">
        <v>40</v>
      </c>
      <c r="N150" s="4">
        <v>55</v>
      </c>
    </row>
    <row r="151" spans="1:14">
      <c r="A151" s="3">
        <v>804057</v>
      </c>
      <c r="B151" s="3">
        <v>140967</v>
      </c>
      <c r="C151" s="4">
        <v>0</v>
      </c>
      <c r="D151" s="4">
        <v>67</v>
      </c>
      <c r="E151" s="4">
        <v>50</v>
      </c>
      <c r="F151" s="4">
        <v>120</v>
      </c>
      <c r="G151" s="4">
        <v>35</v>
      </c>
      <c r="H151" s="4">
        <v>29</v>
      </c>
      <c r="I151" s="4">
        <v>0</v>
      </c>
      <c r="J151" s="4">
        <v>20</v>
      </c>
      <c r="K151" s="4">
        <v>47.5</v>
      </c>
      <c r="L151" s="4">
        <v>0</v>
      </c>
      <c r="M151" s="4">
        <v>0</v>
      </c>
      <c r="N151" s="4">
        <v>33</v>
      </c>
    </row>
    <row r="152" spans="1:14">
      <c r="A152" s="3">
        <v>804058</v>
      </c>
      <c r="B152" s="3">
        <v>141115</v>
      </c>
      <c r="C152" s="4">
        <v>152</v>
      </c>
      <c r="D152" s="4">
        <v>62.5</v>
      </c>
      <c r="E152" s="4">
        <v>220.05</v>
      </c>
      <c r="F152" s="4">
        <v>229.75</v>
      </c>
      <c r="G152" s="4">
        <v>200.25</v>
      </c>
      <c r="H152" s="4">
        <v>210.9</v>
      </c>
      <c r="I152" s="4">
        <v>189.5</v>
      </c>
      <c r="J152" s="4">
        <v>116.25</v>
      </c>
      <c r="K152" s="4">
        <v>211.25</v>
      </c>
      <c r="L152" s="4">
        <v>210</v>
      </c>
      <c r="M152" s="4">
        <v>142</v>
      </c>
      <c r="N152" s="4">
        <v>146.94999999999999</v>
      </c>
    </row>
    <row r="153" spans="1:14">
      <c r="A153" s="3">
        <v>804079</v>
      </c>
      <c r="B153" s="3">
        <v>174756</v>
      </c>
      <c r="C153" s="4">
        <v>10</v>
      </c>
      <c r="D153" s="4">
        <v>10</v>
      </c>
      <c r="E153" s="4">
        <v>0</v>
      </c>
      <c r="F153" s="4">
        <v>41</v>
      </c>
      <c r="G153" s="4">
        <v>10</v>
      </c>
      <c r="H153" s="4">
        <v>2</v>
      </c>
      <c r="I153" s="4">
        <v>5</v>
      </c>
      <c r="J153" s="4">
        <v>0</v>
      </c>
      <c r="K153" s="4">
        <v>7.5</v>
      </c>
      <c r="L153" s="4">
        <v>10</v>
      </c>
      <c r="M153" s="4">
        <v>4</v>
      </c>
      <c r="N153" s="4">
        <v>6</v>
      </c>
    </row>
    <row r="154" spans="1:14">
      <c r="A154" s="3">
        <v>804080</v>
      </c>
      <c r="B154" s="3">
        <v>141556</v>
      </c>
      <c r="C154" s="4">
        <v>50</v>
      </c>
      <c r="D154" s="4">
        <v>112</v>
      </c>
      <c r="E154" s="4">
        <v>131.5</v>
      </c>
      <c r="F154" s="4">
        <v>65</v>
      </c>
      <c r="G154" s="4">
        <v>60</v>
      </c>
      <c r="H154" s="4">
        <v>96.5</v>
      </c>
      <c r="I154" s="4">
        <v>90</v>
      </c>
      <c r="J154" s="4">
        <v>30</v>
      </c>
      <c r="K154" s="4">
        <v>50</v>
      </c>
      <c r="L154" s="4">
        <v>46</v>
      </c>
      <c r="M154" s="4">
        <v>91.5</v>
      </c>
      <c r="N154" s="4">
        <v>80</v>
      </c>
    </row>
    <row r="155" spans="1:14">
      <c r="A155" s="3">
        <v>804081</v>
      </c>
      <c r="B155" s="3">
        <v>170501</v>
      </c>
      <c r="C155" s="4">
        <v>28.5</v>
      </c>
      <c r="D155" s="4">
        <v>17.5</v>
      </c>
      <c r="E155" s="4">
        <v>57.5</v>
      </c>
      <c r="F155" s="4">
        <v>42.5</v>
      </c>
      <c r="G155" s="4">
        <v>27.5</v>
      </c>
      <c r="H155" s="4">
        <v>22.5</v>
      </c>
      <c r="I155" s="4">
        <v>20</v>
      </c>
      <c r="J155" s="4">
        <v>6.75</v>
      </c>
      <c r="K155" s="4">
        <v>12.5</v>
      </c>
      <c r="L155" s="4">
        <v>19.5</v>
      </c>
      <c r="M155" s="4">
        <v>25</v>
      </c>
      <c r="N155" s="4">
        <v>60</v>
      </c>
    </row>
    <row r="156" spans="1:14">
      <c r="A156" s="3">
        <v>804082</v>
      </c>
      <c r="B156" s="3">
        <v>119263</v>
      </c>
      <c r="C156" s="4">
        <v>128</v>
      </c>
      <c r="D156" s="4">
        <v>94.5</v>
      </c>
      <c r="E156" s="4">
        <v>69.5</v>
      </c>
      <c r="F156" s="4">
        <v>62.5</v>
      </c>
      <c r="G156" s="4">
        <v>78.75</v>
      </c>
      <c r="H156" s="4">
        <v>85</v>
      </c>
      <c r="I156" s="4">
        <v>49</v>
      </c>
      <c r="J156" s="4">
        <v>42</v>
      </c>
      <c r="K156" s="4">
        <v>128.5</v>
      </c>
      <c r="L156" s="4">
        <v>84</v>
      </c>
      <c r="M156" s="4">
        <v>100</v>
      </c>
      <c r="N156" s="4">
        <v>74</v>
      </c>
    </row>
    <row r="157" spans="1:14">
      <c r="A157" s="3">
        <v>804106</v>
      </c>
      <c r="B157" s="3">
        <v>119044</v>
      </c>
      <c r="C157" s="4">
        <v>17.5</v>
      </c>
      <c r="D157" s="4">
        <v>10</v>
      </c>
      <c r="E157" s="4">
        <v>4</v>
      </c>
      <c r="F157" s="4">
        <v>15</v>
      </c>
      <c r="G157" s="4">
        <v>2</v>
      </c>
      <c r="H157" s="4">
        <v>57.5</v>
      </c>
      <c r="I157" s="4">
        <v>80</v>
      </c>
      <c r="J157" s="4">
        <v>0</v>
      </c>
      <c r="K157" s="4">
        <v>30</v>
      </c>
      <c r="L157" s="4">
        <v>30</v>
      </c>
      <c r="M157" s="4">
        <v>22.5</v>
      </c>
      <c r="N157" s="4">
        <v>58.5</v>
      </c>
    </row>
    <row r="158" spans="1:14">
      <c r="A158" s="3">
        <v>804122</v>
      </c>
      <c r="B158" s="3">
        <v>119038</v>
      </c>
      <c r="C158" s="4">
        <v>107</v>
      </c>
      <c r="D158" s="4">
        <v>35</v>
      </c>
      <c r="E158" s="4">
        <v>28.5</v>
      </c>
      <c r="F158" s="4">
        <v>84</v>
      </c>
      <c r="G158" s="4">
        <v>54</v>
      </c>
      <c r="H158" s="4">
        <v>40</v>
      </c>
      <c r="I158" s="4">
        <v>0</v>
      </c>
      <c r="J158" s="4">
        <v>64.5</v>
      </c>
      <c r="K158" s="4">
        <v>104</v>
      </c>
      <c r="L158" s="4">
        <v>70</v>
      </c>
      <c r="M158" s="4">
        <v>0</v>
      </c>
      <c r="N158" s="4">
        <v>15</v>
      </c>
    </row>
    <row r="159" spans="1:14">
      <c r="A159" s="3">
        <v>804131</v>
      </c>
      <c r="B159" s="3">
        <v>140967</v>
      </c>
      <c r="C159" s="4">
        <v>210</v>
      </c>
      <c r="D159" s="4">
        <v>159</v>
      </c>
      <c r="E159" s="4">
        <v>259</v>
      </c>
      <c r="F159" s="4">
        <v>110</v>
      </c>
      <c r="G159" s="4">
        <v>85</v>
      </c>
      <c r="H159" s="4">
        <v>297.5</v>
      </c>
      <c r="I159" s="4">
        <v>231.5</v>
      </c>
      <c r="J159" s="4">
        <v>107.5</v>
      </c>
      <c r="K159" s="4">
        <v>49</v>
      </c>
      <c r="L159" s="4">
        <v>145</v>
      </c>
      <c r="M159" s="4">
        <v>118.5</v>
      </c>
      <c r="N159" s="4">
        <v>47.5</v>
      </c>
    </row>
    <row r="160" spans="1:14">
      <c r="A160" s="3">
        <v>804132</v>
      </c>
      <c r="B160" s="3">
        <v>179560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20</v>
      </c>
      <c r="J160" s="4">
        <v>50</v>
      </c>
      <c r="K160" s="4">
        <v>27.5</v>
      </c>
      <c r="L160" s="4">
        <v>35</v>
      </c>
      <c r="M160" s="4">
        <v>23.25</v>
      </c>
      <c r="N160" s="4">
        <v>27</v>
      </c>
    </row>
    <row r="161" spans="1:14">
      <c r="A161" s="3">
        <v>804135</v>
      </c>
      <c r="B161" s="3">
        <v>119044</v>
      </c>
      <c r="C161" s="4">
        <v>0</v>
      </c>
      <c r="D161" s="4">
        <v>0</v>
      </c>
      <c r="E161" s="4">
        <v>12.5</v>
      </c>
      <c r="F161" s="4">
        <v>5</v>
      </c>
      <c r="G161" s="4">
        <v>32</v>
      </c>
      <c r="H161" s="4">
        <v>26.25</v>
      </c>
      <c r="I161" s="4">
        <v>26</v>
      </c>
      <c r="J161" s="4">
        <v>35</v>
      </c>
      <c r="K161" s="4">
        <v>42.5</v>
      </c>
      <c r="L161" s="4">
        <v>30</v>
      </c>
      <c r="M161" s="4">
        <v>94</v>
      </c>
      <c r="N161" s="4">
        <v>97.5</v>
      </c>
    </row>
    <row r="162" spans="1:14">
      <c r="A162" s="3">
        <v>804136</v>
      </c>
      <c r="B162" s="3">
        <v>119038</v>
      </c>
      <c r="C162" s="4">
        <v>15</v>
      </c>
      <c r="D162" s="4">
        <v>45</v>
      </c>
      <c r="E162" s="4">
        <v>32</v>
      </c>
      <c r="F162" s="4">
        <v>15</v>
      </c>
      <c r="G162" s="4">
        <v>36</v>
      </c>
      <c r="H162" s="4">
        <v>20</v>
      </c>
      <c r="I162" s="4">
        <v>60</v>
      </c>
      <c r="J162" s="4">
        <v>30</v>
      </c>
      <c r="K162" s="4">
        <v>15</v>
      </c>
      <c r="L162" s="4">
        <v>72.5</v>
      </c>
      <c r="M162" s="4">
        <v>99</v>
      </c>
      <c r="N162" s="4">
        <v>161.5</v>
      </c>
    </row>
    <row r="163" spans="1:14">
      <c r="A163" s="3">
        <v>804165</v>
      </c>
      <c r="B163" s="3">
        <v>119028</v>
      </c>
      <c r="C163" s="4">
        <v>31</v>
      </c>
      <c r="D163" s="4">
        <v>31</v>
      </c>
      <c r="E163" s="4">
        <v>93</v>
      </c>
      <c r="F163" s="4">
        <v>88</v>
      </c>
      <c r="G163" s="4">
        <v>31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3">
        <v>804176</v>
      </c>
      <c r="B164" s="3">
        <v>141674</v>
      </c>
      <c r="C164" s="4">
        <v>87.4</v>
      </c>
      <c r="D164" s="4">
        <v>70.5</v>
      </c>
      <c r="E164" s="4">
        <v>94.65</v>
      </c>
      <c r="F164" s="4">
        <v>99.35</v>
      </c>
      <c r="G164" s="4">
        <v>44.2</v>
      </c>
      <c r="H164" s="4">
        <v>102</v>
      </c>
      <c r="I164" s="4">
        <v>122.5</v>
      </c>
      <c r="J164" s="4">
        <v>56.5</v>
      </c>
      <c r="K164" s="4">
        <v>105.25</v>
      </c>
      <c r="L164" s="4">
        <v>118.9</v>
      </c>
      <c r="M164" s="4">
        <v>32</v>
      </c>
      <c r="N164" s="4">
        <v>115</v>
      </c>
    </row>
    <row r="165" spans="1:14">
      <c r="A165" s="3">
        <v>804178</v>
      </c>
      <c r="B165" s="3">
        <v>119046</v>
      </c>
      <c r="C165" s="4">
        <v>0</v>
      </c>
      <c r="D165" s="4">
        <v>10</v>
      </c>
      <c r="E165" s="4">
        <v>25</v>
      </c>
      <c r="F165" s="4">
        <v>0</v>
      </c>
      <c r="G165" s="4">
        <v>40</v>
      </c>
      <c r="H165" s="4">
        <v>0</v>
      </c>
      <c r="I165" s="4">
        <v>20</v>
      </c>
      <c r="J165" s="4">
        <v>20</v>
      </c>
      <c r="K165" s="4">
        <v>10</v>
      </c>
      <c r="L165" s="4">
        <v>0</v>
      </c>
      <c r="M165" s="4">
        <v>0</v>
      </c>
      <c r="N165" s="4">
        <v>0</v>
      </c>
    </row>
    <row r="166" spans="1:14">
      <c r="A166" s="3">
        <v>804220</v>
      </c>
      <c r="B166" s="3">
        <v>170775</v>
      </c>
      <c r="C166" s="4">
        <v>95</v>
      </c>
      <c r="D166" s="4">
        <v>85</v>
      </c>
      <c r="E166" s="4">
        <v>80</v>
      </c>
      <c r="F166" s="4">
        <v>70</v>
      </c>
      <c r="G166" s="4">
        <v>117</v>
      </c>
      <c r="H166" s="4">
        <v>70</v>
      </c>
      <c r="I166" s="4">
        <v>70</v>
      </c>
      <c r="J166" s="4">
        <v>40</v>
      </c>
      <c r="K166" s="4">
        <v>135</v>
      </c>
      <c r="L166" s="4">
        <v>80</v>
      </c>
      <c r="M166" s="4">
        <v>50</v>
      </c>
      <c r="N166" s="4">
        <v>330</v>
      </c>
    </row>
    <row r="167" spans="1:14">
      <c r="A167" s="3">
        <v>804235</v>
      </c>
      <c r="B167" s="3">
        <v>119038</v>
      </c>
      <c r="C167" s="4">
        <v>64</v>
      </c>
      <c r="D167" s="4">
        <v>0</v>
      </c>
      <c r="E167" s="4">
        <v>20</v>
      </c>
      <c r="F167" s="4">
        <v>0</v>
      </c>
      <c r="G167" s="4">
        <v>15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20</v>
      </c>
      <c r="N167" s="4">
        <v>35</v>
      </c>
    </row>
    <row r="168" spans="1:14">
      <c r="A168" s="3">
        <v>804243</v>
      </c>
      <c r="B168" s="3">
        <v>122377</v>
      </c>
      <c r="C168" s="4">
        <v>80</v>
      </c>
      <c r="D168" s="4">
        <v>191.65</v>
      </c>
      <c r="E168" s="4">
        <v>197.5</v>
      </c>
      <c r="F168" s="4">
        <v>170</v>
      </c>
      <c r="G168" s="4">
        <v>130</v>
      </c>
      <c r="H168" s="4">
        <v>105</v>
      </c>
      <c r="I168" s="4">
        <v>111</v>
      </c>
      <c r="J168" s="4">
        <v>78</v>
      </c>
      <c r="K168" s="4">
        <v>110.5</v>
      </c>
      <c r="L168" s="4">
        <v>152.5</v>
      </c>
      <c r="M168" s="4">
        <v>128.5</v>
      </c>
      <c r="N168" s="4">
        <v>77</v>
      </c>
    </row>
    <row r="169" spans="1:14">
      <c r="A169" s="3">
        <v>804251</v>
      </c>
      <c r="B169" s="3">
        <v>119034</v>
      </c>
      <c r="C169" s="4">
        <v>54</v>
      </c>
      <c r="D169" s="4">
        <v>89.5</v>
      </c>
      <c r="E169" s="4">
        <v>70</v>
      </c>
      <c r="F169" s="4">
        <v>50</v>
      </c>
      <c r="G169" s="4">
        <v>42</v>
      </c>
      <c r="H169" s="4">
        <v>20</v>
      </c>
      <c r="I169" s="4">
        <v>17.5</v>
      </c>
      <c r="J169" s="4">
        <v>0</v>
      </c>
      <c r="K169" s="4">
        <v>45</v>
      </c>
      <c r="L169" s="4">
        <v>35</v>
      </c>
      <c r="M169" s="4">
        <v>35</v>
      </c>
      <c r="N169" s="4">
        <v>40</v>
      </c>
    </row>
    <row r="170" spans="1:14">
      <c r="A170" s="3">
        <v>804286</v>
      </c>
      <c r="B170" s="3">
        <v>119046</v>
      </c>
      <c r="C170" s="4">
        <v>52</v>
      </c>
      <c r="D170" s="4">
        <v>72</v>
      </c>
      <c r="E170" s="4">
        <v>86.5</v>
      </c>
      <c r="F170" s="4">
        <v>106</v>
      </c>
      <c r="G170" s="4">
        <v>65</v>
      </c>
      <c r="H170" s="4">
        <v>94.5</v>
      </c>
      <c r="I170" s="4">
        <v>70</v>
      </c>
      <c r="J170" s="4">
        <v>45</v>
      </c>
      <c r="K170" s="4">
        <v>64</v>
      </c>
      <c r="L170" s="4">
        <v>50</v>
      </c>
      <c r="M170" s="4">
        <v>40</v>
      </c>
      <c r="N170" s="4">
        <v>106.5</v>
      </c>
    </row>
    <row r="171" spans="1:14">
      <c r="A171" s="3">
        <v>804310</v>
      </c>
      <c r="B171" s="3">
        <v>119028</v>
      </c>
      <c r="C171" s="4">
        <v>176</v>
      </c>
      <c r="D171" s="4">
        <v>217</v>
      </c>
      <c r="E171" s="4">
        <v>310</v>
      </c>
      <c r="F171" s="4">
        <v>196</v>
      </c>
      <c r="G171" s="4">
        <v>465</v>
      </c>
      <c r="H171" s="4">
        <v>562.65</v>
      </c>
      <c r="I171" s="4">
        <v>217</v>
      </c>
      <c r="J171" s="4">
        <v>155</v>
      </c>
      <c r="K171" s="4">
        <v>403</v>
      </c>
      <c r="L171" s="4">
        <v>605</v>
      </c>
      <c r="M171" s="4">
        <v>243</v>
      </c>
      <c r="N171" s="4">
        <v>620</v>
      </c>
    </row>
    <row r="172" spans="1:14">
      <c r="A172" s="3">
        <v>804312</v>
      </c>
      <c r="B172" s="3">
        <v>142269</v>
      </c>
      <c r="C172" s="4">
        <v>125</v>
      </c>
      <c r="D172" s="4">
        <v>195</v>
      </c>
      <c r="E172" s="4">
        <v>234</v>
      </c>
      <c r="F172" s="4">
        <v>105</v>
      </c>
      <c r="G172" s="4">
        <v>140</v>
      </c>
      <c r="H172" s="4">
        <v>85</v>
      </c>
      <c r="I172" s="4">
        <v>140</v>
      </c>
      <c r="J172" s="4">
        <v>131</v>
      </c>
      <c r="K172" s="4">
        <v>288.5</v>
      </c>
      <c r="L172" s="4">
        <v>150</v>
      </c>
      <c r="M172" s="4">
        <v>150</v>
      </c>
      <c r="N172" s="4">
        <v>207.5</v>
      </c>
    </row>
    <row r="173" spans="1:14">
      <c r="A173" s="3">
        <v>804313</v>
      </c>
      <c r="B173" s="3">
        <v>119038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20</v>
      </c>
      <c r="I173" s="4">
        <v>0</v>
      </c>
      <c r="J173" s="4">
        <v>20</v>
      </c>
      <c r="K173" s="4">
        <v>0</v>
      </c>
      <c r="L173" s="4">
        <v>0</v>
      </c>
      <c r="M173" s="4">
        <v>0</v>
      </c>
      <c r="N173" s="4">
        <v>0</v>
      </c>
    </row>
    <row r="174" spans="1:14">
      <c r="A174" s="3">
        <v>804365</v>
      </c>
      <c r="B174" s="3">
        <v>143148</v>
      </c>
      <c r="C174" s="4">
        <v>15</v>
      </c>
      <c r="D174" s="4">
        <v>20</v>
      </c>
      <c r="E174" s="4">
        <v>35</v>
      </c>
      <c r="F174" s="4">
        <v>45</v>
      </c>
      <c r="G174" s="4">
        <v>0</v>
      </c>
      <c r="H174" s="4">
        <v>0</v>
      </c>
      <c r="I174" s="4">
        <v>20</v>
      </c>
      <c r="J174" s="4">
        <v>0</v>
      </c>
      <c r="K174" s="4">
        <v>15</v>
      </c>
      <c r="L174" s="4">
        <v>10</v>
      </c>
      <c r="M174" s="4">
        <v>15</v>
      </c>
      <c r="N174" s="4">
        <v>55</v>
      </c>
    </row>
    <row r="175" spans="1:14">
      <c r="A175" s="3">
        <v>804429</v>
      </c>
      <c r="B175" s="3">
        <v>201280</v>
      </c>
      <c r="C175" s="4">
        <v>0</v>
      </c>
      <c r="D175" s="4">
        <v>0</v>
      </c>
      <c r="E175" s="4">
        <v>8</v>
      </c>
      <c r="F175" s="4">
        <v>37</v>
      </c>
      <c r="G175" s="4">
        <v>15</v>
      </c>
      <c r="H175" s="4">
        <v>15</v>
      </c>
      <c r="I175" s="4">
        <v>0</v>
      </c>
      <c r="J175" s="4">
        <v>5</v>
      </c>
      <c r="K175" s="4">
        <v>23.45</v>
      </c>
      <c r="L175" s="4">
        <v>38</v>
      </c>
      <c r="M175" s="4">
        <v>18</v>
      </c>
      <c r="N175" s="4">
        <v>34</v>
      </c>
    </row>
    <row r="176" spans="1:14">
      <c r="A176" s="3">
        <v>804430</v>
      </c>
      <c r="B176" s="3">
        <v>119066</v>
      </c>
      <c r="C176" s="4">
        <v>0</v>
      </c>
      <c r="D176" s="4">
        <v>83</v>
      </c>
      <c r="E176" s="4">
        <v>10</v>
      </c>
      <c r="F176" s="4">
        <v>15</v>
      </c>
      <c r="G176" s="4">
        <v>17</v>
      </c>
      <c r="H176" s="4">
        <v>17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>
      <c r="A177" s="3">
        <v>804431</v>
      </c>
      <c r="B177" s="3">
        <v>119208</v>
      </c>
      <c r="C177" s="4">
        <v>375.6</v>
      </c>
      <c r="D177" s="4">
        <v>250.75</v>
      </c>
      <c r="E177" s="4">
        <v>266</v>
      </c>
      <c r="F177" s="4">
        <v>378.5</v>
      </c>
      <c r="G177" s="4">
        <v>300.5</v>
      </c>
      <c r="H177" s="4">
        <v>294.25</v>
      </c>
      <c r="I177" s="4">
        <v>255.2</v>
      </c>
      <c r="J177" s="4">
        <v>225.55</v>
      </c>
      <c r="K177" s="4">
        <v>324</v>
      </c>
      <c r="L177" s="4">
        <v>208</v>
      </c>
      <c r="M177" s="4">
        <v>260.14999999999998</v>
      </c>
      <c r="N177" s="4">
        <v>380</v>
      </c>
    </row>
    <row r="178" spans="1:14">
      <c r="A178" s="3">
        <v>804432</v>
      </c>
      <c r="B178" s="3">
        <v>141115</v>
      </c>
      <c r="C178" s="4">
        <v>93.5</v>
      </c>
      <c r="D178" s="4">
        <v>118.45</v>
      </c>
      <c r="E178" s="4">
        <v>128.25</v>
      </c>
      <c r="F178" s="4">
        <v>119.5</v>
      </c>
      <c r="G178" s="4">
        <v>99.5</v>
      </c>
      <c r="H178" s="4">
        <v>134.75</v>
      </c>
      <c r="I178" s="4">
        <v>94.25</v>
      </c>
      <c r="J178" s="4">
        <v>124.5</v>
      </c>
      <c r="K178" s="4">
        <v>113.25</v>
      </c>
      <c r="L178" s="4">
        <v>98.5</v>
      </c>
      <c r="M178" s="4">
        <v>108.5</v>
      </c>
      <c r="N178" s="4">
        <v>104.25</v>
      </c>
    </row>
    <row r="179" spans="1:14">
      <c r="A179" s="3">
        <v>804474</v>
      </c>
      <c r="B179" s="3">
        <v>119028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11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</row>
    <row r="180" spans="1:14">
      <c r="A180" s="3">
        <v>804485</v>
      </c>
      <c r="B180" s="3">
        <v>119038</v>
      </c>
      <c r="C180" s="4">
        <v>122.5</v>
      </c>
      <c r="D180" s="4">
        <v>0</v>
      </c>
      <c r="E180" s="4">
        <v>10</v>
      </c>
      <c r="F180" s="4">
        <v>70</v>
      </c>
      <c r="G180" s="4">
        <v>35</v>
      </c>
      <c r="H180" s="4">
        <v>50</v>
      </c>
      <c r="I180" s="4">
        <v>46</v>
      </c>
      <c r="J180" s="4">
        <v>26</v>
      </c>
      <c r="K180" s="4">
        <v>25</v>
      </c>
      <c r="L180" s="4">
        <v>0</v>
      </c>
      <c r="M180" s="4">
        <v>70</v>
      </c>
      <c r="N180" s="4">
        <v>35</v>
      </c>
    </row>
    <row r="181" spans="1:14">
      <c r="A181" s="3">
        <v>804632</v>
      </c>
      <c r="B181" s="3">
        <v>141115</v>
      </c>
      <c r="C181" s="4">
        <v>80</v>
      </c>
      <c r="D181" s="4">
        <v>50</v>
      </c>
      <c r="E181" s="4">
        <v>100</v>
      </c>
      <c r="F181" s="4">
        <v>89.5</v>
      </c>
      <c r="G181" s="4">
        <v>68.5</v>
      </c>
      <c r="H181" s="4">
        <v>82.5</v>
      </c>
      <c r="I181" s="4">
        <v>65</v>
      </c>
      <c r="J181" s="4">
        <v>49.5</v>
      </c>
      <c r="K181" s="4">
        <v>135</v>
      </c>
      <c r="L181" s="4">
        <v>170</v>
      </c>
      <c r="M181" s="4">
        <v>146</v>
      </c>
      <c r="N181" s="4">
        <v>177.5</v>
      </c>
    </row>
    <row r="182" spans="1:14">
      <c r="A182" s="3">
        <v>804744</v>
      </c>
      <c r="B182" s="3">
        <v>206066</v>
      </c>
      <c r="C182" s="4">
        <v>24</v>
      </c>
      <c r="D182" s="4">
        <v>0</v>
      </c>
      <c r="E182" s="4">
        <v>0</v>
      </c>
      <c r="F182" s="4">
        <v>15</v>
      </c>
      <c r="G182" s="4">
        <v>60</v>
      </c>
      <c r="H182" s="4">
        <v>78.75</v>
      </c>
      <c r="I182" s="4">
        <v>60</v>
      </c>
      <c r="J182" s="4">
        <v>0</v>
      </c>
      <c r="K182" s="4">
        <v>55</v>
      </c>
      <c r="L182" s="4">
        <v>15</v>
      </c>
      <c r="M182" s="4">
        <v>29</v>
      </c>
      <c r="N182" s="4">
        <v>0</v>
      </c>
    </row>
    <row r="183" spans="1:14">
      <c r="A183" s="3">
        <v>804746</v>
      </c>
      <c r="B183" s="3">
        <v>143114</v>
      </c>
      <c r="C183" s="4">
        <v>45</v>
      </c>
      <c r="D183" s="4">
        <v>10</v>
      </c>
      <c r="E183" s="4">
        <v>20</v>
      </c>
      <c r="F183" s="4">
        <v>13.5</v>
      </c>
      <c r="G183" s="4">
        <v>20</v>
      </c>
      <c r="H183" s="4">
        <v>5</v>
      </c>
      <c r="I183" s="4">
        <v>13.4</v>
      </c>
      <c r="J183" s="4">
        <v>0</v>
      </c>
      <c r="K183" s="4">
        <v>88.5</v>
      </c>
      <c r="L183" s="4">
        <v>35</v>
      </c>
      <c r="M183" s="4">
        <v>7.85</v>
      </c>
      <c r="N183" s="4">
        <v>0</v>
      </c>
    </row>
    <row r="184" spans="1:14">
      <c r="A184" s="3">
        <v>804773</v>
      </c>
      <c r="B184" s="3">
        <v>119179</v>
      </c>
      <c r="C184" s="4">
        <v>10</v>
      </c>
      <c r="D184" s="4">
        <v>0</v>
      </c>
      <c r="E184" s="4">
        <v>15</v>
      </c>
      <c r="F184" s="4">
        <v>10</v>
      </c>
      <c r="G184" s="4">
        <v>0</v>
      </c>
      <c r="H184" s="4">
        <v>0</v>
      </c>
      <c r="I184" s="4">
        <v>0</v>
      </c>
      <c r="J184" s="4">
        <v>0</v>
      </c>
      <c r="K184" s="4">
        <v>7.5</v>
      </c>
      <c r="L184" s="4">
        <v>0</v>
      </c>
      <c r="M184" s="4">
        <v>0</v>
      </c>
      <c r="N184" s="4">
        <v>0</v>
      </c>
    </row>
    <row r="185" spans="1:14">
      <c r="A185" s="3">
        <v>804774</v>
      </c>
      <c r="B185" s="3">
        <v>119179</v>
      </c>
      <c r="C185" s="4">
        <v>28</v>
      </c>
      <c r="D185" s="4">
        <v>0</v>
      </c>
      <c r="E185" s="4">
        <v>15</v>
      </c>
      <c r="F185" s="4">
        <v>35</v>
      </c>
      <c r="G185" s="4">
        <v>17</v>
      </c>
      <c r="H185" s="4">
        <v>22.5</v>
      </c>
      <c r="I185" s="4">
        <v>37.5</v>
      </c>
      <c r="J185" s="4">
        <v>5</v>
      </c>
      <c r="K185" s="4">
        <v>32.5</v>
      </c>
      <c r="L185" s="4">
        <v>32.5</v>
      </c>
      <c r="M185" s="4">
        <v>27.5</v>
      </c>
      <c r="N185" s="4">
        <v>12.5</v>
      </c>
    </row>
    <row r="186" spans="1:14">
      <c r="A186" s="3">
        <v>804818</v>
      </c>
      <c r="B186" s="3">
        <v>119261</v>
      </c>
      <c r="C186" s="4">
        <v>50</v>
      </c>
      <c r="D186" s="4">
        <v>0</v>
      </c>
      <c r="E186" s="4">
        <v>103</v>
      </c>
      <c r="F186" s="4">
        <v>53</v>
      </c>
      <c r="G186" s="4">
        <v>22</v>
      </c>
      <c r="H186" s="4">
        <v>100</v>
      </c>
      <c r="I186" s="4">
        <v>53</v>
      </c>
      <c r="J186" s="4">
        <v>50</v>
      </c>
      <c r="K186" s="4">
        <v>51</v>
      </c>
      <c r="L186" s="4">
        <v>75.5</v>
      </c>
      <c r="M186" s="4">
        <v>0</v>
      </c>
      <c r="N186" s="4">
        <v>50</v>
      </c>
    </row>
    <row r="187" spans="1:14">
      <c r="A187" s="3">
        <v>804832</v>
      </c>
      <c r="B187" s="3">
        <v>119029</v>
      </c>
      <c r="C187" s="4">
        <v>10</v>
      </c>
      <c r="D187" s="4">
        <v>0</v>
      </c>
      <c r="E187" s="4">
        <v>10</v>
      </c>
      <c r="F187" s="4">
        <v>12.5</v>
      </c>
      <c r="G187" s="4">
        <v>10</v>
      </c>
      <c r="H187" s="4">
        <v>0</v>
      </c>
      <c r="I187" s="4">
        <v>10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>
      <c r="A188" s="3">
        <v>804833</v>
      </c>
      <c r="B188" s="3">
        <v>119263</v>
      </c>
      <c r="C188" s="4">
        <v>43</v>
      </c>
      <c r="D188" s="4">
        <v>62</v>
      </c>
      <c r="E188" s="4">
        <v>25</v>
      </c>
      <c r="F188" s="4">
        <v>33</v>
      </c>
      <c r="G188" s="4">
        <v>19.5</v>
      </c>
      <c r="H188" s="4">
        <v>91.5</v>
      </c>
      <c r="I188" s="4">
        <v>39</v>
      </c>
      <c r="J188" s="4">
        <v>67.5</v>
      </c>
      <c r="K188" s="4">
        <v>92</v>
      </c>
      <c r="L188" s="4">
        <v>15.5</v>
      </c>
      <c r="M188" s="4">
        <v>76.5</v>
      </c>
      <c r="N188" s="4">
        <v>36.5</v>
      </c>
    </row>
    <row r="189" spans="1:14">
      <c r="A189" s="3">
        <v>804864</v>
      </c>
      <c r="B189" s="3">
        <v>206066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109</v>
      </c>
      <c r="N189" s="4">
        <v>0</v>
      </c>
    </row>
    <row r="190" spans="1:14">
      <c r="A190" s="3">
        <v>804876</v>
      </c>
      <c r="B190" s="3">
        <v>119031</v>
      </c>
      <c r="C190" s="4">
        <v>0</v>
      </c>
      <c r="D190" s="4">
        <v>0</v>
      </c>
      <c r="E190" s="4">
        <v>0</v>
      </c>
      <c r="F190" s="4">
        <v>0</v>
      </c>
      <c r="G190" s="4">
        <v>20</v>
      </c>
      <c r="H190" s="4">
        <v>105</v>
      </c>
      <c r="I190" s="4">
        <v>30</v>
      </c>
      <c r="J190" s="4">
        <v>35</v>
      </c>
      <c r="K190" s="4">
        <v>38.5</v>
      </c>
      <c r="L190" s="4">
        <v>65.5</v>
      </c>
      <c r="M190" s="4">
        <v>0</v>
      </c>
      <c r="N190" s="4">
        <v>42</v>
      </c>
    </row>
    <row r="191" spans="1:14">
      <c r="A191" s="3">
        <v>804888</v>
      </c>
      <c r="B191" s="3">
        <v>143113</v>
      </c>
      <c r="C191" s="4">
        <v>43</v>
      </c>
      <c r="D191" s="4">
        <v>105</v>
      </c>
      <c r="E191" s="4">
        <v>95</v>
      </c>
      <c r="F191" s="4">
        <v>136</v>
      </c>
      <c r="G191" s="4">
        <v>152</v>
      </c>
      <c r="H191" s="4">
        <v>158</v>
      </c>
      <c r="I191" s="4">
        <v>154</v>
      </c>
      <c r="J191" s="4">
        <v>92.5</v>
      </c>
      <c r="K191" s="4">
        <v>108</v>
      </c>
      <c r="L191" s="4">
        <v>135</v>
      </c>
      <c r="M191" s="4">
        <v>140</v>
      </c>
      <c r="N191" s="4">
        <v>186</v>
      </c>
    </row>
    <row r="192" spans="1:14">
      <c r="A192" s="3">
        <v>804897</v>
      </c>
      <c r="B192" s="3">
        <v>140857</v>
      </c>
      <c r="C192" s="4">
        <v>10</v>
      </c>
      <c r="D192" s="4">
        <v>18.25</v>
      </c>
      <c r="E192" s="4">
        <v>85</v>
      </c>
      <c r="F192" s="4">
        <v>37.5</v>
      </c>
      <c r="G192" s="4">
        <v>80</v>
      </c>
      <c r="H192" s="4">
        <v>30</v>
      </c>
      <c r="I192" s="4">
        <v>30</v>
      </c>
      <c r="J192" s="4">
        <v>5</v>
      </c>
      <c r="K192" s="4">
        <v>56.5</v>
      </c>
      <c r="L192" s="4">
        <v>34.5</v>
      </c>
      <c r="M192" s="4">
        <v>70</v>
      </c>
      <c r="N192" s="4">
        <v>74.5</v>
      </c>
    </row>
    <row r="193" spans="1:14">
      <c r="A193" s="3">
        <v>804898</v>
      </c>
      <c r="B193" s="3">
        <v>119050</v>
      </c>
      <c r="C193" s="4">
        <v>41</v>
      </c>
      <c r="D193" s="4">
        <v>0</v>
      </c>
      <c r="E193" s="4">
        <v>25</v>
      </c>
      <c r="F193" s="4">
        <v>22.5</v>
      </c>
      <c r="G193" s="4">
        <v>15</v>
      </c>
      <c r="H193" s="4">
        <v>7.5</v>
      </c>
      <c r="I193" s="4">
        <v>11</v>
      </c>
      <c r="J193" s="4">
        <v>20</v>
      </c>
      <c r="K193" s="4">
        <v>10</v>
      </c>
      <c r="L193" s="4">
        <v>40</v>
      </c>
      <c r="M193" s="4">
        <v>0</v>
      </c>
      <c r="N193" s="4">
        <v>20</v>
      </c>
    </row>
    <row r="194" spans="1:14">
      <c r="A194" s="3">
        <v>804909</v>
      </c>
      <c r="B194" s="3">
        <v>170775</v>
      </c>
      <c r="C194" s="4">
        <v>10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</row>
    <row r="195" spans="1:14">
      <c r="A195" s="3">
        <v>804910</v>
      </c>
      <c r="B195" s="3">
        <v>119038</v>
      </c>
      <c r="C195" s="4">
        <v>10</v>
      </c>
      <c r="D195" s="4">
        <v>40</v>
      </c>
      <c r="E195" s="4">
        <v>65</v>
      </c>
      <c r="F195" s="4">
        <v>70</v>
      </c>
      <c r="G195" s="4">
        <v>100</v>
      </c>
      <c r="H195" s="4">
        <v>123.5</v>
      </c>
      <c r="I195" s="4">
        <v>95</v>
      </c>
      <c r="J195" s="4">
        <v>55</v>
      </c>
      <c r="K195" s="4">
        <v>84</v>
      </c>
      <c r="L195" s="4">
        <v>95</v>
      </c>
      <c r="M195" s="4">
        <v>138</v>
      </c>
      <c r="N195" s="4">
        <v>325</v>
      </c>
    </row>
    <row r="196" spans="1:14">
      <c r="A196" s="3">
        <v>804933</v>
      </c>
      <c r="B196" s="3">
        <v>170156</v>
      </c>
      <c r="C196" s="4">
        <v>0</v>
      </c>
      <c r="D196" s="4">
        <v>0</v>
      </c>
      <c r="E196" s="4">
        <v>0</v>
      </c>
      <c r="F196" s="4">
        <v>0</v>
      </c>
      <c r="G196" s="4">
        <v>120.75</v>
      </c>
      <c r="H196" s="4">
        <v>156</v>
      </c>
      <c r="I196" s="4">
        <v>82.5</v>
      </c>
      <c r="J196" s="4">
        <v>95</v>
      </c>
      <c r="K196" s="4">
        <v>190</v>
      </c>
      <c r="L196" s="4">
        <v>150</v>
      </c>
      <c r="M196" s="4">
        <v>95</v>
      </c>
      <c r="N196" s="4">
        <v>119.5</v>
      </c>
    </row>
    <row r="197" spans="1:14">
      <c r="A197" s="3">
        <v>804935</v>
      </c>
      <c r="B197" s="3">
        <v>122537</v>
      </c>
      <c r="C197" s="4">
        <v>38.450000000000003</v>
      </c>
      <c r="D197" s="4">
        <v>5</v>
      </c>
      <c r="E197" s="4">
        <v>56.25</v>
      </c>
      <c r="F197" s="4">
        <v>84.75</v>
      </c>
      <c r="G197" s="4">
        <v>137.5</v>
      </c>
      <c r="H197" s="4">
        <v>85.25</v>
      </c>
      <c r="I197" s="4">
        <v>94</v>
      </c>
      <c r="J197" s="4">
        <v>74.25</v>
      </c>
      <c r="K197" s="4">
        <v>121.5</v>
      </c>
      <c r="L197" s="4">
        <v>68.5</v>
      </c>
      <c r="M197" s="4">
        <v>50</v>
      </c>
      <c r="N197" s="4">
        <v>77.5</v>
      </c>
    </row>
    <row r="198" spans="1:14">
      <c r="A198" s="3">
        <v>804935</v>
      </c>
      <c r="B198" s="3">
        <v>176279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</v>
      </c>
      <c r="L198" s="4">
        <v>0</v>
      </c>
      <c r="M198" s="4">
        <v>0</v>
      </c>
      <c r="N198" s="4">
        <v>0</v>
      </c>
    </row>
    <row r="199" spans="1:14">
      <c r="A199" s="3">
        <v>804940</v>
      </c>
      <c r="B199" s="3">
        <v>119038</v>
      </c>
      <c r="C199" s="4">
        <v>70</v>
      </c>
      <c r="D199" s="4">
        <v>25</v>
      </c>
      <c r="E199" s="4">
        <v>40</v>
      </c>
      <c r="F199" s="4">
        <v>35</v>
      </c>
      <c r="G199" s="4">
        <v>0</v>
      </c>
      <c r="H199" s="4">
        <v>30</v>
      </c>
      <c r="I199" s="4">
        <v>15</v>
      </c>
      <c r="J199" s="4">
        <v>0</v>
      </c>
      <c r="K199" s="4">
        <v>15</v>
      </c>
      <c r="L199" s="4">
        <v>0</v>
      </c>
      <c r="M199" s="4">
        <v>34.5</v>
      </c>
      <c r="N199" s="4">
        <v>49</v>
      </c>
    </row>
    <row r="200" spans="1:14">
      <c r="A200" s="3">
        <v>804966</v>
      </c>
      <c r="B200" s="3">
        <v>143530</v>
      </c>
      <c r="C200" s="4">
        <v>30</v>
      </c>
      <c r="D200" s="4">
        <v>40</v>
      </c>
      <c r="E200" s="4">
        <v>55</v>
      </c>
      <c r="F200" s="4">
        <v>50</v>
      </c>
      <c r="G200" s="4">
        <v>10</v>
      </c>
      <c r="H200" s="4">
        <v>20</v>
      </c>
      <c r="I200" s="4">
        <v>20</v>
      </c>
      <c r="J200" s="4">
        <v>25</v>
      </c>
      <c r="K200" s="4">
        <v>12.5</v>
      </c>
      <c r="L200" s="4">
        <v>20</v>
      </c>
      <c r="M200" s="4">
        <v>20</v>
      </c>
      <c r="N200" s="4">
        <v>55</v>
      </c>
    </row>
    <row r="201" spans="1:14">
      <c r="A201" s="3">
        <v>804968</v>
      </c>
      <c r="B201" s="3">
        <v>140852</v>
      </c>
      <c r="C201" s="4">
        <v>31</v>
      </c>
      <c r="D201" s="4">
        <v>45</v>
      </c>
      <c r="E201" s="4">
        <v>32.5</v>
      </c>
      <c r="F201" s="4">
        <v>22.5</v>
      </c>
      <c r="G201" s="4">
        <v>43</v>
      </c>
      <c r="H201" s="4">
        <v>27</v>
      </c>
      <c r="I201" s="4">
        <v>6</v>
      </c>
      <c r="J201" s="4">
        <v>20</v>
      </c>
      <c r="K201" s="4">
        <v>27.75</v>
      </c>
      <c r="L201" s="4">
        <v>0</v>
      </c>
      <c r="M201" s="4">
        <v>0</v>
      </c>
      <c r="N201" s="4">
        <v>0</v>
      </c>
    </row>
    <row r="202" spans="1:14">
      <c r="A202" s="3">
        <v>804969</v>
      </c>
      <c r="B202" s="3">
        <v>140858</v>
      </c>
      <c r="C202" s="4">
        <v>55</v>
      </c>
      <c r="D202" s="4">
        <v>20</v>
      </c>
      <c r="E202" s="4">
        <v>30</v>
      </c>
      <c r="F202" s="4">
        <v>42.5</v>
      </c>
      <c r="G202" s="4">
        <v>30</v>
      </c>
      <c r="H202" s="4">
        <v>45</v>
      </c>
      <c r="I202" s="4">
        <v>30</v>
      </c>
      <c r="J202" s="4">
        <v>30</v>
      </c>
      <c r="K202" s="4">
        <v>65</v>
      </c>
      <c r="L202" s="4">
        <v>20</v>
      </c>
      <c r="M202" s="4">
        <v>35</v>
      </c>
      <c r="N202" s="4">
        <v>80</v>
      </c>
    </row>
    <row r="203" spans="1:14">
      <c r="A203" s="3">
        <v>804971</v>
      </c>
      <c r="B203" s="3">
        <v>119028</v>
      </c>
      <c r="C203" s="4">
        <v>62</v>
      </c>
      <c r="D203" s="4">
        <v>62</v>
      </c>
      <c r="E203" s="4">
        <v>217</v>
      </c>
      <c r="F203" s="4">
        <v>93</v>
      </c>
      <c r="G203" s="4">
        <v>31</v>
      </c>
      <c r="H203" s="4">
        <v>31</v>
      </c>
      <c r="I203" s="4">
        <v>93</v>
      </c>
      <c r="J203" s="4">
        <v>93</v>
      </c>
      <c r="K203" s="4">
        <v>0</v>
      </c>
      <c r="L203" s="4">
        <v>31</v>
      </c>
      <c r="M203" s="4">
        <v>0</v>
      </c>
      <c r="N203" s="4">
        <v>0</v>
      </c>
    </row>
    <row r="204" spans="1:14">
      <c r="A204" s="3">
        <v>804978</v>
      </c>
      <c r="B204" s="3">
        <v>176276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30</v>
      </c>
      <c r="K204" s="4">
        <v>32.5</v>
      </c>
      <c r="L204" s="4">
        <v>0</v>
      </c>
      <c r="M204" s="4">
        <v>0</v>
      </c>
      <c r="N204" s="4">
        <v>0</v>
      </c>
    </row>
    <row r="205" spans="1:14">
      <c r="A205" s="3">
        <v>804980</v>
      </c>
      <c r="B205" s="3">
        <v>171880</v>
      </c>
      <c r="C205" s="4">
        <v>70</v>
      </c>
      <c r="D205" s="4">
        <v>120</v>
      </c>
      <c r="E205" s="4">
        <v>170</v>
      </c>
      <c r="F205" s="4">
        <v>170</v>
      </c>
      <c r="G205" s="4">
        <v>120.5</v>
      </c>
      <c r="H205" s="4">
        <v>150</v>
      </c>
      <c r="I205" s="4">
        <v>272</v>
      </c>
      <c r="J205" s="4">
        <v>17.75</v>
      </c>
      <c r="K205" s="4">
        <v>0</v>
      </c>
      <c r="L205" s="4">
        <v>0</v>
      </c>
      <c r="M205" s="4">
        <v>0</v>
      </c>
      <c r="N205" s="4">
        <v>0</v>
      </c>
    </row>
    <row r="206" spans="1:14">
      <c r="A206" s="3">
        <v>804980</v>
      </c>
      <c r="B206" s="3">
        <v>175288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60</v>
      </c>
      <c r="L206" s="4">
        <v>10</v>
      </c>
      <c r="M206" s="4">
        <v>0</v>
      </c>
      <c r="N206" s="4">
        <v>0</v>
      </c>
    </row>
    <row r="207" spans="1:14">
      <c r="A207" s="3">
        <v>804992</v>
      </c>
      <c r="B207" s="3">
        <v>143114</v>
      </c>
      <c r="C207" s="4">
        <v>0</v>
      </c>
      <c r="D207" s="4">
        <v>15</v>
      </c>
      <c r="E207" s="4">
        <v>0</v>
      </c>
      <c r="F207" s="4">
        <v>12.75</v>
      </c>
      <c r="G207" s="4">
        <v>5</v>
      </c>
      <c r="H207" s="4">
        <v>13</v>
      </c>
      <c r="I207" s="4">
        <v>0</v>
      </c>
      <c r="J207" s="4">
        <v>0</v>
      </c>
      <c r="K207" s="4">
        <v>20</v>
      </c>
      <c r="L207" s="4">
        <v>10</v>
      </c>
      <c r="M207" s="4">
        <v>0</v>
      </c>
      <c r="N207" s="4">
        <v>0</v>
      </c>
    </row>
    <row r="208" spans="1:14">
      <c r="A208" s="3">
        <v>805005</v>
      </c>
      <c r="B208" s="3">
        <v>146845</v>
      </c>
      <c r="C208" s="4">
        <v>52</v>
      </c>
      <c r="D208" s="4">
        <v>32.5</v>
      </c>
      <c r="E208" s="4">
        <v>40</v>
      </c>
      <c r="F208" s="4">
        <v>73.099999999999994</v>
      </c>
      <c r="G208" s="4">
        <v>58.25</v>
      </c>
      <c r="H208" s="4">
        <v>44.45</v>
      </c>
      <c r="I208" s="4">
        <v>44</v>
      </c>
      <c r="J208" s="4">
        <v>23.75</v>
      </c>
      <c r="K208" s="4">
        <v>25</v>
      </c>
      <c r="L208" s="4">
        <v>23.75</v>
      </c>
      <c r="M208" s="4">
        <v>23.25</v>
      </c>
      <c r="N208" s="4">
        <v>33.5</v>
      </c>
    </row>
    <row r="209" spans="1:14">
      <c r="A209" s="3">
        <v>805095</v>
      </c>
      <c r="B209" s="3">
        <v>119261</v>
      </c>
      <c r="C209" s="4">
        <v>25</v>
      </c>
      <c r="D209" s="4">
        <v>0</v>
      </c>
      <c r="E209" s="4">
        <v>101</v>
      </c>
      <c r="F209" s="4">
        <v>53</v>
      </c>
      <c r="G209" s="4">
        <v>22</v>
      </c>
      <c r="H209" s="4">
        <v>0</v>
      </c>
      <c r="I209" s="4">
        <v>105</v>
      </c>
      <c r="J209" s="4">
        <v>101.5</v>
      </c>
      <c r="K209" s="4">
        <v>100</v>
      </c>
      <c r="L209" s="4">
        <v>51.3</v>
      </c>
      <c r="M209" s="4">
        <v>106</v>
      </c>
      <c r="N209" s="4">
        <v>0</v>
      </c>
    </row>
    <row r="210" spans="1:14">
      <c r="A210" s="3">
        <v>805149</v>
      </c>
      <c r="B210" s="3">
        <v>119208</v>
      </c>
      <c r="C210" s="4">
        <v>44</v>
      </c>
      <c r="D210" s="4">
        <v>0</v>
      </c>
      <c r="E210" s="4">
        <v>112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115</v>
      </c>
      <c r="L210" s="4">
        <v>0</v>
      </c>
      <c r="M210" s="4">
        <v>0</v>
      </c>
      <c r="N210" s="4">
        <v>358.5</v>
      </c>
    </row>
    <row r="211" spans="1:14">
      <c r="A211" s="3">
        <v>805151</v>
      </c>
      <c r="B211" s="3">
        <v>202865</v>
      </c>
      <c r="C211" s="4">
        <v>105.5</v>
      </c>
      <c r="D211" s="4">
        <v>165.5</v>
      </c>
      <c r="E211" s="4">
        <v>335.5</v>
      </c>
      <c r="F211" s="4">
        <v>217</v>
      </c>
      <c r="G211" s="4">
        <v>148.5</v>
      </c>
      <c r="H211" s="4">
        <v>137.5</v>
      </c>
      <c r="I211" s="4">
        <v>61</v>
      </c>
      <c r="J211" s="4">
        <v>145.5</v>
      </c>
      <c r="K211" s="4">
        <v>233.5</v>
      </c>
      <c r="L211" s="4">
        <v>92.5</v>
      </c>
      <c r="M211" s="4">
        <v>127.5</v>
      </c>
      <c r="N211" s="4">
        <v>178.5</v>
      </c>
    </row>
    <row r="212" spans="1:14">
      <c r="A212" s="3">
        <v>805158</v>
      </c>
      <c r="B212" s="3">
        <v>202865</v>
      </c>
      <c r="C212" s="4">
        <v>54.5</v>
      </c>
      <c r="D212" s="4">
        <v>41.5</v>
      </c>
      <c r="E212" s="4">
        <v>126</v>
      </c>
      <c r="F212" s="4">
        <v>81.5</v>
      </c>
      <c r="G212" s="4">
        <v>97</v>
      </c>
      <c r="H212" s="4">
        <v>32.5</v>
      </c>
      <c r="I212" s="4">
        <v>70</v>
      </c>
      <c r="J212" s="4">
        <v>98.5</v>
      </c>
      <c r="K212" s="4">
        <v>94</v>
      </c>
      <c r="L212" s="4">
        <v>57</v>
      </c>
      <c r="M212" s="4">
        <v>77.5</v>
      </c>
      <c r="N212" s="4">
        <v>71</v>
      </c>
    </row>
    <row r="213" spans="1:14">
      <c r="A213" s="3">
        <v>805185</v>
      </c>
      <c r="B213" s="3">
        <v>122377</v>
      </c>
      <c r="C213" s="4">
        <v>155</v>
      </c>
      <c r="D213" s="4">
        <v>113.5</v>
      </c>
      <c r="E213" s="4">
        <v>165</v>
      </c>
      <c r="F213" s="4">
        <v>170</v>
      </c>
      <c r="G213" s="4">
        <v>135</v>
      </c>
      <c r="H213" s="4">
        <v>135</v>
      </c>
      <c r="I213" s="4">
        <v>145</v>
      </c>
      <c r="J213" s="4">
        <v>113.5</v>
      </c>
      <c r="K213" s="4">
        <v>265.75</v>
      </c>
      <c r="L213" s="4">
        <v>175</v>
      </c>
      <c r="M213" s="4">
        <v>214</v>
      </c>
      <c r="N213" s="4">
        <v>222.5</v>
      </c>
    </row>
    <row r="214" spans="1:14">
      <c r="A214" s="3">
        <v>805255</v>
      </c>
      <c r="B214" s="3">
        <v>119261</v>
      </c>
      <c r="C214" s="4">
        <v>0</v>
      </c>
      <c r="D214" s="4">
        <v>0</v>
      </c>
      <c r="E214" s="4">
        <v>0</v>
      </c>
      <c r="F214" s="4">
        <v>0</v>
      </c>
      <c r="G214" s="4">
        <v>10</v>
      </c>
      <c r="H214" s="4">
        <v>0</v>
      </c>
      <c r="I214" s="4">
        <v>0</v>
      </c>
      <c r="J214" s="4">
        <v>0</v>
      </c>
      <c r="K214" s="4">
        <v>0</v>
      </c>
      <c r="L214" s="4">
        <v>20</v>
      </c>
      <c r="M214" s="4">
        <v>0</v>
      </c>
      <c r="N214" s="4">
        <v>0</v>
      </c>
    </row>
    <row r="215" spans="1:14">
      <c r="A215" s="3">
        <v>805276</v>
      </c>
      <c r="B215" s="3">
        <v>170606</v>
      </c>
      <c r="C215" s="4">
        <v>10</v>
      </c>
      <c r="D215" s="4">
        <v>67</v>
      </c>
      <c r="E215" s="4">
        <v>64</v>
      </c>
      <c r="F215" s="4">
        <v>45</v>
      </c>
      <c r="G215" s="4">
        <v>60</v>
      </c>
      <c r="H215" s="4">
        <v>51</v>
      </c>
      <c r="I215" s="4">
        <v>57</v>
      </c>
      <c r="J215" s="4">
        <v>56</v>
      </c>
      <c r="K215" s="4">
        <v>55</v>
      </c>
      <c r="L215" s="4">
        <v>20</v>
      </c>
      <c r="M215" s="4">
        <v>39.75</v>
      </c>
      <c r="N215" s="4">
        <v>10</v>
      </c>
    </row>
    <row r="216" spans="1:14">
      <c r="A216" s="3">
        <v>805323</v>
      </c>
      <c r="B216" s="3">
        <v>119028</v>
      </c>
      <c r="C216" s="4">
        <v>0</v>
      </c>
      <c r="D216" s="4">
        <v>0</v>
      </c>
      <c r="E216" s="4">
        <v>0</v>
      </c>
      <c r="F216" s="4">
        <v>7.5</v>
      </c>
      <c r="G216" s="4">
        <v>0</v>
      </c>
      <c r="H216" s="4">
        <v>15</v>
      </c>
      <c r="I216" s="4">
        <v>0</v>
      </c>
      <c r="J216" s="4">
        <v>15</v>
      </c>
      <c r="K216" s="4">
        <v>10</v>
      </c>
      <c r="L216" s="4">
        <v>0</v>
      </c>
      <c r="M216" s="4">
        <v>20</v>
      </c>
      <c r="N216" s="4">
        <v>93</v>
      </c>
    </row>
    <row r="217" spans="1:14">
      <c r="A217" s="3">
        <v>805324</v>
      </c>
      <c r="B217" s="3">
        <v>119028</v>
      </c>
      <c r="C217" s="4">
        <v>0</v>
      </c>
      <c r="D217" s="4">
        <v>0</v>
      </c>
      <c r="E217" s="4">
        <v>0</v>
      </c>
      <c r="F217" s="4">
        <v>35</v>
      </c>
      <c r="G217" s="4">
        <v>31</v>
      </c>
      <c r="H217" s="4">
        <v>31</v>
      </c>
      <c r="I217" s="4">
        <v>31</v>
      </c>
      <c r="J217" s="4">
        <v>93</v>
      </c>
      <c r="K217" s="4">
        <v>41</v>
      </c>
      <c r="L217" s="4">
        <v>0</v>
      </c>
      <c r="M217" s="4">
        <v>11</v>
      </c>
      <c r="N217" s="4">
        <v>31</v>
      </c>
    </row>
    <row r="218" spans="1:14">
      <c r="A218" s="3">
        <v>805325</v>
      </c>
      <c r="B218" s="3">
        <v>119066</v>
      </c>
      <c r="C218" s="4">
        <v>0</v>
      </c>
      <c r="D218" s="4">
        <v>85</v>
      </c>
      <c r="E218" s="4">
        <v>131</v>
      </c>
      <c r="F218" s="4">
        <v>29.5</v>
      </c>
      <c r="G218" s="4">
        <v>53</v>
      </c>
      <c r="H218" s="4">
        <v>64</v>
      </c>
      <c r="I218" s="4">
        <v>81</v>
      </c>
      <c r="J218" s="4">
        <v>42</v>
      </c>
      <c r="K218" s="4">
        <v>69.5</v>
      </c>
      <c r="L218" s="4">
        <v>67.5</v>
      </c>
      <c r="M218" s="4">
        <v>75</v>
      </c>
      <c r="N218" s="4">
        <v>202.5</v>
      </c>
    </row>
    <row r="219" spans="1:14">
      <c r="A219" s="3">
        <v>805351</v>
      </c>
      <c r="B219" s="3">
        <v>119028</v>
      </c>
      <c r="C219" s="4">
        <v>16</v>
      </c>
      <c r="D219" s="4">
        <v>0</v>
      </c>
      <c r="E219" s="4">
        <v>93</v>
      </c>
      <c r="F219" s="4">
        <v>84</v>
      </c>
      <c r="G219" s="4">
        <v>31</v>
      </c>
      <c r="H219" s="4">
        <v>93</v>
      </c>
      <c r="I219" s="4">
        <v>0</v>
      </c>
      <c r="J219" s="4">
        <v>31</v>
      </c>
      <c r="K219" s="4">
        <v>63</v>
      </c>
      <c r="L219" s="4">
        <v>92</v>
      </c>
      <c r="M219" s="4">
        <v>62</v>
      </c>
      <c r="N219" s="4">
        <v>40</v>
      </c>
    </row>
    <row r="220" spans="1:14">
      <c r="A220" s="3">
        <v>805375</v>
      </c>
      <c r="B220" s="3">
        <v>119261</v>
      </c>
      <c r="C220" s="4">
        <v>30</v>
      </c>
      <c r="D220" s="4">
        <v>0</v>
      </c>
      <c r="E220" s="4">
        <v>51</v>
      </c>
      <c r="F220" s="4">
        <v>1</v>
      </c>
      <c r="G220" s="4">
        <v>50</v>
      </c>
      <c r="H220" s="4">
        <v>23</v>
      </c>
      <c r="I220" s="4">
        <v>50.5</v>
      </c>
      <c r="J220" s="4">
        <v>0</v>
      </c>
      <c r="K220" s="4">
        <v>0</v>
      </c>
      <c r="L220" s="4">
        <v>90</v>
      </c>
      <c r="M220" s="4">
        <v>0</v>
      </c>
      <c r="N220" s="4">
        <v>0</v>
      </c>
    </row>
    <row r="221" spans="1:14">
      <c r="A221" s="3">
        <v>805377</v>
      </c>
      <c r="B221" s="3">
        <v>119261</v>
      </c>
      <c r="C221" s="4">
        <v>0</v>
      </c>
      <c r="D221" s="4">
        <v>0</v>
      </c>
      <c r="E221" s="4">
        <v>76</v>
      </c>
      <c r="F221" s="4">
        <v>89.75</v>
      </c>
      <c r="G221" s="4">
        <v>30.5</v>
      </c>
      <c r="H221" s="4">
        <v>51.3</v>
      </c>
      <c r="I221" s="4">
        <v>51</v>
      </c>
      <c r="J221" s="4">
        <v>20</v>
      </c>
      <c r="K221" s="4">
        <v>21</v>
      </c>
      <c r="L221" s="4">
        <v>80.5</v>
      </c>
      <c r="M221" s="4">
        <v>0</v>
      </c>
      <c r="N221" s="4">
        <v>181</v>
      </c>
    </row>
    <row r="222" spans="1:14">
      <c r="A222" s="3">
        <v>805378</v>
      </c>
      <c r="B222" s="3">
        <v>176276</v>
      </c>
      <c r="C222" s="4">
        <v>47.5</v>
      </c>
      <c r="D222" s="4">
        <v>50</v>
      </c>
      <c r="E222" s="4">
        <v>66</v>
      </c>
      <c r="F222" s="4">
        <v>80.5</v>
      </c>
      <c r="G222" s="4">
        <v>100</v>
      </c>
      <c r="H222" s="4">
        <v>100</v>
      </c>
      <c r="I222" s="4">
        <v>83</v>
      </c>
      <c r="J222" s="4">
        <v>51</v>
      </c>
      <c r="K222" s="4">
        <v>215.7</v>
      </c>
      <c r="L222" s="4">
        <v>148</v>
      </c>
      <c r="M222" s="4">
        <v>157</v>
      </c>
      <c r="N222" s="4">
        <v>181.2</v>
      </c>
    </row>
    <row r="223" spans="1:14">
      <c r="A223" s="3">
        <v>805385</v>
      </c>
      <c r="B223" s="3">
        <v>149971</v>
      </c>
      <c r="C223" s="4">
        <v>115</v>
      </c>
      <c r="D223" s="4">
        <v>0</v>
      </c>
      <c r="E223" s="4">
        <v>100.5</v>
      </c>
      <c r="F223" s="4">
        <v>14</v>
      </c>
      <c r="G223" s="4">
        <v>12.5</v>
      </c>
      <c r="H223" s="4">
        <v>25</v>
      </c>
      <c r="I223" s="4">
        <v>20</v>
      </c>
      <c r="J223" s="4">
        <v>35</v>
      </c>
      <c r="K223" s="4">
        <v>24.5</v>
      </c>
      <c r="L223" s="4">
        <v>16</v>
      </c>
      <c r="M223" s="4">
        <v>0</v>
      </c>
      <c r="N223" s="4">
        <v>35</v>
      </c>
    </row>
    <row r="224" spans="1:14">
      <c r="A224" s="3">
        <v>805385</v>
      </c>
      <c r="B224" s="3">
        <v>177426</v>
      </c>
      <c r="C224" s="4">
        <v>0</v>
      </c>
      <c r="D224" s="4">
        <v>0</v>
      </c>
      <c r="E224" s="4">
        <v>3.5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</row>
    <row r="225" spans="1:14">
      <c r="A225" s="3">
        <v>805397</v>
      </c>
      <c r="B225" s="3">
        <v>119044</v>
      </c>
      <c r="C225" s="4">
        <v>20</v>
      </c>
      <c r="D225" s="4">
        <v>20</v>
      </c>
      <c r="E225" s="4">
        <v>30</v>
      </c>
      <c r="F225" s="4">
        <v>40</v>
      </c>
      <c r="G225" s="4">
        <v>2</v>
      </c>
      <c r="H225" s="4">
        <v>0</v>
      </c>
      <c r="I225" s="4">
        <v>150</v>
      </c>
      <c r="J225" s="4">
        <v>95</v>
      </c>
      <c r="K225" s="4">
        <v>35</v>
      </c>
      <c r="L225" s="4">
        <v>40</v>
      </c>
      <c r="M225" s="4">
        <v>0</v>
      </c>
      <c r="N225" s="4">
        <v>0</v>
      </c>
    </row>
    <row r="226" spans="1:14">
      <c r="A226" s="3">
        <v>805401</v>
      </c>
      <c r="B226" s="3">
        <v>176773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15</v>
      </c>
      <c r="N226" s="4">
        <v>0</v>
      </c>
    </row>
    <row r="227" spans="1:14">
      <c r="A227" s="3">
        <v>805403</v>
      </c>
      <c r="B227" s="3">
        <v>119038</v>
      </c>
      <c r="C227" s="4">
        <v>35</v>
      </c>
      <c r="D227" s="4">
        <v>20</v>
      </c>
      <c r="E227" s="4">
        <v>20</v>
      </c>
      <c r="F227" s="4">
        <v>35</v>
      </c>
      <c r="G227" s="4">
        <v>0</v>
      </c>
      <c r="H227" s="4">
        <v>30</v>
      </c>
      <c r="I227" s="4">
        <v>20</v>
      </c>
      <c r="J227" s="4">
        <v>15</v>
      </c>
      <c r="K227" s="4">
        <v>20</v>
      </c>
      <c r="L227" s="4">
        <v>50</v>
      </c>
      <c r="M227" s="4">
        <v>55</v>
      </c>
      <c r="N227" s="4">
        <v>0</v>
      </c>
    </row>
    <row r="228" spans="1:14">
      <c r="A228" s="3">
        <v>805406</v>
      </c>
      <c r="B228" s="3">
        <v>119261</v>
      </c>
      <c r="C228" s="4">
        <v>0</v>
      </c>
      <c r="D228" s="4">
        <v>0</v>
      </c>
      <c r="E228" s="4">
        <v>0</v>
      </c>
      <c r="F228" s="4">
        <v>0</v>
      </c>
      <c r="G228" s="4">
        <v>10</v>
      </c>
      <c r="H228" s="4">
        <v>0</v>
      </c>
      <c r="I228" s="4">
        <v>31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</row>
    <row r="229" spans="1:14">
      <c r="A229" s="3">
        <v>805419</v>
      </c>
      <c r="B229" s="3">
        <v>119261</v>
      </c>
      <c r="C229" s="4">
        <v>0</v>
      </c>
      <c r="D229" s="4">
        <v>0</v>
      </c>
      <c r="E229" s="4">
        <v>100.5</v>
      </c>
      <c r="F229" s="4">
        <v>56</v>
      </c>
      <c r="G229" s="4">
        <v>30</v>
      </c>
      <c r="H229" s="4">
        <v>40</v>
      </c>
      <c r="I229" s="4">
        <v>76</v>
      </c>
      <c r="J229" s="4">
        <v>101</v>
      </c>
      <c r="K229" s="4">
        <v>40</v>
      </c>
      <c r="L229" s="4">
        <v>50</v>
      </c>
      <c r="M229" s="4">
        <v>0</v>
      </c>
      <c r="N229" s="4">
        <v>110</v>
      </c>
    </row>
    <row r="230" spans="1:14">
      <c r="A230" s="3">
        <v>805420</v>
      </c>
      <c r="B230" s="3">
        <v>119050</v>
      </c>
      <c r="C230" s="4">
        <v>15</v>
      </c>
      <c r="D230" s="4">
        <v>0</v>
      </c>
      <c r="E230" s="4">
        <v>69.5</v>
      </c>
      <c r="F230" s="4">
        <v>63.5</v>
      </c>
      <c r="G230" s="4">
        <v>21.5</v>
      </c>
      <c r="H230" s="4">
        <v>20.5</v>
      </c>
      <c r="I230" s="4">
        <v>15</v>
      </c>
      <c r="J230" s="4">
        <v>10</v>
      </c>
      <c r="K230" s="4">
        <v>20</v>
      </c>
      <c r="L230" s="4">
        <v>30</v>
      </c>
      <c r="M230" s="4">
        <v>20</v>
      </c>
      <c r="N230" s="4">
        <v>20</v>
      </c>
    </row>
    <row r="231" spans="1:14">
      <c r="A231" s="3">
        <v>805432</v>
      </c>
      <c r="B231" s="3">
        <v>119038</v>
      </c>
      <c r="C231" s="4">
        <v>0</v>
      </c>
      <c r="D231" s="4">
        <v>30</v>
      </c>
      <c r="E231" s="4">
        <v>15</v>
      </c>
      <c r="F231" s="4">
        <v>47.75</v>
      </c>
      <c r="G231" s="4">
        <v>5</v>
      </c>
      <c r="H231" s="4">
        <v>72.5</v>
      </c>
      <c r="I231" s="4">
        <v>50</v>
      </c>
      <c r="J231" s="4">
        <v>54.25</v>
      </c>
      <c r="K231" s="4">
        <v>25</v>
      </c>
      <c r="L231" s="4">
        <v>50</v>
      </c>
      <c r="M231" s="4">
        <v>27.5</v>
      </c>
      <c r="N231" s="4">
        <v>32.5</v>
      </c>
    </row>
    <row r="232" spans="1:14">
      <c r="A232" s="3">
        <v>805433</v>
      </c>
      <c r="B232" s="3">
        <v>119038</v>
      </c>
      <c r="C232" s="4">
        <v>70</v>
      </c>
      <c r="D232" s="4">
        <v>67.5</v>
      </c>
      <c r="E232" s="4">
        <v>157.5</v>
      </c>
      <c r="F232" s="4">
        <v>55</v>
      </c>
      <c r="G232" s="4">
        <v>64</v>
      </c>
      <c r="H232" s="4">
        <v>98.5</v>
      </c>
      <c r="I232" s="4">
        <v>95</v>
      </c>
      <c r="J232" s="4">
        <v>54.5</v>
      </c>
      <c r="K232" s="4">
        <v>144.5</v>
      </c>
      <c r="L232" s="4">
        <v>54.5</v>
      </c>
      <c r="M232" s="4">
        <v>104.5</v>
      </c>
      <c r="N232" s="4">
        <v>237</v>
      </c>
    </row>
    <row r="233" spans="1:14">
      <c r="A233" s="3">
        <v>805453</v>
      </c>
      <c r="B233" s="3">
        <v>119261</v>
      </c>
      <c r="C233" s="4">
        <v>100</v>
      </c>
      <c r="D233" s="4">
        <v>0</v>
      </c>
      <c r="E233" s="4">
        <v>102</v>
      </c>
      <c r="F233" s="4">
        <v>105.95</v>
      </c>
      <c r="G233" s="4">
        <v>2</v>
      </c>
      <c r="H233" s="4">
        <v>100</v>
      </c>
      <c r="I233" s="4">
        <v>76</v>
      </c>
      <c r="J233" s="4">
        <v>76.45</v>
      </c>
      <c r="K233" s="4">
        <v>0</v>
      </c>
      <c r="L233" s="4">
        <v>57.5</v>
      </c>
      <c r="M233" s="4">
        <v>106</v>
      </c>
      <c r="N233" s="4">
        <v>0</v>
      </c>
    </row>
    <row r="234" spans="1:14">
      <c r="A234" s="3">
        <v>805454</v>
      </c>
      <c r="B234" s="3">
        <v>119038</v>
      </c>
      <c r="C234" s="4">
        <v>0</v>
      </c>
      <c r="D234" s="4">
        <v>30</v>
      </c>
      <c r="E234" s="4">
        <v>0</v>
      </c>
      <c r="F234" s="4">
        <v>30</v>
      </c>
      <c r="G234" s="4">
        <v>20</v>
      </c>
      <c r="H234" s="4">
        <v>30</v>
      </c>
      <c r="I234" s="4">
        <v>30</v>
      </c>
      <c r="J234" s="4">
        <v>60</v>
      </c>
      <c r="K234" s="4">
        <v>0</v>
      </c>
      <c r="L234" s="4">
        <v>50</v>
      </c>
      <c r="M234" s="4">
        <v>10</v>
      </c>
      <c r="N234" s="4">
        <v>150</v>
      </c>
    </row>
    <row r="235" spans="1:14">
      <c r="A235" s="3">
        <v>805468</v>
      </c>
      <c r="B235" s="3">
        <v>170197</v>
      </c>
      <c r="C235" s="4">
        <v>20</v>
      </c>
      <c r="D235" s="4">
        <v>35</v>
      </c>
      <c r="E235" s="4">
        <v>40</v>
      </c>
      <c r="F235" s="4">
        <v>90</v>
      </c>
      <c r="G235" s="4">
        <v>15</v>
      </c>
      <c r="H235" s="4">
        <v>15</v>
      </c>
      <c r="I235" s="4">
        <v>52</v>
      </c>
      <c r="J235" s="4">
        <v>25</v>
      </c>
      <c r="K235" s="4">
        <v>10</v>
      </c>
      <c r="L235" s="4">
        <v>42</v>
      </c>
      <c r="M235" s="4">
        <v>15</v>
      </c>
      <c r="N235" s="4">
        <v>20</v>
      </c>
    </row>
    <row r="236" spans="1:14">
      <c r="A236" s="3">
        <v>805468</v>
      </c>
      <c r="B236" s="3">
        <v>170892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10</v>
      </c>
    </row>
    <row r="237" spans="1:14">
      <c r="A237" s="3">
        <v>805544</v>
      </c>
      <c r="B237" s="3">
        <v>119038</v>
      </c>
      <c r="C237" s="4">
        <v>0</v>
      </c>
      <c r="D237" s="4">
        <v>69</v>
      </c>
      <c r="E237" s="4">
        <v>114</v>
      </c>
      <c r="F237" s="4">
        <v>60</v>
      </c>
      <c r="G237" s="4">
        <v>75</v>
      </c>
      <c r="H237" s="4">
        <v>53.5</v>
      </c>
      <c r="I237" s="4">
        <v>30</v>
      </c>
      <c r="J237" s="4">
        <v>103.5</v>
      </c>
      <c r="K237" s="4">
        <v>88</v>
      </c>
      <c r="L237" s="4">
        <v>56</v>
      </c>
      <c r="M237" s="4">
        <v>120</v>
      </c>
      <c r="N237" s="4">
        <v>134</v>
      </c>
    </row>
    <row r="238" spans="1:14">
      <c r="A238" s="3">
        <v>805545</v>
      </c>
      <c r="B238" s="3">
        <v>149764</v>
      </c>
      <c r="C238" s="4">
        <v>126.5</v>
      </c>
      <c r="D238" s="4">
        <v>93</v>
      </c>
      <c r="E238" s="4">
        <v>70</v>
      </c>
      <c r="F238" s="4">
        <v>134</v>
      </c>
      <c r="G238" s="4">
        <v>92</v>
      </c>
      <c r="H238" s="4">
        <v>86.5</v>
      </c>
      <c r="I238" s="4">
        <v>150</v>
      </c>
      <c r="J238" s="4">
        <v>30</v>
      </c>
      <c r="K238" s="4">
        <v>127.5</v>
      </c>
      <c r="L238" s="4">
        <v>75</v>
      </c>
      <c r="M238" s="4">
        <v>110</v>
      </c>
      <c r="N238" s="4">
        <v>115</v>
      </c>
    </row>
    <row r="239" spans="1:14">
      <c r="A239" s="3">
        <v>805572</v>
      </c>
      <c r="B239" s="3">
        <v>148629</v>
      </c>
      <c r="C239" s="4">
        <v>56.5</v>
      </c>
      <c r="D239" s="4">
        <v>40</v>
      </c>
      <c r="E239" s="4">
        <v>43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>
      <c r="A240" s="3">
        <v>805574</v>
      </c>
      <c r="B240" s="3">
        <v>170204</v>
      </c>
      <c r="C240" s="4">
        <v>288.5</v>
      </c>
      <c r="D240" s="4">
        <v>163.5</v>
      </c>
      <c r="E240" s="4">
        <v>229</v>
      </c>
      <c r="F240" s="4">
        <v>50</v>
      </c>
      <c r="G240" s="4">
        <v>42</v>
      </c>
      <c r="H240" s="4">
        <v>258.5</v>
      </c>
      <c r="I240" s="4">
        <v>158</v>
      </c>
      <c r="J240" s="4">
        <v>84</v>
      </c>
      <c r="K240" s="4">
        <v>259</v>
      </c>
      <c r="L240" s="4">
        <v>126</v>
      </c>
      <c r="M240" s="4">
        <v>222</v>
      </c>
      <c r="N240" s="4">
        <v>215</v>
      </c>
    </row>
    <row r="241" spans="1:14">
      <c r="A241" s="3">
        <v>805597</v>
      </c>
      <c r="B241" s="3">
        <v>144243</v>
      </c>
      <c r="C241" s="4">
        <v>93</v>
      </c>
      <c r="D241" s="4">
        <v>32</v>
      </c>
      <c r="E241" s="4">
        <v>27.5</v>
      </c>
      <c r="F241" s="4">
        <v>64.05</v>
      </c>
      <c r="G241" s="4">
        <v>22.5</v>
      </c>
      <c r="H241" s="4">
        <v>62</v>
      </c>
      <c r="I241" s="4">
        <v>27</v>
      </c>
      <c r="J241" s="4">
        <v>0</v>
      </c>
      <c r="K241" s="4">
        <v>43.05</v>
      </c>
      <c r="L241" s="4">
        <v>63.5</v>
      </c>
      <c r="M241" s="4">
        <v>30</v>
      </c>
      <c r="N241" s="4">
        <v>50</v>
      </c>
    </row>
    <row r="242" spans="1:14">
      <c r="A242" s="3">
        <v>805621</v>
      </c>
      <c r="B242" s="3">
        <v>119038</v>
      </c>
      <c r="C242" s="4">
        <v>29</v>
      </c>
      <c r="D242" s="4">
        <v>30</v>
      </c>
      <c r="E242" s="4">
        <v>15</v>
      </c>
      <c r="F242" s="4">
        <v>20</v>
      </c>
      <c r="G242" s="4">
        <v>28.5</v>
      </c>
      <c r="H242" s="4">
        <v>29.5</v>
      </c>
      <c r="I242" s="4">
        <v>10</v>
      </c>
      <c r="J242" s="4">
        <v>20</v>
      </c>
      <c r="K242" s="4">
        <v>55</v>
      </c>
      <c r="L242" s="4">
        <v>40</v>
      </c>
      <c r="M242" s="4">
        <v>0</v>
      </c>
      <c r="N242" s="4">
        <v>124.5</v>
      </c>
    </row>
    <row r="243" spans="1:14">
      <c r="A243" s="3">
        <v>805624</v>
      </c>
      <c r="B243" s="3">
        <v>119028</v>
      </c>
      <c r="C243" s="4">
        <v>0</v>
      </c>
      <c r="D243" s="4">
        <v>0</v>
      </c>
      <c r="E243" s="4">
        <v>0</v>
      </c>
      <c r="F243" s="4">
        <v>53</v>
      </c>
      <c r="G243" s="4">
        <v>15</v>
      </c>
      <c r="H243" s="4">
        <v>31</v>
      </c>
      <c r="I243" s="4">
        <v>0</v>
      </c>
      <c r="J243" s="4">
        <v>124</v>
      </c>
      <c r="K243" s="4">
        <v>41</v>
      </c>
      <c r="L243" s="4">
        <v>0</v>
      </c>
      <c r="M243" s="4">
        <v>108</v>
      </c>
      <c r="N243" s="4">
        <v>124</v>
      </c>
    </row>
    <row r="244" spans="1:14">
      <c r="A244" s="3">
        <v>805627</v>
      </c>
      <c r="B244" s="3">
        <v>175775</v>
      </c>
      <c r="C244" s="4">
        <v>0</v>
      </c>
      <c r="D244" s="4">
        <v>0</v>
      </c>
      <c r="E244" s="4">
        <v>0</v>
      </c>
      <c r="F244" s="4">
        <v>44.5</v>
      </c>
      <c r="G244" s="4">
        <v>53</v>
      </c>
      <c r="H244" s="4">
        <v>37.5</v>
      </c>
      <c r="I244" s="4">
        <v>0</v>
      </c>
      <c r="J244" s="4">
        <v>17.5</v>
      </c>
      <c r="K244" s="4">
        <v>50.5</v>
      </c>
      <c r="L244" s="4">
        <v>28.75</v>
      </c>
      <c r="M244" s="4">
        <v>59.75</v>
      </c>
      <c r="N244" s="4">
        <v>119</v>
      </c>
    </row>
    <row r="245" spans="1:14">
      <c r="A245" s="3">
        <v>805654</v>
      </c>
      <c r="B245" s="3">
        <v>119038</v>
      </c>
      <c r="C245" s="4">
        <v>45</v>
      </c>
      <c r="D245" s="4">
        <v>0</v>
      </c>
      <c r="E245" s="4">
        <v>0</v>
      </c>
      <c r="F245" s="4">
        <v>10</v>
      </c>
      <c r="G245" s="4">
        <v>0</v>
      </c>
      <c r="H245" s="4">
        <v>15</v>
      </c>
      <c r="I245" s="4">
        <v>29.5</v>
      </c>
      <c r="J245" s="4">
        <v>0</v>
      </c>
      <c r="K245" s="4">
        <v>15</v>
      </c>
      <c r="L245" s="4">
        <v>55</v>
      </c>
      <c r="M245" s="4">
        <v>34.5</v>
      </c>
      <c r="N245" s="4">
        <v>0</v>
      </c>
    </row>
    <row r="246" spans="1:14">
      <c r="A246" s="3">
        <v>805677</v>
      </c>
      <c r="B246" s="3">
        <v>119038</v>
      </c>
      <c r="C246" s="4">
        <v>30</v>
      </c>
      <c r="D246" s="4">
        <v>0</v>
      </c>
      <c r="E246" s="4">
        <v>0</v>
      </c>
      <c r="F246" s="4">
        <v>0</v>
      </c>
      <c r="G246" s="4">
        <v>10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</row>
    <row r="247" spans="1:14">
      <c r="A247" s="3">
        <v>805752</v>
      </c>
      <c r="B247" s="3">
        <v>170248</v>
      </c>
      <c r="C247" s="4">
        <v>30</v>
      </c>
      <c r="D247" s="4">
        <v>10</v>
      </c>
      <c r="E247" s="4">
        <v>80</v>
      </c>
      <c r="F247" s="4">
        <v>50</v>
      </c>
      <c r="G247" s="4">
        <v>25</v>
      </c>
      <c r="H247" s="4">
        <v>22.5</v>
      </c>
      <c r="I247" s="4">
        <v>32</v>
      </c>
      <c r="J247" s="4">
        <v>10</v>
      </c>
      <c r="K247" s="4">
        <v>11</v>
      </c>
      <c r="L247" s="4">
        <v>20</v>
      </c>
      <c r="M247" s="4">
        <v>19.5</v>
      </c>
      <c r="N247" s="4">
        <v>20</v>
      </c>
    </row>
    <row r="248" spans="1:14">
      <c r="A248" s="3">
        <v>805765</v>
      </c>
      <c r="B248" s="3">
        <v>147892</v>
      </c>
      <c r="C248" s="4">
        <v>15</v>
      </c>
      <c r="D248" s="4">
        <v>26.5</v>
      </c>
      <c r="E248" s="4">
        <v>45.5</v>
      </c>
      <c r="F248" s="4">
        <v>25.3</v>
      </c>
      <c r="G248" s="4">
        <v>21</v>
      </c>
      <c r="H248" s="4">
        <v>47</v>
      </c>
      <c r="I248" s="4">
        <v>10</v>
      </c>
      <c r="J248" s="4">
        <v>30</v>
      </c>
      <c r="K248" s="4">
        <v>32.5</v>
      </c>
      <c r="L248" s="4">
        <v>48</v>
      </c>
      <c r="M248" s="4">
        <v>0</v>
      </c>
      <c r="N248" s="4">
        <v>55</v>
      </c>
    </row>
    <row r="249" spans="1:14">
      <c r="A249" s="3">
        <v>805796</v>
      </c>
      <c r="B249" s="3">
        <v>208268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50.5</v>
      </c>
      <c r="J249" s="4">
        <v>0</v>
      </c>
      <c r="K249" s="4">
        <v>55</v>
      </c>
      <c r="L249" s="4">
        <v>10</v>
      </c>
      <c r="M249" s="4">
        <v>34.5</v>
      </c>
      <c r="N249" s="4">
        <v>0</v>
      </c>
    </row>
    <row r="250" spans="1:14">
      <c r="A250" s="3">
        <v>805810</v>
      </c>
      <c r="B250" s="3">
        <v>143148</v>
      </c>
      <c r="C250" s="4">
        <v>37.5</v>
      </c>
      <c r="D250" s="4">
        <v>52.5</v>
      </c>
      <c r="E250" s="4">
        <v>91</v>
      </c>
      <c r="F250" s="4">
        <v>45</v>
      </c>
      <c r="G250" s="4">
        <v>29.5</v>
      </c>
      <c r="H250" s="4">
        <v>25</v>
      </c>
      <c r="I250" s="4">
        <v>59.5</v>
      </c>
      <c r="J250" s="4">
        <v>10</v>
      </c>
      <c r="K250" s="4">
        <v>22.5</v>
      </c>
      <c r="L250" s="4">
        <v>67.5</v>
      </c>
      <c r="M250" s="4">
        <v>42</v>
      </c>
      <c r="N250" s="4">
        <v>57.5</v>
      </c>
    </row>
    <row r="251" spans="1:14">
      <c r="A251" s="3">
        <v>805810</v>
      </c>
      <c r="B251" s="3">
        <v>172193</v>
      </c>
      <c r="C251" s="4">
        <v>40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18</v>
      </c>
      <c r="L251" s="4">
        <v>10</v>
      </c>
      <c r="M251" s="4">
        <v>0</v>
      </c>
      <c r="N251" s="4">
        <v>0</v>
      </c>
    </row>
    <row r="252" spans="1:14">
      <c r="A252" s="3">
        <v>805811</v>
      </c>
      <c r="B252" s="3">
        <v>202865</v>
      </c>
      <c r="C252" s="4">
        <v>30</v>
      </c>
      <c r="D252" s="4">
        <v>94</v>
      </c>
      <c r="E252" s="4">
        <v>207.5</v>
      </c>
      <c r="F252" s="4">
        <v>181.5</v>
      </c>
      <c r="G252" s="4">
        <v>116</v>
      </c>
      <c r="H252" s="4">
        <v>192</v>
      </c>
      <c r="I252" s="4">
        <v>104</v>
      </c>
      <c r="J252" s="4">
        <v>142</v>
      </c>
      <c r="K252" s="4">
        <v>276.5</v>
      </c>
      <c r="L252" s="4">
        <v>143</v>
      </c>
      <c r="M252" s="4">
        <v>100.5</v>
      </c>
      <c r="N252" s="4">
        <v>141</v>
      </c>
    </row>
    <row r="253" spans="1:14">
      <c r="A253" s="3">
        <v>805822</v>
      </c>
      <c r="B253" s="3">
        <v>119038</v>
      </c>
      <c r="C253" s="4">
        <v>69.5</v>
      </c>
      <c r="D253" s="4">
        <v>65</v>
      </c>
      <c r="E253" s="4">
        <v>30</v>
      </c>
      <c r="F253" s="4">
        <v>20</v>
      </c>
      <c r="G253" s="4">
        <v>59</v>
      </c>
      <c r="H253" s="4">
        <v>32</v>
      </c>
      <c r="I253" s="4">
        <v>32.5</v>
      </c>
      <c r="J253" s="4">
        <v>23</v>
      </c>
      <c r="K253" s="4">
        <v>34</v>
      </c>
      <c r="L253" s="4">
        <v>10</v>
      </c>
      <c r="M253" s="4">
        <v>40</v>
      </c>
      <c r="N253" s="4">
        <v>0</v>
      </c>
    </row>
    <row r="254" spans="1:14">
      <c r="A254" s="3">
        <v>805828</v>
      </c>
      <c r="B254" s="3">
        <v>178818</v>
      </c>
      <c r="C254" s="4">
        <v>0</v>
      </c>
      <c r="D254" s="4">
        <v>0</v>
      </c>
      <c r="E254" s="4">
        <v>0</v>
      </c>
      <c r="F254" s="4">
        <v>0</v>
      </c>
      <c r="G254" s="4">
        <v>10</v>
      </c>
      <c r="H254" s="4">
        <v>10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</row>
    <row r="255" spans="1:14">
      <c r="A255" s="3">
        <v>805828</v>
      </c>
      <c r="B255" s="3">
        <v>208066</v>
      </c>
      <c r="C255" s="4">
        <v>10</v>
      </c>
      <c r="D255" s="4">
        <v>25</v>
      </c>
      <c r="E255" s="4">
        <v>60</v>
      </c>
      <c r="F255" s="4">
        <v>50</v>
      </c>
      <c r="G255" s="4">
        <v>34</v>
      </c>
      <c r="H255" s="4">
        <v>44</v>
      </c>
      <c r="I255" s="4">
        <v>53.5</v>
      </c>
      <c r="J255" s="4">
        <v>55</v>
      </c>
      <c r="K255" s="4">
        <v>101.95</v>
      </c>
      <c r="L255" s="4">
        <v>83</v>
      </c>
      <c r="M255" s="4">
        <v>80</v>
      </c>
      <c r="N255" s="4">
        <v>65</v>
      </c>
    </row>
    <row r="256" spans="1:14">
      <c r="A256" s="3">
        <v>805848</v>
      </c>
      <c r="B256" s="3">
        <v>143148</v>
      </c>
      <c r="C256" s="4">
        <v>15</v>
      </c>
      <c r="D256" s="4">
        <v>25</v>
      </c>
      <c r="E256" s="4">
        <v>21</v>
      </c>
      <c r="F256" s="4">
        <v>22.5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20</v>
      </c>
    </row>
    <row r="257" spans="1:14">
      <c r="A257" s="3">
        <v>805869</v>
      </c>
      <c r="B257" s="3">
        <v>176821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2.5</v>
      </c>
      <c r="N257" s="4">
        <v>2.5</v>
      </c>
    </row>
    <row r="258" spans="1:14">
      <c r="A258" s="3">
        <v>805870</v>
      </c>
      <c r="B258" s="3">
        <v>206441</v>
      </c>
      <c r="C258" s="4">
        <v>40</v>
      </c>
      <c r="D258" s="4">
        <v>20</v>
      </c>
      <c r="E258" s="4">
        <v>67</v>
      </c>
      <c r="F258" s="4">
        <v>60</v>
      </c>
      <c r="G258" s="4">
        <v>90</v>
      </c>
      <c r="H258" s="4">
        <v>59</v>
      </c>
      <c r="I258" s="4">
        <v>70</v>
      </c>
      <c r="J258" s="4">
        <v>50</v>
      </c>
      <c r="K258" s="4">
        <v>90</v>
      </c>
      <c r="L258" s="4">
        <v>70</v>
      </c>
      <c r="M258" s="4">
        <v>42.5</v>
      </c>
      <c r="N258" s="4">
        <v>120</v>
      </c>
    </row>
    <row r="259" spans="1:14">
      <c r="A259" s="3">
        <v>805872</v>
      </c>
      <c r="B259" s="3">
        <v>176773</v>
      </c>
      <c r="C259" s="4">
        <v>32.5</v>
      </c>
      <c r="D259" s="4">
        <v>35</v>
      </c>
      <c r="E259" s="4">
        <v>60</v>
      </c>
      <c r="F259" s="4">
        <v>37.5</v>
      </c>
      <c r="G259" s="4">
        <v>50.25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 spans="1:14">
      <c r="A260" s="3">
        <v>805911</v>
      </c>
      <c r="B260" s="3">
        <v>170115</v>
      </c>
      <c r="C260" s="4">
        <v>35</v>
      </c>
      <c r="D260" s="4">
        <v>35</v>
      </c>
      <c r="E260" s="4">
        <v>35</v>
      </c>
      <c r="F260" s="4">
        <v>35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35</v>
      </c>
      <c r="M260" s="4">
        <v>35</v>
      </c>
      <c r="N260" s="4">
        <v>0</v>
      </c>
    </row>
    <row r="261" spans="1:14">
      <c r="A261" s="3">
        <v>805921</v>
      </c>
      <c r="B261" s="3">
        <v>170775</v>
      </c>
      <c r="C261" s="4">
        <v>65</v>
      </c>
      <c r="D261" s="4">
        <v>65</v>
      </c>
      <c r="E261" s="4">
        <v>10</v>
      </c>
      <c r="F261" s="4">
        <v>38</v>
      </c>
      <c r="G261" s="4">
        <v>79</v>
      </c>
      <c r="H261" s="4">
        <v>55</v>
      </c>
      <c r="I261" s="4">
        <v>75</v>
      </c>
      <c r="J261" s="4">
        <v>15</v>
      </c>
      <c r="K261" s="4">
        <v>115</v>
      </c>
      <c r="L261" s="4">
        <v>25</v>
      </c>
      <c r="M261" s="4">
        <v>60</v>
      </c>
      <c r="N261" s="4">
        <v>30</v>
      </c>
    </row>
    <row r="262" spans="1:14">
      <c r="A262" s="3">
        <v>805969</v>
      </c>
      <c r="B262" s="3">
        <v>119028</v>
      </c>
      <c r="C262" s="4">
        <v>10</v>
      </c>
      <c r="D262" s="4">
        <v>0</v>
      </c>
      <c r="E262" s="4">
        <v>93</v>
      </c>
      <c r="F262" s="4">
        <v>88</v>
      </c>
      <c r="G262" s="4">
        <v>93</v>
      </c>
      <c r="H262" s="4">
        <v>62</v>
      </c>
      <c r="I262" s="4">
        <v>62</v>
      </c>
      <c r="J262" s="4">
        <v>31</v>
      </c>
      <c r="K262" s="4">
        <v>62</v>
      </c>
      <c r="L262" s="4">
        <v>163</v>
      </c>
      <c r="M262" s="4">
        <v>92</v>
      </c>
      <c r="N262" s="4">
        <v>0</v>
      </c>
    </row>
    <row r="263" spans="1:14">
      <c r="A263" s="3">
        <v>805984</v>
      </c>
      <c r="B263" s="3">
        <v>203455</v>
      </c>
      <c r="C263" s="4">
        <v>20</v>
      </c>
      <c r="D263" s="4">
        <v>0</v>
      </c>
      <c r="E263" s="4">
        <v>32.5</v>
      </c>
      <c r="F263" s="4">
        <v>10</v>
      </c>
      <c r="G263" s="4">
        <v>10</v>
      </c>
      <c r="H263" s="4">
        <v>15</v>
      </c>
      <c r="I263" s="4">
        <v>40</v>
      </c>
      <c r="J263" s="4">
        <v>10</v>
      </c>
      <c r="K263" s="4">
        <v>33</v>
      </c>
      <c r="L263" s="4">
        <v>10</v>
      </c>
      <c r="M263" s="4">
        <v>0</v>
      </c>
      <c r="N263" s="4">
        <v>0</v>
      </c>
    </row>
    <row r="264" spans="1:14">
      <c r="A264" s="3">
        <v>805986</v>
      </c>
      <c r="B264" s="3">
        <v>170248</v>
      </c>
      <c r="C264" s="4">
        <v>1</v>
      </c>
      <c r="D264" s="4">
        <v>15</v>
      </c>
      <c r="E264" s="4">
        <v>37</v>
      </c>
      <c r="F264" s="4">
        <v>28.75</v>
      </c>
      <c r="G264" s="4">
        <v>27</v>
      </c>
      <c r="H264" s="4">
        <v>18.5</v>
      </c>
      <c r="I264" s="4">
        <v>35</v>
      </c>
      <c r="J264" s="4">
        <v>35</v>
      </c>
      <c r="K264" s="4">
        <v>26</v>
      </c>
      <c r="L264" s="4">
        <v>58.75</v>
      </c>
      <c r="M264" s="4">
        <v>15.5</v>
      </c>
      <c r="N264" s="4">
        <v>22.75</v>
      </c>
    </row>
    <row r="265" spans="1:14">
      <c r="A265" s="3">
        <v>805995</v>
      </c>
      <c r="B265" s="3">
        <v>170892</v>
      </c>
      <c r="C265" s="4">
        <v>15</v>
      </c>
      <c r="D265" s="4">
        <v>20</v>
      </c>
      <c r="E265" s="4">
        <v>10</v>
      </c>
      <c r="F265" s="4">
        <v>0</v>
      </c>
      <c r="G265" s="4">
        <v>17</v>
      </c>
      <c r="H265" s="4">
        <v>0</v>
      </c>
      <c r="I265" s="4">
        <v>58.7</v>
      </c>
      <c r="J265" s="4">
        <v>34</v>
      </c>
      <c r="K265" s="4">
        <v>0</v>
      </c>
      <c r="L265" s="4">
        <v>40.200000000000003</v>
      </c>
      <c r="M265" s="4">
        <v>110.5</v>
      </c>
      <c r="N265" s="4">
        <v>42</v>
      </c>
    </row>
    <row r="266" spans="1:14">
      <c r="A266" s="3">
        <v>806024</v>
      </c>
      <c r="B266" s="3">
        <v>170892</v>
      </c>
      <c r="C266" s="4">
        <v>30</v>
      </c>
      <c r="D266" s="4">
        <v>66.5</v>
      </c>
      <c r="E266" s="4">
        <v>59</v>
      </c>
      <c r="F266" s="4">
        <v>30</v>
      </c>
      <c r="G266" s="4">
        <v>44</v>
      </c>
      <c r="H266" s="4">
        <v>28</v>
      </c>
      <c r="I266" s="4">
        <v>54</v>
      </c>
      <c r="J266" s="4">
        <v>81</v>
      </c>
      <c r="K266" s="4">
        <v>25</v>
      </c>
      <c r="L266" s="4">
        <v>54</v>
      </c>
      <c r="M266" s="4">
        <v>49.5</v>
      </c>
      <c r="N266" s="4">
        <v>20</v>
      </c>
    </row>
    <row r="267" spans="1:14">
      <c r="A267" s="3">
        <v>806032</v>
      </c>
      <c r="B267" s="3">
        <v>119044</v>
      </c>
      <c r="C267" s="4">
        <v>22</v>
      </c>
      <c r="D267" s="4">
        <v>10</v>
      </c>
      <c r="E267" s="4">
        <v>15</v>
      </c>
      <c r="F267" s="4">
        <v>60</v>
      </c>
      <c r="G267" s="4">
        <v>12</v>
      </c>
      <c r="H267" s="4">
        <v>15</v>
      </c>
      <c r="I267" s="4">
        <v>0</v>
      </c>
      <c r="J267" s="4">
        <v>0</v>
      </c>
      <c r="K267" s="4">
        <v>10</v>
      </c>
      <c r="L267" s="4">
        <v>30</v>
      </c>
      <c r="M267" s="4">
        <v>22.5</v>
      </c>
      <c r="N267" s="4">
        <v>22</v>
      </c>
    </row>
    <row r="268" spans="1:14">
      <c r="A268" s="3">
        <v>806032</v>
      </c>
      <c r="B268" s="3">
        <v>209212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11</v>
      </c>
      <c r="N268" s="4">
        <v>0</v>
      </c>
    </row>
    <row r="269" spans="1:14">
      <c r="A269" s="3">
        <v>806047</v>
      </c>
      <c r="B269" s="3">
        <v>145353</v>
      </c>
      <c r="C269" s="4">
        <v>0</v>
      </c>
      <c r="D269" s="4">
        <v>10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20</v>
      </c>
      <c r="N269" s="4">
        <v>0</v>
      </c>
    </row>
    <row r="270" spans="1:14">
      <c r="A270" s="3">
        <v>806051</v>
      </c>
      <c r="B270" s="3">
        <v>170204</v>
      </c>
      <c r="C270" s="4">
        <v>133</v>
      </c>
      <c r="D270" s="4">
        <v>52.5</v>
      </c>
      <c r="E270" s="4">
        <v>230</v>
      </c>
      <c r="F270" s="4">
        <v>75</v>
      </c>
      <c r="G270" s="4">
        <v>22</v>
      </c>
      <c r="H270" s="4">
        <v>92</v>
      </c>
      <c r="I270" s="4">
        <v>157</v>
      </c>
      <c r="J270" s="4">
        <v>84</v>
      </c>
      <c r="K270" s="4">
        <v>72</v>
      </c>
      <c r="L270" s="4">
        <v>57</v>
      </c>
      <c r="M270" s="4">
        <v>56</v>
      </c>
      <c r="N270" s="4">
        <v>209</v>
      </c>
    </row>
    <row r="271" spans="1:14">
      <c r="A271" s="3">
        <v>806052</v>
      </c>
      <c r="B271" s="3">
        <v>170204</v>
      </c>
      <c r="C271" s="4">
        <v>17.5</v>
      </c>
      <c r="D271" s="4">
        <v>35</v>
      </c>
      <c r="E271" s="4">
        <v>25</v>
      </c>
      <c r="F271" s="4">
        <v>15</v>
      </c>
      <c r="G271" s="4">
        <v>0</v>
      </c>
      <c r="H271" s="4">
        <v>55</v>
      </c>
      <c r="I271" s="4">
        <v>0</v>
      </c>
      <c r="J271" s="4">
        <v>15</v>
      </c>
      <c r="K271" s="4">
        <v>75</v>
      </c>
      <c r="L271" s="4">
        <v>40</v>
      </c>
      <c r="M271" s="4">
        <v>55</v>
      </c>
      <c r="N271" s="4">
        <v>119</v>
      </c>
    </row>
    <row r="272" spans="1:14">
      <c r="A272" s="3">
        <v>806094</v>
      </c>
      <c r="B272" s="3">
        <v>140848</v>
      </c>
      <c r="C272" s="4">
        <v>60</v>
      </c>
      <c r="D272" s="4">
        <v>40</v>
      </c>
      <c r="E272" s="4">
        <v>155</v>
      </c>
      <c r="F272" s="4">
        <v>125</v>
      </c>
      <c r="G272" s="4">
        <v>101</v>
      </c>
      <c r="H272" s="4">
        <v>37.5</v>
      </c>
      <c r="I272" s="4">
        <v>138.75</v>
      </c>
      <c r="J272" s="4">
        <v>5</v>
      </c>
      <c r="K272" s="4">
        <v>110</v>
      </c>
      <c r="L272" s="4">
        <v>90</v>
      </c>
      <c r="M272" s="4">
        <v>160</v>
      </c>
      <c r="N272" s="4">
        <v>119</v>
      </c>
    </row>
    <row r="273" spans="1:14">
      <c r="A273" s="3">
        <v>806095</v>
      </c>
      <c r="B273" s="3">
        <v>140967</v>
      </c>
      <c r="C273" s="4">
        <v>90</v>
      </c>
      <c r="D273" s="4">
        <v>185</v>
      </c>
      <c r="E273" s="4">
        <v>185</v>
      </c>
      <c r="F273" s="4">
        <v>172.5</v>
      </c>
      <c r="G273" s="4">
        <v>110</v>
      </c>
      <c r="H273" s="4">
        <v>75</v>
      </c>
      <c r="I273" s="4">
        <v>110</v>
      </c>
      <c r="J273" s="4">
        <v>18</v>
      </c>
      <c r="K273" s="4">
        <v>130</v>
      </c>
      <c r="L273" s="4">
        <v>300</v>
      </c>
      <c r="M273" s="4">
        <v>10</v>
      </c>
      <c r="N273" s="4">
        <v>13</v>
      </c>
    </row>
    <row r="274" spans="1:14">
      <c r="A274" s="3">
        <v>806097</v>
      </c>
      <c r="B274" s="3">
        <v>173224</v>
      </c>
      <c r="C274" s="4">
        <v>40</v>
      </c>
      <c r="D274" s="4">
        <v>55</v>
      </c>
      <c r="E274" s="4">
        <v>30</v>
      </c>
      <c r="F274" s="4">
        <v>40</v>
      </c>
      <c r="G274" s="4">
        <v>35</v>
      </c>
      <c r="H274" s="4">
        <v>25</v>
      </c>
      <c r="I274" s="4">
        <v>25</v>
      </c>
      <c r="J274" s="4">
        <v>15</v>
      </c>
      <c r="K274" s="4">
        <v>40</v>
      </c>
      <c r="L274" s="4">
        <v>32.5</v>
      </c>
      <c r="M274" s="4">
        <v>70</v>
      </c>
      <c r="N274" s="4">
        <v>20</v>
      </c>
    </row>
    <row r="275" spans="1:14">
      <c r="A275" s="3">
        <v>806099</v>
      </c>
      <c r="B275" s="3">
        <v>208033</v>
      </c>
      <c r="C275" s="4">
        <v>70</v>
      </c>
      <c r="D275" s="4">
        <v>57</v>
      </c>
      <c r="E275" s="4">
        <v>10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</row>
    <row r="276" spans="1:14">
      <c r="A276" s="3">
        <v>806099</v>
      </c>
      <c r="B276" s="3">
        <v>211138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55</v>
      </c>
      <c r="M276" s="4">
        <v>50</v>
      </c>
      <c r="N276" s="4">
        <v>77</v>
      </c>
    </row>
    <row r="277" spans="1:14">
      <c r="A277" s="3">
        <v>806100</v>
      </c>
      <c r="B277" s="3">
        <v>205370</v>
      </c>
      <c r="C277" s="4">
        <v>30</v>
      </c>
      <c r="D277" s="4">
        <v>8.5</v>
      </c>
      <c r="E277" s="4">
        <v>30</v>
      </c>
      <c r="F277" s="4">
        <v>25</v>
      </c>
      <c r="G277" s="4">
        <v>20</v>
      </c>
      <c r="H277" s="4">
        <v>10</v>
      </c>
      <c r="I277" s="4">
        <v>20</v>
      </c>
      <c r="J277" s="4">
        <v>12.5</v>
      </c>
      <c r="K277" s="4">
        <v>29.75</v>
      </c>
      <c r="L277" s="4">
        <v>20</v>
      </c>
      <c r="M277" s="4">
        <v>9.25</v>
      </c>
      <c r="N277" s="4">
        <v>20</v>
      </c>
    </row>
    <row r="278" spans="1:14">
      <c r="A278" s="3">
        <v>806101</v>
      </c>
      <c r="B278" s="3">
        <v>170392</v>
      </c>
      <c r="C278" s="4">
        <v>75</v>
      </c>
      <c r="D278" s="4">
        <v>10</v>
      </c>
      <c r="E278" s="4">
        <v>48.5</v>
      </c>
      <c r="F278" s="4">
        <v>95.5</v>
      </c>
      <c r="G278" s="4">
        <v>60.5</v>
      </c>
      <c r="H278" s="4">
        <v>35</v>
      </c>
      <c r="I278" s="4">
        <v>59</v>
      </c>
      <c r="J278" s="4">
        <v>49.5</v>
      </c>
      <c r="K278" s="4">
        <v>103.5</v>
      </c>
      <c r="L278" s="4">
        <v>124</v>
      </c>
      <c r="M278" s="4">
        <v>67</v>
      </c>
      <c r="N278" s="4">
        <v>191.25</v>
      </c>
    </row>
    <row r="279" spans="1:14">
      <c r="A279" s="3">
        <v>806125</v>
      </c>
      <c r="B279" s="3">
        <v>119038</v>
      </c>
      <c r="C279" s="4">
        <v>13.5</v>
      </c>
      <c r="D279" s="4">
        <v>20</v>
      </c>
      <c r="E279" s="4">
        <v>65</v>
      </c>
      <c r="F279" s="4">
        <v>0</v>
      </c>
      <c r="G279" s="4">
        <v>55</v>
      </c>
      <c r="H279" s="4">
        <v>0</v>
      </c>
      <c r="I279" s="4">
        <v>60</v>
      </c>
      <c r="J279" s="4">
        <v>0</v>
      </c>
      <c r="K279" s="4">
        <v>20</v>
      </c>
      <c r="L279" s="4">
        <v>0</v>
      </c>
      <c r="M279" s="4">
        <v>34.5</v>
      </c>
      <c r="N279" s="4">
        <v>132.5</v>
      </c>
    </row>
    <row r="280" spans="1:14">
      <c r="A280" s="3">
        <v>806141</v>
      </c>
      <c r="B280" s="3">
        <v>119222</v>
      </c>
      <c r="C280" s="4">
        <v>82.75</v>
      </c>
      <c r="D280" s="4">
        <v>80</v>
      </c>
      <c r="E280" s="4">
        <v>128</v>
      </c>
      <c r="F280" s="4">
        <v>147.5</v>
      </c>
      <c r="G280" s="4">
        <v>31</v>
      </c>
      <c r="H280" s="4">
        <v>83.5</v>
      </c>
      <c r="I280" s="4">
        <v>95</v>
      </c>
      <c r="J280" s="4">
        <v>81</v>
      </c>
      <c r="K280" s="4">
        <v>107.5</v>
      </c>
      <c r="L280" s="4">
        <v>41</v>
      </c>
      <c r="M280" s="4">
        <v>50</v>
      </c>
      <c r="N280" s="4">
        <v>45</v>
      </c>
    </row>
    <row r="281" spans="1:14">
      <c r="A281" s="3">
        <v>806142</v>
      </c>
      <c r="B281" s="3">
        <v>119179</v>
      </c>
      <c r="C281" s="4">
        <v>5</v>
      </c>
      <c r="D281" s="4">
        <v>10</v>
      </c>
      <c r="E281" s="4">
        <v>0</v>
      </c>
      <c r="F281" s="4">
        <v>5</v>
      </c>
      <c r="G281" s="4">
        <v>24.5</v>
      </c>
      <c r="H281" s="4">
        <v>17.5</v>
      </c>
      <c r="I281" s="4">
        <v>7.5</v>
      </c>
      <c r="J281" s="4">
        <v>15</v>
      </c>
      <c r="K281" s="4">
        <v>22.5</v>
      </c>
      <c r="L281" s="4">
        <v>17.5</v>
      </c>
      <c r="M281" s="4">
        <v>15</v>
      </c>
      <c r="N281" s="4">
        <v>12.5</v>
      </c>
    </row>
    <row r="282" spans="1:14">
      <c r="A282" s="3">
        <v>806155</v>
      </c>
      <c r="B282" s="3">
        <v>119038</v>
      </c>
      <c r="C282" s="4">
        <v>10</v>
      </c>
      <c r="D282" s="4">
        <v>0</v>
      </c>
      <c r="E282" s="4">
        <v>5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</row>
    <row r="283" spans="1:14">
      <c r="A283" s="3">
        <v>806156</v>
      </c>
      <c r="B283" s="3">
        <v>119038</v>
      </c>
      <c r="C283" s="4">
        <v>34</v>
      </c>
      <c r="D283" s="4">
        <v>70</v>
      </c>
      <c r="E283" s="4">
        <v>40</v>
      </c>
      <c r="F283" s="4">
        <v>60</v>
      </c>
      <c r="G283" s="4">
        <v>50</v>
      </c>
      <c r="H283" s="4">
        <v>60</v>
      </c>
      <c r="I283" s="4">
        <v>35</v>
      </c>
      <c r="J283" s="4">
        <v>44.5</v>
      </c>
      <c r="K283" s="4">
        <v>20</v>
      </c>
      <c r="L283" s="4">
        <v>30</v>
      </c>
      <c r="M283" s="4">
        <v>45</v>
      </c>
      <c r="N283" s="4">
        <v>20</v>
      </c>
    </row>
    <row r="284" spans="1:14">
      <c r="A284" s="3">
        <v>806157</v>
      </c>
      <c r="B284" s="3">
        <v>119038</v>
      </c>
      <c r="C284" s="4">
        <v>0</v>
      </c>
      <c r="D284" s="4">
        <v>0</v>
      </c>
      <c r="E284" s="4">
        <v>0</v>
      </c>
      <c r="F284" s="4">
        <v>10</v>
      </c>
      <c r="G284" s="4">
        <v>20</v>
      </c>
      <c r="H284" s="4">
        <v>30</v>
      </c>
      <c r="I284" s="4">
        <v>10</v>
      </c>
      <c r="J284" s="4">
        <v>0</v>
      </c>
      <c r="K284" s="4">
        <v>10</v>
      </c>
      <c r="L284" s="4">
        <v>0</v>
      </c>
      <c r="M284" s="4">
        <v>0</v>
      </c>
      <c r="N284" s="4">
        <v>0</v>
      </c>
    </row>
    <row r="285" spans="1:14">
      <c r="A285" s="3">
        <v>806158</v>
      </c>
      <c r="B285" s="3">
        <v>119038</v>
      </c>
      <c r="C285" s="4">
        <v>55</v>
      </c>
      <c r="D285" s="4">
        <v>30</v>
      </c>
      <c r="E285" s="4">
        <v>77</v>
      </c>
      <c r="F285" s="4">
        <v>20</v>
      </c>
      <c r="G285" s="4">
        <v>105</v>
      </c>
      <c r="H285" s="4">
        <v>65</v>
      </c>
      <c r="I285" s="4">
        <v>34.5</v>
      </c>
      <c r="J285" s="4">
        <v>45</v>
      </c>
      <c r="K285" s="4">
        <v>99</v>
      </c>
      <c r="L285" s="4">
        <v>93</v>
      </c>
      <c r="M285" s="4">
        <v>30</v>
      </c>
      <c r="N285" s="4">
        <v>49.5</v>
      </c>
    </row>
    <row r="286" spans="1:14">
      <c r="A286" s="3">
        <v>806174</v>
      </c>
      <c r="B286" s="3">
        <v>119038</v>
      </c>
      <c r="C286" s="4">
        <v>60</v>
      </c>
      <c r="D286" s="4">
        <v>25</v>
      </c>
      <c r="E286" s="4">
        <v>0</v>
      </c>
      <c r="F286" s="4">
        <v>0</v>
      </c>
      <c r="G286" s="4">
        <v>35</v>
      </c>
      <c r="H286" s="4">
        <v>70</v>
      </c>
      <c r="I286" s="4">
        <v>35</v>
      </c>
      <c r="J286" s="4">
        <v>20</v>
      </c>
      <c r="K286" s="4">
        <v>20</v>
      </c>
      <c r="L286" s="4">
        <v>84.5</v>
      </c>
      <c r="M286" s="4">
        <v>20</v>
      </c>
      <c r="N286" s="4">
        <v>32</v>
      </c>
    </row>
    <row r="287" spans="1:14">
      <c r="A287" s="3">
        <v>806175</v>
      </c>
      <c r="B287" s="3">
        <v>178230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10</v>
      </c>
      <c r="I287" s="4">
        <v>10</v>
      </c>
      <c r="J287" s="4">
        <v>45</v>
      </c>
      <c r="K287" s="4">
        <v>10</v>
      </c>
      <c r="L287" s="4">
        <v>55</v>
      </c>
      <c r="M287" s="4">
        <v>83.5</v>
      </c>
      <c r="N287" s="4">
        <v>50</v>
      </c>
    </row>
    <row r="288" spans="1:14">
      <c r="A288" s="3">
        <v>806176</v>
      </c>
      <c r="B288" s="3">
        <v>205969</v>
      </c>
      <c r="C288" s="4">
        <v>90</v>
      </c>
      <c r="D288" s="4">
        <v>37.5</v>
      </c>
      <c r="E288" s="4">
        <v>65</v>
      </c>
      <c r="F288" s="4">
        <v>118.25</v>
      </c>
      <c r="G288" s="4">
        <v>70</v>
      </c>
      <c r="H288" s="4">
        <v>81.5</v>
      </c>
      <c r="I288" s="4">
        <v>102.4</v>
      </c>
      <c r="J288" s="4">
        <v>62.5</v>
      </c>
      <c r="K288" s="4">
        <v>117.5</v>
      </c>
      <c r="L288" s="4">
        <v>115</v>
      </c>
      <c r="M288" s="4">
        <v>80</v>
      </c>
      <c r="N288" s="4">
        <v>104</v>
      </c>
    </row>
    <row r="289" spans="1:14">
      <c r="A289" s="3">
        <v>806178</v>
      </c>
      <c r="B289" s="3">
        <v>170248</v>
      </c>
      <c r="C289" s="4">
        <v>3.5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10</v>
      </c>
    </row>
    <row r="290" spans="1:14">
      <c r="A290" s="3">
        <v>806210</v>
      </c>
      <c r="B290" s="3">
        <v>170775</v>
      </c>
      <c r="C290" s="4">
        <v>0</v>
      </c>
      <c r="D290" s="4">
        <v>0</v>
      </c>
      <c r="E290" s="4">
        <v>15</v>
      </c>
      <c r="F290" s="4">
        <v>0</v>
      </c>
      <c r="G290" s="4">
        <v>15</v>
      </c>
      <c r="H290" s="4">
        <v>35</v>
      </c>
      <c r="I290" s="4">
        <v>65</v>
      </c>
      <c r="J290" s="4">
        <v>10</v>
      </c>
      <c r="K290" s="4">
        <v>10</v>
      </c>
      <c r="L290" s="4">
        <v>60</v>
      </c>
      <c r="M290" s="4">
        <v>20</v>
      </c>
      <c r="N290" s="4">
        <v>50</v>
      </c>
    </row>
    <row r="291" spans="1:14">
      <c r="A291" s="3">
        <v>806212</v>
      </c>
      <c r="B291" s="3">
        <v>119066</v>
      </c>
      <c r="C291" s="4">
        <v>0</v>
      </c>
      <c r="D291" s="4">
        <v>35</v>
      </c>
      <c r="E291" s="4">
        <v>30</v>
      </c>
      <c r="F291" s="4">
        <v>0</v>
      </c>
      <c r="G291" s="4">
        <v>2</v>
      </c>
      <c r="H291" s="4">
        <v>0</v>
      </c>
      <c r="I291" s="4">
        <v>0</v>
      </c>
      <c r="J291" s="4">
        <v>0</v>
      </c>
      <c r="K291" s="4">
        <v>2.5</v>
      </c>
      <c r="L291" s="4">
        <v>0</v>
      </c>
      <c r="M291" s="4">
        <v>0</v>
      </c>
      <c r="N291" s="4">
        <v>0</v>
      </c>
    </row>
    <row r="292" spans="1:14">
      <c r="A292" s="3">
        <v>806230</v>
      </c>
      <c r="B292" s="3">
        <v>146861</v>
      </c>
      <c r="C292" s="4">
        <v>75</v>
      </c>
      <c r="D292" s="4">
        <v>65</v>
      </c>
      <c r="E292" s="4">
        <v>80</v>
      </c>
      <c r="F292" s="4">
        <v>110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</row>
    <row r="293" spans="1:14">
      <c r="A293" s="3">
        <v>806232</v>
      </c>
      <c r="B293" s="3">
        <v>206102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20</v>
      </c>
      <c r="M293" s="4">
        <v>0</v>
      </c>
      <c r="N293" s="4">
        <v>0</v>
      </c>
    </row>
    <row r="294" spans="1:14">
      <c r="A294" s="3">
        <v>806233</v>
      </c>
      <c r="B294" s="3">
        <v>146861</v>
      </c>
      <c r="C294" s="4">
        <v>0</v>
      </c>
      <c r="D294" s="4">
        <v>10</v>
      </c>
      <c r="E294" s="4">
        <v>10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>
      <c r="A295" s="3">
        <v>806234</v>
      </c>
      <c r="B295" s="3">
        <v>202865</v>
      </c>
      <c r="C295" s="4">
        <v>42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115.5</v>
      </c>
      <c r="L295" s="4">
        <v>87</v>
      </c>
      <c r="M295" s="4">
        <v>45</v>
      </c>
      <c r="N295" s="4">
        <v>111</v>
      </c>
    </row>
    <row r="296" spans="1:14">
      <c r="A296" s="3">
        <v>806246</v>
      </c>
      <c r="B296" s="3">
        <v>119042</v>
      </c>
      <c r="C296" s="4">
        <v>52</v>
      </c>
      <c r="D296" s="4">
        <v>0</v>
      </c>
      <c r="E296" s="4">
        <v>35</v>
      </c>
      <c r="F296" s="4">
        <v>45</v>
      </c>
      <c r="G296" s="4">
        <v>27.5</v>
      </c>
      <c r="H296" s="4">
        <v>25</v>
      </c>
      <c r="I296" s="4">
        <v>35</v>
      </c>
      <c r="J296" s="4">
        <v>35</v>
      </c>
      <c r="K296" s="4">
        <v>50.5</v>
      </c>
      <c r="L296" s="4">
        <v>60</v>
      </c>
      <c r="M296" s="4">
        <v>35</v>
      </c>
      <c r="N296" s="4">
        <v>90</v>
      </c>
    </row>
    <row r="297" spans="1:14">
      <c r="A297" s="3">
        <v>806283</v>
      </c>
      <c r="B297" s="3">
        <v>119038</v>
      </c>
      <c r="C297" s="4">
        <v>15</v>
      </c>
      <c r="D297" s="4">
        <v>0</v>
      </c>
      <c r="E297" s="4">
        <v>20</v>
      </c>
      <c r="F297" s="4">
        <v>0</v>
      </c>
      <c r="G297" s="4">
        <v>20</v>
      </c>
      <c r="H297" s="4">
        <v>15</v>
      </c>
      <c r="I297" s="4">
        <v>0</v>
      </c>
      <c r="J297" s="4">
        <v>0</v>
      </c>
      <c r="K297" s="4">
        <v>0</v>
      </c>
      <c r="L297" s="4">
        <v>40</v>
      </c>
      <c r="M297" s="4">
        <v>0</v>
      </c>
      <c r="N297" s="4">
        <v>35</v>
      </c>
    </row>
    <row r="298" spans="1:14">
      <c r="A298" s="3">
        <v>806288</v>
      </c>
      <c r="B298" s="3">
        <v>119038</v>
      </c>
      <c r="C298" s="4">
        <v>0</v>
      </c>
      <c r="D298" s="4">
        <v>0</v>
      </c>
      <c r="E298" s="4">
        <v>0</v>
      </c>
      <c r="F298" s="4">
        <v>65</v>
      </c>
      <c r="G298" s="4">
        <v>34</v>
      </c>
      <c r="H298" s="4">
        <v>85</v>
      </c>
      <c r="I298" s="4">
        <v>35</v>
      </c>
      <c r="J298" s="4">
        <v>45</v>
      </c>
      <c r="K298" s="4">
        <v>67.5</v>
      </c>
      <c r="L298" s="4">
        <v>20</v>
      </c>
      <c r="M298" s="4">
        <v>108</v>
      </c>
      <c r="N298" s="4">
        <v>0</v>
      </c>
    </row>
    <row r="299" spans="1:14">
      <c r="A299" s="3">
        <v>806289</v>
      </c>
      <c r="B299" s="3">
        <v>179796</v>
      </c>
      <c r="C299" s="4">
        <v>62.5</v>
      </c>
      <c r="D299" s="4">
        <v>30</v>
      </c>
      <c r="E299" s="4">
        <v>61.5</v>
      </c>
      <c r="F299" s="4">
        <v>33</v>
      </c>
      <c r="G299" s="4">
        <v>48.25</v>
      </c>
      <c r="H299" s="4">
        <v>30</v>
      </c>
      <c r="I299" s="4">
        <v>46</v>
      </c>
      <c r="J299" s="4">
        <v>22</v>
      </c>
      <c r="K299" s="4">
        <v>16.75</v>
      </c>
      <c r="L299" s="4">
        <v>56.25</v>
      </c>
      <c r="M299" s="4">
        <v>61</v>
      </c>
      <c r="N299" s="4">
        <v>66</v>
      </c>
    </row>
    <row r="300" spans="1:14">
      <c r="A300" s="3">
        <v>806296</v>
      </c>
      <c r="B300" s="3">
        <v>179796</v>
      </c>
      <c r="C300" s="4">
        <v>25</v>
      </c>
      <c r="D300" s="4">
        <v>23.95</v>
      </c>
      <c r="E300" s="4">
        <v>27</v>
      </c>
      <c r="F300" s="4">
        <v>20</v>
      </c>
      <c r="G300" s="4">
        <v>32</v>
      </c>
      <c r="H300" s="4">
        <v>1</v>
      </c>
      <c r="I300" s="4">
        <v>27.5</v>
      </c>
      <c r="J300" s="4">
        <v>25</v>
      </c>
      <c r="K300" s="4">
        <v>57.5</v>
      </c>
      <c r="L300" s="4">
        <v>29</v>
      </c>
      <c r="M300" s="4">
        <v>32</v>
      </c>
      <c r="N300" s="4">
        <v>36</v>
      </c>
    </row>
    <row r="301" spans="1:14">
      <c r="A301" s="3">
        <v>806307</v>
      </c>
      <c r="B301" s="3">
        <v>119160</v>
      </c>
      <c r="C301" s="4">
        <v>42.5</v>
      </c>
      <c r="D301" s="4">
        <v>45</v>
      </c>
      <c r="E301" s="4">
        <v>51</v>
      </c>
      <c r="F301" s="4">
        <v>0</v>
      </c>
      <c r="G301" s="4">
        <v>15</v>
      </c>
      <c r="H301" s="4">
        <v>26.5</v>
      </c>
      <c r="I301" s="4">
        <v>33</v>
      </c>
      <c r="J301" s="4">
        <v>22.5</v>
      </c>
      <c r="K301" s="4">
        <v>7.5</v>
      </c>
      <c r="L301" s="4">
        <v>35</v>
      </c>
      <c r="M301" s="4">
        <v>60</v>
      </c>
      <c r="N301" s="4">
        <v>75</v>
      </c>
    </row>
    <row r="302" spans="1:14">
      <c r="A302" s="3">
        <v>806322</v>
      </c>
      <c r="B302" s="3">
        <v>170204</v>
      </c>
      <c r="C302" s="4">
        <v>107</v>
      </c>
      <c r="D302" s="4">
        <v>77</v>
      </c>
      <c r="E302" s="4">
        <v>202.5</v>
      </c>
      <c r="F302" s="4">
        <v>15</v>
      </c>
      <c r="G302" s="4">
        <v>20</v>
      </c>
      <c r="H302" s="4">
        <v>94</v>
      </c>
      <c r="I302" s="4">
        <v>84</v>
      </c>
      <c r="J302" s="4">
        <v>27</v>
      </c>
      <c r="K302" s="4">
        <v>0</v>
      </c>
      <c r="L302" s="4">
        <v>0</v>
      </c>
      <c r="M302" s="4">
        <v>0</v>
      </c>
      <c r="N302" s="4">
        <v>10</v>
      </c>
    </row>
    <row r="303" spans="1:14">
      <c r="A303" s="3">
        <v>806323</v>
      </c>
      <c r="B303" s="3">
        <v>170204</v>
      </c>
      <c r="C303" s="4">
        <v>93.5</v>
      </c>
      <c r="D303" s="4">
        <v>46</v>
      </c>
      <c r="E303" s="4">
        <v>52.5</v>
      </c>
      <c r="F303" s="4">
        <v>89</v>
      </c>
      <c r="G303" s="4">
        <v>15</v>
      </c>
      <c r="H303" s="4">
        <v>37</v>
      </c>
      <c r="I303" s="4">
        <v>42</v>
      </c>
      <c r="J303" s="4">
        <v>15</v>
      </c>
      <c r="K303" s="4">
        <v>70</v>
      </c>
      <c r="L303" s="4">
        <v>25</v>
      </c>
      <c r="M303" s="4">
        <v>42</v>
      </c>
      <c r="N303" s="4">
        <v>75</v>
      </c>
    </row>
    <row r="304" spans="1:14">
      <c r="A304" s="3">
        <v>806327</v>
      </c>
      <c r="B304" s="3">
        <v>170200</v>
      </c>
      <c r="C304" s="4">
        <v>51</v>
      </c>
      <c r="D304" s="4">
        <v>59.5</v>
      </c>
      <c r="E304" s="4">
        <v>192.5</v>
      </c>
      <c r="F304" s="4">
        <v>20</v>
      </c>
      <c r="G304" s="4">
        <v>15</v>
      </c>
      <c r="H304" s="4">
        <v>120</v>
      </c>
      <c r="I304" s="4">
        <v>132</v>
      </c>
      <c r="J304" s="4">
        <v>70</v>
      </c>
      <c r="K304" s="4">
        <v>0</v>
      </c>
      <c r="L304" s="4">
        <v>0</v>
      </c>
      <c r="M304" s="4">
        <v>0</v>
      </c>
      <c r="N304" s="4">
        <v>0</v>
      </c>
    </row>
    <row r="305" spans="1:14">
      <c r="A305" s="3">
        <v>806337</v>
      </c>
      <c r="B305" s="3">
        <v>170606</v>
      </c>
      <c r="C305" s="4">
        <v>80</v>
      </c>
      <c r="D305" s="4">
        <v>67.5</v>
      </c>
      <c r="E305" s="4">
        <v>27</v>
      </c>
      <c r="F305" s="4">
        <v>89.5</v>
      </c>
      <c r="G305" s="4">
        <v>50</v>
      </c>
      <c r="H305" s="4">
        <v>20</v>
      </c>
      <c r="I305" s="4">
        <v>43</v>
      </c>
      <c r="J305" s="4">
        <v>83.5</v>
      </c>
      <c r="K305" s="4">
        <v>55</v>
      </c>
      <c r="L305" s="4">
        <v>88.5</v>
      </c>
      <c r="M305" s="4">
        <v>38.75</v>
      </c>
      <c r="N305" s="4">
        <v>92.5</v>
      </c>
    </row>
    <row r="306" spans="1:14">
      <c r="A306" s="3">
        <v>806337</v>
      </c>
      <c r="B306" s="3">
        <v>177727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10</v>
      </c>
    </row>
    <row r="307" spans="1:14">
      <c r="A307" s="3">
        <v>806339</v>
      </c>
      <c r="B307" s="3">
        <v>170392</v>
      </c>
      <c r="C307" s="4">
        <v>14</v>
      </c>
      <c r="D307" s="4">
        <v>52.75</v>
      </c>
      <c r="E307" s="4">
        <v>29</v>
      </c>
      <c r="F307" s="4">
        <v>40</v>
      </c>
      <c r="G307" s="4">
        <v>51</v>
      </c>
      <c r="H307" s="4">
        <v>28</v>
      </c>
      <c r="I307" s="4">
        <v>40</v>
      </c>
      <c r="J307" s="4">
        <v>18.5</v>
      </c>
      <c r="K307" s="4">
        <v>66.5</v>
      </c>
      <c r="L307" s="4">
        <v>80</v>
      </c>
      <c r="M307" s="4">
        <v>66</v>
      </c>
      <c r="N307" s="4">
        <v>31</v>
      </c>
    </row>
    <row r="308" spans="1:14">
      <c r="A308" s="3">
        <v>806339</v>
      </c>
      <c r="B308" s="3">
        <v>170846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5</v>
      </c>
      <c r="M308" s="4">
        <v>0</v>
      </c>
      <c r="N308" s="4">
        <v>0</v>
      </c>
    </row>
    <row r="309" spans="1:14">
      <c r="A309" s="3">
        <v>806346</v>
      </c>
      <c r="B309" s="3">
        <v>170204</v>
      </c>
      <c r="C309" s="4">
        <v>105</v>
      </c>
      <c r="D309" s="4">
        <v>52.5</v>
      </c>
      <c r="E309" s="4">
        <v>231.75</v>
      </c>
      <c r="F309" s="4">
        <v>146.5</v>
      </c>
      <c r="G309" s="4">
        <v>0</v>
      </c>
      <c r="H309" s="4">
        <v>96.5</v>
      </c>
      <c r="I309" s="4">
        <v>42</v>
      </c>
      <c r="J309" s="4">
        <v>20</v>
      </c>
      <c r="K309" s="4">
        <v>35</v>
      </c>
      <c r="L309" s="4">
        <v>55</v>
      </c>
      <c r="M309" s="4">
        <v>130</v>
      </c>
      <c r="N309" s="4">
        <v>137</v>
      </c>
    </row>
    <row r="310" spans="1:14">
      <c r="A310" s="3">
        <v>806359</v>
      </c>
      <c r="B310" s="3">
        <v>179908</v>
      </c>
      <c r="C310" s="4">
        <v>15</v>
      </c>
      <c r="D310" s="4">
        <v>0</v>
      </c>
      <c r="E310" s="4">
        <v>15</v>
      </c>
      <c r="F310" s="4">
        <v>0</v>
      </c>
      <c r="G310" s="4">
        <v>0</v>
      </c>
      <c r="H310" s="4">
        <v>0</v>
      </c>
      <c r="I310" s="4">
        <v>0</v>
      </c>
      <c r="J310" s="4">
        <v>10</v>
      </c>
      <c r="K310" s="4">
        <v>0</v>
      </c>
      <c r="L310" s="4">
        <v>0</v>
      </c>
      <c r="M310" s="4">
        <v>0</v>
      </c>
      <c r="N310" s="4">
        <v>15</v>
      </c>
    </row>
    <row r="311" spans="1:14">
      <c r="A311" s="3">
        <v>806360</v>
      </c>
      <c r="B311" s="3">
        <v>173865</v>
      </c>
      <c r="C311" s="4">
        <v>85</v>
      </c>
      <c r="D311" s="4">
        <v>80</v>
      </c>
      <c r="E311" s="4">
        <v>65</v>
      </c>
      <c r="F311" s="4">
        <v>72</v>
      </c>
      <c r="G311" s="4">
        <v>35</v>
      </c>
      <c r="H311" s="4">
        <v>15</v>
      </c>
      <c r="I311" s="4">
        <v>67</v>
      </c>
      <c r="J311" s="4">
        <v>35</v>
      </c>
      <c r="K311" s="4">
        <v>30</v>
      </c>
      <c r="L311" s="4">
        <v>35</v>
      </c>
      <c r="M311" s="4">
        <v>80</v>
      </c>
      <c r="N311" s="4">
        <v>50</v>
      </c>
    </row>
    <row r="312" spans="1:14">
      <c r="A312" s="3">
        <v>806362</v>
      </c>
      <c r="B312" s="3">
        <v>119028</v>
      </c>
      <c r="C312" s="4">
        <v>62</v>
      </c>
      <c r="D312" s="4">
        <v>124</v>
      </c>
      <c r="E312" s="4">
        <v>124</v>
      </c>
      <c r="F312" s="4">
        <v>88</v>
      </c>
      <c r="G312" s="4">
        <v>93</v>
      </c>
      <c r="H312" s="4">
        <v>62</v>
      </c>
      <c r="I312" s="4">
        <v>0</v>
      </c>
      <c r="J312" s="4">
        <v>0</v>
      </c>
      <c r="K312" s="4">
        <v>87</v>
      </c>
      <c r="L312" s="4">
        <v>93</v>
      </c>
      <c r="M312" s="4">
        <v>93</v>
      </c>
      <c r="N312" s="4">
        <v>217</v>
      </c>
    </row>
    <row r="313" spans="1:14">
      <c r="A313" s="3">
        <v>806371</v>
      </c>
      <c r="B313" s="3">
        <v>149885</v>
      </c>
      <c r="C313" s="4">
        <v>0</v>
      </c>
      <c r="D313" s="4">
        <v>15</v>
      </c>
      <c r="E313" s="4">
        <v>33.5</v>
      </c>
      <c r="F313" s="4">
        <v>22.5</v>
      </c>
      <c r="G313" s="4">
        <v>10</v>
      </c>
      <c r="H313" s="4">
        <v>30</v>
      </c>
      <c r="I313" s="4">
        <v>0</v>
      </c>
      <c r="J313" s="4">
        <v>53</v>
      </c>
      <c r="K313" s="4">
        <v>62.5</v>
      </c>
      <c r="L313" s="4">
        <v>67.5</v>
      </c>
      <c r="M313" s="4">
        <v>18.5</v>
      </c>
      <c r="N313" s="4">
        <v>65</v>
      </c>
    </row>
    <row r="314" spans="1:14">
      <c r="A314" s="3">
        <v>806395</v>
      </c>
      <c r="B314" s="3">
        <v>170550</v>
      </c>
      <c r="C314" s="4">
        <v>0</v>
      </c>
      <c r="D314" s="4">
        <v>15</v>
      </c>
      <c r="E314" s="4">
        <v>50</v>
      </c>
      <c r="F314" s="4">
        <v>30</v>
      </c>
      <c r="G314" s="4">
        <v>20</v>
      </c>
      <c r="H314" s="4">
        <v>0</v>
      </c>
      <c r="I314" s="4">
        <v>0</v>
      </c>
      <c r="J314" s="4">
        <v>37.5</v>
      </c>
      <c r="K314" s="4">
        <v>42.5</v>
      </c>
      <c r="L314" s="4">
        <v>34</v>
      </c>
      <c r="M314" s="4">
        <v>91</v>
      </c>
      <c r="N314" s="4">
        <v>80.5</v>
      </c>
    </row>
    <row r="315" spans="1:14">
      <c r="A315" s="3">
        <v>806396</v>
      </c>
      <c r="B315" s="3">
        <v>177426</v>
      </c>
      <c r="C315" s="4">
        <v>10</v>
      </c>
      <c r="D315" s="4">
        <v>82.5</v>
      </c>
      <c r="E315" s="4">
        <v>37.5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20</v>
      </c>
      <c r="L315" s="4">
        <v>40</v>
      </c>
      <c r="M315" s="4">
        <v>20</v>
      </c>
      <c r="N315" s="4">
        <v>22.5</v>
      </c>
    </row>
    <row r="316" spans="1:14">
      <c r="A316" s="3">
        <v>806396</v>
      </c>
      <c r="B316" s="3">
        <v>207713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32</v>
      </c>
      <c r="L316" s="4">
        <v>0</v>
      </c>
      <c r="M316" s="4">
        <v>0</v>
      </c>
      <c r="N316" s="4">
        <v>10</v>
      </c>
    </row>
    <row r="317" spans="1:14">
      <c r="A317" s="3">
        <v>806400</v>
      </c>
      <c r="B317" s="3">
        <v>119038</v>
      </c>
      <c r="C317" s="4">
        <v>35</v>
      </c>
      <c r="D317" s="4">
        <v>0</v>
      </c>
      <c r="E317" s="4">
        <v>50</v>
      </c>
      <c r="F317" s="4">
        <v>15</v>
      </c>
      <c r="G317" s="4">
        <v>15</v>
      </c>
      <c r="H317" s="4">
        <v>10</v>
      </c>
      <c r="I317" s="4">
        <v>0</v>
      </c>
      <c r="J317" s="4">
        <v>10</v>
      </c>
      <c r="K317" s="4">
        <v>31</v>
      </c>
      <c r="L317" s="4">
        <v>65</v>
      </c>
      <c r="M317" s="4">
        <v>0</v>
      </c>
      <c r="N317" s="4">
        <v>5</v>
      </c>
    </row>
    <row r="318" spans="1:14">
      <c r="A318" s="3">
        <v>806401</v>
      </c>
      <c r="B318" s="3">
        <v>119038</v>
      </c>
      <c r="C318" s="4">
        <v>50</v>
      </c>
      <c r="D318" s="4">
        <v>120</v>
      </c>
      <c r="E318" s="4">
        <v>95</v>
      </c>
      <c r="F318" s="4">
        <v>96</v>
      </c>
      <c r="G318" s="4">
        <v>54</v>
      </c>
      <c r="H318" s="4">
        <v>63</v>
      </c>
      <c r="I318" s="4">
        <v>70</v>
      </c>
      <c r="J318" s="4">
        <v>34.5</v>
      </c>
      <c r="K318" s="4">
        <v>110</v>
      </c>
      <c r="L318" s="4">
        <v>116.5</v>
      </c>
      <c r="M318" s="4">
        <v>37.5</v>
      </c>
      <c r="N318" s="4">
        <v>373.5</v>
      </c>
    </row>
    <row r="319" spans="1:14">
      <c r="A319" s="3">
        <v>806430</v>
      </c>
      <c r="B319" s="3">
        <v>171880</v>
      </c>
      <c r="C319" s="4">
        <v>10</v>
      </c>
      <c r="D319" s="4">
        <v>10</v>
      </c>
      <c r="E319" s="4">
        <v>20</v>
      </c>
      <c r="F319" s="4">
        <v>47</v>
      </c>
      <c r="G319" s="4">
        <v>30</v>
      </c>
      <c r="H319" s="4">
        <v>20</v>
      </c>
      <c r="I319" s="4">
        <v>59.050000000000004</v>
      </c>
      <c r="J319" s="4">
        <v>14.9</v>
      </c>
      <c r="K319" s="4">
        <v>0</v>
      </c>
      <c r="L319" s="4">
        <v>0</v>
      </c>
      <c r="M319" s="4">
        <v>0</v>
      </c>
      <c r="N319" s="4">
        <v>0</v>
      </c>
    </row>
    <row r="320" spans="1:14">
      <c r="A320" s="3">
        <v>806430</v>
      </c>
      <c r="B320" s="3">
        <v>175288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45</v>
      </c>
      <c r="L320" s="4">
        <v>55</v>
      </c>
      <c r="M320" s="4">
        <v>47</v>
      </c>
      <c r="N320" s="4">
        <v>60</v>
      </c>
    </row>
    <row r="321" spans="1:14">
      <c r="A321" s="3">
        <v>806431</v>
      </c>
      <c r="B321" s="3">
        <v>149765</v>
      </c>
      <c r="C321" s="4">
        <v>40</v>
      </c>
      <c r="D321" s="4">
        <v>45</v>
      </c>
      <c r="E321" s="4">
        <v>40</v>
      </c>
      <c r="F321" s="4">
        <v>0</v>
      </c>
      <c r="G321" s="4">
        <v>20</v>
      </c>
      <c r="H321" s="4">
        <v>30</v>
      </c>
      <c r="I321" s="4">
        <v>0</v>
      </c>
      <c r="J321" s="4">
        <v>10</v>
      </c>
      <c r="K321" s="4">
        <v>20</v>
      </c>
      <c r="L321" s="4">
        <v>20</v>
      </c>
      <c r="M321" s="4">
        <v>20</v>
      </c>
      <c r="N321" s="4">
        <v>20</v>
      </c>
    </row>
    <row r="322" spans="1:14">
      <c r="A322" s="3">
        <v>806433</v>
      </c>
      <c r="B322" s="3">
        <v>119261</v>
      </c>
      <c r="C322" s="4">
        <v>508.75</v>
      </c>
      <c r="D322" s="4">
        <v>197.95</v>
      </c>
      <c r="E322" s="4">
        <v>517.75</v>
      </c>
      <c r="F322" s="4">
        <v>511.55</v>
      </c>
      <c r="G322" s="4">
        <v>554.15</v>
      </c>
      <c r="H322" s="4">
        <v>634.25</v>
      </c>
      <c r="I322" s="4">
        <v>381.5</v>
      </c>
      <c r="J322" s="4">
        <v>482.55</v>
      </c>
      <c r="K322" s="4">
        <v>905</v>
      </c>
      <c r="L322" s="4">
        <v>579</v>
      </c>
      <c r="M322" s="4">
        <v>446.5</v>
      </c>
      <c r="N322" s="4">
        <v>521.15000000000009</v>
      </c>
    </row>
    <row r="323" spans="1:14">
      <c r="A323" s="3">
        <v>806436</v>
      </c>
      <c r="B323" s="3">
        <v>119023</v>
      </c>
      <c r="C323" s="4">
        <v>101</v>
      </c>
      <c r="D323" s="4">
        <v>41.5</v>
      </c>
      <c r="E323" s="4">
        <v>170.5</v>
      </c>
      <c r="F323" s="4">
        <v>103</v>
      </c>
      <c r="G323" s="4">
        <v>0</v>
      </c>
      <c r="H323" s="4">
        <v>162</v>
      </c>
      <c r="I323" s="4">
        <v>172</v>
      </c>
      <c r="J323" s="4">
        <v>205.5</v>
      </c>
      <c r="K323" s="4">
        <v>161</v>
      </c>
      <c r="L323" s="4">
        <v>106</v>
      </c>
      <c r="M323" s="4">
        <v>146</v>
      </c>
      <c r="N323" s="4">
        <v>159</v>
      </c>
    </row>
    <row r="324" spans="1:14">
      <c r="A324" s="3">
        <v>806439</v>
      </c>
      <c r="B324" s="3">
        <v>119023</v>
      </c>
      <c r="C324" s="4">
        <v>101</v>
      </c>
      <c r="D324" s="4">
        <v>115.5</v>
      </c>
      <c r="E324" s="4">
        <v>211</v>
      </c>
      <c r="F324" s="4">
        <v>241</v>
      </c>
      <c r="G324" s="4">
        <v>0</v>
      </c>
      <c r="H324" s="4">
        <v>200.5</v>
      </c>
      <c r="I324" s="4">
        <v>129</v>
      </c>
      <c r="J324" s="4">
        <v>0</v>
      </c>
      <c r="K324" s="4">
        <v>160</v>
      </c>
      <c r="L324" s="4">
        <v>56</v>
      </c>
      <c r="M324" s="4">
        <v>112</v>
      </c>
      <c r="N324" s="4">
        <v>219</v>
      </c>
    </row>
    <row r="325" spans="1:14">
      <c r="A325" s="3">
        <v>806440</v>
      </c>
      <c r="B325" s="3">
        <v>119023</v>
      </c>
      <c r="C325" s="4">
        <v>0</v>
      </c>
      <c r="D325" s="4">
        <v>0</v>
      </c>
      <c r="E325" s="4">
        <v>23</v>
      </c>
      <c r="F325" s="4">
        <v>0</v>
      </c>
      <c r="G325" s="4">
        <v>0</v>
      </c>
      <c r="H325" s="4">
        <v>51.5</v>
      </c>
      <c r="I325" s="4">
        <v>43</v>
      </c>
      <c r="J325" s="4">
        <v>0</v>
      </c>
      <c r="K325" s="4">
        <v>0</v>
      </c>
      <c r="L325" s="4">
        <v>51</v>
      </c>
      <c r="M325" s="4">
        <v>0</v>
      </c>
      <c r="N325" s="4">
        <v>0</v>
      </c>
    </row>
    <row r="326" spans="1:14">
      <c r="A326" s="3">
        <v>806466</v>
      </c>
      <c r="B326" s="3">
        <v>170392</v>
      </c>
      <c r="C326" s="4">
        <v>10</v>
      </c>
      <c r="D326" s="4">
        <v>30</v>
      </c>
      <c r="E326" s="4">
        <v>10</v>
      </c>
      <c r="F326" s="4">
        <v>7</v>
      </c>
      <c r="G326" s="4">
        <v>0</v>
      </c>
      <c r="H326" s="4">
        <v>0</v>
      </c>
      <c r="I326" s="4">
        <v>10</v>
      </c>
      <c r="J326" s="4">
        <v>0</v>
      </c>
      <c r="K326" s="4">
        <v>10</v>
      </c>
      <c r="L326" s="4">
        <v>5</v>
      </c>
      <c r="M326" s="4">
        <v>11</v>
      </c>
      <c r="N326" s="4">
        <v>8</v>
      </c>
    </row>
    <row r="327" spans="1:14">
      <c r="A327" s="3">
        <v>806466</v>
      </c>
      <c r="B327" s="3">
        <v>170846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5</v>
      </c>
      <c r="M327" s="4">
        <v>0</v>
      </c>
      <c r="N327" s="4">
        <v>0</v>
      </c>
    </row>
    <row r="328" spans="1:14">
      <c r="A328" s="3">
        <v>806468</v>
      </c>
      <c r="B328" s="3">
        <v>119038</v>
      </c>
      <c r="C328" s="4">
        <v>30</v>
      </c>
      <c r="D328" s="4">
        <v>80</v>
      </c>
      <c r="E328" s="4">
        <v>30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100</v>
      </c>
    </row>
    <row r="329" spans="1:14">
      <c r="A329" s="3">
        <v>806469</v>
      </c>
      <c r="B329" s="3">
        <v>119038</v>
      </c>
      <c r="C329" s="4">
        <v>5</v>
      </c>
      <c r="D329" s="4">
        <v>30</v>
      </c>
      <c r="E329" s="4">
        <v>35</v>
      </c>
      <c r="F329" s="4">
        <v>0</v>
      </c>
      <c r="G329" s="4">
        <v>90</v>
      </c>
      <c r="H329" s="4">
        <v>0</v>
      </c>
      <c r="I329" s="4">
        <v>20</v>
      </c>
      <c r="J329" s="4">
        <v>13</v>
      </c>
      <c r="K329" s="4">
        <v>43</v>
      </c>
      <c r="L329" s="4">
        <v>15</v>
      </c>
      <c r="M329" s="4">
        <v>40</v>
      </c>
      <c r="N329" s="4">
        <v>20</v>
      </c>
    </row>
    <row r="330" spans="1:14">
      <c r="A330" s="3">
        <v>806471</v>
      </c>
      <c r="B330" s="3">
        <v>119905</v>
      </c>
      <c r="C330" s="4">
        <v>0</v>
      </c>
      <c r="D330" s="4">
        <v>12.5</v>
      </c>
      <c r="E330" s="4">
        <v>44.5</v>
      </c>
      <c r="F330" s="4">
        <v>53.75</v>
      </c>
      <c r="G330" s="4">
        <v>35.25</v>
      </c>
      <c r="H330" s="4">
        <v>0</v>
      </c>
      <c r="I330" s="4">
        <v>0</v>
      </c>
      <c r="J330" s="4">
        <v>0</v>
      </c>
      <c r="K330" s="4">
        <v>13</v>
      </c>
      <c r="L330" s="4">
        <v>22</v>
      </c>
      <c r="M330" s="4">
        <v>10</v>
      </c>
      <c r="N330" s="4">
        <v>35.5</v>
      </c>
    </row>
    <row r="331" spans="1:14">
      <c r="A331" s="3">
        <v>806472</v>
      </c>
      <c r="B331" s="3">
        <v>170392</v>
      </c>
      <c r="C331" s="4">
        <v>50</v>
      </c>
      <c r="D331" s="4">
        <v>99</v>
      </c>
      <c r="E331" s="4">
        <v>140</v>
      </c>
      <c r="F331" s="4">
        <v>100</v>
      </c>
      <c r="G331" s="4">
        <v>51</v>
      </c>
      <c r="H331" s="4">
        <v>33</v>
      </c>
      <c r="I331" s="4">
        <v>51.55</v>
      </c>
      <c r="J331" s="4">
        <v>51.25</v>
      </c>
      <c r="K331" s="4">
        <v>82</v>
      </c>
      <c r="L331" s="4">
        <v>60</v>
      </c>
      <c r="M331" s="4">
        <v>106.25</v>
      </c>
      <c r="N331" s="4">
        <v>77.5</v>
      </c>
    </row>
    <row r="332" spans="1:14">
      <c r="A332" s="3">
        <v>806474</v>
      </c>
      <c r="B332" s="3">
        <v>119038</v>
      </c>
      <c r="C332" s="4">
        <v>0</v>
      </c>
      <c r="D332" s="4">
        <v>0</v>
      </c>
      <c r="E332" s="4">
        <v>25</v>
      </c>
      <c r="F332" s="4">
        <v>60</v>
      </c>
      <c r="G332" s="4">
        <v>35</v>
      </c>
      <c r="H332" s="4">
        <v>31.25</v>
      </c>
      <c r="I332" s="4">
        <v>0</v>
      </c>
      <c r="J332" s="4">
        <v>35</v>
      </c>
      <c r="K332" s="4">
        <v>20</v>
      </c>
      <c r="L332" s="4">
        <v>12</v>
      </c>
      <c r="M332" s="4">
        <v>30</v>
      </c>
      <c r="N332" s="4">
        <v>153</v>
      </c>
    </row>
    <row r="333" spans="1:14">
      <c r="A333" s="3">
        <v>806484</v>
      </c>
      <c r="B333" s="3">
        <v>148557</v>
      </c>
      <c r="C333" s="4">
        <v>35</v>
      </c>
      <c r="D333" s="4">
        <v>40</v>
      </c>
      <c r="E333" s="4">
        <v>60</v>
      </c>
      <c r="F333" s="4">
        <v>89.1</v>
      </c>
      <c r="G333" s="4">
        <v>80</v>
      </c>
      <c r="H333" s="4">
        <v>60</v>
      </c>
      <c r="I333" s="4">
        <v>50</v>
      </c>
      <c r="J333" s="4">
        <v>60</v>
      </c>
      <c r="K333" s="4">
        <v>71</v>
      </c>
      <c r="L333" s="4">
        <v>59</v>
      </c>
      <c r="M333" s="4">
        <v>76</v>
      </c>
      <c r="N333" s="4">
        <v>72</v>
      </c>
    </row>
    <row r="334" spans="1:14">
      <c r="A334" s="3">
        <v>806487</v>
      </c>
      <c r="B334" s="3">
        <v>149765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50</v>
      </c>
      <c r="L334" s="4">
        <v>30</v>
      </c>
      <c r="M334" s="4">
        <v>85</v>
      </c>
      <c r="N334" s="4">
        <v>40</v>
      </c>
    </row>
    <row r="335" spans="1:14">
      <c r="A335" s="3">
        <v>806487</v>
      </c>
      <c r="B335" s="3">
        <v>171880</v>
      </c>
      <c r="C335" s="4">
        <v>43</v>
      </c>
      <c r="D335" s="4">
        <v>75</v>
      </c>
      <c r="E335" s="4">
        <v>80</v>
      </c>
      <c r="F335" s="4">
        <v>60</v>
      </c>
      <c r="G335" s="4">
        <v>65</v>
      </c>
      <c r="H335" s="4">
        <v>50</v>
      </c>
      <c r="I335" s="4">
        <v>70</v>
      </c>
      <c r="J335" s="4">
        <v>25</v>
      </c>
      <c r="K335" s="4">
        <v>0</v>
      </c>
      <c r="L335" s="4">
        <v>0</v>
      </c>
      <c r="M335" s="4">
        <v>0</v>
      </c>
      <c r="N335" s="4">
        <v>0</v>
      </c>
    </row>
    <row r="336" spans="1:14">
      <c r="A336" s="3">
        <v>806510</v>
      </c>
      <c r="B336" s="3">
        <v>119261</v>
      </c>
      <c r="C336" s="4">
        <v>0</v>
      </c>
      <c r="D336" s="4">
        <v>0</v>
      </c>
      <c r="E336" s="4">
        <v>30</v>
      </c>
      <c r="F336" s="4">
        <v>53</v>
      </c>
      <c r="G336" s="4">
        <v>21</v>
      </c>
      <c r="H336" s="4">
        <v>0</v>
      </c>
      <c r="I336" s="4">
        <v>0</v>
      </c>
      <c r="J336" s="4">
        <v>20</v>
      </c>
      <c r="K336" s="4">
        <v>31</v>
      </c>
      <c r="L336" s="4">
        <v>0</v>
      </c>
      <c r="M336" s="4">
        <v>0</v>
      </c>
      <c r="N336" s="4">
        <v>0</v>
      </c>
    </row>
    <row r="337" spans="1:14">
      <c r="A337" s="3">
        <v>806511</v>
      </c>
      <c r="B337" s="3">
        <v>119071</v>
      </c>
      <c r="C337" s="4">
        <v>26.5</v>
      </c>
      <c r="D337" s="4">
        <v>30</v>
      </c>
      <c r="E337" s="4">
        <v>28.75</v>
      </c>
      <c r="F337" s="4">
        <v>26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>
      <c r="A338" s="3">
        <v>806511</v>
      </c>
      <c r="B338" s="3">
        <v>208268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28.5</v>
      </c>
      <c r="J338" s="4">
        <v>13</v>
      </c>
      <c r="K338" s="4">
        <v>50</v>
      </c>
      <c r="L338" s="4">
        <v>10</v>
      </c>
      <c r="M338" s="4">
        <v>42.5</v>
      </c>
      <c r="N338" s="4">
        <v>5</v>
      </c>
    </row>
    <row r="339" spans="1:14">
      <c r="A339" s="3">
        <v>806517</v>
      </c>
      <c r="B339" s="3">
        <v>170692</v>
      </c>
      <c r="C339" s="4">
        <v>80</v>
      </c>
      <c r="D339" s="4">
        <v>50</v>
      </c>
      <c r="E339" s="4">
        <v>80</v>
      </c>
      <c r="F339" s="4">
        <v>77.5</v>
      </c>
      <c r="G339" s="4">
        <v>25.5</v>
      </c>
      <c r="H339" s="4">
        <v>50</v>
      </c>
      <c r="I339" s="4">
        <v>61</v>
      </c>
      <c r="J339" s="4">
        <v>12.5</v>
      </c>
      <c r="K339" s="4">
        <v>64.5</v>
      </c>
      <c r="L339" s="4">
        <v>66</v>
      </c>
      <c r="M339" s="4">
        <v>15</v>
      </c>
      <c r="N339" s="4">
        <v>80</v>
      </c>
    </row>
    <row r="340" spans="1:14">
      <c r="A340" s="3">
        <v>806539</v>
      </c>
      <c r="B340" s="3">
        <v>149885</v>
      </c>
      <c r="C340" s="4">
        <v>7.5</v>
      </c>
      <c r="D340" s="4">
        <v>25</v>
      </c>
      <c r="E340" s="4">
        <v>22.5</v>
      </c>
      <c r="F340" s="4">
        <v>40</v>
      </c>
      <c r="G340" s="4">
        <v>11</v>
      </c>
      <c r="H340" s="4">
        <v>0</v>
      </c>
      <c r="I340" s="4">
        <v>20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</row>
    <row r="341" spans="1:14">
      <c r="A341" s="3">
        <v>806540</v>
      </c>
      <c r="B341" s="3">
        <v>119029</v>
      </c>
      <c r="C341" s="4">
        <v>42.5</v>
      </c>
      <c r="D341" s="4">
        <v>13</v>
      </c>
      <c r="E341" s="4">
        <v>20</v>
      </c>
      <c r="F341" s="4">
        <v>50</v>
      </c>
      <c r="G341" s="4">
        <v>31</v>
      </c>
      <c r="H341" s="4">
        <v>19.5</v>
      </c>
      <c r="I341" s="4">
        <v>20</v>
      </c>
      <c r="J341" s="4">
        <v>0</v>
      </c>
      <c r="K341" s="4">
        <v>40</v>
      </c>
      <c r="L341" s="4">
        <v>37</v>
      </c>
      <c r="M341" s="4">
        <v>0</v>
      </c>
      <c r="N341" s="4">
        <v>127</v>
      </c>
    </row>
    <row r="342" spans="1:14">
      <c r="A342" s="3">
        <v>806565</v>
      </c>
      <c r="B342" s="3">
        <v>119038</v>
      </c>
      <c r="C342" s="4">
        <v>30</v>
      </c>
      <c r="D342" s="4">
        <v>35</v>
      </c>
      <c r="E342" s="4">
        <v>15</v>
      </c>
      <c r="F342" s="4">
        <v>40</v>
      </c>
      <c r="G342" s="4">
        <v>24.5</v>
      </c>
      <c r="H342" s="4">
        <v>32</v>
      </c>
      <c r="I342" s="4">
        <v>52.5</v>
      </c>
      <c r="J342" s="4">
        <v>14</v>
      </c>
      <c r="K342" s="4">
        <v>25</v>
      </c>
      <c r="L342" s="4">
        <v>0</v>
      </c>
      <c r="M342" s="4">
        <v>50</v>
      </c>
      <c r="N342" s="4">
        <v>90.75</v>
      </c>
    </row>
    <row r="343" spans="1:14">
      <c r="A343" s="3">
        <v>806601</v>
      </c>
      <c r="B343" s="3">
        <v>119160</v>
      </c>
      <c r="C343" s="4">
        <v>103</v>
      </c>
      <c r="D343" s="4">
        <v>36.75</v>
      </c>
      <c r="E343" s="4">
        <v>85</v>
      </c>
      <c r="F343" s="4">
        <v>42.5</v>
      </c>
      <c r="G343" s="4">
        <v>7.5</v>
      </c>
      <c r="H343" s="4">
        <v>97.5</v>
      </c>
      <c r="I343" s="4">
        <v>108.5</v>
      </c>
      <c r="J343" s="4">
        <v>84.5</v>
      </c>
      <c r="K343" s="4">
        <v>37.5</v>
      </c>
      <c r="L343" s="4">
        <v>67.5</v>
      </c>
      <c r="M343" s="4">
        <v>95</v>
      </c>
      <c r="N343" s="4">
        <v>196</v>
      </c>
    </row>
    <row r="344" spans="1:14">
      <c r="A344" s="3">
        <v>806615</v>
      </c>
      <c r="B344" s="3">
        <v>149765</v>
      </c>
      <c r="C344" s="4">
        <v>10</v>
      </c>
      <c r="D344" s="4">
        <v>10</v>
      </c>
      <c r="E344" s="4">
        <v>10</v>
      </c>
      <c r="F344" s="4">
        <v>0</v>
      </c>
      <c r="G344" s="4">
        <v>20</v>
      </c>
      <c r="H344" s="4">
        <v>40</v>
      </c>
      <c r="I344" s="4">
        <v>34</v>
      </c>
      <c r="J344" s="4">
        <v>30</v>
      </c>
      <c r="K344" s="4">
        <v>30</v>
      </c>
      <c r="L344" s="4">
        <v>10</v>
      </c>
      <c r="M344" s="4">
        <v>31</v>
      </c>
      <c r="N344" s="4">
        <v>20</v>
      </c>
    </row>
    <row r="345" spans="1:14">
      <c r="A345" s="3">
        <v>806616</v>
      </c>
      <c r="B345" s="3">
        <v>141512</v>
      </c>
      <c r="C345" s="4">
        <v>28.5</v>
      </c>
      <c r="D345" s="4">
        <v>74.5</v>
      </c>
      <c r="E345" s="4">
        <v>101</v>
      </c>
      <c r="F345" s="4">
        <v>58.55</v>
      </c>
      <c r="G345" s="4">
        <v>103.5</v>
      </c>
      <c r="H345" s="4">
        <v>30</v>
      </c>
      <c r="I345" s="4">
        <v>57.5</v>
      </c>
      <c r="J345" s="4">
        <v>50.25</v>
      </c>
      <c r="K345" s="4">
        <v>85.45</v>
      </c>
      <c r="L345" s="4">
        <v>20.85</v>
      </c>
      <c r="M345" s="4">
        <v>52.5</v>
      </c>
      <c r="N345" s="4">
        <v>43</v>
      </c>
    </row>
    <row r="346" spans="1:14">
      <c r="A346" s="3">
        <v>806620</v>
      </c>
      <c r="B346" s="3">
        <v>148629</v>
      </c>
      <c r="C346" s="4">
        <v>10</v>
      </c>
      <c r="D346" s="4">
        <v>29.5</v>
      </c>
      <c r="E346" s="4">
        <v>10</v>
      </c>
      <c r="F346" s="4">
        <v>30</v>
      </c>
      <c r="G346" s="4">
        <v>74</v>
      </c>
      <c r="H346" s="4">
        <v>67.5</v>
      </c>
      <c r="I346" s="4">
        <v>29</v>
      </c>
      <c r="J346" s="4">
        <v>5</v>
      </c>
      <c r="K346" s="4">
        <v>24</v>
      </c>
      <c r="L346" s="4">
        <v>0</v>
      </c>
      <c r="M346" s="4">
        <v>0</v>
      </c>
      <c r="N346" s="4">
        <v>35</v>
      </c>
    </row>
    <row r="347" spans="1:14">
      <c r="A347" s="3">
        <v>806651</v>
      </c>
      <c r="B347" s="3">
        <v>122377</v>
      </c>
      <c r="C347" s="4">
        <v>0</v>
      </c>
      <c r="D347" s="4">
        <v>40</v>
      </c>
      <c r="E347" s="4">
        <v>85</v>
      </c>
      <c r="F347" s="4">
        <v>40</v>
      </c>
      <c r="G347" s="4">
        <v>45</v>
      </c>
      <c r="H347" s="4">
        <v>22</v>
      </c>
      <c r="I347" s="4">
        <v>35</v>
      </c>
      <c r="J347" s="4">
        <v>10</v>
      </c>
      <c r="K347" s="4">
        <v>30</v>
      </c>
      <c r="L347" s="4">
        <v>55</v>
      </c>
      <c r="M347" s="4">
        <v>62.5</v>
      </c>
      <c r="N347" s="4">
        <v>60</v>
      </c>
    </row>
    <row r="348" spans="1:14">
      <c r="A348" s="3">
        <v>806659</v>
      </c>
      <c r="B348" s="3">
        <v>171839</v>
      </c>
      <c r="C348" s="4">
        <v>20</v>
      </c>
      <c r="D348" s="4">
        <v>10</v>
      </c>
      <c r="E348" s="4">
        <v>35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</row>
    <row r="349" spans="1:14">
      <c r="A349" s="3">
        <v>806668</v>
      </c>
      <c r="B349" s="3">
        <v>177631</v>
      </c>
      <c r="C349" s="4">
        <v>54.6</v>
      </c>
      <c r="D349" s="4">
        <v>80</v>
      </c>
      <c r="E349" s="4">
        <v>83.5</v>
      </c>
      <c r="F349" s="4">
        <v>15</v>
      </c>
      <c r="G349" s="4">
        <v>0</v>
      </c>
      <c r="H349" s="4">
        <v>35.25</v>
      </c>
      <c r="I349" s="4">
        <v>15</v>
      </c>
      <c r="J349" s="4">
        <v>10</v>
      </c>
      <c r="K349" s="4">
        <v>10</v>
      </c>
      <c r="L349" s="4">
        <v>22.5</v>
      </c>
      <c r="M349" s="4">
        <v>72.5</v>
      </c>
      <c r="N349" s="4">
        <v>79</v>
      </c>
    </row>
    <row r="350" spans="1:14">
      <c r="A350" s="3">
        <v>806669</v>
      </c>
      <c r="B350" s="3">
        <v>177631</v>
      </c>
      <c r="C350" s="4">
        <v>5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>
      <c r="A351" s="3">
        <v>806670</v>
      </c>
      <c r="B351" s="3">
        <v>149885</v>
      </c>
      <c r="C351" s="4">
        <v>55</v>
      </c>
      <c r="D351" s="4">
        <v>10</v>
      </c>
      <c r="E351" s="4">
        <v>43</v>
      </c>
      <c r="F351" s="4">
        <v>39.5</v>
      </c>
      <c r="G351" s="4">
        <v>17.75</v>
      </c>
      <c r="H351" s="4">
        <v>60</v>
      </c>
      <c r="I351" s="4">
        <v>26</v>
      </c>
      <c r="J351" s="4">
        <v>0</v>
      </c>
      <c r="K351" s="4">
        <v>47.5</v>
      </c>
      <c r="L351" s="4">
        <v>7.5</v>
      </c>
      <c r="M351" s="4">
        <v>34.5</v>
      </c>
      <c r="N351" s="4">
        <v>66.5</v>
      </c>
    </row>
    <row r="352" spans="1:14">
      <c r="A352" s="3">
        <v>806689</v>
      </c>
      <c r="B352" s="3">
        <v>149765</v>
      </c>
      <c r="C352" s="4">
        <v>5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>
      <c r="A353" s="3">
        <v>806717</v>
      </c>
      <c r="B353" s="3">
        <v>141146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25</v>
      </c>
      <c r="L353" s="4">
        <v>0</v>
      </c>
      <c r="M353" s="4">
        <v>0</v>
      </c>
      <c r="N353" s="4">
        <v>0</v>
      </c>
    </row>
    <row r="354" spans="1:14">
      <c r="A354" s="3">
        <v>806720</v>
      </c>
      <c r="B354" s="3">
        <v>172252</v>
      </c>
      <c r="C354" s="4">
        <v>20</v>
      </c>
      <c r="D354" s="4">
        <v>35</v>
      </c>
      <c r="E354" s="4">
        <v>10</v>
      </c>
      <c r="F354" s="4">
        <v>44</v>
      </c>
      <c r="G354" s="4">
        <v>11</v>
      </c>
      <c r="H354" s="4">
        <v>20</v>
      </c>
      <c r="I354" s="4">
        <v>32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>
      <c r="A355" s="3">
        <v>806721</v>
      </c>
      <c r="B355" s="3">
        <v>140927</v>
      </c>
      <c r="C355" s="4">
        <v>10</v>
      </c>
      <c r="D355" s="4">
        <v>23.5</v>
      </c>
      <c r="E355" s="4">
        <v>15</v>
      </c>
      <c r="F355" s="4">
        <v>68.55</v>
      </c>
      <c r="G355" s="4">
        <v>50</v>
      </c>
      <c r="H355" s="4">
        <v>24</v>
      </c>
      <c r="I355" s="4">
        <v>34</v>
      </c>
      <c r="J355" s="4">
        <v>30</v>
      </c>
      <c r="K355" s="4">
        <v>62.5</v>
      </c>
      <c r="L355" s="4">
        <v>16</v>
      </c>
      <c r="M355" s="4">
        <v>54</v>
      </c>
      <c r="N355" s="4">
        <v>42.5</v>
      </c>
    </row>
    <row r="356" spans="1:14">
      <c r="A356" s="3">
        <v>806722</v>
      </c>
      <c r="B356" s="3">
        <v>119261</v>
      </c>
      <c r="C356" s="4">
        <v>30</v>
      </c>
      <c r="D356" s="4">
        <v>0</v>
      </c>
      <c r="E356" s="4">
        <v>0</v>
      </c>
      <c r="F356" s="4">
        <v>23</v>
      </c>
      <c r="G356" s="4">
        <v>10</v>
      </c>
      <c r="H356" s="4">
        <v>34.5</v>
      </c>
      <c r="I356" s="4">
        <v>50</v>
      </c>
      <c r="J356" s="4">
        <v>101</v>
      </c>
      <c r="K356" s="4">
        <v>110</v>
      </c>
      <c r="L356" s="4">
        <v>50</v>
      </c>
      <c r="M356" s="4">
        <v>100</v>
      </c>
      <c r="N356" s="4">
        <v>0</v>
      </c>
    </row>
    <row r="357" spans="1:14">
      <c r="A357" s="3">
        <v>806723</v>
      </c>
      <c r="B357" s="3">
        <v>119261</v>
      </c>
      <c r="C357" s="4">
        <v>50</v>
      </c>
      <c r="D357" s="4">
        <v>0</v>
      </c>
      <c r="E357" s="4">
        <v>53.5</v>
      </c>
      <c r="F357" s="4">
        <v>53.5</v>
      </c>
      <c r="G357" s="4">
        <v>51</v>
      </c>
      <c r="H357" s="4">
        <v>51</v>
      </c>
      <c r="I357" s="4">
        <v>101</v>
      </c>
      <c r="J357" s="4">
        <v>52</v>
      </c>
      <c r="K357" s="4">
        <v>31.5</v>
      </c>
      <c r="L357" s="4">
        <v>150</v>
      </c>
      <c r="M357" s="4">
        <v>0</v>
      </c>
      <c r="N357" s="4">
        <v>50</v>
      </c>
    </row>
    <row r="358" spans="1:14">
      <c r="A358" s="3">
        <v>806748</v>
      </c>
      <c r="B358" s="3">
        <v>170204</v>
      </c>
      <c r="C358" s="4">
        <v>35</v>
      </c>
      <c r="D358" s="4">
        <v>46</v>
      </c>
      <c r="E358" s="4">
        <v>87.5</v>
      </c>
      <c r="F358" s="4">
        <v>35</v>
      </c>
      <c r="G358" s="4">
        <v>15</v>
      </c>
      <c r="H358" s="4">
        <v>13</v>
      </c>
      <c r="I358" s="4">
        <v>42</v>
      </c>
      <c r="J358" s="4">
        <v>7</v>
      </c>
      <c r="K358" s="4">
        <v>35</v>
      </c>
      <c r="L358" s="4">
        <v>87</v>
      </c>
      <c r="M358" s="4">
        <v>36</v>
      </c>
      <c r="N358" s="4">
        <v>87</v>
      </c>
    </row>
    <row r="359" spans="1:14">
      <c r="A359" s="3">
        <v>806754</v>
      </c>
      <c r="B359" s="3">
        <v>177450</v>
      </c>
      <c r="C359" s="4">
        <v>60</v>
      </c>
      <c r="D359" s="4">
        <v>5</v>
      </c>
      <c r="E359" s="4">
        <v>22.599999999999998</v>
      </c>
      <c r="F359" s="4">
        <v>50</v>
      </c>
      <c r="G359" s="4">
        <v>65.75</v>
      </c>
      <c r="H359" s="4">
        <v>28</v>
      </c>
      <c r="I359" s="4">
        <v>30</v>
      </c>
      <c r="J359" s="4">
        <v>10</v>
      </c>
      <c r="K359" s="4">
        <v>57</v>
      </c>
      <c r="L359" s="4">
        <v>10</v>
      </c>
      <c r="M359" s="4">
        <v>35</v>
      </c>
      <c r="N359" s="4">
        <v>35</v>
      </c>
    </row>
    <row r="360" spans="1:14">
      <c r="A360" s="3">
        <v>806782</v>
      </c>
      <c r="B360" s="3">
        <v>119208</v>
      </c>
      <c r="C360" s="4">
        <v>45</v>
      </c>
      <c r="D360" s="4">
        <v>134</v>
      </c>
      <c r="E360" s="4">
        <v>20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42</v>
      </c>
    </row>
    <row r="361" spans="1:14">
      <c r="A361" s="3">
        <v>806802</v>
      </c>
      <c r="B361" s="3">
        <v>122377</v>
      </c>
      <c r="C361" s="4">
        <v>92</v>
      </c>
      <c r="D361" s="4">
        <v>95</v>
      </c>
      <c r="E361" s="4">
        <v>85</v>
      </c>
      <c r="F361" s="4">
        <v>67</v>
      </c>
      <c r="G361" s="4">
        <v>60</v>
      </c>
      <c r="H361" s="4">
        <v>45</v>
      </c>
      <c r="I361" s="4">
        <v>125</v>
      </c>
      <c r="J361" s="4">
        <v>42.5</v>
      </c>
      <c r="K361" s="4">
        <v>102.25</v>
      </c>
      <c r="L361" s="4">
        <v>90</v>
      </c>
      <c r="M361" s="4">
        <v>137</v>
      </c>
      <c r="N361" s="4">
        <v>262</v>
      </c>
    </row>
    <row r="362" spans="1:14">
      <c r="A362" s="3">
        <v>806804</v>
      </c>
      <c r="B362" s="3">
        <v>171923</v>
      </c>
      <c r="C362" s="4">
        <v>44</v>
      </c>
      <c r="D362" s="4">
        <v>59</v>
      </c>
      <c r="E362" s="4">
        <v>56.5</v>
      </c>
      <c r="F362" s="4">
        <v>99</v>
      </c>
      <c r="G362" s="4">
        <v>58</v>
      </c>
      <c r="H362" s="4">
        <v>40</v>
      </c>
      <c r="I362" s="4">
        <v>40</v>
      </c>
      <c r="J362" s="4">
        <v>20</v>
      </c>
      <c r="K362" s="4">
        <v>45</v>
      </c>
      <c r="L362" s="4">
        <v>75</v>
      </c>
      <c r="M362" s="4">
        <v>60</v>
      </c>
      <c r="N362" s="4">
        <v>30</v>
      </c>
    </row>
    <row r="363" spans="1:14">
      <c r="A363" s="3">
        <v>806805</v>
      </c>
      <c r="B363" s="3">
        <v>145394</v>
      </c>
      <c r="C363" s="4">
        <v>0</v>
      </c>
      <c r="D363" s="4">
        <v>0</v>
      </c>
      <c r="E363" s="4">
        <v>30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</row>
    <row r="364" spans="1:14">
      <c r="A364" s="3">
        <v>806805</v>
      </c>
      <c r="B364" s="3">
        <v>171923</v>
      </c>
      <c r="C364" s="4">
        <v>25</v>
      </c>
      <c r="D364" s="4">
        <v>30</v>
      </c>
      <c r="E364" s="4">
        <v>45</v>
      </c>
      <c r="F364" s="4">
        <v>22.5</v>
      </c>
      <c r="G364" s="4">
        <v>36.5</v>
      </c>
      <c r="H364" s="4">
        <v>20</v>
      </c>
      <c r="I364" s="4">
        <v>15</v>
      </c>
      <c r="J364" s="4">
        <v>20</v>
      </c>
      <c r="K364" s="4">
        <v>40</v>
      </c>
      <c r="L364" s="4">
        <v>50</v>
      </c>
      <c r="M364" s="4">
        <v>35</v>
      </c>
      <c r="N364" s="4">
        <v>73.5</v>
      </c>
    </row>
    <row r="365" spans="1:14">
      <c r="A365" s="3">
        <v>806827</v>
      </c>
      <c r="B365" s="3">
        <v>140848</v>
      </c>
      <c r="C365" s="4">
        <v>23.5</v>
      </c>
      <c r="D365" s="4">
        <v>7.5</v>
      </c>
      <c r="E365" s="4">
        <v>0</v>
      </c>
      <c r="F365" s="4">
        <v>0</v>
      </c>
      <c r="G365" s="4">
        <v>10</v>
      </c>
      <c r="H365" s="4">
        <v>7.5</v>
      </c>
      <c r="I365" s="4">
        <v>0</v>
      </c>
      <c r="J365" s="4">
        <v>10</v>
      </c>
      <c r="K365" s="4">
        <v>57.5</v>
      </c>
      <c r="L365" s="4">
        <v>25</v>
      </c>
      <c r="M365" s="4">
        <v>10</v>
      </c>
      <c r="N365" s="4">
        <v>58.5</v>
      </c>
    </row>
    <row r="366" spans="1:14">
      <c r="A366" s="3">
        <v>806828</v>
      </c>
      <c r="B366" s="3">
        <v>178764</v>
      </c>
      <c r="C366" s="4">
        <v>0</v>
      </c>
      <c r="D366" s="4">
        <v>0</v>
      </c>
      <c r="E366" s="4">
        <v>0</v>
      </c>
      <c r="F366" s="4">
        <v>20</v>
      </c>
      <c r="G366" s="4">
        <v>0</v>
      </c>
      <c r="H366" s="4">
        <v>0</v>
      </c>
      <c r="I366" s="4">
        <v>0</v>
      </c>
      <c r="J366" s="4">
        <v>0</v>
      </c>
      <c r="K366" s="4">
        <v>20</v>
      </c>
      <c r="L366" s="4">
        <v>25</v>
      </c>
      <c r="M366" s="4">
        <v>0</v>
      </c>
      <c r="N366" s="4">
        <v>15</v>
      </c>
    </row>
    <row r="367" spans="1:14">
      <c r="A367" s="3">
        <v>806829</v>
      </c>
      <c r="B367" s="3">
        <v>171839</v>
      </c>
      <c r="C367" s="4">
        <v>23</v>
      </c>
      <c r="D367" s="4">
        <v>65</v>
      </c>
      <c r="E367" s="4">
        <v>62</v>
      </c>
      <c r="F367" s="4">
        <v>78</v>
      </c>
      <c r="G367" s="4">
        <v>4.5</v>
      </c>
      <c r="H367" s="4">
        <v>63.5</v>
      </c>
      <c r="I367" s="4">
        <v>50</v>
      </c>
      <c r="J367" s="4">
        <v>0</v>
      </c>
      <c r="K367" s="4">
        <v>67</v>
      </c>
      <c r="L367" s="4">
        <v>44</v>
      </c>
      <c r="M367" s="4">
        <v>51.5</v>
      </c>
      <c r="N367" s="4">
        <v>92</v>
      </c>
    </row>
    <row r="368" spans="1:14">
      <c r="A368" s="3">
        <v>806830</v>
      </c>
      <c r="B368" s="3">
        <v>119038</v>
      </c>
      <c r="C368" s="4">
        <v>30</v>
      </c>
      <c r="D368" s="4">
        <v>34</v>
      </c>
      <c r="E368" s="4">
        <v>57</v>
      </c>
      <c r="F368" s="4">
        <v>40</v>
      </c>
      <c r="G368" s="4">
        <v>20</v>
      </c>
      <c r="H368" s="4">
        <v>28.5</v>
      </c>
      <c r="I368" s="4">
        <v>0</v>
      </c>
      <c r="J368" s="4">
        <v>20</v>
      </c>
      <c r="K368" s="4">
        <v>39.5</v>
      </c>
      <c r="L368" s="4">
        <v>29.5</v>
      </c>
      <c r="M368" s="4">
        <v>30</v>
      </c>
      <c r="N368" s="4">
        <v>80</v>
      </c>
    </row>
    <row r="369" spans="1:14">
      <c r="A369" s="3">
        <v>806841</v>
      </c>
      <c r="B369" s="3">
        <v>171226</v>
      </c>
      <c r="C369" s="4">
        <v>20</v>
      </c>
      <c r="D369" s="4">
        <v>67</v>
      </c>
      <c r="E369" s="4">
        <v>126</v>
      </c>
      <c r="F369" s="4">
        <v>25</v>
      </c>
      <c r="G369" s="4">
        <v>0</v>
      </c>
      <c r="H369" s="4">
        <v>25</v>
      </c>
      <c r="I369" s="4">
        <v>0</v>
      </c>
      <c r="J369" s="4">
        <v>20</v>
      </c>
      <c r="K369" s="4">
        <v>104</v>
      </c>
      <c r="L369" s="4">
        <v>52</v>
      </c>
      <c r="M369" s="4">
        <v>35</v>
      </c>
      <c r="N369" s="4">
        <v>35</v>
      </c>
    </row>
    <row r="370" spans="1:14">
      <c r="A370" s="3">
        <v>806843</v>
      </c>
      <c r="B370" s="3">
        <v>171839</v>
      </c>
      <c r="C370" s="4">
        <v>10</v>
      </c>
      <c r="D370" s="4">
        <v>81</v>
      </c>
      <c r="E370" s="4">
        <v>14.8</v>
      </c>
      <c r="F370" s="4">
        <v>52</v>
      </c>
      <c r="G370" s="4">
        <v>4.5</v>
      </c>
      <c r="H370" s="4">
        <v>110.5</v>
      </c>
      <c r="I370" s="4">
        <v>95</v>
      </c>
      <c r="J370" s="4">
        <v>30</v>
      </c>
      <c r="K370" s="4">
        <v>123</v>
      </c>
      <c r="L370" s="4">
        <v>36</v>
      </c>
      <c r="M370" s="4">
        <v>0</v>
      </c>
      <c r="N370" s="4">
        <v>44</v>
      </c>
    </row>
    <row r="371" spans="1:14">
      <c r="A371" s="3">
        <v>806862</v>
      </c>
      <c r="B371" s="3">
        <v>171839</v>
      </c>
      <c r="C371" s="4">
        <v>45</v>
      </c>
      <c r="D371" s="4">
        <v>75</v>
      </c>
      <c r="E371" s="4">
        <v>100</v>
      </c>
      <c r="F371" s="4">
        <v>126</v>
      </c>
      <c r="G371" s="4">
        <v>14.5</v>
      </c>
      <c r="H371" s="4">
        <v>100</v>
      </c>
      <c r="I371" s="4">
        <v>70</v>
      </c>
      <c r="J371" s="4">
        <v>70</v>
      </c>
      <c r="K371" s="4">
        <v>173</v>
      </c>
      <c r="L371" s="4">
        <v>70</v>
      </c>
      <c r="M371" s="4">
        <v>30</v>
      </c>
      <c r="N371" s="4">
        <v>41</v>
      </c>
    </row>
    <row r="372" spans="1:14">
      <c r="A372" s="3">
        <v>806863</v>
      </c>
      <c r="B372" s="3">
        <v>119038</v>
      </c>
      <c r="C372" s="4">
        <v>22</v>
      </c>
      <c r="D372" s="4">
        <v>25</v>
      </c>
      <c r="E372" s="4">
        <v>145</v>
      </c>
      <c r="F372" s="4">
        <v>117</v>
      </c>
      <c r="G372" s="4">
        <v>60</v>
      </c>
      <c r="H372" s="4">
        <v>120</v>
      </c>
      <c r="I372" s="4">
        <v>145</v>
      </c>
      <c r="J372" s="4">
        <v>195</v>
      </c>
      <c r="K372" s="4">
        <v>265</v>
      </c>
      <c r="L372" s="4">
        <v>90.5</v>
      </c>
      <c r="M372" s="4">
        <v>169</v>
      </c>
      <c r="N372" s="4">
        <v>0</v>
      </c>
    </row>
    <row r="373" spans="1:14">
      <c r="A373" s="3">
        <v>806864</v>
      </c>
      <c r="B373" s="3">
        <v>175547</v>
      </c>
      <c r="C373" s="4">
        <v>30</v>
      </c>
      <c r="D373" s="4">
        <v>27</v>
      </c>
      <c r="E373" s="4">
        <v>15</v>
      </c>
      <c r="F373" s="4">
        <v>72</v>
      </c>
      <c r="G373" s="4">
        <v>110</v>
      </c>
      <c r="H373" s="4">
        <v>120</v>
      </c>
      <c r="I373" s="4">
        <v>171</v>
      </c>
      <c r="J373" s="4">
        <v>85</v>
      </c>
      <c r="K373" s="4">
        <v>116</v>
      </c>
      <c r="L373" s="4">
        <v>137</v>
      </c>
      <c r="M373" s="4">
        <v>125</v>
      </c>
      <c r="N373" s="4">
        <v>65</v>
      </c>
    </row>
    <row r="374" spans="1:14">
      <c r="A374" s="3">
        <v>806871</v>
      </c>
      <c r="B374" s="3">
        <v>119046</v>
      </c>
      <c r="C374" s="4">
        <v>10</v>
      </c>
      <c r="D374" s="4">
        <v>51.5</v>
      </c>
      <c r="E374" s="4">
        <v>81.5</v>
      </c>
      <c r="F374" s="4">
        <v>50</v>
      </c>
      <c r="G374" s="4">
        <v>62</v>
      </c>
      <c r="H374" s="4">
        <v>20</v>
      </c>
      <c r="I374" s="4">
        <v>0</v>
      </c>
      <c r="J374" s="4">
        <v>42</v>
      </c>
      <c r="K374" s="4">
        <v>0</v>
      </c>
      <c r="L374" s="4">
        <v>0</v>
      </c>
      <c r="M374" s="4">
        <v>51.5</v>
      </c>
      <c r="N374" s="4">
        <v>45</v>
      </c>
    </row>
    <row r="375" spans="1:14">
      <c r="A375" s="3">
        <v>806872</v>
      </c>
      <c r="B375" s="3">
        <v>119026</v>
      </c>
      <c r="C375" s="4">
        <v>20</v>
      </c>
      <c r="D375" s="4">
        <v>10</v>
      </c>
      <c r="E375" s="4">
        <v>10</v>
      </c>
      <c r="F375" s="4">
        <v>35</v>
      </c>
      <c r="G375" s="4">
        <v>0</v>
      </c>
      <c r="H375" s="4">
        <v>0</v>
      </c>
      <c r="I375" s="4">
        <v>10</v>
      </c>
      <c r="J375" s="4">
        <v>0</v>
      </c>
      <c r="K375" s="4">
        <v>35</v>
      </c>
      <c r="L375" s="4">
        <v>15</v>
      </c>
      <c r="M375" s="4">
        <v>10</v>
      </c>
      <c r="N375" s="4">
        <v>5</v>
      </c>
    </row>
    <row r="376" spans="1:14">
      <c r="A376" s="3">
        <v>806882</v>
      </c>
      <c r="B376" s="3">
        <v>119023</v>
      </c>
      <c r="C376" s="4">
        <v>104</v>
      </c>
      <c r="D376" s="4">
        <v>115</v>
      </c>
      <c r="E376" s="4">
        <v>215</v>
      </c>
      <c r="F376" s="4">
        <v>225</v>
      </c>
      <c r="G376" s="4">
        <v>88.5</v>
      </c>
      <c r="H376" s="4">
        <v>220</v>
      </c>
      <c r="I376" s="4">
        <v>129</v>
      </c>
      <c r="J376" s="4">
        <v>0</v>
      </c>
      <c r="K376" s="4">
        <v>113</v>
      </c>
      <c r="L376" s="4">
        <v>53</v>
      </c>
      <c r="M376" s="4">
        <v>107</v>
      </c>
      <c r="N376" s="4">
        <v>149</v>
      </c>
    </row>
    <row r="377" spans="1:14">
      <c r="A377" s="3">
        <v>806883</v>
      </c>
      <c r="B377" s="3">
        <v>119026</v>
      </c>
      <c r="C377" s="4">
        <v>112.5</v>
      </c>
      <c r="D377" s="4">
        <v>13.5</v>
      </c>
      <c r="E377" s="4">
        <v>118.5</v>
      </c>
      <c r="F377" s="4">
        <v>25</v>
      </c>
      <c r="G377" s="4">
        <v>45</v>
      </c>
      <c r="H377" s="4">
        <v>67.5</v>
      </c>
      <c r="I377" s="4">
        <v>77.95</v>
      </c>
      <c r="J377" s="4">
        <v>35</v>
      </c>
      <c r="K377" s="4">
        <v>22.5</v>
      </c>
      <c r="L377" s="4">
        <v>170.75</v>
      </c>
      <c r="M377" s="4">
        <v>10</v>
      </c>
      <c r="N377" s="4">
        <v>120</v>
      </c>
    </row>
    <row r="378" spans="1:14">
      <c r="A378" s="3">
        <v>806885</v>
      </c>
      <c r="B378" s="3">
        <v>206441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14</v>
      </c>
      <c r="J378" s="4">
        <v>62.5</v>
      </c>
      <c r="K378" s="4">
        <v>60</v>
      </c>
      <c r="L378" s="4">
        <v>30</v>
      </c>
      <c r="M378" s="4">
        <v>15</v>
      </c>
      <c r="N378" s="4">
        <v>30</v>
      </c>
    </row>
    <row r="379" spans="1:14">
      <c r="A379" s="3">
        <v>806887</v>
      </c>
      <c r="B379" s="3">
        <v>119071</v>
      </c>
      <c r="C379" s="4">
        <v>50</v>
      </c>
      <c r="D379" s="4">
        <v>76.5</v>
      </c>
      <c r="E379" s="4">
        <v>163.80000000000001</v>
      </c>
      <c r="F379" s="4">
        <v>104.25</v>
      </c>
      <c r="G379" s="4">
        <v>92.5</v>
      </c>
      <c r="H379" s="4">
        <v>103.75</v>
      </c>
      <c r="I379" s="4">
        <v>70</v>
      </c>
      <c r="J379" s="4">
        <v>46</v>
      </c>
      <c r="K379" s="4">
        <v>201.85</v>
      </c>
      <c r="L379" s="4">
        <v>40.25</v>
      </c>
      <c r="M379" s="4">
        <v>101.5</v>
      </c>
      <c r="N379" s="4">
        <v>60</v>
      </c>
    </row>
    <row r="380" spans="1:14">
      <c r="A380" s="3">
        <v>806898</v>
      </c>
      <c r="B380" s="3">
        <v>141512</v>
      </c>
      <c r="C380" s="4">
        <v>81.5</v>
      </c>
      <c r="D380" s="4">
        <v>131.44999999999999</v>
      </c>
      <c r="E380" s="4">
        <v>153</v>
      </c>
      <c r="F380" s="4">
        <v>118</v>
      </c>
      <c r="G380" s="4">
        <v>50.75</v>
      </c>
      <c r="H380" s="4">
        <v>20</v>
      </c>
      <c r="I380" s="4">
        <v>54.55</v>
      </c>
      <c r="J380" s="4">
        <v>59.75</v>
      </c>
      <c r="K380" s="4">
        <v>59.5</v>
      </c>
      <c r="L380" s="4">
        <v>20</v>
      </c>
      <c r="M380" s="4">
        <v>60.5</v>
      </c>
      <c r="N380" s="4">
        <v>108</v>
      </c>
    </row>
    <row r="381" spans="1:14">
      <c r="A381" s="3">
        <v>806915</v>
      </c>
      <c r="B381" s="3">
        <v>119028</v>
      </c>
      <c r="C381" s="4">
        <v>31</v>
      </c>
      <c r="D381" s="4">
        <v>0</v>
      </c>
      <c r="E381" s="4">
        <v>0</v>
      </c>
      <c r="F381" s="4">
        <v>51</v>
      </c>
      <c r="G381" s="4">
        <v>26</v>
      </c>
      <c r="H381" s="4">
        <v>62</v>
      </c>
      <c r="I381" s="4">
        <v>0</v>
      </c>
      <c r="J381" s="4">
        <v>0</v>
      </c>
      <c r="K381" s="4">
        <v>15</v>
      </c>
      <c r="L381" s="4">
        <v>10</v>
      </c>
      <c r="M381" s="4">
        <v>26</v>
      </c>
      <c r="N381" s="4">
        <v>62</v>
      </c>
    </row>
    <row r="382" spans="1:14">
      <c r="A382" s="3">
        <v>806922</v>
      </c>
      <c r="B382" s="3">
        <v>170847</v>
      </c>
      <c r="C382" s="4">
        <v>22</v>
      </c>
      <c r="D382" s="4">
        <v>15</v>
      </c>
      <c r="E382" s="4">
        <v>10</v>
      </c>
      <c r="F382" s="4">
        <v>35</v>
      </c>
      <c r="G382" s="4">
        <v>0</v>
      </c>
      <c r="H382" s="4">
        <v>26</v>
      </c>
      <c r="I382" s="4">
        <v>36</v>
      </c>
      <c r="J382" s="4">
        <v>0</v>
      </c>
      <c r="K382" s="4">
        <v>46</v>
      </c>
      <c r="L382" s="4">
        <v>54.5</v>
      </c>
      <c r="M382" s="4">
        <v>47</v>
      </c>
      <c r="N382" s="4">
        <v>45</v>
      </c>
    </row>
    <row r="383" spans="1:14">
      <c r="A383" s="3">
        <v>806923</v>
      </c>
      <c r="B383" s="3">
        <v>170847</v>
      </c>
      <c r="C383" s="4">
        <v>11</v>
      </c>
      <c r="D383" s="4">
        <v>3.8</v>
      </c>
      <c r="E383" s="4">
        <v>30</v>
      </c>
      <c r="F383" s="4">
        <v>24</v>
      </c>
      <c r="G383" s="4">
        <v>40</v>
      </c>
      <c r="H383" s="4">
        <v>10</v>
      </c>
      <c r="I383" s="4">
        <v>20</v>
      </c>
      <c r="J383" s="4">
        <v>0</v>
      </c>
      <c r="K383" s="4">
        <v>37.5</v>
      </c>
      <c r="L383" s="4">
        <v>0</v>
      </c>
      <c r="M383" s="4">
        <v>16</v>
      </c>
      <c r="N383" s="4">
        <v>42</v>
      </c>
    </row>
    <row r="384" spans="1:14">
      <c r="A384" s="3">
        <v>806926</v>
      </c>
      <c r="B384" s="3">
        <v>119047</v>
      </c>
      <c r="C384" s="4">
        <v>34</v>
      </c>
      <c r="D384" s="4">
        <v>33.5</v>
      </c>
      <c r="E384" s="4">
        <v>21.5</v>
      </c>
      <c r="F384" s="4">
        <v>91.5</v>
      </c>
      <c r="G384" s="4">
        <v>42</v>
      </c>
      <c r="H384" s="4">
        <v>57</v>
      </c>
      <c r="I384" s="4">
        <v>20</v>
      </c>
      <c r="J384" s="4">
        <v>50</v>
      </c>
      <c r="K384" s="4">
        <v>50</v>
      </c>
      <c r="L384" s="4">
        <v>42.5</v>
      </c>
      <c r="M384" s="4">
        <v>0</v>
      </c>
      <c r="N384" s="4">
        <v>48</v>
      </c>
    </row>
    <row r="385" spans="1:14">
      <c r="A385" s="3">
        <v>806939</v>
      </c>
      <c r="B385" s="3">
        <v>141556</v>
      </c>
      <c r="C385" s="4">
        <v>98.5</v>
      </c>
      <c r="D385" s="4">
        <v>109.5</v>
      </c>
      <c r="E385" s="4">
        <v>111</v>
      </c>
      <c r="F385" s="4">
        <v>86.5</v>
      </c>
      <c r="G385" s="4">
        <v>61</v>
      </c>
      <c r="H385" s="4">
        <v>84.5</v>
      </c>
      <c r="I385" s="4">
        <v>60</v>
      </c>
      <c r="J385" s="4">
        <v>15</v>
      </c>
      <c r="K385" s="4">
        <v>65</v>
      </c>
      <c r="L385" s="4">
        <v>46.5</v>
      </c>
      <c r="M385" s="4">
        <v>60</v>
      </c>
      <c r="N385" s="4">
        <v>142.5</v>
      </c>
    </row>
    <row r="386" spans="1:14">
      <c r="A386" s="3">
        <v>806943</v>
      </c>
      <c r="B386" s="3">
        <v>119028</v>
      </c>
      <c r="C386" s="4">
        <v>0</v>
      </c>
      <c r="D386" s="4">
        <v>0</v>
      </c>
      <c r="E386" s="4">
        <v>0</v>
      </c>
      <c r="F386" s="4">
        <v>0</v>
      </c>
      <c r="G386" s="4">
        <v>30</v>
      </c>
      <c r="H386" s="4">
        <v>31</v>
      </c>
      <c r="I386" s="4">
        <v>0</v>
      </c>
      <c r="J386" s="4">
        <v>0</v>
      </c>
      <c r="K386" s="4">
        <v>10</v>
      </c>
      <c r="L386" s="4">
        <v>0</v>
      </c>
      <c r="M386" s="4">
        <v>0</v>
      </c>
      <c r="N386" s="4">
        <v>93</v>
      </c>
    </row>
    <row r="387" spans="1:14">
      <c r="A387" s="3">
        <v>806968</v>
      </c>
      <c r="B387" s="3">
        <v>170200</v>
      </c>
      <c r="C387" s="4">
        <v>35</v>
      </c>
      <c r="D387" s="4">
        <v>0</v>
      </c>
      <c r="E387" s="4">
        <v>102.5</v>
      </c>
      <c r="F387" s="4">
        <v>0</v>
      </c>
      <c r="G387" s="4">
        <v>20</v>
      </c>
      <c r="H387" s="4">
        <v>25</v>
      </c>
      <c r="I387" s="4">
        <v>15</v>
      </c>
      <c r="J387" s="4">
        <v>70</v>
      </c>
      <c r="K387" s="4">
        <v>0</v>
      </c>
      <c r="L387" s="4">
        <v>15</v>
      </c>
      <c r="M387" s="4">
        <v>0</v>
      </c>
      <c r="N387" s="4">
        <v>0</v>
      </c>
    </row>
    <row r="388" spans="1:14">
      <c r="A388" s="3">
        <v>806969</v>
      </c>
      <c r="B388" s="3">
        <v>119034</v>
      </c>
      <c r="C388" s="4">
        <v>15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</row>
    <row r="389" spans="1:14">
      <c r="A389" s="3">
        <v>806971</v>
      </c>
      <c r="B389" s="3">
        <v>140860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10</v>
      </c>
      <c r="N389" s="4">
        <v>0</v>
      </c>
    </row>
    <row r="390" spans="1:14">
      <c r="A390" s="3">
        <v>806972</v>
      </c>
      <c r="B390" s="3">
        <v>147364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30</v>
      </c>
      <c r="I390" s="4">
        <v>10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>
      <c r="A391" s="3">
        <v>806973</v>
      </c>
      <c r="B391" s="3">
        <v>141115</v>
      </c>
      <c r="C391" s="4">
        <v>0</v>
      </c>
      <c r="D391" s="4">
        <v>0</v>
      </c>
      <c r="E391" s="4">
        <v>108</v>
      </c>
      <c r="F391" s="4">
        <v>0</v>
      </c>
      <c r="G391" s="4">
        <v>32.5</v>
      </c>
      <c r="H391" s="4">
        <v>33.5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>
      <c r="A392" s="3">
        <v>806975</v>
      </c>
      <c r="B392" s="3">
        <v>141115</v>
      </c>
      <c r="C392" s="4">
        <v>60</v>
      </c>
      <c r="D392" s="4">
        <v>61.25</v>
      </c>
      <c r="E392" s="4">
        <v>49</v>
      </c>
      <c r="F392" s="4">
        <v>52.5</v>
      </c>
      <c r="G392" s="4">
        <v>58.75</v>
      </c>
      <c r="H392" s="4">
        <v>62</v>
      </c>
      <c r="I392" s="4">
        <v>60</v>
      </c>
      <c r="J392" s="4">
        <v>25</v>
      </c>
      <c r="K392" s="4">
        <v>101</v>
      </c>
      <c r="L392" s="4">
        <v>74</v>
      </c>
      <c r="M392" s="4">
        <v>62</v>
      </c>
      <c r="N392" s="4">
        <v>80.25</v>
      </c>
    </row>
    <row r="393" spans="1:14">
      <c r="A393" s="3">
        <v>806996</v>
      </c>
      <c r="B393" s="3">
        <v>140858</v>
      </c>
      <c r="C393" s="4">
        <v>8.5</v>
      </c>
      <c r="D393" s="4">
        <v>10</v>
      </c>
      <c r="E393" s="4">
        <v>10</v>
      </c>
      <c r="F393" s="4">
        <v>15</v>
      </c>
      <c r="G393" s="4">
        <v>40</v>
      </c>
      <c r="H393" s="4">
        <v>47.5</v>
      </c>
      <c r="I393" s="4">
        <v>55</v>
      </c>
      <c r="J393" s="4">
        <v>25</v>
      </c>
      <c r="K393" s="4">
        <v>30</v>
      </c>
      <c r="L393" s="4">
        <v>20</v>
      </c>
      <c r="M393" s="4">
        <v>10</v>
      </c>
      <c r="N393" s="4">
        <v>20</v>
      </c>
    </row>
    <row r="394" spans="1:14">
      <c r="A394" s="3">
        <v>806999</v>
      </c>
      <c r="B394" s="3">
        <v>171578</v>
      </c>
      <c r="C394" s="4">
        <v>25</v>
      </c>
      <c r="D394" s="4">
        <v>10</v>
      </c>
      <c r="E394" s="4">
        <v>35</v>
      </c>
      <c r="F394" s="4">
        <v>70</v>
      </c>
      <c r="G394" s="4">
        <v>37.5</v>
      </c>
      <c r="H394" s="4">
        <v>40</v>
      </c>
      <c r="I394" s="4">
        <v>5</v>
      </c>
      <c r="J394" s="4">
        <v>20</v>
      </c>
      <c r="K394" s="4">
        <v>113</v>
      </c>
      <c r="L394" s="4">
        <v>52.5</v>
      </c>
      <c r="M394" s="4">
        <v>95.1</v>
      </c>
      <c r="N394" s="4">
        <v>107.45</v>
      </c>
    </row>
    <row r="395" spans="1:14">
      <c r="A395" s="3">
        <v>807002</v>
      </c>
      <c r="B395" s="3">
        <v>171479</v>
      </c>
      <c r="C395" s="4">
        <v>113</v>
      </c>
      <c r="D395" s="4">
        <v>116.6</v>
      </c>
      <c r="E395" s="4">
        <v>99</v>
      </c>
      <c r="F395" s="4">
        <v>167.5</v>
      </c>
      <c r="G395" s="4">
        <v>171.5</v>
      </c>
      <c r="H395" s="4">
        <v>153</v>
      </c>
      <c r="I395" s="4">
        <v>141</v>
      </c>
      <c r="J395" s="4">
        <v>34.5</v>
      </c>
      <c r="K395" s="4">
        <v>149.5</v>
      </c>
      <c r="L395" s="4">
        <v>25</v>
      </c>
      <c r="M395" s="4">
        <v>10</v>
      </c>
      <c r="N395" s="4">
        <v>107.5</v>
      </c>
    </row>
    <row r="396" spans="1:14">
      <c r="A396" s="3">
        <v>807016</v>
      </c>
      <c r="B396" s="3">
        <v>140967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68</v>
      </c>
      <c r="J396" s="4">
        <v>0</v>
      </c>
      <c r="K396" s="4">
        <v>7.5</v>
      </c>
      <c r="L396" s="4">
        <v>70</v>
      </c>
      <c r="M396" s="4">
        <v>0</v>
      </c>
      <c r="N396" s="4">
        <v>10</v>
      </c>
    </row>
    <row r="397" spans="1:14">
      <c r="A397" s="3">
        <v>807017</v>
      </c>
      <c r="B397" s="3">
        <v>170204</v>
      </c>
      <c r="C397" s="4">
        <v>70</v>
      </c>
      <c r="D397" s="4">
        <v>94</v>
      </c>
      <c r="E397" s="4">
        <v>65</v>
      </c>
      <c r="F397" s="4">
        <v>35</v>
      </c>
      <c r="G397" s="4">
        <v>10</v>
      </c>
      <c r="H397" s="4">
        <v>37.5</v>
      </c>
      <c r="I397" s="4">
        <v>80</v>
      </c>
      <c r="J397" s="4">
        <v>15</v>
      </c>
      <c r="K397" s="4">
        <v>55</v>
      </c>
      <c r="L397" s="4">
        <v>20</v>
      </c>
      <c r="M397" s="4">
        <v>20</v>
      </c>
      <c r="N397" s="4">
        <v>134</v>
      </c>
    </row>
    <row r="398" spans="1:14">
      <c r="A398" s="3">
        <v>807025</v>
      </c>
      <c r="B398" s="3">
        <v>146968</v>
      </c>
      <c r="C398" s="4">
        <v>114</v>
      </c>
      <c r="D398" s="4">
        <v>104.25</v>
      </c>
      <c r="E398" s="4">
        <v>108.5</v>
      </c>
      <c r="F398" s="4">
        <v>83.25</v>
      </c>
      <c r="G398" s="4">
        <v>50</v>
      </c>
      <c r="H398" s="4">
        <v>77.75</v>
      </c>
      <c r="I398" s="4">
        <v>71.75</v>
      </c>
      <c r="J398" s="4">
        <v>50</v>
      </c>
      <c r="K398" s="4">
        <v>95</v>
      </c>
      <c r="L398" s="4">
        <v>100</v>
      </c>
      <c r="M398" s="4">
        <v>73</v>
      </c>
      <c r="N398" s="4">
        <v>79</v>
      </c>
    </row>
    <row r="399" spans="1:14">
      <c r="A399" s="3">
        <v>807026</v>
      </c>
      <c r="B399" s="3">
        <v>171909</v>
      </c>
      <c r="C399" s="4">
        <v>43.5</v>
      </c>
      <c r="D399" s="4">
        <v>40.75</v>
      </c>
      <c r="E399" s="4">
        <v>78.25</v>
      </c>
      <c r="F399" s="4">
        <v>58.5</v>
      </c>
      <c r="G399" s="4">
        <v>78.25</v>
      </c>
      <c r="H399" s="4">
        <v>13</v>
      </c>
      <c r="I399" s="4">
        <v>26.5</v>
      </c>
      <c r="J399" s="4">
        <v>5</v>
      </c>
      <c r="K399" s="4">
        <v>0</v>
      </c>
      <c r="L399" s="4">
        <v>0</v>
      </c>
      <c r="M399" s="4">
        <v>0</v>
      </c>
      <c r="N399" s="4">
        <v>5</v>
      </c>
    </row>
    <row r="400" spans="1:14">
      <c r="A400" s="3">
        <v>807053</v>
      </c>
      <c r="B400" s="3">
        <v>170617</v>
      </c>
      <c r="C400" s="4">
        <v>0</v>
      </c>
      <c r="D400" s="4">
        <v>0</v>
      </c>
      <c r="E400" s="4">
        <v>0</v>
      </c>
      <c r="F400" s="4">
        <v>0</v>
      </c>
      <c r="G400" s="4">
        <v>10</v>
      </c>
      <c r="H400" s="4">
        <v>2.5</v>
      </c>
      <c r="I400" s="4">
        <v>7.5</v>
      </c>
      <c r="J400" s="4">
        <v>0</v>
      </c>
      <c r="K400" s="4">
        <v>0</v>
      </c>
      <c r="L400" s="4">
        <v>10</v>
      </c>
      <c r="M400" s="4">
        <v>0</v>
      </c>
      <c r="N400" s="4">
        <v>0</v>
      </c>
    </row>
    <row r="401" spans="1:14">
      <c r="A401" s="3">
        <v>807054</v>
      </c>
      <c r="B401" s="3">
        <v>143301</v>
      </c>
      <c r="C401" s="4">
        <v>30.5</v>
      </c>
      <c r="D401" s="4">
        <v>0</v>
      </c>
      <c r="E401" s="4">
        <v>10</v>
      </c>
      <c r="F401" s="4">
        <v>47</v>
      </c>
      <c r="G401" s="4">
        <v>10</v>
      </c>
      <c r="H401" s="4">
        <v>17.5</v>
      </c>
      <c r="I401" s="4">
        <v>7.5</v>
      </c>
      <c r="J401" s="4">
        <v>0</v>
      </c>
      <c r="K401" s="4">
        <v>7.5</v>
      </c>
      <c r="L401" s="4">
        <v>0</v>
      </c>
      <c r="M401" s="4">
        <v>15</v>
      </c>
      <c r="N401" s="4">
        <v>0</v>
      </c>
    </row>
    <row r="402" spans="1:14">
      <c r="A402" s="3">
        <v>807055</v>
      </c>
      <c r="B402" s="3">
        <v>149885</v>
      </c>
      <c r="C402" s="4">
        <v>70.5</v>
      </c>
      <c r="D402" s="4">
        <v>14.5</v>
      </c>
      <c r="E402" s="4">
        <v>2.5</v>
      </c>
      <c r="F402" s="4">
        <v>40</v>
      </c>
      <c r="G402" s="4">
        <v>17.5</v>
      </c>
      <c r="H402" s="4">
        <v>0</v>
      </c>
      <c r="I402" s="4">
        <v>30.35</v>
      </c>
      <c r="J402" s="4">
        <v>0</v>
      </c>
      <c r="K402" s="4">
        <v>15</v>
      </c>
      <c r="L402" s="4">
        <v>0</v>
      </c>
      <c r="M402" s="4">
        <v>0</v>
      </c>
      <c r="N402" s="4">
        <v>0</v>
      </c>
    </row>
    <row r="403" spans="1:14">
      <c r="A403" s="3">
        <v>807056</v>
      </c>
      <c r="B403" s="3">
        <v>149885</v>
      </c>
      <c r="C403" s="4">
        <v>0</v>
      </c>
      <c r="D403" s="4">
        <v>15</v>
      </c>
      <c r="E403" s="4">
        <v>0</v>
      </c>
      <c r="F403" s="4">
        <v>15</v>
      </c>
      <c r="G403" s="4">
        <v>17.2</v>
      </c>
      <c r="H403" s="4">
        <v>0</v>
      </c>
      <c r="I403" s="4">
        <v>7.5</v>
      </c>
      <c r="J403" s="4">
        <v>0</v>
      </c>
      <c r="K403" s="4">
        <v>27.5</v>
      </c>
      <c r="L403" s="4">
        <v>0</v>
      </c>
      <c r="M403" s="4">
        <v>12.5</v>
      </c>
      <c r="N403" s="4">
        <v>0</v>
      </c>
    </row>
    <row r="404" spans="1:14">
      <c r="A404" s="3">
        <v>807065</v>
      </c>
      <c r="B404" s="3">
        <v>143301</v>
      </c>
      <c r="C404" s="4">
        <v>51.95</v>
      </c>
      <c r="D404" s="4">
        <v>0</v>
      </c>
      <c r="E404" s="4">
        <v>75.349999999999994</v>
      </c>
      <c r="F404" s="4">
        <v>64.5</v>
      </c>
      <c r="G404" s="4">
        <v>10</v>
      </c>
      <c r="H404" s="4">
        <v>84.5</v>
      </c>
      <c r="I404" s="4">
        <v>37.5</v>
      </c>
      <c r="J404" s="4">
        <v>20</v>
      </c>
      <c r="K404" s="4">
        <v>0</v>
      </c>
      <c r="L404" s="4">
        <v>0</v>
      </c>
      <c r="M404" s="4">
        <v>0</v>
      </c>
      <c r="N404" s="4">
        <v>0</v>
      </c>
    </row>
    <row r="405" spans="1:14">
      <c r="A405" s="3">
        <v>807066</v>
      </c>
      <c r="B405" s="3">
        <v>176015</v>
      </c>
      <c r="C405" s="4">
        <v>15</v>
      </c>
      <c r="D405" s="4">
        <v>0</v>
      </c>
      <c r="E405" s="4">
        <v>25</v>
      </c>
      <c r="F405" s="4">
        <v>35</v>
      </c>
      <c r="G405" s="4">
        <v>35</v>
      </c>
      <c r="H405" s="4">
        <v>44</v>
      </c>
      <c r="I405" s="4">
        <v>19.5</v>
      </c>
      <c r="J405" s="4">
        <v>5</v>
      </c>
      <c r="K405" s="4">
        <v>47</v>
      </c>
      <c r="L405" s="4">
        <v>32</v>
      </c>
      <c r="M405" s="4">
        <v>35</v>
      </c>
      <c r="N405" s="4">
        <v>108</v>
      </c>
    </row>
    <row r="406" spans="1:14">
      <c r="A406" s="3">
        <v>807103</v>
      </c>
      <c r="B406" s="3">
        <v>174034</v>
      </c>
      <c r="C406" s="4">
        <v>0</v>
      </c>
      <c r="D406" s="4">
        <v>0</v>
      </c>
      <c r="E406" s="4">
        <v>0</v>
      </c>
      <c r="F406" s="4">
        <v>10</v>
      </c>
      <c r="G406" s="4">
        <v>0</v>
      </c>
      <c r="H406" s="4">
        <v>11</v>
      </c>
      <c r="I406" s="4">
        <v>15</v>
      </c>
      <c r="J406" s="4">
        <v>0</v>
      </c>
      <c r="K406" s="4">
        <v>22.5</v>
      </c>
      <c r="L406" s="4">
        <v>20</v>
      </c>
      <c r="M406" s="4">
        <v>20</v>
      </c>
      <c r="N406" s="4">
        <v>0</v>
      </c>
    </row>
    <row r="407" spans="1:14">
      <c r="A407" s="3">
        <v>807104</v>
      </c>
      <c r="B407" s="3">
        <v>174034</v>
      </c>
      <c r="C407" s="4">
        <v>20</v>
      </c>
      <c r="D407" s="4">
        <v>0</v>
      </c>
      <c r="E407" s="4">
        <v>0</v>
      </c>
      <c r="F407" s="4">
        <v>21</v>
      </c>
      <c r="G407" s="4">
        <v>8</v>
      </c>
      <c r="H407" s="4">
        <v>115</v>
      </c>
      <c r="I407" s="4">
        <v>115</v>
      </c>
      <c r="J407" s="4">
        <v>25</v>
      </c>
      <c r="K407" s="4">
        <v>120</v>
      </c>
      <c r="L407" s="4">
        <v>20</v>
      </c>
      <c r="M407" s="4">
        <v>10</v>
      </c>
      <c r="N407" s="4">
        <v>30</v>
      </c>
    </row>
    <row r="408" spans="1:14">
      <c r="A408" s="3">
        <v>807105</v>
      </c>
      <c r="B408" s="3">
        <v>172338</v>
      </c>
      <c r="C408" s="4">
        <v>60</v>
      </c>
      <c r="D408" s="4">
        <v>40</v>
      </c>
      <c r="E408" s="4">
        <v>30</v>
      </c>
      <c r="F408" s="4">
        <v>30</v>
      </c>
      <c r="G408" s="4">
        <v>10</v>
      </c>
      <c r="H408" s="4">
        <v>25</v>
      </c>
      <c r="I408" s="4">
        <v>10</v>
      </c>
      <c r="J408" s="4">
        <v>10</v>
      </c>
      <c r="K408" s="4">
        <v>30</v>
      </c>
      <c r="L408" s="4">
        <v>32.5</v>
      </c>
      <c r="M408" s="4">
        <v>22.5</v>
      </c>
      <c r="N408" s="4">
        <v>107</v>
      </c>
    </row>
    <row r="409" spans="1:14">
      <c r="A409" s="3">
        <v>807112</v>
      </c>
      <c r="B409" s="3">
        <v>119038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10</v>
      </c>
      <c r="N409" s="4">
        <v>0</v>
      </c>
    </row>
    <row r="410" spans="1:14">
      <c r="A410" s="3">
        <v>807113</v>
      </c>
      <c r="B410" s="3">
        <v>119038</v>
      </c>
      <c r="C410" s="4">
        <v>0</v>
      </c>
      <c r="D410" s="4">
        <v>69.5</v>
      </c>
      <c r="E410" s="4">
        <v>29.5</v>
      </c>
      <c r="F410" s="4">
        <v>40</v>
      </c>
      <c r="G410" s="4">
        <v>93.5</v>
      </c>
      <c r="H410" s="4">
        <v>46.5</v>
      </c>
      <c r="I410" s="4">
        <v>34</v>
      </c>
      <c r="J410" s="4">
        <v>20</v>
      </c>
      <c r="K410" s="4">
        <v>0</v>
      </c>
      <c r="L410" s="4">
        <v>20</v>
      </c>
      <c r="M410" s="4">
        <v>26.5</v>
      </c>
      <c r="N410" s="4">
        <v>95</v>
      </c>
    </row>
    <row r="411" spans="1:14">
      <c r="A411" s="3">
        <v>807120</v>
      </c>
      <c r="B411" s="3">
        <v>119261</v>
      </c>
      <c r="C411" s="4">
        <v>100.75</v>
      </c>
      <c r="D411" s="4">
        <v>0</v>
      </c>
      <c r="E411" s="4">
        <v>0</v>
      </c>
      <c r="F411" s="4">
        <v>107</v>
      </c>
      <c r="G411" s="4">
        <v>100</v>
      </c>
      <c r="H411" s="4">
        <v>102</v>
      </c>
      <c r="I411" s="4">
        <v>157.80000000000001</v>
      </c>
      <c r="J411" s="4">
        <v>298.7</v>
      </c>
      <c r="K411" s="4">
        <v>375.4</v>
      </c>
      <c r="L411" s="4">
        <v>301.5</v>
      </c>
      <c r="M411" s="4">
        <v>301.89999999999998</v>
      </c>
      <c r="N411" s="4">
        <v>589</v>
      </c>
    </row>
    <row r="412" spans="1:14">
      <c r="A412" s="3">
        <v>807121</v>
      </c>
      <c r="B412" s="3">
        <v>146845</v>
      </c>
      <c r="C412" s="4">
        <v>98</v>
      </c>
      <c r="D412" s="4">
        <v>107.25</v>
      </c>
      <c r="E412" s="4">
        <v>138.5</v>
      </c>
      <c r="F412" s="4">
        <v>82.4</v>
      </c>
      <c r="G412" s="4">
        <v>77.05</v>
      </c>
      <c r="H412" s="4">
        <v>92.75</v>
      </c>
      <c r="I412" s="4">
        <v>57.5</v>
      </c>
      <c r="J412" s="4">
        <v>45.25</v>
      </c>
      <c r="K412" s="4">
        <v>75</v>
      </c>
      <c r="L412" s="4">
        <v>80.25</v>
      </c>
      <c r="M412" s="4">
        <v>65.75</v>
      </c>
      <c r="N412" s="4">
        <v>75.25</v>
      </c>
    </row>
    <row r="413" spans="1:14">
      <c r="A413" s="3">
        <v>807122</v>
      </c>
      <c r="B413" s="3">
        <v>176303</v>
      </c>
      <c r="C413" s="4">
        <v>13.5</v>
      </c>
      <c r="D413" s="4">
        <v>20</v>
      </c>
      <c r="E413" s="4">
        <v>15.75</v>
      </c>
      <c r="F413" s="4">
        <v>8.5</v>
      </c>
      <c r="G413" s="4">
        <v>25</v>
      </c>
      <c r="H413" s="4">
        <v>35</v>
      </c>
      <c r="I413" s="4">
        <v>15</v>
      </c>
      <c r="J413" s="4">
        <v>25</v>
      </c>
      <c r="K413" s="4">
        <v>20</v>
      </c>
      <c r="L413" s="4">
        <v>40</v>
      </c>
      <c r="M413" s="4">
        <v>34</v>
      </c>
      <c r="N413" s="4">
        <v>64</v>
      </c>
    </row>
    <row r="414" spans="1:14">
      <c r="A414" s="3">
        <v>807140</v>
      </c>
      <c r="B414" s="3">
        <v>170228</v>
      </c>
      <c r="C414" s="4">
        <v>0</v>
      </c>
      <c r="D414" s="4">
        <v>0</v>
      </c>
      <c r="E414" s="4">
        <v>0</v>
      </c>
      <c r="F414" s="4">
        <v>11</v>
      </c>
      <c r="G414" s="4">
        <v>0</v>
      </c>
      <c r="H414" s="4">
        <v>20</v>
      </c>
      <c r="I414" s="4">
        <v>0</v>
      </c>
      <c r="J414" s="4">
        <v>10</v>
      </c>
      <c r="K414" s="4">
        <v>0</v>
      </c>
      <c r="L414" s="4">
        <v>0</v>
      </c>
      <c r="M414" s="4">
        <v>0</v>
      </c>
      <c r="N414" s="4">
        <v>0</v>
      </c>
    </row>
    <row r="415" spans="1:14">
      <c r="A415" s="3">
        <v>807141</v>
      </c>
      <c r="B415" s="3">
        <v>202994</v>
      </c>
      <c r="C415" s="4">
        <v>8</v>
      </c>
      <c r="D415" s="4">
        <v>35</v>
      </c>
      <c r="E415" s="4">
        <v>25</v>
      </c>
      <c r="F415" s="4">
        <v>17</v>
      </c>
      <c r="G415" s="4">
        <v>8.5</v>
      </c>
      <c r="H415" s="4">
        <v>0</v>
      </c>
      <c r="I415" s="4">
        <v>36</v>
      </c>
      <c r="J415" s="4">
        <v>22.5</v>
      </c>
      <c r="K415" s="4">
        <v>22.5</v>
      </c>
      <c r="L415" s="4">
        <v>10</v>
      </c>
      <c r="M415" s="4">
        <v>20</v>
      </c>
      <c r="N415" s="4">
        <v>22.5</v>
      </c>
    </row>
    <row r="416" spans="1:14">
      <c r="A416" s="3">
        <v>807142</v>
      </c>
      <c r="B416" s="3">
        <v>171947</v>
      </c>
      <c r="C416" s="4">
        <v>61.5</v>
      </c>
      <c r="D416" s="4">
        <v>76.75</v>
      </c>
      <c r="E416" s="4">
        <v>62.5</v>
      </c>
      <c r="F416" s="4">
        <v>109.65</v>
      </c>
      <c r="G416" s="4">
        <v>116.5</v>
      </c>
      <c r="H416" s="4">
        <v>130</v>
      </c>
      <c r="I416" s="4">
        <v>76.75</v>
      </c>
      <c r="J416" s="4">
        <v>79</v>
      </c>
      <c r="K416" s="4">
        <v>110</v>
      </c>
      <c r="L416" s="4">
        <v>118</v>
      </c>
      <c r="M416" s="4">
        <v>65</v>
      </c>
      <c r="N416" s="4">
        <v>100</v>
      </c>
    </row>
    <row r="417" spans="1:14">
      <c r="A417" s="3">
        <v>807143</v>
      </c>
      <c r="B417" s="3">
        <v>119023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129</v>
      </c>
      <c r="J417" s="4">
        <v>145.5</v>
      </c>
      <c r="K417" s="4">
        <v>105</v>
      </c>
      <c r="L417" s="4">
        <v>55</v>
      </c>
      <c r="M417" s="4">
        <v>166.5</v>
      </c>
      <c r="N417" s="4">
        <v>157</v>
      </c>
    </row>
    <row r="418" spans="1:14">
      <c r="A418" s="3">
        <v>807151</v>
      </c>
      <c r="B418" s="3">
        <v>170248</v>
      </c>
      <c r="C418" s="4">
        <v>13</v>
      </c>
      <c r="D418" s="4">
        <v>30</v>
      </c>
      <c r="E418" s="4">
        <v>25</v>
      </c>
      <c r="F418" s="4">
        <v>31</v>
      </c>
      <c r="G418" s="4">
        <v>46.75</v>
      </c>
      <c r="H418" s="4">
        <v>20</v>
      </c>
      <c r="I418" s="4">
        <v>52.5</v>
      </c>
      <c r="J418" s="4">
        <v>46</v>
      </c>
      <c r="K418" s="4">
        <v>25</v>
      </c>
      <c r="L418" s="4">
        <v>23</v>
      </c>
      <c r="M418" s="4">
        <v>19.899999999999999</v>
      </c>
      <c r="N418" s="4">
        <v>70</v>
      </c>
    </row>
    <row r="419" spans="1:14">
      <c r="A419" s="3">
        <v>807153</v>
      </c>
      <c r="B419" s="3">
        <v>119044</v>
      </c>
      <c r="C419" s="4">
        <v>0</v>
      </c>
      <c r="D419" s="4">
        <v>15</v>
      </c>
      <c r="E419" s="4">
        <v>26.5</v>
      </c>
      <c r="F419" s="4">
        <v>0</v>
      </c>
      <c r="G419" s="4">
        <v>15</v>
      </c>
      <c r="H419" s="4">
        <v>0</v>
      </c>
      <c r="I419" s="4">
        <v>0</v>
      </c>
      <c r="J419" s="4">
        <v>0</v>
      </c>
      <c r="K419" s="4">
        <v>15</v>
      </c>
      <c r="L419" s="4">
        <v>0</v>
      </c>
      <c r="M419" s="4">
        <v>12.5</v>
      </c>
      <c r="N419" s="4">
        <v>10</v>
      </c>
    </row>
    <row r="420" spans="1:14">
      <c r="A420" s="3">
        <v>807164</v>
      </c>
      <c r="B420" s="3">
        <v>170197</v>
      </c>
      <c r="C420" s="4">
        <v>0</v>
      </c>
      <c r="D420" s="4">
        <v>0</v>
      </c>
      <c r="E420" s="4">
        <v>10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>
      <c r="A421" s="3">
        <v>807164</v>
      </c>
      <c r="B421" s="3">
        <v>208183</v>
      </c>
      <c r="C421" s="4">
        <v>0</v>
      </c>
      <c r="D421" s="4">
        <v>0</v>
      </c>
      <c r="E421" s="4">
        <v>73</v>
      </c>
      <c r="F421" s="4">
        <v>31.5</v>
      </c>
      <c r="G421" s="4">
        <v>84.5</v>
      </c>
      <c r="H421" s="4">
        <v>150.5</v>
      </c>
      <c r="I421" s="4">
        <v>52</v>
      </c>
      <c r="J421" s="4">
        <v>10</v>
      </c>
      <c r="K421" s="4">
        <v>50</v>
      </c>
      <c r="L421" s="4">
        <v>10</v>
      </c>
      <c r="M421" s="4">
        <v>44.9</v>
      </c>
      <c r="N421" s="4">
        <v>10</v>
      </c>
    </row>
    <row r="422" spans="1:14">
      <c r="A422" s="3">
        <v>807177</v>
      </c>
      <c r="B422" s="3">
        <v>174034</v>
      </c>
      <c r="C422" s="4">
        <v>0</v>
      </c>
      <c r="D422" s="4">
        <v>45</v>
      </c>
      <c r="E422" s="4">
        <v>0</v>
      </c>
      <c r="F422" s="4">
        <v>0</v>
      </c>
      <c r="G422" s="4">
        <v>25.5</v>
      </c>
      <c r="H422" s="4">
        <v>75</v>
      </c>
      <c r="I422" s="4">
        <v>20</v>
      </c>
      <c r="J422" s="4">
        <v>0</v>
      </c>
      <c r="K422" s="4">
        <v>25.5</v>
      </c>
      <c r="L422" s="4">
        <v>35</v>
      </c>
      <c r="M422" s="4">
        <v>60</v>
      </c>
      <c r="N422" s="4">
        <v>114</v>
      </c>
    </row>
    <row r="423" spans="1:14">
      <c r="A423" s="3">
        <v>807187</v>
      </c>
      <c r="B423" s="3">
        <v>141115</v>
      </c>
      <c r="C423" s="4">
        <v>32.5</v>
      </c>
      <c r="D423" s="4">
        <v>34.5</v>
      </c>
      <c r="E423" s="4">
        <v>57.5</v>
      </c>
      <c r="F423" s="4">
        <v>31.5</v>
      </c>
      <c r="G423" s="4">
        <v>35</v>
      </c>
      <c r="H423" s="4">
        <v>36</v>
      </c>
      <c r="I423" s="4">
        <v>20</v>
      </c>
      <c r="J423" s="4">
        <v>40</v>
      </c>
      <c r="K423" s="4">
        <v>0</v>
      </c>
      <c r="L423" s="4">
        <v>48.75</v>
      </c>
      <c r="M423" s="4">
        <v>20</v>
      </c>
      <c r="N423" s="4">
        <v>48.5</v>
      </c>
    </row>
    <row r="424" spans="1:14">
      <c r="A424" s="3">
        <v>807200</v>
      </c>
      <c r="B424" s="3">
        <v>174713</v>
      </c>
      <c r="C424" s="4">
        <v>0</v>
      </c>
      <c r="D424" s="4">
        <v>17</v>
      </c>
      <c r="E424" s="4">
        <v>26</v>
      </c>
      <c r="F424" s="4">
        <v>0</v>
      </c>
      <c r="G424" s="4">
        <v>22</v>
      </c>
      <c r="H424" s="4">
        <v>21.5</v>
      </c>
      <c r="I424" s="4">
        <v>30</v>
      </c>
      <c r="J424" s="4">
        <v>30.5</v>
      </c>
      <c r="K424" s="4">
        <v>38.5</v>
      </c>
      <c r="L424" s="4">
        <v>20</v>
      </c>
      <c r="M424" s="4">
        <v>25</v>
      </c>
      <c r="N424" s="4">
        <v>45</v>
      </c>
    </row>
    <row r="425" spans="1:14">
      <c r="A425" s="3">
        <v>807201</v>
      </c>
      <c r="B425" s="3">
        <v>149765</v>
      </c>
      <c r="C425" s="4">
        <v>30</v>
      </c>
      <c r="D425" s="4">
        <v>20</v>
      </c>
      <c r="E425" s="4">
        <v>13</v>
      </c>
      <c r="F425" s="4">
        <v>0</v>
      </c>
      <c r="G425" s="4">
        <v>30</v>
      </c>
      <c r="H425" s="4">
        <v>25</v>
      </c>
      <c r="I425" s="4">
        <v>20</v>
      </c>
      <c r="J425" s="4">
        <v>10</v>
      </c>
      <c r="K425" s="4">
        <v>30</v>
      </c>
      <c r="L425" s="4">
        <v>20</v>
      </c>
      <c r="M425" s="4">
        <v>10</v>
      </c>
      <c r="N425" s="4">
        <v>0</v>
      </c>
    </row>
    <row r="426" spans="1:14">
      <c r="A426" s="3">
        <v>807202</v>
      </c>
      <c r="B426" s="3">
        <v>171947</v>
      </c>
      <c r="C426" s="4">
        <v>40</v>
      </c>
      <c r="D426" s="4">
        <v>0</v>
      </c>
      <c r="E426" s="4">
        <v>5</v>
      </c>
      <c r="F426" s="4">
        <v>20</v>
      </c>
      <c r="G426" s="4">
        <v>27.5</v>
      </c>
      <c r="H426" s="4">
        <v>20.5</v>
      </c>
      <c r="I426" s="4">
        <v>25</v>
      </c>
      <c r="J426" s="4">
        <v>11.25</v>
      </c>
      <c r="K426" s="4">
        <v>70</v>
      </c>
      <c r="L426" s="4">
        <v>35</v>
      </c>
      <c r="M426" s="4">
        <v>28.5</v>
      </c>
      <c r="N426" s="4">
        <v>50</v>
      </c>
    </row>
    <row r="427" spans="1:14">
      <c r="A427" s="3">
        <v>807203</v>
      </c>
      <c r="B427" s="3">
        <v>119261</v>
      </c>
      <c r="C427" s="4">
        <v>0</v>
      </c>
      <c r="D427" s="4">
        <v>0</v>
      </c>
      <c r="E427" s="4">
        <v>0</v>
      </c>
      <c r="F427" s="4">
        <v>14</v>
      </c>
      <c r="G427" s="4">
        <v>1</v>
      </c>
      <c r="H427" s="4">
        <v>1</v>
      </c>
      <c r="I427" s="4">
        <v>0</v>
      </c>
      <c r="J427" s="4">
        <v>0</v>
      </c>
      <c r="K427" s="4">
        <v>21</v>
      </c>
      <c r="L427" s="4">
        <v>20</v>
      </c>
      <c r="M427" s="4">
        <v>0</v>
      </c>
      <c r="N427" s="4">
        <v>20</v>
      </c>
    </row>
    <row r="428" spans="1:14">
      <c r="A428" s="3">
        <v>807228</v>
      </c>
      <c r="B428" s="3">
        <v>119042</v>
      </c>
      <c r="C428" s="4">
        <v>0</v>
      </c>
      <c r="D428" s="4">
        <v>0</v>
      </c>
      <c r="E428" s="4">
        <v>0</v>
      </c>
      <c r="F428" s="4">
        <v>10</v>
      </c>
      <c r="G428" s="4">
        <v>27.5</v>
      </c>
      <c r="H428" s="4">
        <v>0</v>
      </c>
      <c r="I428" s="4">
        <v>0</v>
      </c>
      <c r="J428" s="4">
        <v>25</v>
      </c>
      <c r="K428" s="4">
        <v>27.5</v>
      </c>
      <c r="L428" s="4">
        <v>10</v>
      </c>
      <c r="M428" s="4">
        <v>0</v>
      </c>
      <c r="N428" s="4">
        <v>30</v>
      </c>
    </row>
    <row r="429" spans="1:14">
      <c r="A429" s="3">
        <v>807244</v>
      </c>
      <c r="B429" s="3">
        <v>201172</v>
      </c>
      <c r="C429" s="4">
        <v>96</v>
      </c>
      <c r="D429" s="4">
        <v>78.5</v>
      </c>
      <c r="E429" s="4">
        <v>63.3</v>
      </c>
      <c r="F429" s="4">
        <v>62</v>
      </c>
      <c r="G429" s="4">
        <v>39</v>
      </c>
      <c r="H429" s="4">
        <v>42</v>
      </c>
      <c r="I429" s="4">
        <v>112.5</v>
      </c>
      <c r="J429" s="4">
        <v>35.5</v>
      </c>
      <c r="K429" s="4">
        <v>43</v>
      </c>
      <c r="L429" s="4">
        <v>12.5</v>
      </c>
      <c r="M429" s="4">
        <v>15</v>
      </c>
      <c r="N429" s="4">
        <v>17.5</v>
      </c>
    </row>
    <row r="430" spans="1:14">
      <c r="A430" s="3">
        <v>807257</v>
      </c>
      <c r="B430" s="3">
        <v>172497</v>
      </c>
      <c r="C430" s="4">
        <v>20</v>
      </c>
      <c r="D430" s="4">
        <v>20</v>
      </c>
      <c r="E430" s="4">
        <v>40</v>
      </c>
      <c r="F430" s="4">
        <v>44</v>
      </c>
      <c r="G430" s="4">
        <v>74</v>
      </c>
      <c r="H430" s="4">
        <v>87</v>
      </c>
      <c r="I430" s="4">
        <v>176</v>
      </c>
      <c r="J430" s="4">
        <v>50</v>
      </c>
      <c r="K430" s="4">
        <v>105.95</v>
      </c>
      <c r="L430" s="4">
        <v>47</v>
      </c>
      <c r="M430" s="4">
        <v>60.5</v>
      </c>
      <c r="N430" s="4">
        <v>207.2</v>
      </c>
    </row>
    <row r="431" spans="1:14">
      <c r="A431" s="3">
        <v>807258</v>
      </c>
      <c r="B431" s="3">
        <v>170904</v>
      </c>
      <c r="C431" s="4">
        <v>16</v>
      </c>
      <c r="D431" s="4">
        <v>23</v>
      </c>
      <c r="E431" s="4">
        <v>20</v>
      </c>
      <c r="F431" s="4">
        <v>26</v>
      </c>
      <c r="G431" s="4">
        <v>39</v>
      </c>
      <c r="H431" s="4">
        <v>25</v>
      </c>
      <c r="I431" s="4">
        <v>35</v>
      </c>
      <c r="J431" s="4">
        <v>32.5</v>
      </c>
      <c r="K431" s="4">
        <v>83</v>
      </c>
      <c r="L431" s="4">
        <v>86</v>
      </c>
      <c r="M431" s="4">
        <v>60</v>
      </c>
      <c r="N431" s="4">
        <v>36</v>
      </c>
    </row>
    <row r="432" spans="1:14">
      <c r="A432" s="3">
        <v>807259</v>
      </c>
      <c r="B432" s="3">
        <v>176929</v>
      </c>
      <c r="C432" s="4">
        <v>12</v>
      </c>
      <c r="D432" s="4">
        <v>0</v>
      </c>
      <c r="E432" s="4">
        <v>0</v>
      </c>
      <c r="F432" s="4">
        <v>40</v>
      </c>
      <c r="G432" s="4">
        <v>0.5</v>
      </c>
      <c r="H432" s="4">
        <v>42</v>
      </c>
      <c r="I432" s="4">
        <v>13</v>
      </c>
      <c r="J432" s="4">
        <v>10</v>
      </c>
      <c r="K432" s="4">
        <v>20</v>
      </c>
      <c r="L432" s="4">
        <v>29</v>
      </c>
      <c r="M432" s="4">
        <v>40</v>
      </c>
      <c r="N432" s="4">
        <v>45</v>
      </c>
    </row>
    <row r="433" spans="1:14">
      <c r="A433" s="3">
        <v>807261</v>
      </c>
      <c r="B433" s="3">
        <v>141115</v>
      </c>
      <c r="C433" s="4">
        <v>10</v>
      </c>
      <c r="D433" s="4">
        <v>0</v>
      </c>
      <c r="E433" s="4">
        <v>0</v>
      </c>
      <c r="F433" s="4">
        <v>37.5</v>
      </c>
      <c r="G433" s="4">
        <v>26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>
      <c r="A434" s="3">
        <v>807265</v>
      </c>
      <c r="B434" s="3">
        <v>119066</v>
      </c>
      <c r="C434" s="4">
        <v>0</v>
      </c>
      <c r="D434" s="4">
        <v>0</v>
      </c>
      <c r="E434" s="4">
        <v>75</v>
      </c>
      <c r="F434" s="4">
        <v>0</v>
      </c>
      <c r="G434" s="4">
        <v>37</v>
      </c>
      <c r="H434" s="4">
        <v>54.5</v>
      </c>
      <c r="I434" s="4">
        <v>1</v>
      </c>
      <c r="J434" s="4">
        <v>0</v>
      </c>
      <c r="K434" s="4">
        <v>56.75</v>
      </c>
      <c r="L434" s="4">
        <v>38.25</v>
      </c>
      <c r="M434" s="4">
        <v>50</v>
      </c>
      <c r="N434" s="4">
        <v>0</v>
      </c>
    </row>
    <row r="435" spans="1:14">
      <c r="A435" s="3">
        <v>807303</v>
      </c>
      <c r="B435" s="3">
        <v>119208</v>
      </c>
      <c r="C435" s="4">
        <v>124</v>
      </c>
      <c r="D435" s="4">
        <v>125</v>
      </c>
      <c r="E435" s="4">
        <v>180</v>
      </c>
      <c r="F435" s="4">
        <v>232</v>
      </c>
      <c r="G435" s="4">
        <v>279</v>
      </c>
      <c r="H435" s="4">
        <v>170</v>
      </c>
      <c r="I435" s="4">
        <v>86</v>
      </c>
      <c r="J435" s="4">
        <v>155</v>
      </c>
      <c r="K435" s="4">
        <v>205</v>
      </c>
      <c r="L435" s="4">
        <v>112</v>
      </c>
      <c r="M435" s="4">
        <v>173</v>
      </c>
      <c r="N435" s="4">
        <v>45</v>
      </c>
    </row>
    <row r="436" spans="1:14">
      <c r="A436" s="3">
        <v>807305</v>
      </c>
      <c r="B436" s="3">
        <v>173865</v>
      </c>
      <c r="C436" s="4">
        <v>0</v>
      </c>
      <c r="D436" s="4">
        <v>0</v>
      </c>
      <c r="E436" s="4">
        <v>20</v>
      </c>
      <c r="F436" s="4">
        <v>25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>
      <c r="A437" s="3">
        <v>807310</v>
      </c>
      <c r="B437" s="3">
        <v>140857</v>
      </c>
      <c r="C437" s="4">
        <v>0</v>
      </c>
      <c r="D437" s="4">
        <v>20</v>
      </c>
      <c r="E437" s="4">
        <v>25</v>
      </c>
      <c r="F437" s="4">
        <v>23.5</v>
      </c>
      <c r="G437" s="4">
        <v>30</v>
      </c>
      <c r="H437" s="4">
        <v>20</v>
      </c>
      <c r="I437" s="4">
        <v>0</v>
      </c>
      <c r="J437" s="4">
        <v>0</v>
      </c>
      <c r="K437" s="4">
        <v>20</v>
      </c>
      <c r="L437" s="4">
        <v>0</v>
      </c>
      <c r="M437" s="4">
        <v>17.5</v>
      </c>
      <c r="N437" s="4">
        <v>0</v>
      </c>
    </row>
    <row r="438" spans="1:14">
      <c r="A438" s="3">
        <v>807353</v>
      </c>
      <c r="B438" s="3">
        <v>119261</v>
      </c>
      <c r="C438" s="4">
        <v>101.15</v>
      </c>
      <c r="D438" s="4">
        <v>0</v>
      </c>
      <c r="E438" s="4">
        <v>101</v>
      </c>
      <c r="F438" s="4">
        <v>102</v>
      </c>
      <c r="G438" s="4">
        <v>52.5</v>
      </c>
      <c r="H438" s="4">
        <v>50</v>
      </c>
      <c r="I438" s="4">
        <v>100</v>
      </c>
      <c r="J438" s="4">
        <v>50</v>
      </c>
      <c r="K438" s="4">
        <v>100</v>
      </c>
      <c r="L438" s="4">
        <v>50</v>
      </c>
      <c r="M438" s="4">
        <v>50</v>
      </c>
      <c r="N438" s="4">
        <v>0</v>
      </c>
    </row>
    <row r="439" spans="1:14">
      <c r="A439" s="3">
        <v>807359</v>
      </c>
      <c r="B439" s="3">
        <v>177426</v>
      </c>
      <c r="C439" s="4">
        <v>23.75</v>
      </c>
      <c r="D439" s="4">
        <v>0</v>
      </c>
      <c r="E439" s="4">
        <v>25</v>
      </c>
      <c r="F439" s="4">
        <v>12.5</v>
      </c>
      <c r="G439" s="4">
        <v>34</v>
      </c>
      <c r="H439" s="4">
        <v>50.5</v>
      </c>
      <c r="I439" s="4">
        <v>111</v>
      </c>
      <c r="J439" s="4">
        <v>118</v>
      </c>
      <c r="K439" s="4">
        <v>86.75</v>
      </c>
      <c r="L439" s="4">
        <v>52</v>
      </c>
      <c r="M439" s="4">
        <v>30</v>
      </c>
      <c r="N439" s="4">
        <v>68.400000000000006</v>
      </c>
    </row>
    <row r="440" spans="1:14">
      <c r="A440" s="3">
        <v>807360</v>
      </c>
      <c r="B440" s="3">
        <v>143301</v>
      </c>
      <c r="C440" s="4">
        <v>32.5</v>
      </c>
      <c r="D440" s="4">
        <v>0</v>
      </c>
      <c r="E440" s="4">
        <v>10</v>
      </c>
      <c r="F440" s="4">
        <v>10</v>
      </c>
      <c r="G440" s="4">
        <v>10</v>
      </c>
      <c r="H440" s="4">
        <v>17.5</v>
      </c>
      <c r="I440" s="4">
        <v>7.5</v>
      </c>
      <c r="J440" s="4">
        <v>0</v>
      </c>
      <c r="K440" s="4">
        <v>15</v>
      </c>
      <c r="L440" s="4">
        <v>0</v>
      </c>
      <c r="M440" s="4">
        <v>15</v>
      </c>
      <c r="N440" s="4">
        <v>0</v>
      </c>
    </row>
    <row r="441" spans="1:14">
      <c r="A441" s="3">
        <v>807368</v>
      </c>
      <c r="B441" s="3">
        <v>176303</v>
      </c>
      <c r="C441" s="4">
        <v>0</v>
      </c>
      <c r="D441" s="4">
        <v>15</v>
      </c>
      <c r="E441" s="4">
        <v>0</v>
      </c>
      <c r="F441" s="4">
        <v>0</v>
      </c>
      <c r="G441" s="4">
        <v>7.5</v>
      </c>
      <c r="H441" s="4">
        <v>16</v>
      </c>
      <c r="I441" s="4">
        <v>0</v>
      </c>
      <c r="J441" s="4">
        <v>0</v>
      </c>
      <c r="K441" s="4">
        <v>7.5</v>
      </c>
      <c r="L441" s="4">
        <v>5</v>
      </c>
      <c r="M441" s="4">
        <v>5</v>
      </c>
      <c r="N441" s="4">
        <v>0</v>
      </c>
    </row>
    <row r="442" spans="1:14">
      <c r="A442" s="3">
        <v>807377</v>
      </c>
      <c r="B442" s="3">
        <v>176870</v>
      </c>
      <c r="C442" s="4">
        <v>0</v>
      </c>
      <c r="D442" s="4">
        <v>53</v>
      </c>
      <c r="E442" s="4">
        <v>20</v>
      </c>
      <c r="F442" s="4">
        <v>45</v>
      </c>
      <c r="G442" s="4">
        <v>45</v>
      </c>
      <c r="H442" s="4">
        <v>27.25</v>
      </c>
      <c r="I442" s="4">
        <v>45</v>
      </c>
      <c r="J442" s="4">
        <v>35</v>
      </c>
      <c r="K442" s="4">
        <v>105</v>
      </c>
      <c r="L442" s="4">
        <v>10</v>
      </c>
      <c r="M442" s="4">
        <v>22.5</v>
      </c>
      <c r="N442" s="4">
        <v>90</v>
      </c>
    </row>
    <row r="443" spans="1:14">
      <c r="A443" s="3">
        <v>807393</v>
      </c>
      <c r="B443" s="3">
        <v>119177</v>
      </c>
      <c r="C443" s="4">
        <v>37</v>
      </c>
      <c r="D443" s="4">
        <v>31.5</v>
      </c>
      <c r="E443" s="4">
        <v>0</v>
      </c>
      <c r="F443" s="4">
        <v>22</v>
      </c>
      <c r="G443" s="4">
        <v>0</v>
      </c>
      <c r="H443" s="4">
        <v>0</v>
      </c>
      <c r="I443" s="4">
        <v>1</v>
      </c>
      <c r="J443" s="4">
        <v>0</v>
      </c>
      <c r="K443" s="4">
        <v>60</v>
      </c>
      <c r="L443" s="4">
        <v>25</v>
      </c>
      <c r="M443" s="4">
        <v>0</v>
      </c>
      <c r="N443" s="4">
        <v>0</v>
      </c>
    </row>
    <row r="444" spans="1:14">
      <c r="A444" s="3">
        <v>807394</v>
      </c>
      <c r="B444" s="3">
        <v>119177</v>
      </c>
      <c r="C444" s="4">
        <v>45</v>
      </c>
      <c r="D444" s="4">
        <v>20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>
      <c r="A445" s="3">
        <v>807395</v>
      </c>
      <c r="B445" s="3">
        <v>144154</v>
      </c>
      <c r="C445" s="4">
        <v>0</v>
      </c>
      <c r="D445" s="4">
        <v>0</v>
      </c>
      <c r="E445" s="4">
        <v>0</v>
      </c>
      <c r="F445" s="4">
        <v>0</v>
      </c>
      <c r="G445" s="4">
        <v>17.5</v>
      </c>
      <c r="H445" s="4">
        <v>0</v>
      </c>
      <c r="I445" s="4">
        <v>0</v>
      </c>
      <c r="J445" s="4">
        <v>0</v>
      </c>
      <c r="K445" s="4">
        <v>0</v>
      </c>
      <c r="L445" s="4">
        <v>110</v>
      </c>
      <c r="M445" s="4">
        <v>20</v>
      </c>
      <c r="N445" s="4">
        <v>0</v>
      </c>
    </row>
    <row r="446" spans="1:14">
      <c r="A446" s="3">
        <v>807406</v>
      </c>
      <c r="B446" s="3">
        <v>173748</v>
      </c>
      <c r="C446" s="4">
        <v>20</v>
      </c>
      <c r="D446" s="4">
        <v>45</v>
      </c>
      <c r="E446" s="4">
        <v>80</v>
      </c>
      <c r="F446" s="4">
        <v>24</v>
      </c>
      <c r="G446" s="4">
        <v>56</v>
      </c>
      <c r="H446" s="4">
        <v>32.5</v>
      </c>
      <c r="I446" s="4">
        <v>35</v>
      </c>
      <c r="J446" s="4">
        <v>10</v>
      </c>
      <c r="K446" s="4">
        <v>17.5</v>
      </c>
      <c r="L446" s="4">
        <v>25</v>
      </c>
      <c r="M446" s="4">
        <v>45</v>
      </c>
      <c r="N446" s="4">
        <v>45</v>
      </c>
    </row>
    <row r="447" spans="1:14">
      <c r="A447" s="3">
        <v>807407</v>
      </c>
      <c r="B447" s="3">
        <v>119026</v>
      </c>
      <c r="C447" s="4">
        <v>30</v>
      </c>
      <c r="D447" s="4">
        <v>20</v>
      </c>
      <c r="E447" s="4">
        <v>0</v>
      </c>
      <c r="F447" s="4">
        <v>0</v>
      </c>
      <c r="G447" s="4">
        <v>0</v>
      </c>
      <c r="H447" s="4">
        <v>10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>
      <c r="A448" s="3">
        <v>807416</v>
      </c>
      <c r="B448" s="3">
        <v>176279</v>
      </c>
      <c r="C448" s="4">
        <v>57.85</v>
      </c>
      <c r="D448" s="4">
        <v>9</v>
      </c>
      <c r="E448" s="4">
        <v>55.5</v>
      </c>
      <c r="F448" s="4">
        <v>70</v>
      </c>
      <c r="G448" s="4">
        <v>117.5</v>
      </c>
      <c r="H448" s="4">
        <v>83.5</v>
      </c>
      <c r="I448" s="4">
        <v>51.5</v>
      </c>
      <c r="J448" s="4">
        <v>40.25</v>
      </c>
      <c r="K448" s="4">
        <v>183</v>
      </c>
      <c r="L448" s="4">
        <v>101.5</v>
      </c>
      <c r="M448" s="4">
        <v>106.6</v>
      </c>
      <c r="N448" s="4">
        <v>157.85</v>
      </c>
    </row>
    <row r="449" spans="1:14">
      <c r="A449" s="3">
        <v>807416</v>
      </c>
      <c r="B449" s="3">
        <v>201172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7.5</v>
      </c>
      <c r="M449" s="4">
        <v>0</v>
      </c>
      <c r="N449" s="4">
        <v>0</v>
      </c>
    </row>
    <row r="450" spans="1:14">
      <c r="A450" s="3">
        <v>807430</v>
      </c>
      <c r="B450" s="3">
        <v>119066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54</v>
      </c>
      <c r="I450" s="4">
        <v>1</v>
      </c>
      <c r="J450" s="4">
        <v>77</v>
      </c>
      <c r="K450" s="4">
        <v>3</v>
      </c>
      <c r="L450" s="4">
        <v>101</v>
      </c>
      <c r="M450" s="4">
        <v>85</v>
      </c>
      <c r="N450" s="4">
        <v>82.5</v>
      </c>
    </row>
    <row r="451" spans="1:14">
      <c r="A451" s="3">
        <v>807438</v>
      </c>
      <c r="B451" s="3">
        <v>174166</v>
      </c>
      <c r="C451" s="4">
        <v>0</v>
      </c>
      <c r="D451" s="4">
        <v>35</v>
      </c>
      <c r="E451" s="4">
        <v>21.5</v>
      </c>
      <c r="F451" s="4">
        <v>79</v>
      </c>
      <c r="G451" s="4">
        <v>37.5</v>
      </c>
      <c r="H451" s="4">
        <v>95.5</v>
      </c>
      <c r="I451" s="4">
        <v>144.5</v>
      </c>
      <c r="J451" s="4">
        <v>75</v>
      </c>
      <c r="K451" s="4">
        <v>152.5</v>
      </c>
      <c r="L451" s="4">
        <v>78</v>
      </c>
      <c r="M451" s="4">
        <v>148.6</v>
      </c>
      <c r="N451" s="4">
        <v>57</v>
      </c>
    </row>
    <row r="452" spans="1:14">
      <c r="A452" s="3">
        <v>807439</v>
      </c>
      <c r="B452" s="3">
        <v>179908</v>
      </c>
      <c r="C452" s="4">
        <v>0</v>
      </c>
      <c r="D452" s="4">
        <v>50</v>
      </c>
      <c r="E452" s="4">
        <v>40</v>
      </c>
      <c r="F452" s="4">
        <v>40</v>
      </c>
      <c r="G452" s="4">
        <v>25</v>
      </c>
      <c r="H452" s="4">
        <v>35</v>
      </c>
      <c r="I452" s="4">
        <v>0</v>
      </c>
      <c r="J452" s="4">
        <v>20</v>
      </c>
      <c r="K452" s="4">
        <v>20</v>
      </c>
      <c r="L452" s="4">
        <v>25</v>
      </c>
      <c r="M452" s="4">
        <v>52</v>
      </c>
      <c r="N452" s="4">
        <v>0</v>
      </c>
    </row>
    <row r="453" spans="1:14">
      <c r="A453" s="3">
        <v>807490</v>
      </c>
      <c r="B453" s="3">
        <v>143114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7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>
      <c r="A454" s="3">
        <v>807490</v>
      </c>
      <c r="B454" s="3">
        <v>173749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2.5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>
      <c r="A455" s="3">
        <v>807568</v>
      </c>
      <c r="B455" s="3">
        <v>140967</v>
      </c>
      <c r="C455" s="4">
        <v>30</v>
      </c>
      <c r="D455" s="4">
        <v>16</v>
      </c>
      <c r="E455" s="4">
        <v>80</v>
      </c>
      <c r="F455" s="4">
        <v>75</v>
      </c>
      <c r="G455" s="4">
        <v>112.5</v>
      </c>
      <c r="H455" s="4">
        <v>0</v>
      </c>
      <c r="I455" s="4">
        <v>10</v>
      </c>
      <c r="J455" s="4">
        <v>0</v>
      </c>
      <c r="K455" s="4">
        <v>25</v>
      </c>
      <c r="L455" s="4">
        <v>0</v>
      </c>
      <c r="M455" s="4">
        <v>0</v>
      </c>
      <c r="N455" s="4">
        <v>60</v>
      </c>
    </row>
    <row r="456" spans="1:14">
      <c r="A456" s="3">
        <v>807570</v>
      </c>
      <c r="B456" s="3">
        <v>171578</v>
      </c>
      <c r="C456" s="4">
        <v>15</v>
      </c>
      <c r="D456" s="4">
        <v>55</v>
      </c>
      <c r="E456" s="4">
        <v>25</v>
      </c>
      <c r="F456" s="4">
        <v>55</v>
      </c>
      <c r="G456" s="4">
        <v>12.5</v>
      </c>
      <c r="H456" s="4">
        <v>55</v>
      </c>
      <c r="I456" s="4">
        <v>20</v>
      </c>
      <c r="J456" s="4">
        <v>30</v>
      </c>
      <c r="K456" s="4">
        <v>50</v>
      </c>
      <c r="L456" s="4">
        <v>60</v>
      </c>
      <c r="M456" s="4">
        <v>74.25</v>
      </c>
      <c r="N456" s="4">
        <v>5</v>
      </c>
    </row>
    <row r="457" spans="1:14">
      <c r="A457" s="3">
        <v>807576</v>
      </c>
      <c r="B457" s="3">
        <v>201172</v>
      </c>
      <c r="C457" s="4">
        <v>30</v>
      </c>
      <c r="D457" s="4">
        <v>5</v>
      </c>
      <c r="E457" s="4">
        <v>54.5</v>
      </c>
      <c r="F457" s="4">
        <v>36</v>
      </c>
      <c r="G457" s="4">
        <v>28.5</v>
      </c>
      <c r="H457" s="4">
        <v>5</v>
      </c>
      <c r="I457" s="4">
        <v>12.5</v>
      </c>
      <c r="J457" s="4">
        <v>2.5</v>
      </c>
      <c r="K457" s="4">
        <v>27.5</v>
      </c>
      <c r="L457" s="4">
        <v>41.75</v>
      </c>
      <c r="M457" s="4">
        <v>45</v>
      </c>
      <c r="N457" s="4">
        <v>22</v>
      </c>
    </row>
    <row r="458" spans="1:14">
      <c r="A458" s="3">
        <v>807577</v>
      </c>
      <c r="B458" s="3">
        <v>119038</v>
      </c>
      <c r="C458" s="4">
        <v>47.5</v>
      </c>
      <c r="D458" s="4">
        <v>11</v>
      </c>
      <c r="E458" s="4">
        <v>24</v>
      </c>
      <c r="F458" s="4">
        <v>64.5</v>
      </c>
      <c r="G458" s="4">
        <v>11</v>
      </c>
      <c r="H458" s="4">
        <v>50</v>
      </c>
      <c r="I458" s="4">
        <v>0</v>
      </c>
      <c r="J458" s="4">
        <v>20</v>
      </c>
      <c r="K458" s="4">
        <v>14</v>
      </c>
      <c r="L458" s="4">
        <v>40</v>
      </c>
      <c r="M458" s="4">
        <v>0</v>
      </c>
      <c r="N458" s="4">
        <v>0</v>
      </c>
    </row>
    <row r="459" spans="1:14">
      <c r="A459" s="3">
        <v>807594</v>
      </c>
      <c r="B459" s="3">
        <v>119044</v>
      </c>
      <c r="C459" s="4">
        <v>50</v>
      </c>
      <c r="D459" s="4">
        <v>30</v>
      </c>
      <c r="E459" s="4">
        <v>117</v>
      </c>
      <c r="F459" s="4">
        <v>0</v>
      </c>
      <c r="G459" s="4">
        <v>72.5</v>
      </c>
      <c r="H459" s="4">
        <v>30</v>
      </c>
      <c r="I459" s="4">
        <v>15</v>
      </c>
      <c r="J459" s="4">
        <v>75</v>
      </c>
      <c r="K459" s="4">
        <v>75</v>
      </c>
      <c r="L459" s="4">
        <v>20</v>
      </c>
      <c r="M459" s="4">
        <v>20</v>
      </c>
      <c r="N459" s="4">
        <v>96</v>
      </c>
    </row>
    <row r="460" spans="1:14">
      <c r="A460" s="3">
        <v>807595</v>
      </c>
      <c r="B460" s="3">
        <v>177093</v>
      </c>
      <c r="C460" s="4">
        <v>44.5</v>
      </c>
      <c r="D460" s="4">
        <v>48</v>
      </c>
      <c r="E460" s="4">
        <v>62.75</v>
      </c>
      <c r="F460" s="4">
        <v>67</v>
      </c>
      <c r="G460" s="4">
        <v>104.5</v>
      </c>
      <c r="H460" s="4">
        <v>82</v>
      </c>
      <c r="I460" s="4">
        <v>25</v>
      </c>
      <c r="J460" s="4">
        <v>35.5</v>
      </c>
      <c r="K460" s="4">
        <v>131</v>
      </c>
      <c r="L460" s="4">
        <v>210.25</v>
      </c>
      <c r="M460" s="4">
        <v>144.75</v>
      </c>
      <c r="N460" s="4">
        <v>15</v>
      </c>
    </row>
    <row r="461" spans="1:14">
      <c r="A461" s="3">
        <v>807601</v>
      </c>
      <c r="B461" s="3">
        <v>119038</v>
      </c>
      <c r="C461" s="4">
        <v>13.5</v>
      </c>
      <c r="D461" s="4">
        <v>10</v>
      </c>
      <c r="E461" s="4">
        <v>20</v>
      </c>
      <c r="F461" s="4">
        <v>60</v>
      </c>
      <c r="G461" s="4">
        <v>40</v>
      </c>
      <c r="H461" s="4">
        <v>40</v>
      </c>
      <c r="I461" s="4">
        <v>10</v>
      </c>
      <c r="J461" s="4">
        <v>0</v>
      </c>
      <c r="K461" s="4">
        <v>0</v>
      </c>
      <c r="L461" s="4">
        <v>15</v>
      </c>
      <c r="M461" s="4">
        <v>9.5</v>
      </c>
      <c r="N461" s="4">
        <v>0</v>
      </c>
    </row>
    <row r="462" spans="1:14">
      <c r="A462" s="3">
        <v>807603</v>
      </c>
      <c r="B462" s="3">
        <v>122282</v>
      </c>
      <c r="C462" s="4">
        <v>40</v>
      </c>
      <c r="D462" s="4">
        <v>46</v>
      </c>
      <c r="E462" s="4">
        <v>59</v>
      </c>
      <c r="F462" s="4">
        <v>45</v>
      </c>
      <c r="G462" s="4">
        <v>56</v>
      </c>
      <c r="H462" s="4">
        <v>30.2</v>
      </c>
      <c r="I462" s="4">
        <v>63</v>
      </c>
      <c r="J462" s="4">
        <v>20</v>
      </c>
      <c r="K462" s="4">
        <v>59</v>
      </c>
      <c r="L462" s="4">
        <v>46</v>
      </c>
      <c r="M462" s="4">
        <v>49</v>
      </c>
      <c r="N462" s="4">
        <v>57</v>
      </c>
    </row>
    <row r="463" spans="1:14">
      <c r="A463" s="3">
        <v>807608</v>
      </c>
      <c r="B463" s="3">
        <v>149582</v>
      </c>
      <c r="C463" s="4">
        <v>72</v>
      </c>
      <c r="D463" s="4">
        <v>56</v>
      </c>
      <c r="E463" s="4">
        <v>94.5</v>
      </c>
      <c r="F463" s="4">
        <v>54.25</v>
      </c>
      <c r="G463" s="4">
        <v>79.5</v>
      </c>
      <c r="H463" s="4">
        <v>79.2</v>
      </c>
      <c r="I463" s="4">
        <v>83</v>
      </c>
      <c r="J463" s="4">
        <v>45.5</v>
      </c>
      <c r="K463" s="4">
        <v>112.5</v>
      </c>
      <c r="L463" s="4">
        <v>92.5</v>
      </c>
      <c r="M463" s="4">
        <v>157</v>
      </c>
      <c r="N463" s="4">
        <v>86.5</v>
      </c>
    </row>
    <row r="464" spans="1:14">
      <c r="A464" s="3">
        <v>807609</v>
      </c>
      <c r="B464" s="3">
        <v>119038</v>
      </c>
      <c r="C464" s="4">
        <v>0</v>
      </c>
      <c r="D464" s="4">
        <v>8.5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>
      <c r="A465" s="3">
        <v>807611</v>
      </c>
      <c r="B465" s="3">
        <v>170248</v>
      </c>
      <c r="C465" s="4">
        <v>30</v>
      </c>
      <c r="D465" s="4">
        <v>42</v>
      </c>
      <c r="E465" s="4">
        <v>30</v>
      </c>
      <c r="F465" s="4">
        <v>13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>
      <c r="A466" s="3">
        <v>807626</v>
      </c>
      <c r="B466" s="3">
        <v>119050</v>
      </c>
      <c r="C466" s="4">
        <v>10</v>
      </c>
      <c r="D466" s="4">
        <v>0</v>
      </c>
      <c r="E466" s="4">
        <v>35</v>
      </c>
      <c r="F466" s="4">
        <v>50</v>
      </c>
      <c r="G466" s="4">
        <v>37.5</v>
      </c>
      <c r="H466" s="4">
        <v>27.5</v>
      </c>
      <c r="I466" s="4">
        <v>10</v>
      </c>
      <c r="J466" s="4">
        <v>10</v>
      </c>
      <c r="K466" s="4">
        <v>41</v>
      </c>
      <c r="L466" s="4">
        <v>20</v>
      </c>
      <c r="M466" s="4">
        <v>30</v>
      </c>
      <c r="N466" s="4">
        <v>129.5</v>
      </c>
    </row>
    <row r="467" spans="1:14">
      <c r="A467" s="3">
        <v>807629</v>
      </c>
      <c r="B467" s="3">
        <v>119038</v>
      </c>
      <c r="C467" s="4">
        <v>12.5</v>
      </c>
      <c r="D467" s="4">
        <v>0</v>
      </c>
      <c r="E467" s="4">
        <v>10</v>
      </c>
      <c r="F467" s="4">
        <v>33.5</v>
      </c>
      <c r="G467" s="4">
        <v>0</v>
      </c>
      <c r="H467" s="4">
        <v>0</v>
      </c>
      <c r="I467" s="4">
        <v>0</v>
      </c>
      <c r="J467" s="4">
        <v>10</v>
      </c>
      <c r="K467" s="4">
        <v>34</v>
      </c>
      <c r="L467" s="4">
        <v>0</v>
      </c>
      <c r="M467" s="4">
        <v>0</v>
      </c>
      <c r="N467" s="4">
        <v>0</v>
      </c>
    </row>
    <row r="468" spans="1:14">
      <c r="A468" s="3">
        <v>807643</v>
      </c>
      <c r="B468" s="3">
        <v>119038</v>
      </c>
      <c r="C468" s="4">
        <v>0</v>
      </c>
      <c r="D468" s="4">
        <v>40</v>
      </c>
      <c r="E468" s="4">
        <v>123</v>
      </c>
      <c r="F468" s="4">
        <v>74.5</v>
      </c>
      <c r="G468" s="4">
        <v>50</v>
      </c>
      <c r="H468" s="4">
        <v>30</v>
      </c>
      <c r="I468" s="4">
        <v>30</v>
      </c>
      <c r="J468" s="4">
        <v>15</v>
      </c>
      <c r="K468" s="4">
        <v>0</v>
      </c>
      <c r="L468" s="4">
        <v>25</v>
      </c>
      <c r="M468" s="4">
        <v>25</v>
      </c>
      <c r="N468" s="4">
        <v>0</v>
      </c>
    </row>
    <row r="469" spans="1:14">
      <c r="A469" s="3">
        <v>807647</v>
      </c>
      <c r="B469" s="3">
        <v>172892</v>
      </c>
      <c r="C469" s="4">
        <v>15</v>
      </c>
      <c r="D469" s="4">
        <v>0</v>
      </c>
      <c r="E469" s="4">
        <v>0</v>
      </c>
      <c r="F469" s="4">
        <v>27</v>
      </c>
      <c r="G469" s="4">
        <v>55</v>
      </c>
      <c r="H469" s="4">
        <v>50</v>
      </c>
      <c r="I469" s="4">
        <v>40</v>
      </c>
      <c r="J469" s="4">
        <v>35</v>
      </c>
      <c r="K469" s="4">
        <v>96</v>
      </c>
      <c r="L469" s="4">
        <v>50</v>
      </c>
      <c r="M469" s="4">
        <v>0</v>
      </c>
      <c r="N469" s="4">
        <v>0</v>
      </c>
    </row>
    <row r="470" spans="1:14">
      <c r="A470" s="3">
        <v>807648</v>
      </c>
      <c r="B470" s="3">
        <v>119038</v>
      </c>
      <c r="C470" s="4">
        <v>21</v>
      </c>
      <c r="D470" s="4">
        <v>20</v>
      </c>
      <c r="E470" s="4">
        <v>0</v>
      </c>
      <c r="F470" s="4">
        <v>0</v>
      </c>
      <c r="G470" s="4">
        <v>20</v>
      </c>
      <c r="H470" s="4">
        <v>20</v>
      </c>
      <c r="I470" s="4">
        <v>0</v>
      </c>
      <c r="J470" s="4">
        <v>20</v>
      </c>
      <c r="K470" s="4">
        <v>20</v>
      </c>
      <c r="L470" s="4">
        <v>29.5</v>
      </c>
      <c r="M470" s="4">
        <v>0</v>
      </c>
      <c r="N470" s="4">
        <v>0</v>
      </c>
    </row>
    <row r="471" spans="1:14">
      <c r="A471" s="3">
        <v>807680</v>
      </c>
      <c r="B471" s="3">
        <v>119038</v>
      </c>
      <c r="C471" s="4">
        <v>0</v>
      </c>
      <c r="D471" s="4">
        <v>0</v>
      </c>
      <c r="E471" s="4">
        <v>110</v>
      </c>
      <c r="F471" s="4">
        <v>75</v>
      </c>
      <c r="G471" s="4">
        <v>65</v>
      </c>
      <c r="H471" s="4">
        <v>155</v>
      </c>
      <c r="I471" s="4">
        <v>35</v>
      </c>
      <c r="J471" s="4">
        <v>80</v>
      </c>
      <c r="K471" s="4">
        <v>0</v>
      </c>
      <c r="L471" s="4">
        <v>90</v>
      </c>
      <c r="M471" s="4">
        <v>80</v>
      </c>
      <c r="N471" s="4">
        <v>0</v>
      </c>
    </row>
    <row r="472" spans="1:14">
      <c r="A472" s="3">
        <v>807681</v>
      </c>
      <c r="B472" s="3">
        <v>119028</v>
      </c>
      <c r="C472" s="4">
        <v>31</v>
      </c>
      <c r="D472" s="4">
        <v>0</v>
      </c>
      <c r="E472" s="4">
        <v>31</v>
      </c>
      <c r="F472" s="4">
        <v>0</v>
      </c>
      <c r="G472" s="4">
        <v>15</v>
      </c>
      <c r="H472" s="4">
        <v>10</v>
      </c>
      <c r="I472" s="4">
        <v>0</v>
      </c>
      <c r="J472" s="4">
        <v>10</v>
      </c>
      <c r="K472" s="4">
        <v>20</v>
      </c>
      <c r="L472" s="4">
        <v>0</v>
      </c>
      <c r="M472" s="4">
        <v>0</v>
      </c>
      <c r="N472" s="4">
        <v>0</v>
      </c>
    </row>
    <row r="473" spans="1:14">
      <c r="A473" s="3">
        <v>807682</v>
      </c>
      <c r="B473" s="3">
        <v>206219</v>
      </c>
      <c r="C473" s="4">
        <v>60</v>
      </c>
      <c r="D473" s="4">
        <v>94</v>
      </c>
      <c r="E473" s="4">
        <v>59</v>
      </c>
      <c r="F473" s="4">
        <v>20</v>
      </c>
      <c r="G473" s="4">
        <v>54.65</v>
      </c>
      <c r="H473" s="4">
        <v>35</v>
      </c>
      <c r="I473" s="4">
        <v>25</v>
      </c>
      <c r="J473" s="4">
        <v>15</v>
      </c>
      <c r="K473" s="4">
        <v>58.5</v>
      </c>
      <c r="L473" s="4">
        <v>36</v>
      </c>
      <c r="M473" s="4">
        <v>96</v>
      </c>
      <c r="N473" s="4">
        <v>81</v>
      </c>
    </row>
    <row r="474" spans="1:14">
      <c r="A474" s="3">
        <v>807683</v>
      </c>
      <c r="B474" s="3">
        <v>206066</v>
      </c>
      <c r="C474" s="4">
        <v>84</v>
      </c>
      <c r="D474" s="4">
        <v>34</v>
      </c>
      <c r="E474" s="4">
        <v>36</v>
      </c>
      <c r="F474" s="4">
        <v>100</v>
      </c>
      <c r="G474" s="4">
        <v>40</v>
      </c>
      <c r="H474" s="4">
        <v>80</v>
      </c>
      <c r="I474" s="4">
        <v>45</v>
      </c>
      <c r="J474" s="4">
        <v>0</v>
      </c>
      <c r="K474" s="4">
        <v>22.5</v>
      </c>
      <c r="L474" s="4">
        <v>30</v>
      </c>
      <c r="M474" s="4">
        <v>50</v>
      </c>
      <c r="N474" s="4">
        <v>0</v>
      </c>
    </row>
    <row r="475" spans="1:14">
      <c r="A475" s="3">
        <v>807684</v>
      </c>
      <c r="B475" s="3">
        <v>206219</v>
      </c>
      <c r="C475" s="4">
        <v>59.75</v>
      </c>
      <c r="D475" s="4">
        <v>44.5</v>
      </c>
      <c r="E475" s="4">
        <v>70.5</v>
      </c>
      <c r="F475" s="4">
        <v>85.45</v>
      </c>
      <c r="G475" s="4">
        <v>47</v>
      </c>
      <c r="H475" s="4">
        <v>57.5</v>
      </c>
      <c r="I475" s="4">
        <v>10</v>
      </c>
      <c r="J475" s="4">
        <v>10</v>
      </c>
      <c r="K475" s="4">
        <v>112</v>
      </c>
      <c r="L475" s="4">
        <v>26</v>
      </c>
      <c r="M475" s="4">
        <v>61.5</v>
      </c>
      <c r="N475" s="4">
        <v>66</v>
      </c>
    </row>
    <row r="476" spans="1:14">
      <c r="A476" s="3">
        <v>807690</v>
      </c>
      <c r="B476" s="3">
        <v>141512</v>
      </c>
      <c r="C476" s="4">
        <v>0</v>
      </c>
      <c r="D476" s="4">
        <v>9.9499999999999993</v>
      </c>
      <c r="E476" s="4">
        <v>0</v>
      </c>
      <c r="F476" s="4">
        <v>0</v>
      </c>
      <c r="G476" s="4">
        <v>0</v>
      </c>
      <c r="H476" s="4">
        <v>2.5</v>
      </c>
      <c r="I476" s="4">
        <v>0</v>
      </c>
      <c r="J476" s="4">
        <v>0</v>
      </c>
      <c r="K476" s="4">
        <v>10</v>
      </c>
      <c r="L476" s="4">
        <v>0</v>
      </c>
      <c r="M476" s="4">
        <v>0</v>
      </c>
      <c r="N476" s="4">
        <v>0</v>
      </c>
    </row>
    <row r="477" spans="1:14">
      <c r="A477" s="3">
        <v>807702</v>
      </c>
      <c r="B477" s="3">
        <v>173224</v>
      </c>
      <c r="C477" s="4">
        <v>20</v>
      </c>
      <c r="D477" s="4">
        <v>90</v>
      </c>
      <c r="E477" s="4">
        <v>100</v>
      </c>
      <c r="F477" s="4">
        <v>42.5</v>
      </c>
      <c r="G477" s="4">
        <v>38.5</v>
      </c>
      <c r="H477" s="4">
        <v>37</v>
      </c>
      <c r="I477" s="4">
        <v>25</v>
      </c>
      <c r="J477" s="4">
        <v>10</v>
      </c>
      <c r="K477" s="4">
        <v>35</v>
      </c>
      <c r="L477" s="4">
        <v>12.5</v>
      </c>
      <c r="M477" s="4">
        <v>15</v>
      </c>
      <c r="N477" s="4">
        <v>10</v>
      </c>
    </row>
    <row r="478" spans="1:14">
      <c r="A478" s="3">
        <v>807703</v>
      </c>
      <c r="B478" s="3">
        <v>119028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31</v>
      </c>
      <c r="K478" s="4">
        <v>11</v>
      </c>
      <c r="L478" s="4">
        <v>0</v>
      </c>
      <c r="M478" s="4">
        <v>0</v>
      </c>
      <c r="N478" s="4">
        <v>93</v>
      </c>
    </row>
    <row r="479" spans="1:14">
      <c r="A479" s="3">
        <v>807704</v>
      </c>
      <c r="B479" s="3">
        <v>201280</v>
      </c>
      <c r="C479" s="4">
        <v>20</v>
      </c>
      <c r="D479" s="4">
        <v>45</v>
      </c>
      <c r="E479" s="4">
        <v>32</v>
      </c>
      <c r="F479" s="4">
        <v>19.649999999999999</v>
      </c>
      <c r="G479" s="4">
        <v>97</v>
      </c>
      <c r="H479" s="4">
        <v>31</v>
      </c>
      <c r="I479" s="4">
        <v>0</v>
      </c>
      <c r="J479" s="4">
        <v>0</v>
      </c>
      <c r="K479" s="4">
        <v>35</v>
      </c>
      <c r="L479" s="4">
        <v>21</v>
      </c>
      <c r="M479" s="4">
        <v>31</v>
      </c>
      <c r="N479" s="4">
        <v>15</v>
      </c>
    </row>
    <row r="480" spans="1:14">
      <c r="A480" s="3">
        <v>807706</v>
      </c>
      <c r="B480" s="3">
        <v>143148</v>
      </c>
      <c r="C480" s="4">
        <v>30</v>
      </c>
      <c r="D480" s="4">
        <v>55</v>
      </c>
      <c r="E480" s="4">
        <v>45</v>
      </c>
      <c r="F480" s="4">
        <v>57.5</v>
      </c>
      <c r="G480" s="4">
        <v>0</v>
      </c>
      <c r="H480" s="4">
        <v>35</v>
      </c>
      <c r="I480" s="4">
        <v>65</v>
      </c>
      <c r="J480" s="4">
        <v>30</v>
      </c>
      <c r="K480" s="4">
        <v>66.5</v>
      </c>
      <c r="L480" s="4">
        <v>87.5</v>
      </c>
      <c r="M480" s="4">
        <v>33</v>
      </c>
      <c r="N480" s="4">
        <v>118.2</v>
      </c>
    </row>
    <row r="481" spans="1:14">
      <c r="A481" s="3">
        <v>807707</v>
      </c>
      <c r="B481" s="3">
        <v>207977</v>
      </c>
      <c r="C481" s="4">
        <v>0</v>
      </c>
      <c r="D481" s="4">
        <v>0</v>
      </c>
      <c r="E481" s="4">
        <v>0</v>
      </c>
      <c r="F481" s="4">
        <v>10</v>
      </c>
      <c r="G481" s="4">
        <v>20</v>
      </c>
      <c r="H481" s="4">
        <v>39</v>
      </c>
      <c r="I481" s="4">
        <v>15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>
      <c r="A482" s="3">
        <v>807711</v>
      </c>
      <c r="B482" s="3">
        <v>142843</v>
      </c>
      <c r="C482" s="4">
        <v>126</v>
      </c>
      <c r="D482" s="4">
        <v>113.5</v>
      </c>
      <c r="E482" s="4">
        <v>74.5</v>
      </c>
      <c r="F482" s="4">
        <v>117.05</v>
      </c>
      <c r="G482" s="4">
        <v>77.25</v>
      </c>
      <c r="H482" s="4">
        <v>105</v>
      </c>
      <c r="I482" s="4">
        <v>25</v>
      </c>
      <c r="J482" s="4">
        <v>46</v>
      </c>
      <c r="K482" s="4">
        <v>25</v>
      </c>
      <c r="L482" s="4">
        <v>42.6</v>
      </c>
      <c r="M482" s="4">
        <v>109</v>
      </c>
      <c r="N482" s="4">
        <v>40</v>
      </c>
    </row>
    <row r="483" spans="1:14">
      <c r="A483" s="3">
        <v>807718</v>
      </c>
      <c r="B483" s="3">
        <v>146968</v>
      </c>
      <c r="C483" s="4">
        <v>50</v>
      </c>
      <c r="D483" s="4">
        <v>29.9</v>
      </c>
      <c r="E483" s="4">
        <v>62</v>
      </c>
      <c r="F483" s="4">
        <v>48</v>
      </c>
      <c r="G483" s="4">
        <v>32.5</v>
      </c>
      <c r="H483" s="4">
        <v>25</v>
      </c>
      <c r="I483" s="4">
        <v>20</v>
      </c>
      <c r="J483" s="4">
        <v>75</v>
      </c>
      <c r="K483" s="4">
        <v>50</v>
      </c>
      <c r="L483" s="4">
        <v>20</v>
      </c>
      <c r="M483" s="4">
        <v>35</v>
      </c>
      <c r="N483" s="4">
        <v>35</v>
      </c>
    </row>
    <row r="484" spans="1:14">
      <c r="A484" s="3">
        <v>807719</v>
      </c>
      <c r="B484" s="3">
        <v>141115</v>
      </c>
      <c r="C484" s="4">
        <v>273.75</v>
      </c>
      <c r="D484" s="4">
        <v>204.25</v>
      </c>
      <c r="E484" s="4">
        <v>249.75</v>
      </c>
      <c r="F484" s="4">
        <v>285.25</v>
      </c>
      <c r="G484" s="4">
        <v>200</v>
      </c>
      <c r="H484" s="4">
        <v>351.5</v>
      </c>
      <c r="I484" s="4">
        <v>251.5</v>
      </c>
      <c r="J484" s="4">
        <v>240</v>
      </c>
      <c r="K484" s="4">
        <v>340.4</v>
      </c>
      <c r="L484" s="4">
        <v>105.5</v>
      </c>
      <c r="M484" s="4">
        <v>91</v>
      </c>
      <c r="N484" s="4">
        <v>42.5</v>
      </c>
    </row>
    <row r="485" spans="1:14">
      <c r="A485" s="3">
        <v>807722</v>
      </c>
      <c r="B485" s="3">
        <v>119160</v>
      </c>
      <c r="C485" s="4">
        <v>0</v>
      </c>
      <c r="D485" s="4">
        <v>27.5</v>
      </c>
      <c r="E485" s="4">
        <v>30</v>
      </c>
      <c r="F485" s="4">
        <v>0</v>
      </c>
      <c r="G485" s="4">
        <v>10</v>
      </c>
      <c r="H485" s="4">
        <v>10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>
      <c r="A486" s="3">
        <v>807722</v>
      </c>
      <c r="B486" s="3">
        <v>174357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35</v>
      </c>
      <c r="N486" s="4">
        <v>97</v>
      </c>
    </row>
    <row r="487" spans="1:14">
      <c r="A487" s="3">
        <v>807723</v>
      </c>
      <c r="B487" s="3">
        <v>172497</v>
      </c>
      <c r="C487" s="4">
        <v>0</v>
      </c>
      <c r="D487" s="4">
        <v>25</v>
      </c>
      <c r="E487" s="4">
        <v>20</v>
      </c>
      <c r="F487" s="4">
        <v>12.5</v>
      </c>
      <c r="G487" s="4">
        <v>6</v>
      </c>
      <c r="H487" s="4">
        <v>17</v>
      </c>
      <c r="I487" s="4">
        <v>10</v>
      </c>
      <c r="J487" s="4">
        <v>20</v>
      </c>
      <c r="K487" s="4">
        <v>0</v>
      </c>
      <c r="L487" s="4">
        <v>0</v>
      </c>
      <c r="M487" s="4">
        <v>55</v>
      </c>
      <c r="N487" s="4">
        <v>17.5</v>
      </c>
    </row>
    <row r="488" spans="1:14">
      <c r="A488" s="3">
        <v>807724</v>
      </c>
      <c r="B488" s="3">
        <v>172497</v>
      </c>
      <c r="C488" s="4">
        <v>10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>
      <c r="A489" s="3">
        <v>807726</v>
      </c>
      <c r="B489" s="3">
        <v>140850</v>
      </c>
      <c r="C489" s="4">
        <v>0</v>
      </c>
      <c r="D489" s="4">
        <v>20</v>
      </c>
      <c r="E489" s="4">
        <v>30</v>
      </c>
      <c r="F489" s="4">
        <v>20</v>
      </c>
      <c r="G489" s="4">
        <v>25</v>
      </c>
      <c r="H489" s="4">
        <v>10</v>
      </c>
      <c r="I489" s="4">
        <v>10</v>
      </c>
      <c r="J489" s="4">
        <v>10</v>
      </c>
      <c r="K489" s="4">
        <v>20</v>
      </c>
      <c r="L489" s="4">
        <v>0</v>
      </c>
      <c r="M489" s="4">
        <v>10</v>
      </c>
      <c r="N489" s="4">
        <v>6.5</v>
      </c>
    </row>
    <row r="490" spans="1:14">
      <c r="A490" s="3">
        <v>807733</v>
      </c>
      <c r="B490" s="3">
        <v>176869</v>
      </c>
      <c r="C490" s="4">
        <v>146</v>
      </c>
      <c r="D490" s="4">
        <v>15</v>
      </c>
      <c r="E490" s="4">
        <v>134.5</v>
      </c>
      <c r="F490" s="4">
        <v>162.5</v>
      </c>
      <c r="G490" s="4">
        <v>75.5</v>
      </c>
      <c r="H490" s="4">
        <v>86</v>
      </c>
      <c r="I490" s="4">
        <v>30</v>
      </c>
      <c r="J490" s="4">
        <v>109</v>
      </c>
      <c r="K490" s="4">
        <v>181</v>
      </c>
      <c r="L490" s="4">
        <v>105</v>
      </c>
      <c r="M490" s="4">
        <v>190</v>
      </c>
      <c r="N490" s="4">
        <v>200</v>
      </c>
    </row>
    <row r="491" spans="1:14">
      <c r="A491" s="3">
        <v>807734</v>
      </c>
      <c r="B491" s="3">
        <v>176869</v>
      </c>
      <c r="C491" s="4">
        <v>543</v>
      </c>
      <c r="D491" s="4">
        <v>422</v>
      </c>
      <c r="E491" s="4">
        <v>104</v>
      </c>
      <c r="F491" s="4">
        <v>226.4</v>
      </c>
      <c r="G491" s="4">
        <v>158.5</v>
      </c>
      <c r="H491" s="4">
        <v>161</v>
      </c>
      <c r="I491" s="4">
        <v>85.5</v>
      </c>
      <c r="J491" s="4">
        <v>101</v>
      </c>
      <c r="K491" s="4">
        <v>158</v>
      </c>
      <c r="L491" s="4">
        <v>191.5</v>
      </c>
      <c r="M491" s="4">
        <v>214.5</v>
      </c>
      <c r="N491" s="4">
        <v>119.5</v>
      </c>
    </row>
    <row r="492" spans="1:14">
      <c r="A492" s="3">
        <v>807734</v>
      </c>
      <c r="B492" s="3">
        <v>205004</v>
      </c>
      <c r="C492" s="4">
        <v>10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>
      <c r="A493" s="3">
        <v>807763</v>
      </c>
      <c r="B493" s="3">
        <v>119044</v>
      </c>
      <c r="C493" s="4">
        <v>25</v>
      </c>
      <c r="D493" s="4">
        <v>90</v>
      </c>
      <c r="E493" s="4">
        <v>95</v>
      </c>
      <c r="F493" s="4">
        <v>35</v>
      </c>
      <c r="G493" s="4">
        <v>42.5</v>
      </c>
      <c r="H493" s="4">
        <v>10</v>
      </c>
      <c r="I493" s="4">
        <v>15</v>
      </c>
      <c r="J493" s="4">
        <v>0</v>
      </c>
      <c r="K493" s="4">
        <v>95</v>
      </c>
      <c r="L493" s="4">
        <v>60</v>
      </c>
      <c r="M493" s="4">
        <v>20</v>
      </c>
      <c r="N493" s="4">
        <v>82.5</v>
      </c>
    </row>
    <row r="494" spans="1:14">
      <c r="A494" s="3">
        <v>807776</v>
      </c>
      <c r="B494" s="3">
        <v>119042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15</v>
      </c>
      <c r="N494" s="4">
        <v>0</v>
      </c>
    </row>
    <row r="495" spans="1:14">
      <c r="A495" s="3">
        <v>807777</v>
      </c>
      <c r="B495" s="3">
        <v>119222</v>
      </c>
      <c r="C495" s="4">
        <v>30</v>
      </c>
      <c r="D495" s="4">
        <v>64</v>
      </c>
      <c r="E495" s="4">
        <v>29.5</v>
      </c>
      <c r="F495" s="4">
        <v>130</v>
      </c>
      <c r="G495" s="4">
        <v>20</v>
      </c>
      <c r="H495" s="4">
        <v>113.5</v>
      </c>
      <c r="I495" s="4">
        <v>85</v>
      </c>
      <c r="J495" s="4">
        <v>92</v>
      </c>
      <c r="K495" s="4">
        <v>70</v>
      </c>
      <c r="L495" s="4">
        <v>117.25</v>
      </c>
      <c r="M495" s="4">
        <v>0</v>
      </c>
      <c r="N495" s="4">
        <v>211.7</v>
      </c>
    </row>
    <row r="496" spans="1:14">
      <c r="A496" s="3">
        <v>807778</v>
      </c>
      <c r="B496" s="3">
        <v>119208</v>
      </c>
      <c r="C496" s="4">
        <v>0</v>
      </c>
      <c r="D496" s="4">
        <v>0</v>
      </c>
      <c r="E496" s="4">
        <v>0</v>
      </c>
      <c r="F496" s="4">
        <v>10</v>
      </c>
      <c r="G496" s="4">
        <v>0</v>
      </c>
      <c r="H496" s="4">
        <v>0</v>
      </c>
      <c r="I496" s="4">
        <v>0</v>
      </c>
      <c r="J496" s="4">
        <v>123</v>
      </c>
      <c r="K496" s="4">
        <v>20</v>
      </c>
      <c r="L496" s="4">
        <v>48</v>
      </c>
      <c r="M496" s="4">
        <v>0</v>
      </c>
      <c r="N496" s="4">
        <v>88.9</v>
      </c>
    </row>
    <row r="497" spans="1:14">
      <c r="A497" s="3">
        <v>807779</v>
      </c>
      <c r="B497" s="3">
        <v>202865</v>
      </c>
      <c r="C497" s="4">
        <v>0</v>
      </c>
      <c r="D497" s="4">
        <v>0</v>
      </c>
      <c r="E497" s="4">
        <v>13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>
      <c r="A498" s="3">
        <v>807780</v>
      </c>
      <c r="B498" s="3">
        <v>149893</v>
      </c>
      <c r="C498" s="4">
        <v>33.5</v>
      </c>
      <c r="D498" s="4">
        <v>22.5</v>
      </c>
      <c r="E498" s="4">
        <v>49.75</v>
      </c>
      <c r="F498" s="4">
        <v>35</v>
      </c>
      <c r="G498" s="4">
        <v>56.5</v>
      </c>
      <c r="H498" s="4">
        <v>78.75</v>
      </c>
      <c r="I498" s="4">
        <v>76</v>
      </c>
      <c r="J498" s="4">
        <v>41.75</v>
      </c>
      <c r="K498" s="4">
        <v>98.75</v>
      </c>
      <c r="L498" s="4">
        <v>40</v>
      </c>
      <c r="M498" s="4">
        <v>24.75</v>
      </c>
      <c r="N498" s="4">
        <v>32.5</v>
      </c>
    </row>
    <row r="499" spans="1:14">
      <c r="A499" s="3">
        <v>807781</v>
      </c>
      <c r="B499" s="3">
        <v>176647</v>
      </c>
      <c r="C499" s="4">
        <v>45.5</v>
      </c>
      <c r="D499" s="4">
        <v>21</v>
      </c>
      <c r="E499" s="4">
        <v>35</v>
      </c>
      <c r="F499" s="4">
        <v>73</v>
      </c>
      <c r="G499" s="4">
        <v>65.5</v>
      </c>
      <c r="H499" s="4">
        <v>94.5</v>
      </c>
      <c r="I499" s="4">
        <v>30</v>
      </c>
      <c r="J499" s="4">
        <v>61.55</v>
      </c>
      <c r="K499" s="4">
        <v>92.5</v>
      </c>
      <c r="L499" s="4">
        <v>92.5</v>
      </c>
      <c r="M499" s="4">
        <v>136.6</v>
      </c>
      <c r="N499" s="4">
        <v>154.5</v>
      </c>
    </row>
    <row r="500" spans="1:14">
      <c r="A500" s="3">
        <v>807811</v>
      </c>
      <c r="B500" s="3">
        <v>171578</v>
      </c>
      <c r="C500" s="4">
        <v>0</v>
      </c>
      <c r="D500" s="4">
        <v>0</v>
      </c>
      <c r="E500" s="4">
        <v>10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>
      <c r="A501" s="3">
        <v>807811</v>
      </c>
      <c r="B501" s="3">
        <v>174166</v>
      </c>
      <c r="C501" s="4">
        <v>106</v>
      </c>
      <c r="D501" s="4">
        <v>30</v>
      </c>
      <c r="E501" s="4">
        <v>251.5</v>
      </c>
      <c r="F501" s="4">
        <v>156.5</v>
      </c>
      <c r="G501" s="4">
        <v>77.5</v>
      </c>
      <c r="H501" s="4">
        <v>90</v>
      </c>
      <c r="I501" s="4">
        <v>207</v>
      </c>
      <c r="J501" s="4">
        <v>81.5</v>
      </c>
      <c r="K501" s="4">
        <v>55</v>
      </c>
      <c r="L501" s="4">
        <v>196</v>
      </c>
      <c r="M501" s="4">
        <v>191</v>
      </c>
      <c r="N501" s="4">
        <v>84.75</v>
      </c>
    </row>
    <row r="502" spans="1:14">
      <c r="A502" s="3">
        <v>807812</v>
      </c>
      <c r="B502" s="3">
        <v>143113</v>
      </c>
      <c r="C502" s="4">
        <v>15</v>
      </c>
      <c r="D502" s="4">
        <v>45</v>
      </c>
      <c r="E502" s="4">
        <v>42</v>
      </c>
      <c r="F502" s="4">
        <v>10</v>
      </c>
      <c r="G502" s="4">
        <v>40</v>
      </c>
      <c r="H502" s="4">
        <v>35</v>
      </c>
      <c r="I502" s="4">
        <v>73</v>
      </c>
      <c r="J502" s="4">
        <v>37.5</v>
      </c>
      <c r="K502" s="4">
        <v>21.5</v>
      </c>
      <c r="L502" s="4">
        <v>50</v>
      </c>
      <c r="M502" s="4">
        <v>31.5</v>
      </c>
      <c r="N502" s="4">
        <v>36</v>
      </c>
    </row>
    <row r="503" spans="1:14">
      <c r="A503" s="3">
        <v>807815</v>
      </c>
      <c r="B503" s="3">
        <v>170775</v>
      </c>
      <c r="C503" s="4">
        <v>50</v>
      </c>
      <c r="D503" s="4">
        <v>15</v>
      </c>
      <c r="E503" s="4">
        <v>80</v>
      </c>
      <c r="F503" s="4">
        <v>30</v>
      </c>
      <c r="G503" s="4">
        <v>5</v>
      </c>
      <c r="H503" s="4">
        <v>0</v>
      </c>
      <c r="I503" s="4">
        <v>65</v>
      </c>
      <c r="J503" s="4">
        <v>10</v>
      </c>
      <c r="K503" s="4">
        <v>0</v>
      </c>
      <c r="L503" s="4">
        <v>20</v>
      </c>
      <c r="M503" s="4">
        <v>35</v>
      </c>
      <c r="N503" s="4">
        <v>70</v>
      </c>
    </row>
    <row r="504" spans="1:14">
      <c r="A504" s="3">
        <v>807817</v>
      </c>
      <c r="B504" s="3">
        <v>170775</v>
      </c>
      <c r="C504" s="4">
        <v>0</v>
      </c>
      <c r="D504" s="4">
        <v>15</v>
      </c>
      <c r="E504" s="4">
        <v>75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</row>
    <row r="505" spans="1:14">
      <c r="A505" s="3">
        <v>807819</v>
      </c>
      <c r="B505" s="3">
        <v>170775</v>
      </c>
      <c r="C505" s="4">
        <v>0</v>
      </c>
      <c r="D505" s="4">
        <v>45</v>
      </c>
      <c r="E505" s="4">
        <v>35</v>
      </c>
      <c r="F505" s="4">
        <v>25</v>
      </c>
      <c r="G505" s="4">
        <v>53</v>
      </c>
      <c r="H505" s="4">
        <v>0</v>
      </c>
      <c r="I505" s="4">
        <v>15</v>
      </c>
      <c r="J505" s="4">
        <v>30</v>
      </c>
      <c r="K505" s="4">
        <v>40</v>
      </c>
      <c r="L505" s="4">
        <v>35</v>
      </c>
      <c r="M505" s="4">
        <v>40</v>
      </c>
      <c r="N505" s="4">
        <v>20</v>
      </c>
    </row>
    <row r="506" spans="1:14">
      <c r="A506" s="3">
        <v>807826</v>
      </c>
      <c r="B506" s="3">
        <v>201280</v>
      </c>
      <c r="C506" s="4">
        <v>0</v>
      </c>
      <c r="D506" s="4">
        <v>0</v>
      </c>
      <c r="E506" s="4">
        <v>12</v>
      </c>
      <c r="F506" s="4">
        <v>8</v>
      </c>
      <c r="G506" s="4">
        <v>0</v>
      </c>
      <c r="H506" s="4">
        <v>31</v>
      </c>
      <c r="I506" s="4">
        <v>22</v>
      </c>
      <c r="J506" s="4">
        <v>0</v>
      </c>
      <c r="K506" s="4">
        <v>22</v>
      </c>
      <c r="L506" s="4">
        <v>14</v>
      </c>
      <c r="M506" s="4">
        <v>47</v>
      </c>
      <c r="N506" s="4">
        <v>104</v>
      </c>
    </row>
    <row r="507" spans="1:14">
      <c r="A507" s="3">
        <v>807861</v>
      </c>
      <c r="B507" s="3">
        <v>172855</v>
      </c>
      <c r="C507" s="4">
        <v>20</v>
      </c>
      <c r="D507" s="4">
        <v>51</v>
      </c>
      <c r="E507" s="4">
        <v>45</v>
      </c>
      <c r="F507" s="4">
        <v>55</v>
      </c>
      <c r="G507" s="4">
        <v>75</v>
      </c>
      <c r="H507" s="4">
        <v>35</v>
      </c>
      <c r="I507" s="4">
        <v>16</v>
      </c>
      <c r="J507" s="4">
        <v>26</v>
      </c>
      <c r="K507" s="4">
        <v>25</v>
      </c>
      <c r="L507" s="4">
        <v>45</v>
      </c>
      <c r="M507" s="4">
        <v>45</v>
      </c>
      <c r="N507" s="4">
        <v>55</v>
      </c>
    </row>
    <row r="508" spans="1:14">
      <c r="A508" s="3">
        <v>807862</v>
      </c>
      <c r="B508" s="3">
        <v>172338</v>
      </c>
      <c r="C508" s="4">
        <v>46</v>
      </c>
      <c r="D508" s="4">
        <v>51</v>
      </c>
      <c r="E508" s="4">
        <v>40</v>
      </c>
      <c r="F508" s="4">
        <v>51</v>
      </c>
      <c r="G508" s="4">
        <v>35</v>
      </c>
      <c r="H508" s="4">
        <v>45</v>
      </c>
      <c r="I508" s="4">
        <v>70</v>
      </c>
      <c r="J508" s="4">
        <v>25</v>
      </c>
      <c r="K508" s="4">
        <v>20</v>
      </c>
      <c r="L508" s="4">
        <v>50</v>
      </c>
      <c r="M508" s="4">
        <v>81</v>
      </c>
      <c r="N508" s="4">
        <v>87</v>
      </c>
    </row>
    <row r="509" spans="1:14">
      <c r="A509" s="3">
        <v>807863</v>
      </c>
      <c r="B509" s="3">
        <v>172338</v>
      </c>
      <c r="C509" s="4">
        <v>0</v>
      </c>
      <c r="D509" s="4">
        <v>0</v>
      </c>
      <c r="E509" s="4">
        <v>0</v>
      </c>
      <c r="F509" s="4">
        <v>0</v>
      </c>
      <c r="G509" s="4">
        <v>30</v>
      </c>
      <c r="H509" s="4">
        <v>0</v>
      </c>
      <c r="I509" s="4">
        <v>0</v>
      </c>
      <c r="J509" s="4">
        <v>0</v>
      </c>
      <c r="K509" s="4">
        <v>40</v>
      </c>
      <c r="L509" s="4">
        <v>0</v>
      </c>
      <c r="M509" s="4">
        <v>0</v>
      </c>
      <c r="N509" s="4">
        <v>0</v>
      </c>
    </row>
    <row r="510" spans="1:14">
      <c r="A510" s="3">
        <v>807864</v>
      </c>
      <c r="B510" s="3">
        <v>172338</v>
      </c>
      <c r="C510" s="4">
        <v>61</v>
      </c>
      <c r="D510" s="4">
        <v>66</v>
      </c>
      <c r="E510" s="4">
        <v>36</v>
      </c>
      <c r="F510" s="4">
        <v>65</v>
      </c>
      <c r="G510" s="4">
        <v>35</v>
      </c>
      <c r="H510" s="4">
        <v>20</v>
      </c>
      <c r="I510" s="4">
        <v>50</v>
      </c>
      <c r="J510" s="4">
        <v>55</v>
      </c>
      <c r="K510" s="4">
        <v>21</v>
      </c>
      <c r="L510" s="4">
        <v>57.5</v>
      </c>
      <c r="M510" s="4">
        <v>47.5</v>
      </c>
      <c r="N510" s="4">
        <v>98</v>
      </c>
    </row>
    <row r="511" spans="1:14">
      <c r="A511" s="3">
        <v>807865</v>
      </c>
      <c r="B511" s="3">
        <v>172855</v>
      </c>
      <c r="C511" s="4">
        <v>60</v>
      </c>
      <c r="D511" s="4">
        <v>0</v>
      </c>
      <c r="E511" s="4">
        <v>40</v>
      </c>
      <c r="F511" s="4">
        <v>20</v>
      </c>
      <c r="G511" s="4">
        <v>30</v>
      </c>
      <c r="H511" s="4">
        <v>30</v>
      </c>
      <c r="I511" s="4">
        <v>30</v>
      </c>
      <c r="J511" s="4">
        <v>15</v>
      </c>
      <c r="K511" s="4">
        <v>35</v>
      </c>
      <c r="L511" s="4">
        <v>46</v>
      </c>
      <c r="M511" s="4">
        <v>50</v>
      </c>
      <c r="N511" s="4">
        <v>85</v>
      </c>
    </row>
    <row r="512" spans="1:14">
      <c r="A512" s="3">
        <v>807883</v>
      </c>
      <c r="B512" s="3">
        <v>206219</v>
      </c>
      <c r="C512" s="4">
        <v>129.5</v>
      </c>
      <c r="D512" s="4">
        <v>61.6</v>
      </c>
      <c r="E512" s="4">
        <v>112</v>
      </c>
      <c r="F512" s="4">
        <v>127.5</v>
      </c>
      <c r="G512" s="4">
        <v>138</v>
      </c>
      <c r="H512" s="4">
        <v>56</v>
      </c>
      <c r="I512" s="4">
        <v>22.5</v>
      </c>
      <c r="J512" s="4">
        <v>15</v>
      </c>
      <c r="K512" s="4">
        <v>115</v>
      </c>
      <c r="L512" s="4">
        <v>92.1</v>
      </c>
      <c r="M512" s="4">
        <v>160</v>
      </c>
      <c r="N512" s="4">
        <v>184.5</v>
      </c>
    </row>
    <row r="513" spans="1:14">
      <c r="A513" s="3">
        <v>807884</v>
      </c>
      <c r="B513" s="3">
        <v>172338</v>
      </c>
      <c r="C513" s="4">
        <v>16</v>
      </c>
      <c r="D513" s="4">
        <v>36</v>
      </c>
      <c r="E513" s="4">
        <v>61</v>
      </c>
      <c r="F513" s="4">
        <v>50</v>
      </c>
      <c r="G513" s="4">
        <v>0</v>
      </c>
      <c r="H513" s="4">
        <v>15</v>
      </c>
      <c r="I513" s="4">
        <v>55</v>
      </c>
      <c r="J513" s="4">
        <v>36</v>
      </c>
      <c r="K513" s="4">
        <v>45</v>
      </c>
      <c r="L513" s="4">
        <v>70</v>
      </c>
      <c r="M513" s="4">
        <v>80</v>
      </c>
      <c r="N513" s="4">
        <v>141</v>
      </c>
    </row>
    <row r="514" spans="1:14">
      <c r="A514" s="3">
        <v>807885</v>
      </c>
      <c r="B514" s="3">
        <v>172338</v>
      </c>
      <c r="C514" s="4">
        <v>50</v>
      </c>
      <c r="D514" s="4">
        <v>75</v>
      </c>
      <c r="E514" s="4">
        <v>141</v>
      </c>
      <c r="F514" s="4">
        <v>31</v>
      </c>
      <c r="G514" s="4">
        <v>20</v>
      </c>
      <c r="H514" s="4">
        <v>50</v>
      </c>
      <c r="I514" s="4">
        <v>31</v>
      </c>
      <c r="J514" s="4">
        <v>0</v>
      </c>
      <c r="K514" s="4">
        <v>50</v>
      </c>
      <c r="L514" s="4">
        <v>30</v>
      </c>
      <c r="M514" s="4">
        <v>90</v>
      </c>
      <c r="N514" s="4">
        <v>107</v>
      </c>
    </row>
    <row r="515" spans="1:14">
      <c r="A515" s="3">
        <v>807886</v>
      </c>
      <c r="B515" s="3">
        <v>172338</v>
      </c>
      <c r="C515" s="4">
        <v>30</v>
      </c>
      <c r="D515" s="4">
        <v>60</v>
      </c>
      <c r="E515" s="4">
        <v>55</v>
      </c>
      <c r="F515" s="4">
        <v>114</v>
      </c>
      <c r="G515" s="4">
        <v>31</v>
      </c>
      <c r="H515" s="4">
        <v>15</v>
      </c>
      <c r="I515" s="4">
        <v>96</v>
      </c>
      <c r="J515" s="4">
        <v>0</v>
      </c>
      <c r="K515" s="4">
        <v>40</v>
      </c>
      <c r="L515" s="4">
        <v>15</v>
      </c>
      <c r="M515" s="4">
        <v>20</v>
      </c>
      <c r="N515" s="4">
        <v>13</v>
      </c>
    </row>
    <row r="516" spans="1:14">
      <c r="A516" s="3">
        <v>807887</v>
      </c>
      <c r="B516" s="3">
        <v>206219</v>
      </c>
      <c r="C516" s="4">
        <v>22</v>
      </c>
      <c r="D516" s="4">
        <v>72</v>
      </c>
      <c r="E516" s="4">
        <v>75</v>
      </c>
      <c r="F516" s="4">
        <v>23.5</v>
      </c>
      <c r="G516" s="4">
        <v>36</v>
      </c>
      <c r="H516" s="4">
        <v>71</v>
      </c>
      <c r="I516" s="4">
        <v>10</v>
      </c>
      <c r="J516" s="4">
        <v>55</v>
      </c>
      <c r="K516" s="4">
        <v>121.44999999999999</v>
      </c>
      <c r="L516" s="4">
        <v>96</v>
      </c>
      <c r="M516" s="4">
        <v>146.5</v>
      </c>
      <c r="N516" s="4">
        <v>172</v>
      </c>
    </row>
    <row r="517" spans="1:14">
      <c r="A517" s="3">
        <v>807889</v>
      </c>
      <c r="B517" s="3">
        <v>119261</v>
      </c>
      <c r="C517" s="4">
        <v>50</v>
      </c>
      <c r="D517" s="4">
        <v>0</v>
      </c>
      <c r="E517" s="4">
        <v>51</v>
      </c>
      <c r="F517" s="4">
        <v>77</v>
      </c>
      <c r="G517" s="4">
        <v>51.25</v>
      </c>
      <c r="H517" s="4">
        <v>60</v>
      </c>
      <c r="I517" s="4">
        <v>101</v>
      </c>
      <c r="J517" s="4">
        <v>50</v>
      </c>
      <c r="K517" s="4">
        <v>100</v>
      </c>
      <c r="L517" s="4">
        <v>105</v>
      </c>
      <c r="M517" s="4">
        <v>0</v>
      </c>
      <c r="N517" s="4">
        <v>50</v>
      </c>
    </row>
    <row r="518" spans="1:14">
      <c r="A518" s="3">
        <v>807908</v>
      </c>
      <c r="B518" s="3">
        <v>119038</v>
      </c>
      <c r="C518" s="4">
        <v>20</v>
      </c>
      <c r="D518" s="4">
        <v>20</v>
      </c>
      <c r="E518" s="4">
        <v>18.5</v>
      </c>
      <c r="F518" s="4">
        <v>15</v>
      </c>
      <c r="G518" s="4">
        <v>20</v>
      </c>
      <c r="H518" s="4">
        <v>17.5</v>
      </c>
      <c r="I518" s="4">
        <v>0</v>
      </c>
      <c r="J518" s="4">
        <v>20</v>
      </c>
      <c r="K518" s="4">
        <v>15</v>
      </c>
      <c r="L518" s="4">
        <v>31.5</v>
      </c>
      <c r="M518" s="4">
        <v>40</v>
      </c>
      <c r="N518" s="4">
        <v>0</v>
      </c>
    </row>
    <row r="519" spans="1:14">
      <c r="A519" s="3">
        <v>807909</v>
      </c>
      <c r="B519" s="3">
        <v>140858</v>
      </c>
      <c r="C519" s="4">
        <v>30</v>
      </c>
      <c r="D519" s="4">
        <v>10</v>
      </c>
      <c r="E519" s="4">
        <v>20</v>
      </c>
      <c r="F519" s="4">
        <v>37.5</v>
      </c>
      <c r="G519" s="4">
        <v>50</v>
      </c>
      <c r="H519" s="4">
        <v>30</v>
      </c>
      <c r="I519" s="4">
        <v>49</v>
      </c>
      <c r="J519" s="4">
        <v>20</v>
      </c>
      <c r="K519" s="4">
        <v>60</v>
      </c>
      <c r="L519" s="4">
        <v>0</v>
      </c>
      <c r="M519" s="4">
        <v>13</v>
      </c>
      <c r="N519" s="4">
        <v>20</v>
      </c>
    </row>
    <row r="520" spans="1:14">
      <c r="A520" s="3">
        <v>807911</v>
      </c>
      <c r="B520" s="3">
        <v>175680</v>
      </c>
      <c r="C520" s="4">
        <v>30</v>
      </c>
      <c r="D520" s="4">
        <v>2</v>
      </c>
      <c r="E520" s="4">
        <v>171.75</v>
      </c>
      <c r="F520" s="4">
        <v>13.4</v>
      </c>
      <c r="G520" s="4">
        <v>103.25</v>
      </c>
      <c r="H520" s="4">
        <v>69.25</v>
      </c>
      <c r="I520" s="4">
        <v>44</v>
      </c>
      <c r="J520" s="4">
        <v>0</v>
      </c>
      <c r="K520" s="4">
        <v>84</v>
      </c>
      <c r="L520" s="4">
        <v>57</v>
      </c>
      <c r="M520" s="4">
        <v>41</v>
      </c>
      <c r="N520" s="4">
        <v>66</v>
      </c>
    </row>
    <row r="521" spans="1:14">
      <c r="A521" s="3">
        <v>807912</v>
      </c>
      <c r="B521" s="3">
        <v>171839</v>
      </c>
      <c r="C521" s="4">
        <v>20</v>
      </c>
      <c r="D521" s="4">
        <v>106</v>
      </c>
      <c r="E521" s="4">
        <v>85</v>
      </c>
      <c r="F521" s="4">
        <v>81.5</v>
      </c>
      <c r="G521" s="4">
        <v>4.5</v>
      </c>
      <c r="H521" s="4">
        <v>95</v>
      </c>
      <c r="I521" s="4">
        <v>95</v>
      </c>
      <c r="J521" s="4">
        <v>50</v>
      </c>
      <c r="K521" s="4">
        <v>188</v>
      </c>
      <c r="L521" s="4">
        <v>80</v>
      </c>
      <c r="M521" s="4">
        <v>145</v>
      </c>
      <c r="N521" s="4">
        <v>59</v>
      </c>
    </row>
    <row r="522" spans="1:14">
      <c r="A522" s="3">
        <v>807915</v>
      </c>
      <c r="B522" s="3">
        <v>119029</v>
      </c>
      <c r="C522" s="4">
        <v>22.5</v>
      </c>
      <c r="D522" s="4">
        <v>42.5</v>
      </c>
      <c r="E522" s="4">
        <v>50</v>
      </c>
      <c r="F522" s="4">
        <v>38.75</v>
      </c>
      <c r="G522" s="4">
        <v>63</v>
      </c>
      <c r="H522" s="4">
        <v>35</v>
      </c>
      <c r="I522" s="4">
        <v>60</v>
      </c>
      <c r="J522" s="4">
        <v>0</v>
      </c>
      <c r="K522" s="4">
        <v>75</v>
      </c>
      <c r="L522" s="4">
        <v>15</v>
      </c>
      <c r="M522" s="4">
        <v>15</v>
      </c>
      <c r="N522" s="4">
        <v>15</v>
      </c>
    </row>
    <row r="523" spans="1:14">
      <c r="A523" s="3">
        <v>807929</v>
      </c>
      <c r="B523" s="3">
        <v>171880</v>
      </c>
      <c r="C523" s="4">
        <v>10</v>
      </c>
      <c r="D523" s="4">
        <v>0</v>
      </c>
      <c r="E523" s="4">
        <v>0</v>
      </c>
      <c r="F523" s="4">
        <v>40</v>
      </c>
      <c r="G523" s="4">
        <v>10</v>
      </c>
      <c r="H523" s="4">
        <v>10</v>
      </c>
      <c r="I523" s="4">
        <v>25</v>
      </c>
      <c r="J523" s="4">
        <v>25</v>
      </c>
      <c r="K523" s="4">
        <v>0</v>
      </c>
      <c r="L523" s="4">
        <v>0</v>
      </c>
      <c r="M523" s="4">
        <v>0</v>
      </c>
      <c r="N523" s="4">
        <v>0</v>
      </c>
    </row>
    <row r="524" spans="1:14">
      <c r="A524" s="3">
        <v>807929</v>
      </c>
      <c r="B524" s="3">
        <v>175288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10</v>
      </c>
      <c r="L524" s="4">
        <v>0</v>
      </c>
      <c r="M524" s="4">
        <v>10</v>
      </c>
      <c r="N524" s="4">
        <v>10</v>
      </c>
    </row>
    <row r="525" spans="1:14">
      <c r="A525" s="3">
        <v>807931</v>
      </c>
      <c r="B525" s="3">
        <v>119038</v>
      </c>
      <c r="C525" s="4">
        <v>47.5</v>
      </c>
      <c r="D525" s="4">
        <v>40</v>
      </c>
      <c r="E525" s="4">
        <v>10</v>
      </c>
      <c r="F525" s="4">
        <v>40</v>
      </c>
      <c r="G525" s="4">
        <v>15</v>
      </c>
      <c r="H525" s="4">
        <v>35</v>
      </c>
      <c r="I525" s="4">
        <v>20</v>
      </c>
      <c r="J525" s="4">
        <v>39</v>
      </c>
      <c r="K525" s="4">
        <v>45</v>
      </c>
      <c r="L525" s="4">
        <v>31</v>
      </c>
      <c r="M525" s="4">
        <v>34</v>
      </c>
      <c r="N525" s="4">
        <v>48</v>
      </c>
    </row>
    <row r="526" spans="1:14">
      <c r="A526" s="3">
        <v>807940</v>
      </c>
      <c r="B526" s="3">
        <v>119038</v>
      </c>
      <c r="C526" s="4">
        <v>5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20</v>
      </c>
      <c r="J526" s="4">
        <v>0</v>
      </c>
      <c r="K526" s="4">
        <v>0</v>
      </c>
      <c r="L526" s="4">
        <v>0</v>
      </c>
      <c r="M526" s="4">
        <v>30</v>
      </c>
      <c r="N526" s="4">
        <v>0</v>
      </c>
    </row>
    <row r="527" spans="1:14">
      <c r="A527" s="3">
        <v>807948</v>
      </c>
      <c r="B527" s="3">
        <v>119050</v>
      </c>
      <c r="C527" s="4">
        <v>5</v>
      </c>
      <c r="D527" s="4">
        <v>0</v>
      </c>
      <c r="E527" s="4">
        <v>62</v>
      </c>
      <c r="F527" s="4">
        <v>85</v>
      </c>
      <c r="G527" s="4">
        <v>37</v>
      </c>
      <c r="H527" s="4">
        <v>36.5</v>
      </c>
      <c r="I527" s="4">
        <v>18.5</v>
      </c>
      <c r="J527" s="4">
        <v>0</v>
      </c>
      <c r="K527" s="4">
        <v>17.5</v>
      </c>
      <c r="L527" s="4">
        <v>55</v>
      </c>
      <c r="M527" s="4">
        <v>25</v>
      </c>
      <c r="N527" s="4">
        <v>60</v>
      </c>
    </row>
    <row r="528" spans="1:14">
      <c r="A528" s="3">
        <v>807949</v>
      </c>
      <c r="B528" s="3">
        <v>176773</v>
      </c>
      <c r="C528" s="4">
        <v>20</v>
      </c>
      <c r="D528" s="4">
        <v>25</v>
      </c>
      <c r="E528" s="4">
        <v>30</v>
      </c>
      <c r="F528" s="4">
        <v>12.5</v>
      </c>
      <c r="G528" s="4">
        <v>32.5</v>
      </c>
      <c r="H528" s="4">
        <v>20</v>
      </c>
      <c r="I528" s="4">
        <v>12.5</v>
      </c>
      <c r="J528" s="4">
        <v>25</v>
      </c>
      <c r="K528" s="4">
        <v>45</v>
      </c>
      <c r="L528" s="4">
        <v>20</v>
      </c>
      <c r="M528" s="4">
        <v>0</v>
      </c>
      <c r="N528" s="4">
        <v>57.5</v>
      </c>
    </row>
    <row r="529" spans="1:14">
      <c r="A529" s="3">
        <v>807956</v>
      </c>
      <c r="B529" s="3">
        <v>172338</v>
      </c>
      <c r="C529" s="4">
        <v>91</v>
      </c>
      <c r="D529" s="4">
        <v>58</v>
      </c>
      <c r="E529" s="4">
        <v>135</v>
      </c>
      <c r="F529" s="4">
        <v>65</v>
      </c>
      <c r="G529" s="4">
        <v>50</v>
      </c>
      <c r="H529" s="4">
        <v>45</v>
      </c>
      <c r="I529" s="4">
        <v>36</v>
      </c>
      <c r="J529" s="4">
        <v>34</v>
      </c>
      <c r="K529" s="4">
        <v>30</v>
      </c>
      <c r="L529" s="4">
        <v>15</v>
      </c>
      <c r="M529" s="4">
        <v>0</v>
      </c>
      <c r="N529" s="4">
        <v>0</v>
      </c>
    </row>
    <row r="530" spans="1:14">
      <c r="A530" s="3">
        <v>807958</v>
      </c>
      <c r="B530" s="3">
        <v>172338</v>
      </c>
      <c r="C530" s="4">
        <v>40</v>
      </c>
      <c r="D530" s="4">
        <v>10</v>
      </c>
      <c r="E530" s="4">
        <v>35</v>
      </c>
      <c r="F530" s="4">
        <v>45</v>
      </c>
      <c r="G530" s="4">
        <v>20</v>
      </c>
      <c r="H530" s="4">
        <v>35</v>
      </c>
      <c r="I530" s="4">
        <v>10</v>
      </c>
      <c r="J530" s="4">
        <v>10</v>
      </c>
      <c r="K530" s="4">
        <v>10</v>
      </c>
      <c r="L530" s="4">
        <v>20</v>
      </c>
      <c r="M530" s="4">
        <v>0</v>
      </c>
      <c r="N530" s="4">
        <v>40.5</v>
      </c>
    </row>
    <row r="531" spans="1:14">
      <c r="A531" s="3">
        <v>807975</v>
      </c>
      <c r="B531" s="3">
        <v>171578</v>
      </c>
      <c r="C531" s="4">
        <v>20</v>
      </c>
      <c r="D531" s="4">
        <v>20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>
      <c r="A532" s="3">
        <v>807976</v>
      </c>
      <c r="B532" s="3">
        <v>172942</v>
      </c>
      <c r="C532" s="4">
        <v>30</v>
      </c>
      <c r="D532" s="4">
        <v>41</v>
      </c>
      <c r="E532" s="4">
        <v>88</v>
      </c>
      <c r="F532" s="4">
        <v>64.5</v>
      </c>
      <c r="G532" s="4">
        <v>101</v>
      </c>
      <c r="H532" s="4">
        <v>81.5</v>
      </c>
      <c r="I532" s="4">
        <v>75</v>
      </c>
      <c r="J532" s="4">
        <v>15</v>
      </c>
      <c r="K532" s="4">
        <v>50</v>
      </c>
      <c r="L532" s="4">
        <v>35</v>
      </c>
      <c r="M532" s="4">
        <v>0</v>
      </c>
      <c r="N532" s="4">
        <v>55</v>
      </c>
    </row>
    <row r="533" spans="1:14">
      <c r="A533" s="3">
        <v>807986</v>
      </c>
      <c r="B533" s="3">
        <v>171887</v>
      </c>
      <c r="C533" s="4">
        <v>15</v>
      </c>
      <c r="D533" s="4">
        <v>40</v>
      </c>
      <c r="E533" s="4">
        <v>30</v>
      </c>
      <c r="F533" s="4">
        <v>26</v>
      </c>
      <c r="G533" s="4">
        <v>10</v>
      </c>
      <c r="H533" s="4">
        <v>17.5</v>
      </c>
      <c r="I533" s="4">
        <v>20</v>
      </c>
      <c r="J533" s="4">
        <v>0</v>
      </c>
      <c r="K533" s="4">
        <v>40</v>
      </c>
      <c r="L533" s="4">
        <v>30</v>
      </c>
      <c r="M533" s="4">
        <v>10</v>
      </c>
      <c r="N533" s="4">
        <v>175</v>
      </c>
    </row>
    <row r="534" spans="1:14">
      <c r="A534" s="3">
        <v>807987</v>
      </c>
      <c r="B534" s="3">
        <v>171578</v>
      </c>
      <c r="C534" s="4">
        <v>33.75</v>
      </c>
      <c r="D534" s="4">
        <v>95</v>
      </c>
      <c r="E534" s="4">
        <v>151.5</v>
      </c>
      <c r="F534" s="4">
        <v>80</v>
      </c>
      <c r="G534" s="4">
        <v>65</v>
      </c>
      <c r="H534" s="4">
        <v>50</v>
      </c>
      <c r="I534" s="4">
        <v>30</v>
      </c>
      <c r="J534" s="4">
        <v>17.5</v>
      </c>
      <c r="K534" s="4">
        <v>20</v>
      </c>
      <c r="L534" s="4">
        <v>20</v>
      </c>
      <c r="M534" s="4">
        <v>95</v>
      </c>
      <c r="N534" s="4">
        <v>45</v>
      </c>
    </row>
    <row r="535" spans="1:14">
      <c r="A535" s="3">
        <v>807987</v>
      </c>
      <c r="B535" s="3">
        <v>174166</v>
      </c>
      <c r="C535" s="4">
        <v>10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>
      <c r="A536" s="3">
        <v>807988</v>
      </c>
      <c r="B536" s="3">
        <v>170204</v>
      </c>
      <c r="C536" s="4">
        <v>38.5</v>
      </c>
      <c r="D536" s="4">
        <v>43.5</v>
      </c>
      <c r="E536" s="4">
        <v>52.5</v>
      </c>
      <c r="F536" s="4">
        <v>40</v>
      </c>
      <c r="G536" s="4">
        <v>0</v>
      </c>
      <c r="H536" s="4">
        <v>0</v>
      </c>
      <c r="I536" s="4">
        <v>0</v>
      </c>
      <c r="J536" s="4">
        <v>62</v>
      </c>
      <c r="K536" s="4">
        <v>10</v>
      </c>
      <c r="L536" s="4">
        <v>35</v>
      </c>
      <c r="M536" s="4">
        <v>28</v>
      </c>
      <c r="N536" s="4">
        <v>10</v>
      </c>
    </row>
    <row r="537" spans="1:14">
      <c r="A537" s="3">
        <v>807997</v>
      </c>
      <c r="B537" s="3">
        <v>142269</v>
      </c>
      <c r="C537" s="4">
        <v>0</v>
      </c>
      <c r="D537" s="4">
        <v>0</v>
      </c>
      <c r="E537" s="4">
        <v>25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</row>
    <row r="538" spans="1:14">
      <c r="A538" s="3">
        <v>807998</v>
      </c>
      <c r="B538" s="3">
        <v>119038</v>
      </c>
      <c r="C538" s="4">
        <v>10</v>
      </c>
      <c r="D538" s="4">
        <v>20</v>
      </c>
      <c r="E538" s="4">
        <v>20</v>
      </c>
      <c r="F538" s="4">
        <v>15</v>
      </c>
      <c r="G538" s="4">
        <v>0</v>
      </c>
      <c r="H538" s="4">
        <v>0</v>
      </c>
      <c r="I538" s="4">
        <v>0</v>
      </c>
      <c r="J538" s="4">
        <v>0</v>
      </c>
      <c r="K538" s="4">
        <v>25</v>
      </c>
      <c r="L538" s="4">
        <v>0</v>
      </c>
      <c r="M538" s="4">
        <v>20</v>
      </c>
      <c r="N538" s="4">
        <v>0</v>
      </c>
    </row>
    <row r="539" spans="1:14">
      <c r="A539" s="3">
        <v>808082</v>
      </c>
      <c r="B539" s="3">
        <v>119050</v>
      </c>
      <c r="C539" s="4">
        <v>0</v>
      </c>
      <c r="D539" s="4">
        <v>0</v>
      </c>
      <c r="E539" s="4">
        <v>16</v>
      </c>
      <c r="F539" s="4">
        <v>22.5</v>
      </c>
      <c r="G539" s="4">
        <v>0</v>
      </c>
      <c r="H539" s="4">
        <v>17.5</v>
      </c>
      <c r="I539" s="4">
        <v>0</v>
      </c>
      <c r="J539" s="4">
        <v>0</v>
      </c>
      <c r="K539" s="4">
        <v>10</v>
      </c>
      <c r="L539" s="4">
        <v>10</v>
      </c>
      <c r="M539" s="4">
        <v>20</v>
      </c>
      <c r="N539" s="4">
        <v>0</v>
      </c>
    </row>
    <row r="540" spans="1:14">
      <c r="A540" s="3">
        <v>808084</v>
      </c>
      <c r="B540" s="3">
        <v>140967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40</v>
      </c>
      <c r="K540" s="4">
        <v>17.5</v>
      </c>
      <c r="L540" s="4">
        <v>0</v>
      </c>
      <c r="M540" s="4">
        <v>0</v>
      </c>
      <c r="N540" s="4">
        <v>0</v>
      </c>
    </row>
    <row r="541" spans="1:14">
      <c r="A541" s="3">
        <v>808084</v>
      </c>
      <c r="B541" s="3">
        <v>209796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50</v>
      </c>
      <c r="I541" s="4">
        <v>87.5</v>
      </c>
      <c r="J541" s="4">
        <v>50</v>
      </c>
      <c r="K541" s="4">
        <v>124.75</v>
      </c>
      <c r="L541" s="4">
        <v>73.5</v>
      </c>
      <c r="M541" s="4">
        <v>40</v>
      </c>
      <c r="N541" s="4">
        <v>43</v>
      </c>
    </row>
    <row r="542" spans="1:14">
      <c r="A542" s="3">
        <v>808087</v>
      </c>
      <c r="B542" s="3">
        <v>140967</v>
      </c>
      <c r="C542" s="4">
        <v>20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35</v>
      </c>
      <c r="L542" s="4">
        <v>0</v>
      </c>
      <c r="M542" s="4">
        <v>0</v>
      </c>
      <c r="N542" s="4">
        <v>48</v>
      </c>
    </row>
    <row r="543" spans="1:14">
      <c r="A543" s="3">
        <v>808088</v>
      </c>
      <c r="B543" s="3">
        <v>140967</v>
      </c>
      <c r="C543" s="4">
        <v>20</v>
      </c>
      <c r="D543" s="4">
        <v>30</v>
      </c>
      <c r="E543" s="4">
        <v>0</v>
      </c>
      <c r="F543" s="4">
        <v>10</v>
      </c>
      <c r="G543" s="4">
        <v>10</v>
      </c>
      <c r="H543" s="4">
        <v>0</v>
      </c>
      <c r="I543" s="4">
        <v>0</v>
      </c>
      <c r="J543" s="4">
        <v>0</v>
      </c>
      <c r="K543" s="4">
        <v>7.5</v>
      </c>
      <c r="L543" s="4">
        <v>20</v>
      </c>
      <c r="M543" s="4">
        <v>0</v>
      </c>
      <c r="N543" s="4">
        <v>0</v>
      </c>
    </row>
    <row r="544" spans="1:14">
      <c r="A544" s="3">
        <v>808094</v>
      </c>
      <c r="B544" s="3">
        <v>170204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42</v>
      </c>
      <c r="K544" s="4">
        <v>0</v>
      </c>
      <c r="L544" s="4">
        <v>0</v>
      </c>
      <c r="M544" s="4">
        <v>0</v>
      </c>
      <c r="N544" s="4">
        <v>0</v>
      </c>
    </row>
    <row r="545" spans="1:14">
      <c r="A545" s="3">
        <v>808103</v>
      </c>
      <c r="B545" s="3">
        <v>119222</v>
      </c>
      <c r="C545" s="4">
        <v>5</v>
      </c>
      <c r="D545" s="4">
        <v>30</v>
      </c>
      <c r="E545" s="4">
        <v>30</v>
      </c>
      <c r="F545" s="4">
        <v>27.5</v>
      </c>
      <c r="G545" s="4">
        <v>15</v>
      </c>
      <c r="H545" s="4">
        <v>15</v>
      </c>
      <c r="I545" s="4">
        <v>22.5</v>
      </c>
      <c r="J545" s="4">
        <v>10</v>
      </c>
      <c r="K545" s="4">
        <v>0</v>
      </c>
      <c r="L545" s="4">
        <v>0</v>
      </c>
      <c r="M545" s="4">
        <v>0</v>
      </c>
      <c r="N545" s="4">
        <v>0</v>
      </c>
    </row>
    <row r="546" spans="1:14">
      <c r="A546" s="3">
        <v>808120</v>
      </c>
      <c r="B546" s="3">
        <v>177093</v>
      </c>
      <c r="C546" s="4">
        <v>10</v>
      </c>
      <c r="D546" s="4">
        <v>57</v>
      </c>
      <c r="E546" s="4">
        <v>28.5</v>
      </c>
      <c r="F546" s="4">
        <v>51.25</v>
      </c>
      <c r="G546" s="4">
        <v>44.5</v>
      </c>
      <c r="H546" s="4">
        <v>30</v>
      </c>
      <c r="I546" s="4">
        <v>48</v>
      </c>
      <c r="J546" s="4">
        <v>19</v>
      </c>
      <c r="K546" s="4">
        <v>76</v>
      </c>
      <c r="L546" s="4">
        <v>43.75</v>
      </c>
      <c r="M546" s="4">
        <v>77.5</v>
      </c>
      <c r="N546" s="4">
        <v>115</v>
      </c>
    </row>
    <row r="547" spans="1:14">
      <c r="A547" s="3">
        <v>808121</v>
      </c>
      <c r="B547" s="3">
        <v>177093</v>
      </c>
      <c r="C547" s="4">
        <v>19</v>
      </c>
      <c r="D547" s="4">
        <v>18.75</v>
      </c>
      <c r="E547" s="4">
        <v>39.75</v>
      </c>
      <c r="F547" s="4">
        <v>30</v>
      </c>
      <c r="G547" s="4">
        <v>5</v>
      </c>
      <c r="H547" s="4">
        <v>7</v>
      </c>
      <c r="I547" s="4">
        <v>2</v>
      </c>
      <c r="J547" s="4">
        <v>11.5</v>
      </c>
      <c r="K547" s="4">
        <v>34</v>
      </c>
      <c r="L547" s="4">
        <v>27.5</v>
      </c>
      <c r="M547" s="4">
        <v>31.75</v>
      </c>
      <c r="N547" s="4">
        <v>0</v>
      </c>
    </row>
    <row r="548" spans="1:14">
      <c r="A548" s="3">
        <v>808133</v>
      </c>
      <c r="B548" s="3">
        <v>119208</v>
      </c>
      <c r="C548" s="4">
        <v>55</v>
      </c>
      <c r="D548" s="4">
        <v>0</v>
      </c>
      <c r="E548" s="4">
        <v>134</v>
      </c>
      <c r="F548" s="4">
        <v>152</v>
      </c>
      <c r="G548" s="4">
        <v>117</v>
      </c>
      <c r="H548" s="4">
        <v>0</v>
      </c>
      <c r="I548" s="4">
        <v>189</v>
      </c>
      <c r="J548" s="4">
        <v>135</v>
      </c>
      <c r="K548" s="4">
        <v>70</v>
      </c>
      <c r="L548" s="4">
        <v>272</v>
      </c>
      <c r="M548" s="4">
        <v>160</v>
      </c>
      <c r="N548" s="4">
        <v>351.1</v>
      </c>
    </row>
    <row r="549" spans="1:14">
      <c r="A549" s="3">
        <v>808145</v>
      </c>
      <c r="B549" s="3">
        <v>170392</v>
      </c>
      <c r="C549" s="4">
        <v>0</v>
      </c>
      <c r="D549" s="4">
        <v>30</v>
      </c>
      <c r="E549" s="4">
        <v>10</v>
      </c>
      <c r="F549" s="4">
        <v>53.35</v>
      </c>
      <c r="G549" s="4">
        <v>0</v>
      </c>
      <c r="H549" s="4">
        <v>0</v>
      </c>
      <c r="I549" s="4">
        <v>50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</row>
    <row r="550" spans="1:14">
      <c r="A550" s="3">
        <v>808145</v>
      </c>
      <c r="B550" s="3">
        <v>203484</v>
      </c>
      <c r="C550" s="4">
        <v>40</v>
      </c>
      <c r="D550" s="4">
        <v>15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</row>
    <row r="551" spans="1:14">
      <c r="A551" s="3">
        <v>808147</v>
      </c>
      <c r="B551" s="3">
        <v>119031</v>
      </c>
      <c r="C551" s="4">
        <v>60</v>
      </c>
      <c r="D551" s="4">
        <v>53</v>
      </c>
      <c r="E551" s="4">
        <v>47</v>
      </c>
      <c r="F551" s="4">
        <v>43.8</v>
      </c>
      <c r="G551" s="4">
        <v>81</v>
      </c>
      <c r="H551" s="4">
        <v>61.5</v>
      </c>
      <c r="I551" s="4">
        <v>70</v>
      </c>
      <c r="J551" s="4">
        <v>35</v>
      </c>
      <c r="K551" s="4">
        <v>129.5</v>
      </c>
      <c r="L551" s="4">
        <v>184.5</v>
      </c>
      <c r="M551" s="4">
        <v>135.5</v>
      </c>
      <c r="N551" s="4">
        <v>80</v>
      </c>
    </row>
    <row r="552" spans="1:14">
      <c r="A552" s="3">
        <v>808151</v>
      </c>
      <c r="B552" s="3">
        <v>172338</v>
      </c>
      <c r="C552" s="4">
        <v>20</v>
      </c>
      <c r="D552" s="4">
        <v>30</v>
      </c>
      <c r="E552" s="4">
        <v>51</v>
      </c>
      <c r="F552" s="4">
        <v>20</v>
      </c>
      <c r="G552" s="4">
        <v>15</v>
      </c>
      <c r="H552" s="4">
        <v>15</v>
      </c>
      <c r="I552" s="4">
        <v>16</v>
      </c>
      <c r="J552" s="4">
        <v>30</v>
      </c>
      <c r="K552" s="4">
        <v>27.5</v>
      </c>
      <c r="L552" s="4">
        <v>37.5</v>
      </c>
      <c r="M552" s="4">
        <v>45</v>
      </c>
      <c r="N552" s="4">
        <v>94</v>
      </c>
    </row>
    <row r="553" spans="1:14">
      <c r="A553" s="3">
        <v>808152</v>
      </c>
      <c r="B553" s="3">
        <v>140967</v>
      </c>
      <c r="C553" s="4">
        <v>20</v>
      </c>
      <c r="D553" s="4">
        <v>35</v>
      </c>
      <c r="E553" s="4">
        <v>0</v>
      </c>
      <c r="F553" s="4">
        <v>17.5</v>
      </c>
      <c r="G553" s="4">
        <v>30</v>
      </c>
      <c r="H553" s="4">
        <v>30</v>
      </c>
      <c r="I553" s="4">
        <v>31</v>
      </c>
      <c r="J553" s="4">
        <v>40</v>
      </c>
      <c r="K553" s="4">
        <v>47.5</v>
      </c>
      <c r="L553" s="4">
        <v>130</v>
      </c>
      <c r="M553" s="4">
        <v>30</v>
      </c>
      <c r="N553" s="4">
        <v>70</v>
      </c>
    </row>
    <row r="554" spans="1:14">
      <c r="A554" s="3">
        <v>808154</v>
      </c>
      <c r="B554" s="3">
        <v>204318</v>
      </c>
      <c r="C554" s="4">
        <v>20</v>
      </c>
      <c r="D554" s="4">
        <v>14</v>
      </c>
      <c r="E554" s="4">
        <v>40</v>
      </c>
      <c r="F554" s="4">
        <v>37</v>
      </c>
      <c r="G554" s="4">
        <v>25.5</v>
      </c>
      <c r="H554" s="4">
        <v>37.5</v>
      </c>
      <c r="I554" s="4">
        <v>15</v>
      </c>
      <c r="J554" s="4">
        <v>20</v>
      </c>
      <c r="K554" s="4">
        <v>40</v>
      </c>
      <c r="L554" s="4">
        <v>30</v>
      </c>
      <c r="M554" s="4">
        <v>15</v>
      </c>
      <c r="N554" s="4">
        <v>106.5</v>
      </c>
    </row>
    <row r="555" spans="1:14">
      <c r="A555" s="3">
        <v>808155</v>
      </c>
      <c r="B555" s="3">
        <v>119208</v>
      </c>
      <c r="C555" s="4">
        <v>202</v>
      </c>
      <c r="D555" s="4">
        <v>0</v>
      </c>
      <c r="E555" s="4">
        <v>15</v>
      </c>
      <c r="F555" s="4">
        <v>7.5</v>
      </c>
      <c r="G555" s="4">
        <v>127.5</v>
      </c>
      <c r="H555" s="4">
        <v>0</v>
      </c>
      <c r="I555" s="4">
        <v>184.5</v>
      </c>
      <c r="J555" s="4">
        <v>140</v>
      </c>
      <c r="K555" s="4">
        <v>145</v>
      </c>
      <c r="L555" s="4">
        <v>182</v>
      </c>
      <c r="M555" s="4">
        <v>45</v>
      </c>
      <c r="N555" s="4">
        <v>0</v>
      </c>
    </row>
    <row r="556" spans="1:14">
      <c r="A556" s="3">
        <v>808157</v>
      </c>
      <c r="B556" s="3">
        <v>170392</v>
      </c>
      <c r="C556" s="4">
        <v>28.75</v>
      </c>
      <c r="D556" s="4">
        <v>57.5</v>
      </c>
      <c r="E556" s="4">
        <v>120</v>
      </c>
      <c r="F556" s="4">
        <v>100</v>
      </c>
      <c r="G556" s="4">
        <v>85</v>
      </c>
      <c r="H556" s="4">
        <v>30</v>
      </c>
      <c r="I556" s="4">
        <v>10</v>
      </c>
      <c r="J556" s="4">
        <v>40</v>
      </c>
      <c r="K556" s="4">
        <v>87</v>
      </c>
      <c r="L556" s="4">
        <v>47.5</v>
      </c>
      <c r="M556" s="4">
        <v>41.5</v>
      </c>
      <c r="N556" s="4">
        <v>32.5</v>
      </c>
    </row>
    <row r="557" spans="1:14">
      <c r="A557" s="3">
        <v>808163</v>
      </c>
      <c r="B557" s="3">
        <v>140967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20</v>
      </c>
      <c r="J557" s="4">
        <v>0</v>
      </c>
      <c r="K557" s="4">
        <v>0</v>
      </c>
      <c r="L557" s="4">
        <v>10</v>
      </c>
      <c r="M557" s="4">
        <v>0</v>
      </c>
      <c r="N557" s="4">
        <v>0</v>
      </c>
    </row>
    <row r="558" spans="1:14">
      <c r="A558" s="3">
        <v>808172</v>
      </c>
      <c r="B558" s="3">
        <v>142843</v>
      </c>
      <c r="C558" s="4">
        <v>171.35</v>
      </c>
      <c r="D558" s="4">
        <v>89</v>
      </c>
      <c r="E558" s="4">
        <v>121.5</v>
      </c>
      <c r="F558" s="4">
        <v>116</v>
      </c>
      <c r="G558" s="4">
        <v>104</v>
      </c>
      <c r="H558" s="4">
        <v>153.5</v>
      </c>
      <c r="I558" s="4">
        <v>160</v>
      </c>
      <c r="J558" s="4">
        <v>105</v>
      </c>
      <c r="K558" s="4">
        <v>121</v>
      </c>
      <c r="L558" s="4">
        <v>115</v>
      </c>
      <c r="M558" s="4">
        <v>159.5</v>
      </c>
      <c r="N558" s="4">
        <v>144.05000000000001</v>
      </c>
    </row>
    <row r="559" spans="1:14">
      <c r="A559" s="3">
        <v>808173</v>
      </c>
      <c r="B559" s="3">
        <v>122282</v>
      </c>
      <c r="C559" s="4">
        <v>40</v>
      </c>
      <c r="D559" s="4">
        <v>45</v>
      </c>
      <c r="E559" s="4">
        <v>47</v>
      </c>
      <c r="F559" s="4">
        <v>44</v>
      </c>
      <c r="G559" s="4">
        <v>52</v>
      </c>
      <c r="H559" s="4">
        <v>27.5</v>
      </c>
      <c r="I559" s="4">
        <v>20</v>
      </c>
      <c r="J559" s="4">
        <v>20</v>
      </c>
      <c r="K559" s="4">
        <v>59</v>
      </c>
      <c r="L559" s="4">
        <v>41</v>
      </c>
      <c r="M559" s="4">
        <v>43</v>
      </c>
      <c r="N559" s="4">
        <v>54</v>
      </c>
    </row>
    <row r="560" spans="1:14">
      <c r="A560" s="3">
        <v>808181</v>
      </c>
      <c r="B560" s="3">
        <v>170392</v>
      </c>
      <c r="C560" s="4">
        <v>10</v>
      </c>
      <c r="D560" s="4">
        <v>39</v>
      </c>
      <c r="E560" s="4">
        <v>10</v>
      </c>
      <c r="F560" s="4">
        <v>30</v>
      </c>
      <c r="G560" s="4">
        <v>0</v>
      </c>
      <c r="H560" s="4">
        <v>0</v>
      </c>
      <c r="I560" s="4">
        <v>20</v>
      </c>
      <c r="J560" s="4">
        <v>2</v>
      </c>
      <c r="K560" s="4">
        <v>51.25</v>
      </c>
      <c r="L560" s="4">
        <v>39</v>
      </c>
      <c r="M560" s="4">
        <v>20</v>
      </c>
      <c r="N560" s="4">
        <v>10</v>
      </c>
    </row>
    <row r="561" spans="1:14">
      <c r="A561" s="3">
        <v>808182</v>
      </c>
      <c r="B561" s="3">
        <v>119160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30</v>
      </c>
      <c r="M561" s="4">
        <v>0</v>
      </c>
      <c r="N561" s="4">
        <v>0</v>
      </c>
    </row>
    <row r="562" spans="1:14">
      <c r="A562" s="3">
        <v>808184</v>
      </c>
      <c r="B562" s="3">
        <v>141115</v>
      </c>
      <c r="C562" s="4">
        <v>114.75</v>
      </c>
      <c r="D562" s="4">
        <v>50</v>
      </c>
      <c r="E562" s="4">
        <v>151.80000000000001</v>
      </c>
      <c r="F562" s="4">
        <v>87</v>
      </c>
      <c r="G562" s="4">
        <v>65.75</v>
      </c>
      <c r="H562" s="4">
        <v>77</v>
      </c>
      <c r="I562" s="4">
        <v>98.5</v>
      </c>
      <c r="J562" s="4">
        <v>47.5</v>
      </c>
      <c r="K562" s="4">
        <v>60</v>
      </c>
      <c r="L562" s="4">
        <v>75</v>
      </c>
      <c r="M562" s="4">
        <v>40</v>
      </c>
      <c r="N562" s="4">
        <v>30</v>
      </c>
    </row>
    <row r="563" spans="1:14">
      <c r="A563" s="3">
        <v>808186</v>
      </c>
      <c r="B563" s="3">
        <v>173528</v>
      </c>
      <c r="C563" s="4">
        <v>39.5</v>
      </c>
      <c r="D563" s="4">
        <v>5</v>
      </c>
      <c r="E563" s="4">
        <v>0</v>
      </c>
      <c r="F563" s="4">
        <v>10</v>
      </c>
      <c r="G563" s="4">
        <v>10</v>
      </c>
      <c r="H563" s="4">
        <v>0</v>
      </c>
      <c r="I563" s="4">
        <v>55</v>
      </c>
      <c r="J563" s="4">
        <v>10</v>
      </c>
      <c r="K563" s="4">
        <v>75</v>
      </c>
      <c r="L563" s="4">
        <v>29</v>
      </c>
      <c r="M563" s="4">
        <v>32</v>
      </c>
      <c r="N563" s="4">
        <v>0</v>
      </c>
    </row>
    <row r="564" spans="1:14">
      <c r="A564" s="3">
        <v>808198</v>
      </c>
      <c r="B564" s="3">
        <v>144804</v>
      </c>
      <c r="C564" s="4">
        <v>0</v>
      </c>
      <c r="D564" s="4">
        <v>0</v>
      </c>
      <c r="E564" s="4">
        <v>20</v>
      </c>
      <c r="F564" s="4">
        <v>32.5</v>
      </c>
      <c r="G564" s="4">
        <v>5</v>
      </c>
      <c r="H564" s="4">
        <v>20</v>
      </c>
      <c r="I564" s="4">
        <v>27.5</v>
      </c>
      <c r="J564" s="4">
        <v>10</v>
      </c>
      <c r="K564" s="4">
        <v>26</v>
      </c>
      <c r="L564" s="4">
        <v>52.5</v>
      </c>
      <c r="M564" s="4">
        <v>52.5</v>
      </c>
      <c r="N564" s="4">
        <v>50</v>
      </c>
    </row>
    <row r="565" spans="1:14">
      <c r="A565" s="3">
        <v>808200</v>
      </c>
      <c r="B565" s="3">
        <v>119050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10</v>
      </c>
      <c r="K565" s="4">
        <v>15</v>
      </c>
      <c r="L565" s="4">
        <v>0</v>
      </c>
      <c r="M565" s="4">
        <v>10</v>
      </c>
      <c r="N565" s="4">
        <v>0</v>
      </c>
    </row>
    <row r="566" spans="1:14">
      <c r="A566" s="3">
        <v>808206</v>
      </c>
      <c r="B566" s="3">
        <v>172338</v>
      </c>
      <c r="C566" s="4">
        <v>0</v>
      </c>
      <c r="D566" s="4">
        <v>15</v>
      </c>
      <c r="E566" s="4">
        <v>20</v>
      </c>
      <c r="F566" s="4">
        <v>55</v>
      </c>
      <c r="G566" s="4">
        <v>19.899999999999999</v>
      </c>
      <c r="H566" s="4">
        <v>20</v>
      </c>
      <c r="I566" s="4">
        <v>10</v>
      </c>
      <c r="J566" s="4">
        <v>20</v>
      </c>
      <c r="K566" s="4">
        <v>40</v>
      </c>
      <c r="L566" s="4">
        <v>52.5</v>
      </c>
      <c r="M566" s="4">
        <v>27.5</v>
      </c>
      <c r="N566" s="4">
        <v>11</v>
      </c>
    </row>
    <row r="567" spans="1:14">
      <c r="A567" s="3">
        <v>808210</v>
      </c>
      <c r="B567" s="3">
        <v>171834</v>
      </c>
      <c r="C567" s="4">
        <v>39</v>
      </c>
      <c r="D567" s="4">
        <v>124.5</v>
      </c>
      <c r="E567" s="4">
        <v>141.94999999999999</v>
      </c>
      <c r="F567" s="4">
        <v>166</v>
      </c>
      <c r="G567" s="4">
        <v>137.5</v>
      </c>
      <c r="H567" s="4">
        <v>82.5</v>
      </c>
      <c r="I567" s="4">
        <v>0</v>
      </c>
      <c r="J567" s="4">
        <v>114.5</v>
      </c>
      <c r="K567" s="4">
        <v>156.05000000000001</v>
      </c>
      <c r="L567" s="4">
        <v>10</v>
      </c>
      <c r="M567" s="4">
        <v>12.5</v>
      </c>
      <c r="N567" s="4">
        <v>35</v>
      </c>
    </row>
    <row r="568" spans="1:14">
      <c r="A568" s="3">
        <v>808227</v>
      </c>
      <c r="B568" s="3">
        <v>140850</v>
      </c>
      <c r="C568" s="4">
        <v>33</v>
      </c>
      <c r="D568" s="4">
        <v>60</v>
      </c>
      <c r="E568" s="4">
        <v>55</v>
      </c>
      <c r="F568" s="4">
        <v>60</v>
      </c>
      <c r="G568" s="4">
        <v>54.4</v>
      </c>
      <c r="H568" s="4">
        <v>61</v>
      </c>
      <c r="I568" s="4">
        <v>21</v>
      </c>
      <c r="J568" s="4">
        <v>30</v>
      </c>
      <c r="K568" s="4">
        <v>65</v>
      </c>
      <c r="L568" s="4">
        <v>41</v>
      </c>
      <c r="M568" s="4">
        <v>60</v>
      </c>
      <c r="N568" s="4">
        <v>59</v>
      </c>
    </row>
    <row r="569" spans="1:14">
      <c r="A569" s="3">
        <v>808228</v>
      </c>
      <c r="B569" s="3">
        <v>140852</v>
      </c>
      <c r="C569" s="4">
        <v>6</v>
      </c>
      <c r="D569" s="4">
        <v>35</v>
      </c>
      <c r="E569" s="4">
        <v>20</v>
      </c>
      <c r="F569" s="4">
        <v>80.25</v>
      </c>
      <c r="G569" s="4">
        <v>16</v>
      </c>
      <c r="H569" s="4">
        <v>49.5</v>
      </c>
      <c r="I569" s="4">
        <v>5.5</v>
      </c>
      <c r="J569" s="4">
        <v>0</v>
      </c>
      <c r="K569" s="4">
        <v>11</v>
      </c>
      <c r="L569" s="4">
        <v>0</v>
      </c>
      <c r="M569" s="4">
        <v>0</v>
      </c>
      <c r="N569" s="4">
        <v>0</v>
      </c>
    </row>
    <row r="570" spans="1:14">
      <c r="A570" s="3">
        <v>808229</v>
      </c>
      <c r="B570" s="3">
        <v>172942</v>
      </c>
      <c r="C570" s="4">
        <v>15</v>
      </c>
      <c r="D570" s="4">
        <v>20</v>
      </c>
      <c r="E570" s="4">
        <v>34</v>
      </c>
      <c r="F570" s="4">
        <v>37</v>
      </c>
      <c r="G570" s="4">
        <v>32</v>
      </c>
      <c r="H570" s="4">
        <v>15</v>
      </c>
      <c r="I570" s="4">
        <v>15</v>
      </c>
      <c r="J570" s="4">
        <v>15</v>
      </c>
      <c r="K570" s="4">
        <v>35</v>
      </c>
      <c r="L570" s="4">
        <v>41.5</v>
      </c>
      <c r="M570" s="4">
        <v>10</v>
      </c>
      <c r="N570" s="4">
        <v>1</v>
      </c>
    </row>
    <row r="571" spans="1:14">
      <c r="A571" s="3">
        <v>808259</v>
      </c>
      <c r="B571" s="3">
        <v>170204</v>
      </c>
      <c r="C571" s="4">
        <v>52.5</v>
      </c>
      <c r="D571" s="4">
        <v>38</v>
      </c>
      <c r="E571" s="4">
        <v>17.5</v>
      </c>
      <c r="F571" s="4">
        <v>7</v>
      </c>
      <c r="G571" s="4">
        <v>0</v>
      </c>
      <c r="H571" s="4">
        <v>0</v>
      </c>
      <c r="I571" s="4">
        <v>0</v>
      </c>
      <c r="J571" s="4">
        <v>42</v>
      </c>
      <c r="K571" s="4">
        <v>0</v>
      </c>
      <c r="L571" s="4">
        <v>0</v>
      </c>
      <c r="M571" s="4">
        <v>0</v>
      </c>
      <c r="N571" s="4">
        <v>0</v>
      </c>
    </row>
    <row r="572" spans="1:14">
      <c r="A572" s="3">
        <v>808269</v>
      </c>
      <c r="B572" s="3">
        <v>170363</v>
      </c>
      <c r="C572" s="4">
        <v>0</v>
      </c>
      <c r="D572" s="4">
        <v>35</v>
      </c>
      <c r="E572" s="4">
        <v>55</v>
      </c>
      <c r="F572" s="4">
        <v>14</v>
      </c>
      <c r="G572" s="4">
        <v>15</v>
      </c>
      <c r="H572" s="4">
        <v>0</v>
      </c>
      <c r="I572" s="4">
        <v>17.5</v>
      </c>
      <c r="J572" s="4">
        <v>15</v>
      </c>
      <c r="K572" s="4">
        <v>35</v>
      </c>
      <c r="L572" s="4">
        <v>42</v>
      </c>
      <c r="M572" s="4">
        <v>70</v>
      </c>
      <c r="N572" s="4">
        <v>154</v>
      </c>
    </row>
    <row r="573" spans="1:14">
      <c r="A573" s="3">
        <v>808271</v>
      </c>
      <c r="B573" s="3">
        <v>140848</v>
      </c>
      <c r="C573" s="4">
        <v>81</v>
      </c>
      <c r="D573" s="4">
        <v>65</v>
      </c>
      <c r="E573" s="4">
        <v>182</v>
      </c>
      <c r="F573" s="4">
        <v>117.5</v>
      </c>
      <c r="G573" s="4">
        <v>107</v>
      </c>
      <c r="H573" s="4">
        <v>27.25</v>
      </c>
      <c r="I573" s="4">
        <v>105</v>
      </c>
      <c r="J573" s="4">
        <v>80</v>
      </c>
      <c r="K573" s="4">
        <v>73.5</v>
      </c>
      <c r="L573" s="4">
        <v>115</v>
      </c>
      <c r="M573" s="4">
        <v>70</v>
      </c>
      <c r="N573" s="4">
        <v>177.5</v>
      </c>
    </row>
    <row r="574" spans="1:14">
      <c r="A574" s="3">
        <v>808272</v>
      </c>
      <c r="B574" s="3">
        <v>140967</v>
      </c>
      <c r="C574" s="4">
        <v>20</v>
      </c>
      <c r="D574" s="4">
        <v>0</v>
      </c>
      <c r="E574" s="4">
        <v>0</v>
      </c>
      <c r="F574" s="4">
        <v>77.5</v>
      </c>
      <c r="G574" s="4">
        <v>112.5</v>
      </c>
      <c r="H574" s="4">
        <v>25</v>
      </c>
      <c r="I574" s="4">
        <v>25</v>
      </c>
      <c r="J574" s="4">
        <v>0</v>
      </c>
      <c r="K574" s="4">
        <v>77.5</v>
      </c>
      <c r="L574" s="4">
        <v>50</v>
      </c>
      <c r="M574" s="4">
        <v>90</v>
      </c>
      <c r="N574" s="4">
        <v>74</v>
      </c>
    </row>
    <row r="575" spans="1:14">
      <c r="A575" s="3">
        <v>808275</v>
      </c>
      <c r="B575" s="3">
        <v>143509</v>
      </c>
      <c r="C575" s="4">
        <v>58.85</v>
      </c>
      <c r="D575" s="4">
        <v>70</v>
      </c>
      <c r="E575" s="4">
        <v>98.85</v>
      </c>
      <c r="F575" s="4">
        <v>95</v>
      </c>
      <c r="G575" s="4">
        <v>95</v>
      </c>
      <c r="H575" s="4">
        <v>83.65</v>
      </c>
      <c r="I575" s="4">
        <v>10</v>
      </c>
      <c r="J575" s="4">
        <v>40</v>
      </c>
      <c r="K575" s="4">
        <v>125</v>
      </c>
      <c r="L575" s="4">
        <v>0</v>
      </c>
      <c r="M575" s="4">
        <v>40</v>
      </c>
      <c r="N575" s="4">
        <v>30</v>
      </c>
    </row>
    <row r="576" spans="1:14">
      <c r="A576" s="3">
        <v>808276</v>
      </c>
      <c r="B576" s="3">
        <v>203600</v>
      </c>
      <c r="C576" s="4">
        <v>45</v>
      </c>
      <c r="D576" s="4">
        <v>35</v>
      </c>
      <c r="E576" s="4">
        <v>80</v>
      </c>
      <c r="F576" s="4">
        <v>60</v>
      </c>
      <c r="G576" s="4">
        <v>69</v>
      </c>
      <c r="H576" s="4">
        <v>35</v>
      </c>
      <c r="I576" s="4">
        <v>25</v>
      </c>
      <c r="J576" s="4">
        <v>20</v>
      </c>
      <c r="K576" s="4">
        <v>62</v>
      </c>
      <c r="L576" s="4">
        <v>33</v>
      </c>
      <c r="M576" s="4">
        <v>31</v>
      </c>
      <c r="N576" s="4">
        <v>64</v>
      </c>
    </row>
    <row r="577" spans="1:14">
      <c r="A577" s="3">
        <v>808283</v>
      </c>
      <c r="B577" s="3">
        <v>119044</v>
      </c>
      <c r="C577" s="4">
        <v>11</v>
      </c>
      <c r="D577" s="4">
        <v>20</v>
      </c>
      <c r="E577" s="4">
        <v>20</v>
      </c>
      <c r="F577" s="4">
        <v>39.65</v>
      </c>
      <c r="G577" s="4">
        <v>17</v>
      </c>
      <c r="H577" s="4">
        <v>10</v>
      </c>
      <c r="I577" s="4">
        <v>50</v>
      </c>
      <c r="J577" s="4">
        <v>15</v>
      </c>
      <c r="K577" s="4">
        <v>30</v>
      </c>
      <c r="L577" s="4">
        <v>15</v>
      </c>
      <c r="M577" s="4">
        <v>30</v>
      </c>
      <c r="N577" s="4">
        <v>45</v>
      </c>
    </row>
    <row r="578" spans="1:14">
      <c r="A578" s="3">
        <v>808284</v>
      </c>
      <c r="B578" s="3">
        <v>119044</v>
      </c>
      <c r="C578" s="4">
        <v>0</v>
      </c>
      <c r="D578" s="4">
        <v>0</v>
      </c>
      <c r="E578" s="4">
        <v>0</v>
      </c>
      <c r="F578" s="4">
        <v>0</v>
      </c>
      <c r="G578" s="4">
        <v>7</v>
      </c>
      <c r="H578" s="4">
        <v>0</v>
      </c>
      <c r="I578" s="4">
        <v>60</v>
      </c>
      <c r="J578" s="4">
        <v>0</v>
      </c>
      <c r="K578" s="4">
        <v>20</v>
      </c>
      <c r="L578" s="4">
        <v>0</v>
      </c>
      <c r="M578" s="4">
        <v>10</v>
      </c>
      <c r="N578" s="4">
        <v>27.5</v>
      </c>
    </row>
    <row r="579" spans="1:14">
      <c r="A579" s="3">
        <v>808289</v>
      </c>
      <c r="B579" s="3">
        <v>171662</v>
      </c>
      <c r="C579" s="4">
        <v>65</v>
      </c>
      <c r="D579" s="4">
        <v>10</v>
      </c>
      <c r="E579" s="4">
        <v>40</v>
      </c>
      <c r="F579" s="4">
        <v>53</v>
      </c>
      <c r="G579" s="4">
        <v>62.5</v>
      </c>
      <c r="H579" s="4">
        <v>28.5</v>
      </c>
      <c r="I579" s="4">
        <v>45</v>
      </c>
      <c r="J579" s="4">
        <v>0</v>
      </c>
      <c r="K579" s="4">
        <v>20</v>
      </c>
      <c r="L579" s="4">
        <v>0</v>
      </c>
      <c r="M579" s="4">
        <v>30</v>
      </c>
      <c r="N579" s="4">
        <v>48</v>
      </c>
    </row>
    <row r="580" spans="1:14">
      <c r="A580" s="3">
        <v>808292</v>
      </c>
      <c r="B580" s="3">
        <v>206102</v>
      </c>
      <c r="C580" s="4">
        <v>0</v>
      </c>
      <c r="D580" s="4">
        <v>0</v>
      </c>
      <c r="E580" s="4">
        <v>0</v>
      </c>
      <c r="F580" s="4">
        <v>30</v>
      </c>
      <c r="G580" s="4">
        <v>65</v>
      </c>
      <c r="H580" s="4">
        <v>23</v>
      </c>
      <c r="I580" s="4">
        <v>6.5</v>
      </c>
      <c r="J580" s="4">
        <v>0</v>
      </c>
      <c r="K580" s="4">
        <v>55</v>
      </c>
      <c r="L580" s="4">
        <v>20</v>
      </c>
      <c r="M580" s="4">
        <v>0</v>
      </c>
      <c r="N580" s="4">
        <v>0</v>
      </c>
    </row>
    <row r="581" spans="1:14">
      <c r="A581" s="3">
        <v>808309</v>
      </c>
      <c r="B581" s="3">
        <v>177104</v>
      </c>
      <c r="C581" s="4">
        <v>15</v>
      </c>
      <c r="D581" s="4">
        <v>10</v>
      </c>
      <c r="E581" s="4">
        <v>23.5</v>
      </c>
      <c r="F581" s="4">
        <v>29</v>
      </c>
      <c r="G581" s="4">
        <v>19</v>
      </c>
      <c r="H581" s="4">
        <v>49</v>
      </c>
      <c r="I581" s="4">
        <v>7.5</v>
      </c>
      <c r="J581" s="4">
        <v>0</v>
      </c>
      <c r="K581" s="4">
        <v>20</v>
      </c>
      <c r="L581" s="4">
        <v>0</v>
      </c>
      <c r="M581" s="4">
        <v>49</v>
      </c>
      <c r="N581" s="4">
        <v>1</v>
      </c>
    </row>
    <row r="582" spans="1:14">
      <c r="A582" s="3">
        <v>808310</v>
      </c>
      <c r="B582" s="3">
        <v>172084</v>
      </c>
      <c r="C582" s="4">
        <v>20</v>
      </c>
      <c r="D582" s="4">
        <v>30</v>
      </c>
      <c r="E582" s="4">
        <v>65</v>
      </c>
      <c r="F582" s="4">
        <v>70</v>
      </c>
      <c r="G582" s="4">
        <v>40</v>
      </c>
      <c r="H582" s="4">
        <v>20</v>
      </c>
      <c r="I582" s="4">
        <v>15</v>
      </c>
      <c r="J582" s="4">
        <v>10</v>
      </c>
      <c r="K582" s="4">
        <v>55</v>
      </c>
      <c r="L582" s="4">
        <v>0</v>
      </c>
      <c r="M582" s="4">
        <v>20</v>
      </c>
      <c r="N582" s="4">
        <v>67</v>
      </c>
    </row>
    <row r="583" spans="1:14">
      <c r="A583" s="3">
        <v>808312</v>
      </c>
      <c r="B583" s="3">
        <v>119050</v>
      </c>
      <c r="C583" s="4">
        <v>15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>
      <c r="A584" s="3">
        <v>808312</v>
      </c>
      <c r="B584" s="3">
        <v>202842</v>
      </c>
      <c r="C584" s="4">
        <v>70</v>
      </c>
      <c r="D584" s="4">
        <v>51</v>
      </c>
      <c r="E584" s="4">
        <v>88</v>
      </c>
      <c r="F584" s="4">
        <v>85</v>
      </c>
      <c r="G584" s="4">
        <v>80</v>
      </c>
      <c r="H584" s="4">
        <v>89.7</v>
      </c>
      <c r="I584" s="4">
        <v>45</v>
      </c>
      <c r="J584" s="4">
        <v>10</v>
      </c>
      <c r="K584" s="4">
        <v>100</v>
      </c>
      <c r="L584" s="4">
        <v>100</v>
      </c>
      <c r="M584" s="4">
        <v>25</v>
      </c>
      <c r="N584" s="4">
        <v>111</v>
      </c>
    </row>
    <row r="585" spans="1:14">
      <c r="A585" s="3">
        <v>808313</v>
      </c>
      <c r="B585" s="3">
        <v>140960</v>
      </c>
      <c r="C585" s="4">
        <v>0</v>
      </c>
      <c r="D585" s="4">
        <v>0</v>
      </c>
      <c r="E585" s="4">
        <v>0</v>
      </c>
      <c r="F585" s="4">
        <v>35</v>
      </c>
      <c r="G585" s="4">
        <v>0</v>
      </c>
      <c r="H585" s="4">
        <v>40</v>
      </c>
      <c r="I585" s="4">
        <v>0</v>
      </c>
      <c r="J585" s="4">
        <v>0</v>
      </c>
      <c r="K585" s="4">
        <v>40</v>
      </c>
      <c r="L585" s="4">
        <v>15</v>
      </c>
      <c r="M585" s="4">
        <v>50</v>
      </c>
      <c r="N585" s="4">
        <v>75</v>
      </c>
    </row>
    <row r="586" spans="1:14">
      <c r="A586" s="3">
        <v>808315</v>
      </c>
      <c r="B586" s="3">
        <v>146500</v>
      </c>
      <c r="C586" s="4">
        <v>0</v>
      </c>
      <c r="D586" s="4">
        <v>10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</row>
    <row r="587" spans="1:14">
      <c r="A587" s="3">
        <v>808316</v>
      </c>
      <c r="B587" s="3">
        <v>204030</v>
      </c>
      <c r="C587" s="4">
        <v>104.25</v>
      </c>
      <c r="D587" s="4">
        <v>54</v>
      </c>
      <c r="E587" s="4">
        <v>136.25</v>
      </c>
      <c r="F587" s="4">
        <v>26</v>
      </c>
      <c r="G587" s="4">
        <v>40.25</v>
      </c>
      <c r="H587" s="4">
        <v>36</v>
      </c>
      <c r="I587" s="4">
        <v>49</v>
      </c>
      <c r="J587" s="4">
        <v>2</v>
      </c>
      <c r="K587" s="4">
        <v>73</v>
      </c>
      <c r="L587" s="4">
        <v>10</v>
      </c>
      <c r="M587" s="4">
        <v>45.5</v>
      </c>
      <c r="N587" s="4">
        <v>40</v>
      </c>
    </row>
    <row r="588" spans="1:14">
      <c r="A588" s="3">
        <v>808317</v>
      </c>
      <c r="B588" s="3">
        <v>119066</v>
      </c>
      <c r="C588" s="4">
        <v>77.5</v>
      </c>
      <c r="D588" s="4">
        <v>112</v>
      </c>
      <c r="E588" s="4">
        <v>179</v>
      </c>
      <c r="F588" s="4">
        <v>91</v>
      </c>
      <c r="G588" s="4">
        <v>111</v>
      </c>
      <c r="H588" s="4">
        <v>48</v>
      </c>
      <c r="I588" s="4">
        <v>102</v>
      </c>
      <c r="J588" s="4">
        <v>60</v>
      </c>
      <c r="K588" s="4">
        <v>134</v>
      </c>
      <c r="L588" s="4">
        <v>125</v>
      </c>
      <c r="M588" s="4">
        <v>125</v>
      </c>
      <c r="N588" s="4">
        <v>122.5</v>
      </c>
    </row>
    <row r="589" spans="1:14">
      <c r="A589" s="3">
        <v>808318</v>
      </c>
      <c r="B589" s="3">
        <v>119066</v>
      </c>
      <c r="C589" s="4">
        <v>81.150000000000006</v>
      </c>
      <c r="D589" s="4">
        <v>94</v>
      </c>
      <c r="E589" s="4">
        <v>105</v>
      </c>
      <c r="F589" s="4">
        <v>60.4</v>
      </c>
      <c r="G589" s="4">
        <v>54</v>
      </c>
      <c r="H589" s="4">
        <v>3</v>
      </c>
      <c r="I589" s="4">
        <v>87</v>
      </c>
      <c r="J589" s="4">
        <v>0</v>
      </c>
      <c r="K589" s="4">
        <v>63</v>
      </c>
      <c r="L589" s="4">
        <v>17.5</v>
      </c>
      <c r="M589" s="4">
        <v>105</v>
      </c>
      <c r="N589" s="4">
        <v>102.5</v>
      </c>
    </row>
    <row r="590" spans="1:14">
      <c r="A590" s="3">
        <v>808328</v>
      </c>
      <c r="B590" s="3">
        <v>121572</v>
      </c>
      <c r="C590" s="4">
        <v>10</v>
      </c>
      <c r="D590" s="4">
        <v>15</v>
      </c>
      <c r="E590" s="4">
        <v>25</v>
      </c>
      <c r="F590" s="4">
        <v>29.5</v>
      </c>
      <c r="G590" s="4">
        <v>45</v>
      </c>
      <c r="H590" s="4">
        <v>37.5</v>
      </c>
      <c r="I590" s="4">
        <v>25</v>
      </c>
      <c r="J590" s="4">
        <v>20</v>
      </c>
      <c r="K590" s="4">
        <v>62.5</v>
      </c>
      <c r="L590" s="4">
        <v>80</v>
      </c>
      <c r="M590" s="4">
        <v>55</v>
      </c>
      <c r="N590" s="4">
        <v>60</v>
      </c>
    </row>
    <row r="591" spans="1:14">
      <c r="A591" s="3">
        <v>808330</v>
      </c>
      <c r="B591" s="3">
        <v>178764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35</v>
      </c>
      <c r="K591" s="4">
        <v>35</v>
      </c>
      <c r="L591" s="4">
        <v>40</v>
      </c>
      <c r="M591" s="4">
        <v>42.5</v>
      </c>
      <c r="N591" s="4">
        <v>35</v>
      </c>
    </row>
    <row r="592" spans="1:14">
      <c r="A592" s="3">
        <v>808345</v>
      </c>
      <c r="B592" s="3">
        <v>206102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20</v>
      </c>
      <c r="L592" s="4">
        <v>0</v>
      </c>
      <c r="M592" s="4">
        <v>0</v>
      </c>
      <c r="N592" s="4">
        <v>0</v>
      </c>
    </row>
    <row r="593" spans="1:14">
      <c r="A593" s="3">
        <v>808346</v>
      </c>
      <c r="B593" s="3">
        <v>171662</v>
      </c>
      <c r="C593" s="4">
        <v>55</v>
      </c>
      <c r="D593" s="4">
        <v>25</v>
      </c>
      <c r="E593" s="4">
        <v>69</v>
      </c>
      <c r="F593" s="4">
        <v>65</v>
      </c>
      <c r="G593" s="4">
        <v>59.65</v>
      </c>
      <c r="H593" s="4">
        <v>60</v>
      </c>
      <c r="I593" s="4">
        <v>91.45</v>
      </c>
      <c r="J593" s="4">
        <v>50</v>
      </c>
      <c r="K593" s="4">
        <v>106.9</v>
      </c>
      <c r="L593" s="4">
        <v>75</v>
      </c>
      <c r="M593" s="4">
        <v>130</v>
      </c>
      <c r="N593" s="4">
        <v>115</v>
      </c>
    </row>
    <row r="594" spans="1:14">
      <c r="A594" s="3">
        <v>808347</v>
      </c>
      <c r="B594" s="3">
        <v>171662</v>
      </c>
      <c r="C594" s="4">
        <v>56</v>
      </c>
      <c r="D594" s="4">
        <v>70</v>
      </c>
      <c r="E594" s="4">
        <v>40</v>
      </c>
      <c r="F594" s="4">
        <v>60.5</v>
      </c>
      <c r="G594" s="4">
        <v>30</v>
      </c>
      <c r="H594" s="4">
        <v>32.5</v>
      </c>
      <c r="I594" s="4">
        <v>0</v>
      </c>
      <c r="J594" s="4">
        <v>14.6</v>
      </c>
      <c r="K594" s="4">
        <v>20</v>
      </c>
      <c r="L594" s="4">
        <v>0</v>
      </c>
      <c r="M594" s="4">
        <v>25</v>
      </c>
      <c r="N594" s="4">
        <v>53</v>
      </c>
    </row>
    <row r="595" spans="1:14">
      <c r="A595" s="3">
        <v>808348</v>
      </c>
      <c r="B595" s="3">
        <v>119034</v>
      </c>
      <c r="C595" s="4">
        <v>20</v>
      </c>
      <c r="D595" s="4">
        <v>50</v>
      </c>
      <c r="E595" s="4">
        <v>32</v>
      </c>
      <c r="F595" s="4">
        <v>48</v>
      </c>
      <c r="G595" s="4">
        <v>40</v>
      </c>
      <c r="H595" s="4">
        <v>32.5</v>
      </c>
      <c r="I595" s="4">
        <v>15</v>
      </c>
      <c r="J595" s="4">
        <v>40</v>
      </c>
      <c r="K595" s="4">
        <v>57.5</v>
      </c>
      <c r="L595" s="4">
        <v>0</v>
      </c>
      <c r="M595" s="4">
        <v>35</v>
      </c>
      <c r="N595" s="4">
        <v>35</v>
      </c>
    </row>
    <row r="596" spans="1:14">
      <c r="A596" s="3">
        <v>808374</v>
      </c>
      <c r="B596" s="3">
        <v>175049</v>
      </c>
      <c r="C596" s="4">
        <v>133</v>
      </c>
      <c r="D596" s="4">
        <v>126</v>
      </c>
      <c r="E596" s="4">
        <v>121.95</v>
      </c>
      <c r="F596" s="4">
        <v>97.5</v>
      </c>
      <c r="G596" s="4">
        <v>97</v>
      </c>
      <c r="H596" s="4">
        <v>56.2</v>
      </c>
      <c r="I596" s="4">
        <v>77</v>
      </c>
      <c r="J596" s="4">
        <v>20</v>
      </c>
      <c r="K596" s="4">
        <v>65</v>
      </c>
      <c r="L596" s="4">
        <v>63</v>
      </c>
      <c r="M596" s="4">
        <v>63</v>
      </c>
      <c r="N596" s="4">
        <v>36</v>
      </c>
    </row>
    <row r="597" spans="1:14">
      <c r="A597" s="3">
        <v>808390</v>
      </c>
      <c r="B597" s="3">
        <v>176457</v>
      </c>
      <c r="C597" s="4">
        <v>0</v>
      </c>
      <c r="D597" s="4">
        <v>0</v>
      </c>
      <c r="E597" s="4">
        <v>0</v>
      </c>
      <c r="F597" s="4">
        <v>15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</row>
    <row r="598" spans="1:14">
      <c r="A598" s="3">
        <v>808391</v>
      </c>
      <c r="B598" s="3">
        <v>119042</v>
      </c>
      <c r="C598" s="4">
        <v>10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10</v>
      </c>
      <c r="N598" s="4">
        <v>0</v>
      </c>
    </row>
    <row r="599" spans="1:14">
      <c r="A599" s="3">
        <v>808413</v>
      </c>
      <c r="B599" s="3">
        <v>170904</v>
      </c>
      <c r="C599" s="4">
        <v>28</v>
      </c>
      <c r="D599" s="4">
        <v>48</v>
      </c>
      <c r="E599" s="4">
        <v>52</v>
      </c>
      <c r="F599" s="4">
        <v>89</v>
      </c>
      <c r="G599" s="4">
        <v>93</v>
      </c>
      <c r="H599" s="4">
        <v>65</v>
      </c>
      <c r="I599" s="4">
        <v>46</v>
      </c>
      <c r="J599" s="4">
        <v>40</v>
      </c>
      <c r="K599" s="4">
        <v>81.5</v>
      </c>
      <c r="L599" s="4">
        <v>59</v>
      </c>
      <c r="M599" s="4">
        <v>65</v>
      </c>
      <c r="N599" s="4">
        <v>46</v>
      </c>
    </row>
    <row r="600" spans="1:14">
      <c r="A600" s="3">
        <v>808419</v>
      </c>
      <c r="B600" s="3">
        <v>206011</v>
      </c>
      <c r="C600" s="4">
        <v>381.5</v>
      </c>
      <c r="D600" s="4">
        <v>373</v>
      </c>
      <c r="E600" s="4">
        <v>541.9</v>
      </c>
      <c r="F600" s="4">
        <v>487.55</v>
      </c>
      <c r="G600" s="4">
        <v>312.45</v>
      </c>
      <c r="H600" s="4">
        <v>132.25</v>
      </c>
      <c r="I600" s="4">
        <v>366.59999999999997</v>
      </c>
      <c r="J600" s="4">
        <v>141.25</v>
      </c>
      <c r="K600" s="4">
        <v>536.65</v>
      </c>
      <c r="L600" s="4">
        <v>212.75</v>
      </c>
      <c r="M600" s="4">
        <v>316.3</v>
      </c>
      <c r="N600" s="4">
        <v>431</v>
      </c>
    </row>
    <row r="601" spans="1:14">
      <c r="A601" s="3">
        <v>808424</v>
      </c>
      <c r="B601" s="3">
        <v>172338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10</v>
      </c>
      <c r="M601" s="4">
        <v>0</v>
      </c>
      <c r="N601" s="4">
        <v>7.5</v>
      </c>
    </row>
    <row r="602" spans="1:14">
      <c r="A602" s="3">
        <v>808426</v>
      </c>
      <c r="B602" s="3">
        <v>145394</v>
      </c>
      <c r="C602" s="4">
        <v>55</v>
      </c>
      <c r="D602" s="4">
        <v>67.5</v>
      </c>
      <c r="E602" s="4">
        <v>125</v>
      </c>
      <c r="F602" s="4">
        <v>82.5</v>
      </c>
      <c r="G602" s="4">
        <v>105</v>
      </c>
      <c r="H602" s="4">
        <v>86</v>
      </c>
      <c r="I602" s="4">
        <v>85</v>
      </c>
      <c r="J602" s="4">
        <v>70</v>
      </c>
      <c r="K602" s="4">
        <v>143</v>
      </c>
      <c r="L602" s="4">
        <v>112.5</v>
      </c>
      <c r="M602" s="4">
        <v>105</v>
      </c>
      <c r="N602" s="4">
        <v>55</v>
      </c>
    </row>
    <row r="603" spans="1:14">
      <c r="A603" s="3">
        <v>808427</v>
      </c>
      <c r="B603" s="3">
        <v>145394</v>
      </c>
      <c r="C603" s="4">
        <v>0</v>
      </c>
      <c r="D603" s="4">
        <v>15</v>
      </c>
      <c r="E603" s="4">
        <v>39</v>
      </c>
      <c r="F603" s="4">
        <v>21.5</v>
      </c>
      <c r="G603" s="4">
        <v>47</v>
      </c>
      <c r="H603" s="4">
        <v>30</v>
      </c>
      <c r="I603" s="4">
        <v>25</v>
      </c>
      <c r="J603" s="4">
        <v>15</v>
      </c>
      <c r="K603" s="4">
        <v>35</v>
      </c>
      <c r="L603" s="4">
        <v>30</v>
      </c>
      <c r="M603" s="4">
        <v>45</v>
      </c>
      <c r="N603" s="4">
        <v>25</v>
      </c>
    </row>
    <row r="604" spans="1:14">
      <c r="A604" s="3">
        <v>808429</v>
      </c>
      <c r="B604" s="3">
        <v>170248</v>
      </c>
      <c r="C604" s="4">
        <v>72</v>
      </c>
      <c r="D604" s="4">
        <v>67.5</v>
      </c>
      <c r="E604" s="4">
        <v>88.5</v>
      </c>
      <c r="F604" s="4">
        <v>75</v>
      </c>
      <c r="G604" s="4">
        <v>73</v>
      </c>
      <c r="H604" s="4">
        <v>46.5</v>
      </c>
      <c r="I604" s="4">
        <v>53.75</v>
      </c>
      <c r="J604" s="4">
        <v>29.25</v>
      </c>
      <c r="K604" s="4">
        <v>42.4</v>
      </c>
      <c r="L604" s="4">
        <v>49.25</v>
      </c>
      <c r="M604" s="4">
        <v>25</v>
      </c>
      <c r="N604" s="4">
        <v>35</v>
      </c>
    </row>
    <row r="605" spans="1:14">
      <c r="A605" s="3">
        <v>808433</v>
      </c>
      <c r="B605" s="3">
        <v>174166</v>
      </c>
      <c r="C605" s="4">
        <v>0</v>
      </c>
      <c r="D605" s="4">
        <v>7.5</v>
      </c>
      <c r="E605" s="4">
        <v>10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</row>
    <row r="606" spans="1:14">
      <c r="A606" s="3">
        <v>808434</v>
      </c>
      <c r="B606" s="3">
        <v>119208</v>
      </c>
      <c r="C606" s="4">
        <v>15</v>
      </c>
      <c r="D606" s="4">
        <v>85</v>
      </c>
      <c r="E606" s="4">
        <v>10</v>
      </c>
      <c r="F606" s="4">
        <v>246</v>
      </c>
      <c r="G606" s="4">
        <v>169</v>
      </c>
      <c r="H606" s="4">
        <v>134</v>
      </c>
      <c r="I606" s="4">
        <v>124.5</v>
      </c>
      <c r="J606" s="4">
        <v>0</v>
      </c>
      <c r="K606" s="4">
        <v>199.5</v>
      </c>
      <c r="L606" s="4">
        <v>97</v>
      </c>
      <c r="M606" s="4">
        <v>170</v>
      </c>
      <c r="N606" s="4">
        <v>44</v>
      </c>
    </row>
    <row r="607" spans="1:14">
      <c r="A607" s="3">
        <v>808443</v>
      </c>
      <c r="B607" s="3">
        <v>119263</v>
      </c>
      <c r="C607" s="4">
        <v>10</v>
      </c>
      <c r="D607" s="4">
        <v>37</v>
      </c>
      <c r="E607" s="4">
        <v>34.5</v>
      </c>
      <c r="F607" s="4">
        <v>32</v>
      </c>
      <c r="G607" s="4">
        <v>54</v>
      </c>
      <c r="H607" s="4">
        <v>58.5</v>
      </c>
      <c r="I607" s="4">
        <v>45</v>
      </c>
      <c r="J607" s="4">
        <v>30</v>
      </c>
      <c r="K607" s="4">
        <v>43</v>
      </c>
      <c r="L607" s="4">
        <v>20.5</v>
      </c>
      <c r="M607" s="4">
        <v>32.5</v>
      </c>
      <c r="N607" s="4">
        <v>5</v>
      </c>
    </row>
    <row r="608" spans="1:14">
      <c r="A608" s="3">
        <v>808444</v>
      </c>
      <c r="B608" s="3">
        <v>140848</v>
      </c>
      <c r="C608" s="4">
        <v>10</v>
      </c>
      <c r="D608" s="4">
        <v>10</v>
      </c>
      <c r="E608" s="4">
        <v>10</v>
      </c>
      <c r="F608" s="4">
        <v>0</v>
      </c>
      <c r="G608" s="4">
        <v>21</v>
      </c>
      <c r="H608" s="4">
        <v>0</v>
      </c>
      <c r="I608" s="4">
        <v>20</v>
      </c>
      <c r="J608" s="4">
        <v>0</v>
      </c>
      <c r="K608" s="4">
        <v>52.5</v>
      </c>
      <c r="L608" s="4">
        <v>20</v>
      </c>
      <c r="M608" s="4">
        <v>10</v>
      </c>
      <c r="N608" s="4">
        <v>0</v>
      </c>
    </row>
    <row r="609" spans="1:14">
      <c r="A609" s="3">
        <v>808446</v>
      </c>
      <c r="B609" s="3">
        <v>119044</v>
      </c>
      <c r="C609" s="4">
        <v>15</v>
      </c>
      <c r="D609" s="4">
        <v>58.75</v>
      </c>
      <c r="E609" s="4">
        <v>95</v>
      </c>
      <c r="F609" s="4">
        <v>120</v>
      </c>
      <c r="G609" s="4">
        <v>77.5</v>
      </c>
      <c r="H609" s="4">
        <v>0</v>
      </c>
      <c r="I609" s="4">
        <v>25</v>
      </c>
      <c r="J609" s="4">
        <v>10</v>
      </c>
      <c r="K609" s="4">
        <v>45</v>
      </c>
      <c r="L609" s="4">
        <v>100</v>
      </c>
      <c r="M609" s="4">
        <v>70</v>
      </c>
      <c r="N609" s="4">
        <v>70</v>
      </c>
    </row>
    <row r="610" spans="1:14">
      <c r="A610" s="3">
        <v>808446</v>
      </c>
      <c r="B610" s="3">
        <v>207438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25</v>
      </c>
      <c r="N610" s="4">
        <v>0</v>
      </c>
    </row>
    <row r="611" spans="1:14">
      <c r="A611" s="3">
        <v>808448</v>
      </c>
      <c r="B611" s="3">
        <v>206219</v>
      </c>
      <c r="C611" s="4">
        <v>84.5</v>
      </c>
      <c r="D611" s="4">
        <v>126.05000000000001</v>
      </c>
      <c r="E611" s="4">
        <v>72</v>
      </c>
      <c r="F611" s="4">
        <v>107.95</v>
      </c>
      <c r="G611" s="4">
        <v>80</v>
      </c>
      <c r="H611" s="4">
        <v>108.1</v>
      </c>
      <c r="I611" s="4">
        <v>73</v>
      </c>
      <c r="J611" s="4">
        <v>42</v>
      </c>
      <c r="K611" s="4">
        <v>152.5</v>
      </c>
      <c r="L611" s="4">
        <v>132</v>
      </c>
      <c r="M611" s="4">
        <v>93.5</v>
      </c>
      <c r="N611" s="4">
        <v>129</v>
      </c>
    </row>
    <row r="612" spans="1:14">
      <c r="A612" s="3">
        <v>808449</v>
      </c>
      <c r="B612" s="3">
        <v>149859</v>
      </c>
      <c r="C612" s="4">
        <v>42.5</v>
      </c>
      <c r="D612" s="4">
        <v>74.5</v>
      </c>
      <c r="E612" s="4">
        <v>147</v>
      </c>
      <c r="F612" s="4">
        <v>160</v>
      </c>
      <c r="G612" s="4">
        <v>148.5</v>
      </c>
      <c r="H612" s="4">
        <v>124.25</v>
      </c>
      <c r="I612" s="4">
        <v>100.5</v>
      </c>
      <c r="J612" s="4">
        <v>77</v>
      </c>
      <c r="K612" s="4">
        <v>84</v>
      </c>
      <c r="L612" s="4">
        <v>121.5</v>
      </c>
      <c r="M612" s="4">
        <v>127.5</v>
      </c>
      <c r="N612" s="4">
        <v>131.5</v>
      </c>
    </row>
    <row r="613" spans="1:14">
      <c r="A613" s="3">
        <v>808451</v>
      </c>
      <c r="B613" s="3">
        <v>174034</v>
      </c>
      <c r="C613" s="4">
        <v>75</v>
      </c>
      <c r="D613" s="4">
        <v>45</v>
      </c>
      <c r="E613" s="4">
        <v>35</v>
      </c>
      <c r="F613" s="4">
        <v>150</v>
      </c>
      <c r="G613" s="4">
        <v>18</v>
      </c>
      <c r="H613" s="4">
        <v>74</v>
      </c>
      <c r="I613" s="4">
        <v>30</v>
      </c>
      <c r="J613" s="4">
        <v>0</v>
      </c>
      <c r="K613" s="4">
        <v>72.5</v>
      </c>
      <c r="L613" s="4">
        <v>35</v>
      </c>
      <c r="M613" s="4">
        <v>90</v>
      </c>
      <c r="N613" s="4">
        <v>145</v>
      </c>
    </row>
    <row r="614" spans="1:14">
      <c r="A614" s="3">
        <v>808469</v>
      </c>
      <c r="B614" s="3">
        <v>119044</v>
      </c>
      <c r="C614" s="4">
        <v>0</v>
      </c>
      <c r="D614" s="4">
        <v>15</v>
      </c>
      <c r="E614" s="4">
        <v>65</v>
      </c>
      <c r="F614" s="4">
        <v>30</v>
      </c>
      <c r="G614" s="4">
        <v>147.5</v>
      </c>
      <c r="H614" s="4">
        <v>45</v>
      </c>
      <c r="I614" s="4">
        <v>45</v>
      </c>
      <c r="J614" s="4">
        <v>125</v>
      </c>
      <c r="K614" s="4">
        <v>40</v>
      </c>
      <c r="L614" s="4">
        <v>80</v>
      </c>
      <c r="M614" s="4">
        <v>0</v>
      </c>
      <c r="N614" s="4">
        <v>75</v>
      </c>
    </row>
    <row r="615" spans="1:14">
      <c r="A615" s="3">
        <v>808471</v>
      </c>
      <c r="B615" s="3">
        <v>119029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10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>
      <c r="A616" s="3">
        <v>808471</v>
      </c>
      <c r="B616" s="3">
        <v>119208</v>
      </c>
      <c r="C616" s="4">
        <v>0</v>
      </c>
      <c r="D616" s="4">
        <v>125</v>
      </c>
      <c r="E616" s="4">
        <v>0</v>
      </c>
      <c r="F616" s="4">
        <v>122</v>
      </c>
      <c r="G616" s="4">
        <v>0</v>
      </c>
      <c r="H616" s="4">
        <v>0</v>
      </c>
      <c r="I616" s="4">
        <v>142</v>
      </c>
      <c r="J616" s="4">
        <v>0</v>
      </c>
      <c r="K616" s="4">
        <v>87</v>
      </c>
      <c r="L616" s="4">
        <v>128</v>
      </c>
      <c r="M616" s="4">
        <v>0</v>
      </c>
      <c r="N616" s="4">
        <v>130</v>
      </c>
    </row>
    <row r="617" spans="1:14">
      <c r="A617" s="3">
        <v>808487</v>
      </c>
      <c r="B617" s="3">
        <v>141556</v>
      </c>
      <c r="C617" s="4">
        <v>63.5</v>
      </c>
      <c r="D617" s="4">
        <v>124</v>
      </c>
      <c r="E617" s="4">
        <v>89.5</v>
      </c>
      <c r="F617" s="4">
        <v>129.5</v>
      </c>
      <c r="G617" s="4">
        <v>62</v>
      </c>
      <c r="H617" s="4">
        <v>65</v>
      </c>
      <c r="I617" s="4">
        <v>75</v>
      </c>
      <c r="J617" s="4">
        <v>20</v>
      </c>
      <c r="K617" s="4">
        <v>73.5</v>
      </c>
      <c r="L617" s="4">
        <v>81.5</v>
      </c>
      <c r="M617" s="4">
        <v>145</v>
      </c>
      <c r="N617" s="4">
        <v>25</v>
      </c>
    </row>
    <row r="618" spans="1:14">
      <c r="A618" s="3">
        <v>808488</v>
      </c>
      <c r="B618" s="3">
        <v>119044</v>
      </c>
      <c r="C618" s="4">
        <v>84</v>
      </c>
      <c r="D618" s="4">
        <v>90</v>
      </c>
      <c r="E618" s="4">
        <v>139</v>
      </c>
      <c r="F618" s="4">
        <v>25</v>
      </c>
      <c r="G618" s="4">
        <v>67.5</v>
      </c>
      <c r="H618" s="4">
        <v>0</v>
      </c>
      <c r="I618" s="4">
        <v>0</v>
      </c>
      <c r="J618" s="4">
        <v>80</v>
      </c>
      <c r="K618" s="4">
        <v>20</v>
      </c>
      <c r="L618" s="4">
        <v>30</v>
      </c>
      <c r="M618" s="4">
        <v>86</v>
      </c>
      <c r="N618" s="4">
        <v>95</v>
      </c>
    </row>
    <row r="619" spans="1:14">
      <c r="A619" s="3">
        <v>808491</v>
      </c>
      <c r="B619" s="3">
        <v>119066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50</v>
      </c>
    </row>
    <row r="620" spans="1:14">
      <c r="A620" s="3">
        <v>808492</v>
      </c>
      <c r="B620" s="3">
        <v>204318</v>
      </c>
      <c r="C620" s="4">
        <v>7.5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12.5</v>
      </c>
      <c r="M620" s="4">
        <v>20</v>
      </c>
      <c r="N620" s="4">
        <v>20</v>
      </c>
    </row>
    <row r="621" spans="1:14">
      <c r="A621" s="3">
        <v>808495</v>
      </c>
      <c r="B621" s="3">
        <v>172942</v>
      </c>
      <c r="C621" s="4">
        <v>20</v>
      </c>
      <c r="D621" s="4">
        <v>76.5</v>
      </c>
      <c r="E621" s="4">
        <v>71.5</v>
      </c>
      <c r="F621" s="4">
        <v>76.5</v>
      </c>
      <c r="G621" s="4">
        <v>62</v>
      </c>
      <c r="H621" s="4">
        <v>46</v>
      </c>
      <c r="I621" s="4">
        <v>0</v>
      </c>
      <c r="J621" s="4">
        <v>35</v>
      </c>
      <c r="K621" s="4">
        <v>25</v>
      </c>
      <c r="L621" s="4">
        <v>0</v>
      </c>
      <c r="M621" s="4">
        <v>25</v>
      </c>
      <c r="N621" s="4">
        <v>80</v>
      </c>
    </row>
    <row r="622" spans="1:14">
      <c r="A622" s="3">
        <v>808496</v>
      </c>
      <c r="B622" s="3">
        <v>141556</v>
      </c>
      <c r="C622" s="4">
        <v>102.5</v>
      </c>
      <c r="D622" s="4">
        <v>125.5</v>
      </c>
      <c r="E622" s="4">
        <v>103</v>
      </c>
      <c r="F622" s="4">
        <v>84.5</v>
      </c>
      <c r="G622" s="4">
        <v>75</v>
      </c>
      <c r="H622" s="4">
        <v>54.5</v>
      </c>
      <c r="I622" s="4">
        <v>45</v>
      </c>
      <c r="J622" s="4">
        <v>25</v>
      </c>
      <c r="K622" s="4">
        <v>110</v>
      </c>
      <c r="L622" s="4">
        <v>109</v>
      </c>
      <c r="M622" s="4">
        <v>101.5</v>
      </c>
      <c r="N622" s="4">
        <v>56.5</v>
      </c>
    </row>
    <row r="623" spans="1:14">
      <c r="A623" s="3">
        <v>808497</v>
      </c>
      <c r="B623" s="3">
        <v>141556</v>
      </c>
      <c r="C623" s="4">
        <v>66</v>
      </c>
      <c r="D623" s="4">
        <v>76.5</v>
      </c>
      <c r="E623" s="4">
        <v>71.5</v>
      </c>
      <c r="F623" s="4">
        <v>71.5</v>
      </c>
      <c r="G623" s="4">
        <v>56.5</v>
      </c>
      <c r="H623" s="4">
        <v>32.5</v>
      </c>
      <c r="I623" s="4">
        <v>35</v>
      </c>
      <c r="J623" s="4">
        <v>20</v>
      </c>
      <c r="K623" s="4">
        <v>17</v>
      </c>
      <c r="L623" s="4">
        <v>20</v>
      </c>
      <c r="M623" s="4">
        <v>90</v>
      </c>
      <c r="N623" s="4">
        <v>47</v>
      </c>
    </row>
    <row r="624" spans="1:14">
      <c r="A624" s="3">
        <v>808498</v>
      </c>
      <c r="B624" s="3">
        <v>140858</v>
      </c>
      <c r="C624" s="4">
        <v>86.5</v>
      </c>
      <c r="D624" s="4">
        <v>70</v>
      </c>
      <c r="E624" s="4">
        <v>90</v>
      </c>
      <c r="F624" s="4">
        <v>92.5</v>
      </c>
      <c r="G624" s="4">
        <v>100</v>
      </c>
      <c r="H624" s="4">
        <v>60</v>
      </c>
      <c r="I624" s="4">
        <v>55</v>
      </c>
      <c r="J624" s="4">
        <v>57</v>
      </c>
      <c r="K624" s="4">
        <v>71.75</v>
      </c>
      <c r="L624" s="4">
        <v>70</v>
      </c>
      <c r="M624" s="4">
        <v>70</v>
      </c>
      <c r="N624" s="4">
        <v>80</v>
      </c>
    </row>
    <row r="625" spans="1:14">
      <c r="A625" s="3">
        <v>808547</v>
      </c>
      <c r="B625" s="3">
        <v>143509</v>
      </c>
      <c r="C625" s="4">
        <v>20</v>
      </c>
      <c r="D625" s="4">
        <v>30</v>
      </c>
      <c r="E625" s="4">
        <v>58.25</v>
      </c>
      <c r="F625" s="4">
        <v>35</v>
      </c>
      <c r="G625" s="4">
        <v>50</v>
      </c>
      <c r="H625" s="4">
        <v>33</v>
      </c>
      <c r="I625" s="4">
        <v>10</v>
      </c>
      <c r="J625" s="4">
        <v>54.75</v>
      </c>
      <c r="K625" s="4">
        <v>105</v>
      </c>
      <c r="L625" s="4">
        <v>0</v>
      </c>
      <c r="M625" s="4">
        <v>45</v>
      </c>
      <c r="N625" s="4">
        <v>65</v>
      </c>
    </row>
    <row r="626" spans="1:14">
      <c r="A626" s="3">
        <v>808548</v>
      </c>
      <c r="B626" s="3">
        <v>119050</v>
      </c>
      <c r="C626" s="4">
        <v>0</v>
      </c>
      <c r="D626" s="4">
        <v>0</v>
      </c>
      <c r="E626" s="4">
        <v>12</v>
      </c>
      <c r="F626" s="4">
        <v>25</v>
      </c>
      <c r="G626" s="4">
        <v>10</v>
      </c>
      <c r="H626" s="4">
        <v>7.5</v>
      </c>
      <c r="I626" s="4">
        <v>20</v>
      </c>
      <c r="J626" s="4">
        <v>10</v>
      </c>
      <c r="K626" s="4">
        <v>17.5</v>
      </c>
      <c r="L626" s="4">
        <v>10</v>
      </c>
      <c r="M626" s="4">
        <v>10</v>
      </c>
      <c r="N626" s="4">
        <v>4</v>
      </c>
    </row>
    <row r="627" spans="1:14">
      <c r="A627" s="3">
        <v>808550</v>
      </c>
      <c r="B627" s="3">
        <v>203600</v>
      </c>
      <c r="C627" s="4">
        <v>10</v>
      </c>
      <c r="D627" s="4">
        <v>0</v>
      </c>
      <c r="E627" s="4">
        <v>20</v>
      </c>
      <c r="F627" s="4">
        <v>10</v>
      </c>
      <c r="G627" s="4">
        <v>0</v>
      </c>
      <c r="H627" s="4">
        <v>0</v>
      </c>
      <c r="I627" s="4">
        <v>10</v>
      </c>
      <c r="J627" s="4">
        <v>10</v>
      </c>
      <c r="K627" s="4">
        <v>8.5</v>
      </c>
      <c r="L627" s="4">
        <v>0</v>
      </c>
      <c r="M627" s="4">
        <v>0</v>
      </c>
      <c r="N627" s="4">
        <v>0</v>
      </c>
    </row>
    <row r="628" spans="1:14">
      <c r="A628" s="3">
        <v>808552</v>
      </c>
      <c r="B628" s="3">
        <v>173728</v>
      </c>
      <c r="C628" s="4">
        <v>43</v>
      </c>
      <c r="D628" s="4">
        <v>57.5</v>
      </c>
      <c r="E628" s="4">
        <v>25</v>
      </c>
      <c r="F628" s="4">
        <v>65</v>
      </c>
      <c r="G628" s="4">
        <v>25</v>
      </c>
      <c r="H628" s="4">
        <v>103.95</v>
      </c>
      <c r="I628" s="4">
        <v>29</v>
      </c>
      <c r="J628" s="4">
        <v>115</v>
      </c>
      <c r="K628" s="4">
        <v>25</v>
      </c>
      <c r="L628" s="4">
        <v>45</v>
      </c>
      <c r="M628" s="4">
        <v>17.5</v>
      </c>
      <c r="N628" s="4">
        <v>60</v>
      </c>
    </row>
    <row r="629" spans="1:14">
      <c r="A629" s="3">
        <v>808553</v>
      </c>
      <c r="B629" s="3">
        <v>172597</v>
      </c>
      <c r="C629" s="4">
        <v>16</v>
      </c>
      <c r="D629" s="4">
        <v>12.5</v>
      </c>
      <c r="E629" s="4">
        <v>0</v>
      </c>
      <c r="F629" s="4">
        <v>0</v>
      </c>
      <c r="G629" s="4">
        <v>0</v>
      </c>
      <c r="H629" s="4">
        <v>10</v>
      </c>
      <c r="I629" s="4">
        <v>15</v>
      </c>
      <c r="J629" s="4">
        <v>10</v>
      </c>
      <c r="K629" s="4">
        <v>19</v>
      </c>
      <c r="L629" s="4">
        <v>50</v>
      </c>
      <c r="M629" s="4">
        <v>15</v>
      </c>
      <c r="N629" s="4">
        <v>0</v>
      </c>
    </row>
    <row r="630" spans="1:14">
      <c r="A630" s="3">
        <v>808554</v>
      </c>
      <c r="B630" s="3">
        <v>140967</v>
      </c>
      <c r="C630" s="4">
        <v>10</v>
      </c>
      <c r="D630" s="4">
        <v>0</v>
      </c>
      <c r="E630" s="4">
        <v>25</v>
      </c>
      <c r="F630" s="4">
        <v>7.5</v>
      </c>
      <c r="G630" s="4">
        <v>30</v>
      </c>
      <c r="H630" s="4">
        <v>0</v>
      </c>
      <c r="I630" s="4">
        <v>0</v>
      </c>
      <c r="J630" s="4">
        <v>0</v>
      </c>
      <c r="K630" s="4">
        <v>27.5</v>
      </c>
      <c r="L630" s="4">
        <v>0</v>
      </c>
      <c r="M630" s="4">
        <v>10</v>
      </c>
      <c r="N630" s="4">
        <v>8</v>
      </c>
    </row>
    <row r="631" spans="1:14">
      <c r="A631" s="3">
        <v>808558</v>
      </c>
      <c r="B631" s="3">
        <v>119050</v>
      </c>
      <c r="C631" s="4">
        <v>66</v>
      </c>
      <c r="D631" s="4">
        <v>53.5</v>
      </c>
      <c r="E631" s="4">
        <v>113.5</v>
      </c>
      <c r="F631" s="4">
        <v>48.5</v>
      </c>
      <c r="G631" s="4">
        <v>72</v>
      </c>
      <c r="H631" s="4">
        <v>45</v>
      </c>
      <c r="I631" s="4">
        <v>61</v>
      </c>
      <c r="J631" s="4">
        <v>67.3</v>
      </c>
      <c r="K631" s="4">
        <v>60</v>
      </c>
      <c r="L631" s="4">
        <v>75</v>
      </c>
      <c r="M631" s="4">
        <v>35</v>
      </c>
      <c r="N631" s="4">
        <v>0</v>
      </c>
    </row>
    <row r="632" spans="1:14">
      <c r="A632" s="3">
        <v>808559</v>
      </c>
      <c r="B632" s="3">
        <v>119050</v>
      </c>
      <c r="C632" s="4">
        <v>10</v>
      </c>
      <c r="D632" s="4">
        <v>10</v>
      </c>
      <c r="E632" s="4">
        <v>0</v>
      </c>
      <c r="F632" s="4">
        <v>10</v>
      </c>
      <c r="G632" s="4">
        <v>0</v>
      </c>
      <c r="H632" s="4">
        <v>10.3</v>
      </c>
      <c r="I632" s="4">
        <v>10</v>
      </c>
      <c r="J632" s="4">
        <v>0</v>
      </c>
      <c r="K632" s="4">
        <v>0</v>
      </c>
      <c r="L632" s="4">
        <v>20</v>
      </c>
      <c r="M632" s="4">
        <v>0</v>
      </c>
      <c r="N632" s="4">
        <v>10</v>
      </c>
    </row>
    <row r="633" spans="1:14">
      <c r="A633" s="3">
        <v>808569</v>
      </c>
      <c r="B633" s="3">
        <v>171839</v>
      </c>
      <c r="C633" s="4">
        <v>61.5</v>
      </c>
      <c r="D633" s="4">
        <v>120</v>
      </c>
      <c r="E633" s="4">
        <v>130</v>
      </c>
      <c r="F633" s="4">
        <v>119</v>
      </c>
      <c r="G633" s="4">
        <v>28.5</v>
      </c>
      <c r="H633" s="4">
        <v>100.5</v>
      </c>
      <c r="I633" s="4">
        <v>90</v>
      </c>
      <c r="J633" s="4">
        <v>130</v>
      </c>
      <c r="K633" s="4">
        <v>182.5</v>
      </c>
      <c r="L633" s="4">
        <v>157.44999999999999</v>
      </c>
      <c r="M633" s="4">
        <v>146.5</v>
      </c>
      <c r="N633" s="4">
        <v>172.6</v>
      </c>
    </row>
    <row r="634" spans="1:14">
      <c r="A634" s="3">
        <v>808570</v>
      </c>
      <c r="B634" s="3">
        <v>173310</v>
      </c>
      <c r="C634" s="4">
        <v>30</v>
      </c>
      <c r="D634" s="4">
        <v>30</v>
      </c>
      <c r="E634" s="4">
        <v>20</v>
      </c>
      <c r="F634" s="4">
        <v>30</v>
      </c>
      <c r="G634" s="4">
        <v>31</v>
      </c>
      <c r="H634" s="4">
        <v>23.75</v>
      </c>
      <c r="I634" s="4">
        <v>3</v>
      </c>
      <c r="J634" s="4">
        <v>22</v>
      </c>
      <c r="K634" s="4">
        <v>32.5</v>
      </c>
      <c r="L634" s="4">
        <v>10</v>
      </c>
      <c r="M634" s="4">
        <v>36</v>
      </c>
      <c r="N634" s="4">
        <v>53</v>
      </c>
    </row>
    <row r="635" spans="1:14">
      <c r="A635" s="3">
        <v>808572</v>
      </c>
      <c r="B635" s="3">
        <v>205306</v>
      </c>
      <c r="C635" s="4">
        <v>20</v>
      </c>
      <c r="D635" s="4">
        <v>70</v>
      </c>
      <c r="E635" s="4">
        <v>32.5</v>
      </c>
      <c r="F635" s="4">
        <v>80</v>
      </c>
      <c r="G635" s="4">
        <v>45</v>
      </c>
      <c r="H635" s="4">
        <v>40</v>
      </c>
      <c r="I635" s="4">
        <v>52.5</v>
      </c>
      <c r="J635" s="4">
        <v>40</v>
      </c>
      <c r="K635" s="4">
        <v>25</v>
      </c>
      <c r="L635" s="4">
        <v>27.5</v>
      </c>
      <c r="M635" s="4">
        <v>60</v>
      </c>
      <c r="N635" s="4">
        <v>22.5</v>
      </c>
    </row>
    <row r="636" spans="1:14">
      <c r="A636" s="3">
        <v>808575</v>
      </c>
      <c r="B636" s="3">
        <v>206066</v>
      </c>
      <c r="C636" s="4">
        <v>48</v>
      </c>
      <c r="D636" s="4">
        <v>0</v>
      </c>
      <c r="E636" s="4">
        <v>0</v>
      </c>
      <c r="F636" s="4">
        <v>0</v>
      </c>
      <c r="G636" s="4">
        <v>0</v>
      </c>
      <c r="H636" s="4">
        <v>10</v>
      </c>
      <c r="I636" s="4">
        <v>0</v>
      </c>
      <c r="J636" s="4">
        <v>0</v>
      </c>
      <c r="K636" s="4">
        <v>85</v>
      </c>
      <c r="L636" s="4">
        <v>53</v>
      </c>
      <c r="M636" s="4">
        <v>0</v>
      </c>
      <c r="N636" s="4">
        <v>0</v>
      </c>
    </row>
    <row r="637" spans="1:14">
      <c r="A637" s="3">
        <v>808578</v>
      </c>
      <c r="B637" s="3">
        <v>179928</v>
      </c>
      <c r="C637" s="4">
        <v>61</v>
      </c>
      <c r="D637" s="4">
        <v>65</v>
      </c>
      <c r="E637" s="4">
        <v>56.5</v>
      </c>
      <c r="F637" s="4">
        <v>44.5</v>
      </c>
      <c r="G637" s="4">
        <v>105.5</v>
      </c>
      <c r="H637" s="4">
        <v>28</v>
      </c>
      <c r="I637" s="4">
        <v>7</v>
      </c>
      <c r="J637" s="4">
        <v>21</v>
      </c>
      <c r="K637" s="4">
        <v>30</v>
      </c>
      <c r="L637" s="4">
        <v>49.5</v>
      </c>
      <c r="M637" s="4">
        <v>56</v>
      </c>
      <c r="N637" s="4">
        <v>43</v>
      </c>
    </row>
    <row r="638" spans="1:14">
      <c r="A638" s="3">
        <v>808606</v>
      </c>
      <c r="B638" s="3">
        <v>119044</v>
      </c>
      <c r="C638" s="4">
        <v>0</v>
      </c>
      <c r="D638" s="4">
        <v>0</v>
      </c>
      <c r="E638" s="4">
        <v>0</v>
      </c>
      <c r="F638" s="4">
        <v>0</v>
      </c>
      <c r="G638" s="4">
        <v>2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10</v>
      </c>
      <c r="N638" s="4">
        <v>0</v>
      </c>
    </row>
    <row r="639" spans="1:14">
      <c r="A639" s="3">
        <v>808607</v>
      </c>
      <c r="B639" s="3">
        <v>145353</v>
      </c>
      <c r="C639" s="4">
        <v>35</v>
      </c>
      <c r="D639" s="4">
        <v>56.5</v>
      </c>
      <c r="E639" s="4">
        <v>62</v>
      </c>
      <c r="F639" s="4">
        <v>90</v>
      </c>
      <c r="G639" s="4">
        <v>130</v>
      </c>
      <c r="H639" s="4">
        <v>85</v>
      </c>
      <c r="I639" s="4">
        <v>45</v>
      </c>
      <c r="J639" s="4">
        <v>75</v>
      </c>
      <c r="K639" s="4">
        <v>255</v>
      </c>
      <c r="L639" s="4">
        <v>60</v>
      </c>
      <c r="M639" s="4">
        <v>115</v>
      </c>
      <c r="N639" s="4">
        <v>58</v>
      </c>
    </row>
    <row r="640" spans="1:14">
      <c r="A640" s="3">
        <v>808608</v>
      </c>
      <c r="B640" s="3">
        <v>119044</v>
      </c>
      <c r="C640" s="4">
        <v>10</v>
      </c>
      <c r="D640" s="4">
        <v>9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12</v>
      </c>
      <c r="K640" s="4">
        <v>0</v>
      </c>
      <c r="L640" s="4">
        <v>0</v>
      </c>
      <c r="M640" s="4">
        <v>0</v>
      </c>
      <c r="N640" s="4">
        <v>7.5</v>
      </c>
    </row>
    <row r="641" spans="1:14">
      <c r="A641" s="3">
        <v>808609</v>
      </c>
      <c r="B641" s="3">
        <v>119044</v>
      </c>
      <c r="C641" s="4">
        <v>0</v>
      </c>
      <c r="D641" s="4">
        <v>0</v>
      </c>
      <c r="E641" s="4">
        <v>0</v>
      </c>
      <c r="F641" s="4">
        <v>0</v>
      </c>
      <c r="G641" s="4">
        <v>30</v>
      </c>
      <c r="H641" s="4">
        <v>50</v>
      </c>
      <c r="I641" s="4">
        <v>36</v>
      </c>
      <c r="J641" s="4">
        <v>58.5</v>
      </c>
      <c r="K641" s="4">
        <v>20</v>
      </c>
      <c r="L641" s="4">
        <v>10</v>
      </c>
      <c r="M641" s="4">
        <v>60</v>
      </c>
      <c r="N641" s="4">
        <v>7.5</v>
      </c>
    </row>
    <row r="642" spans="1:14">
      <c r="A642" s="3">
        <v>808610</v>
      </c>
      <c r="B642" s="3">
        <v>141556</v>
      </c>
      <c r="C642" s="4">
        <v>17</v>
      </c>
      <c r="D642" s="4">
        <v>45</v>
      </c>
      <c r="E642" s="4">
        <v>77</v>
      </c>
      <c r="F642" s="4">
        <v>64</v>
      </c>
      <c r="G642" s="4">
        <v>30</v>
      </c>
      <c r="H642" s="4">
        <v>96.5</v>
      </c>
      <c r="I642" s="4">
        <v>15</v>
      </c>
      <c r="J642" s="4">
        <v>15</v>
      </c>
      <c r="K642" s="4">
        <v>15</v>
      </c>
      <c r="L642" s="4">
        <v>11.5</v>
      </c>
      <c r="M642" s="4">
        <v>60</v>
      </c>
      <c r="N642" s="4">
        <v>0</v>
      </c>
    </row>
    <row r="643" spans="1:14">
      <c r="A643" s="3">
        <v>808611</v>
      </c>
      <c r="B643" s="3">
        <v>149764</v>
      </c>
      <c r="C643" s="4">
        <v>148</v>
      </c>
      <c r="D643" s="4">
        <v>90</v>
      </c>
      <c r="E643" s="4">
        <v>92</v>
      </c>
      <c r="F643" s="4">
        <v>155.5</v>
      </c>
      <c r="G643" s="4">
        <v>90</v>
      </c>
      <c r="H643" s="4">
        <v>125</v>
      </c>
      <c r="I643" s="4">
        <v>178</v>
      </c>
      <c r="J643" s="4">
        <v>122.5</v>
      </c>
      <c r="K643" s="4">
        <v>167.5</v>
      </c>
      <c r="L643" s="4">
        <v>66</v>
      </c>
      <c r="M643" s="4">
        <v>190</v>
      </c>
      <c r="N643" s="4">
        <v>128</v>
      </c>
    </row>
    <row r="644" spans="1:14">
      <c r="A644" s="3">
        <v>808613</v>
      </c>
      <c r="B644" s="3">
        <v>173310</v>
      </c>
      <c r="C644" s="4">
        <v>20</v>
      </c>
      <c r="D644" s="4">
        <v>4</v>
      </c>
      <c r="E644" s="4">
        <v>20</v>
      </c>
      <c r="F644" s="4">
        <v>10</v>
      </c>
      <c r="G644" s="4">
        <v>0</v>
      </c>
      <c r="H644" s="4">
        <v>0</v>
      </c>
      <c r="I644" s="4">
        <v>10</v>
      </c>
      <c r="J644" s="4">
        <v>5</v>
      </c>
      <c r="K644" s="4">
        <v>35.5</v>
      </c>
      <c r="L644" s="4">
        <v>0</v>
      </c>
      <c r="M644" s="4">
        <v>3.5</v>
      </c>
      <c r="N644" s="4">
        <v>13</v>
      </c>
    </row>
    <row r="645" spans="1:14">
      <c r="A645" s="3">
        <v>808615</v>
      </c>
      <c r="B645" s="3">
        <v>121574</v>
      </c>
      <c r="C645" s="4">
        <v>15</v>
      </c>
      <c r="D645" s="4">
        <v>39</v>
      </c>
      <c r="E645" s="4">
        <v>92</v>
      </c>
      <c r="F645" s="4">
        <v>50</v>
      </c>
      <c r="G645" s="4">
        <v>15</v>
      </c>
      <c r="H645" s="4">
        <v>50</v>
      </c>
      <c r="I645" s="4">
        <v>0</v>
      </c>
      <c r="J645" s="4">
        <v>30</v>
      </c>
      <c r="K645" s="4">
        <v>37.5</v>
      </c>
      <c r="L645" s="4">
        <v>56</v>
      </c>
      <c r="M645" s="4">
        <v>132.5</v>
      </c>
      <c r="N645" s="4">
        <v>185</v>
      </c>
    </row>
    <row r="646" spans="1:14">
      <c r="A646" s="3">
        <v>808618</v>
      </c>
      <c r="B646" s="3">
        <v>174756</v>
      </c>
      <c r="C646" s="4">
        <v>30</v>
      </c>
      <c r="D646" s="4">
        <v>12</v>
      </c>
      <c r="E646" s="4">
        <v>50</v>
      </c>
      <c r="F646" s="4">
        <v>26</v>
      </c>
      <c r="G646" s="4">
        <v>30</v>
      </c>
      <c r="H646" s="4">
        <v>12</v>
      </c>
      <c r="I646" s="4">
        <v>17.5</v>
      </c>
      <c r="J646" s="4">
        <v>20</v>
      </c>
      <c r="K646" s="4">
        <v>27.5</v>
      </c>
      <c r="L646" s="4">
        <v>10</v>
      </c>
      <c r="M646" s="4">
        <v>40</v>
      </c>
      <c r="N646" s="4">
        <v>20</v>
      </c>
    </row>
    <row r="647" spans="1:14">
      <c r="A647" s="3">
        <v>808619</v>
      </c>
      <c r="B647" s="3">
        <v>173224</v>
      </c>
      <c r="C647" s="4">
        <v>110</v>
      </c>
      <c r="D647" s="4">
        <v>131</v>
      </c>
      <c r="E647" s="4">
        <v>140.5</v>
      </c>
      <c r="F647" s="4">
        <v>110.5</v>
      </c>
      <c r="G647" s="4">
        <v>83.5</v>
      </c>
      <c r="H647" s="4">
        <v>101</v>
      </c>
      <c r="I647" s="4">
        <v>93.5</v>
      </c>
      <c r="J647" s="4">
        <v>34.5</v>
      </c>
      <c r="K647" s="4">
        <v>161</v>
      </c>
      <c r="L647" s="4">
        <v>80</v>
      </c>
      <c r="M647" s="4">
        <v>118</v>
      </c>
      <c r="N647" s="4">
        <v>132.5</v>
      </c>
    </row>
    <row r="648" spans="1:14">
      <c r="A648" s="3">
        <v>808622</v>
      </c>
      <c r="B648" s="3">
        <v>119050</v>
      </c>
      <c r="C648" s="4">
        <v>51</v>
      </c>
      <c r="D648" s="4">
        <v>65</v>
      </c>
      <c r="E648" s="4">
        <v>270</v>
      </c>
      <c r="F648" s="4">
        <v>166.5</v>
      </c>
      <c r="G648" s="4">
        <v>163</v>
      </c>
      <c r="H648" s="4">
        <v>111</v>
      </c>
      <c r="I648" s="4">
        <v>70</v>
      </c>
      <c r="J648" s="4">
        <v>90</v>
      </c>
      <c r="K648" s="4">
        <v>129.5</v>
      </c>
      <c r="L648" s="4">
        <v>221</v>
      </c>
      <c r="M648" s="4">
        <v>220</v>
      </c>
      <c r="N648" s="4">
        <v>160</v>
      </c>
    </row>
    <row r="649" spans="1:14">
      <c r="A649" s="3">
        <v>808623</v>
      </c>
      <c r="B649" s="3">
        <v>119050</v>
      </c>
      <c r="C649" s="4">
        <v>35</v>
      </c>
      <c r="D649" s="4">
        <v>15</v>
      </c>
      <c r="E649" s="4">
        <v>36</v>
      </c>
      <c r="F649" s="4">
        <v>109</v>
      </c>
      <c r="G649" s="4">
        <v>61.5</v>
      </c>
      <c r="H649" s="4">
        <v>30.5</v>
      </c>
      <c r="I649" s="4">
        <v>30</v>
      </c>
      <c r="J649" s="4">
        <v>82.5</v>
      </c>
      <c r="K649" s="4">
        <v>105.65</v>
      </c>
      <c r="L649" s="4">
        <v>170.75</v>
      </c>
      <c r="M649" s="4">
        <v>115</v>
      </c>
      <c r="N649" s="4">
        <v>145</v>
      </c>
    </row>
    <row r="650" spans="1:14">
      <c r="A650" s="3">
        <v>808639</v>
      </c>
      <c r="B650" s="3">
        <v>208809</v>
      </c>
      <c r="C650" s="4">
        <v>0</v>
      </c>
      <c r="D650" s="4">
        <v>0</v>
      </c>
      <c r="E650" s="4">
        <v>0</v>
      </c>
      <c r="F650" s="4">
        <v>30</v>
      </c>
      <c r="G650" s="4">
        <v>50</v>
      </c>
      <c r="H650" s="4">
        <v>59.5</v>
      </c>
      <c r="I650" s="4">
        <v>40</v>
      </c>
      <c r="J650" s="4">
        <v>10</v>
      </c>
      <c r="K650" s="4">
        <v>43</v>
      </c>
      <c r="L650" s="4">
        <v>20</v>
      </c>
      <c r="M650" s="4">
        <v>0</v>
      </c>
      <c r="N650" s="4">
        <v>20</v>
      </c>
    </row>
    <row r="651" spans="1:14">
      <c r="A651" s="3">
        <v>808644</v>
      </c>
      <c r="B651" s="3">
        <v>119023</v>
      </c>
      <c r="C651" s="4">
        <v>100</v>
      </c>
      <c r="D651" s="4">
        <v>116</v>
      </c>
      <c r="E651" s="4">
        <v>222.5</v>
      </c>
      <c r="F651" s="4">
        <v>214.5</v>
      </c>
      <c r="G651" s="4">
        <v>105.5</v>
      </c>
      <c r="H651" s="4">
        <v>182</v>
      </c>
      <c r="I651" s="4">
        <v>128</v>
      </c>
      <c r="J651" s="4">
        <v>0</v>
      </c>
      <c r="K651" s="4">
        <v>204.5</v>
      </c>
      <c r="L651" s="4">
        <v>53</v>
      </c>
      <c r="M651" s="4">
        <v>108</v>
      </c>
      <c r="N651" s="4">
        <v>112</v>
      </c>
    </row>
    <row r="652" spans="1:14">
      <c r="A652" s="3">
        <v>808674</v>
      </c>
      <c r="B652" s="3">
        <v>119154</v>
      </c>
      <c r="C652" s="4">
        <v>144</v>
      </c>
      <c r="D652" s="4">
        <v>155</v>
      </c>
      <c r="E652" s="4">
        <v>100</v>
      </c>
      <c r="F652" s="4">
        <v>150</v>
      </c>
      <c r="G652" s="4">
        <v>60</v>
      </c>
      <c r="H652" s="4">
        <v>70</v>
      </c>
      <c r="I652" s="4">
        <v>130</v>
      </c>
      <c r="J652" s="4">
        <v>25</v>
      </c>
      <c r="K652" s="4">
        <v>120</v>
      </c>
      <c r="L652" s="4">
        <v>35</v>
      </c>
      <c r="M652" s="4">
        <v>40</v>
      </c>
      <c r="N652" s="4">
        <v>33</v>
      </c>
    </row>
    <row r="653" spans="1:14">
      <c r="A653" s="3">
        <v>808676</v>
      </c>
      <c r="B653" s="3">
        <v>172872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10</v>
      </c>
      <c r="I653" s="4">
        <v>15</v>
      </c>
      <c r="J653" s="4">
        <v>0</v>
      </c>
      <c r="K653" s="4">
        <v>48.5</v>
      </c>
      <c r="L653" s="4">
        <v>0</v>
      </c>
      <c r="M653" s="4">
        <v>0</v>
      </c>
      <c r="N653" s="4">
        <v>15</v>
      </c>
    </row>
    <row r="654" spans="1:14">
      <c r="A654" s="3">
        <v>808677</v>
      </c>
      <c r="B654" s="3">
        <v>178764</v>
      </c>
      <c r="C654" s="4">
        <v>0</v>
      </c>
      <c r="D654" s="4">
        <v>0</v>
      </c>
      <c r="E654" s="4">
        <v>15</v>
      </c>
      <c r="F654" s="4">
        <v>15</v>
      </c>
      <c r="G654" s="4">
        <v>0</v>
      </c>
      <c r="H654" s="4">
        <v>0</v>
      </c>
      <c r="I654" s="4">
        <v>20</v>
      </c>
      <c r="J654" s="4">
        <v>0</v>
      </c>
      <c r="K654" s="4">
        <v>25</v>
      </c>
      <c r="L654" s="4">
        <v>10</v>
      </c>
      <c r="M654" s="4">
        <v>0</v>
      </c>
      <c r="N654" s="4">
        <v>0</v>
      </c>
    </row>
    <row r="655" spans="1:14">
      <c r="A655" s="3">
        <v>808678</v>
      </c>
      <c r="B655" s="3">
        <v>119028</v>
      </c>
      <c r="C655" s="4">
        <v>0</v>
      </c>
      <c r="D655" s="4">
        <v>0</v>
      </c>
      <c r="E655" s="4">
        <v>0</v>
      </c>
      <c r="F655" s="4">
        <v>2.5</v>
      </c>
      <c r="G655" s="4">
        <v>0</v>
      </c>
      <c r="H655" s="4">
        <v>0</v>
      </c>
      <c r="I655" s="4">
        <v>31</v>
      </c>
      <c r="J655" s="4">
        <v>0</v>
      </c>
      <c r="K655" s="4">
        <v>16</v>
      </c>
      <c r="L655" s="4">
        <v>0</v>
      </c>
      <c r="M655" s="4">
        <v>0</v>
      </c>
      <c r="N655" s="4">
        <v>0</v>
      </c>
    </row>
    <row r="656" spans="1:14">
      <c r="A656" s="3">
        <v>808693</v>
      </c>
      <c r="B656" s="3">
        <v>176773</v>
      </c>
      <c r="C656" s="4">
        <v>71</v>
      </c>
      <c r="D656" s="4">
        <v>87.5</v>
      </c>
      <c r="E656" s="4">
        <v>314</v>
      </c>
      <c r="F656" s="4">
        <v>185</v>
      </c>
      <c r="G656" s="4">
        <v>284.5</v>
      </c>
      <c r="H656" s="4">
        <v>172.85</v>
      </c>
      <c r="I656" s="4">
        <v>237.7</v>
      </c>
      <c r="J656" s="4">
        <v>159.9</v>
      </c>
      <c r="K656" s="4">
        <v>379.55</v>
      </c>
      <c r="L656" s="4">
        <v>322.5</v>
      </c>
      <c r="M656" s="4">
        <v>173</v>
      </c>
      <c r="N656" s="4">
        <v>170.95</v>
      </c>
    </row>
    <row r="657" spans="1:14">
      <c r="A657" s="3">
        <v>808708</v>
      </c>
      <c r="B657" s="3">
        <v>206066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5</v>
      </c>
      <c r="L657" s="4">
        <v>0</v>
      </c>
      <c r="M657" s="4">
        <v>0</v>
      </c>
      <c r="N657" s="4">
        <v>0</v>
      </c>
    </row>
    <row r="658" spans="1:14">
      <c r="A658" s="3">
        <v>808713</v>
      </c>
      <c r="B658" s="3">
        <v>170197</v>
      </c>
      <c r="C658" s="4">
        <v>50</v>
      </c>
      <c r="D658" s="4">
        <v>62</v>
      </c>
      <c r="E658" s="4">
        <v>91.5</v>
      </c>
      <c r="F658" s="4">
        <v>145</v>
      </c>
      <c r="G658" s="4">
        <v>0</v>
      </c>
      <c r="H658" s="4">
        <v>0</v>
      </c>
      <c r="I658" s="4">
        <v>67</v>
      </c>
      <c r="J658" s="4">
        <v>35</v>
      </c>
      <c r="K658" s="4">
        <v>0</v>
      </c>
      <c r="L658" s="4">
        <v>35</v>
      </c>
      <c r="M658" s="4">
        <v>20</v>
      </c>
      <c r="N658" s="4">
        <v>21.5</v>
      </c>
    </row>
    <row r="659" spans="1:14">
      <c r="A659" s="3">
        <v>808730</v>
      </c>
      <c r="B659" s="3">
        <v>201172</v>
      </c>
      <c r="C659" s="4">
        <v>96.5</v>
      </c>
      <c r="D659" s="4">
        <v>42.5</v>
      </c>
      <c r="E659" s="4">
        <v>121</v>
      </c>
      <c r="F659" s="4">
        <v>98</v>
      </c>
      <c r="G659" s="4">
        <v>85.5</v>
      </c>
      <c r="H659" s="4">
        <v>54.5</v>
      </c>
      <c r="I659" s="4">
        <v>32</v>
      </c>
      <c r="J659" s="4">
        <v>30</v>
      </c>
      <c r="K659" s="4">
        <v>72.75</v>
      </c>
      <c r="L659" s="4">
        <v>47.5</v>
      </c>
      <c r="M659" s="4">
        <v>87.5</v>
      </c>
      <c r="N659" s="4">
        <v>49.5</v>
      </c>
    </row>
    <row r="660" spans="1:14">
      <c r="A660" s="3">
        <v>808731</v>
      </c>
      <c r="B660" s="3">
        <v>141512</v>
      </c>
      <c r="C660" s="4">
        <v>48</v>
      </c>
      <c r="D660" s="4">
        <v>31</v>
      </c>
      <c r="E660" s="4">
        <v>50</v>
      </c>
      <c r="F660" s="4">
        <v>51</v>
      </c>
      <c r="G660" s="4">
        <v>75.5</v>
      </c>
      <c r="H660" s="4">
        <v>10</v>
      </c>
      <c r="I660" s="4">
        <v>40.5</v>
      </c>
      <c r="J660" s="4">
        <v>75</v>
      </c>
      <c r="K660" s="4">
        <v>50</v>
      </c>
      <c r="L660" s="4">
        <v>7.5</v>
      </c>
      <c r="M660" s="4">
        <v>37.5</v>
      </c>
      <c r="N660" s="4">
        <v>124</v>
      </c>
    </row>
    <row r="661" spans="1:14">
      <c r="A661" s="3">
        <v>808732</v>
      </c>
      <c r="B661" s="3">
        <v>143114</v>
      </c>
      <c r="C661" s="4">
        <v>86</v>
      </c>
      <c r="D661" s="4">
        <v>50</v>
      </c>
      <c r="E661" s="4">
        <v>60.95</v>
      </c>
      <c r="F661" s="4">
        <v>26.5</v>
      </c>
      <c r="G661" s="4">
        <v>37.5</v>
      </c>
      <c r="H661" s="4">
        <v>76</v>
      </c>
      <c r="I661" s="4">
        <v>87.5</v>
      </c>
      <c r="J661" s="4">
        <v>45</v>
      </c>
      <c r="K661" s="4">
        <v>65</v>
      </c>
      <c r="L661" s="4">
        <v>37.65</v>
      </c>
      <c r="M661" s="4">
        <v>80</v>
      </c>
      <c r="N661" s="4">
        <v>284.5</v>
      </c>
    </row>
    <row r="662" spans="1:14">
      <c r="A662" s="3">
        <v>808733</v>
      </c>
      <c r="B662" s="3">
        <v>149885</v>
      </c>
      <c r="C662" s="4">
        <v>74.5</v>
      </c>
      <c r="D662" s="4">
        <v>121.80000000000001</v>
      </c>
      <c r="E662" s="4">
        <v>110.45</v>
      </c>
      <c r="F662" s="4">
        <v>88.949999999999989</v>
      </c>
      <c r="G662" s="4">
        <v>86</v>
      </c>
      <c r="H662" s="4">
        <v>81</v>
      </c>
      <c r="I662" s="4">
        <v>127.39999999999999</v>
      </c>
      <c r="J662" s="4">
        <v>127</v>
      </c>
      <c r="K662" s="4">
        <v>130.5</v>
      </c>
      <c r="L662" s="4">
        <v>121</v>
      </c>
      <c r="M662" s="4">
        <v>100.05</v>
      </c>
      <c r="N662" s="4">
        <v>149.05000000000001</v>
      </c>
    </row>
    <row r="663" spans="1:14">
      <c r="A663" s="3">
        <v>808733</v>
      </c>
      <c r="B663" s="3">
        <v>171591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15</v>
      </c>
      <c r="K663" s="4">
        <v>0</v>
      </c>
      <c r="L663" s="4">
        <v>0</v>
      </c>
      <c r="M663" s="4">
        <v>0</v>
      </c>
      <c r="N663" s="4">
        <v>0</v>
      </c>
    </row>
    <row r="664" spans="1:14">
      <c r="A664" s="3">
        <v>808739</v>
      </c>
      <c r="B664" s="3">
        <v>119038</v>
      </c>
      <c r="C664" s="4">
        <v>0</v>
      </c>
      <c r="D664" s="4">
        <v>20</v>
      </c>
      <c r="E664" s="4">
        <v>65</v>
      </c>
      <c r="F664" s="4">
        <v>20</v>
      </c>
      <c r="G664" s="4">
        <v>50</v>
      </c>
      <c r="H664" s="4">
        <v>27</v>
      </c>
      <c r="I664" s="4">
        <v>35</v>
      </c>
      <c r="J664" s="4">
        <v>10</v>
      </c>
      <c r="K664" s="4">
        <v>60</v>
      </c>
      <c r="L664" s="4">
        <v>30</v>
      </c>
      <c r="M664" s="4">
        <v>10</v>
      </c>
      <c r="N664" s="4">
        <v>74</v>
      </c>
    </row>
    <row r="665" spans="1:14">
      <c r="A665" s="3">
        <v>808749</v>
      </c>
      <c r="B665" s="3">
        <v>119038</v>
      </c>
      <c r="C665" s="4">
        <v>35</v>
      </c>
      <c r="D665" s="4">
        <v>55</v>
      </c>
      <c r="E665" s="4">
        <v>123.5</v>
      </c>
      <c r="F665" s="4">
        <v>95</v>
      </c>
      <c r="G665" s="4">
        <v>25</v>
      </c>
      <c r="H665" s="4">
        <v>20</v>
      </c>
      <c r="I665" s="4">
        <v>40</v>
      </c>
      <c r="J665" s="4">
        <v>10</v>
      </c>
      <c r="K665" s="4">
        <v>20</v>
      </c>
      <c r="L665" s="4">
        <v>45</v>
      </c>
      <c r="M665" s="4">
        <v>77.5</v>
      </c>
      <c r="N665" s="4">
        <v>58</v>
      </c>
    </row>
    <row r="666" spans="1:14">
      <c r="A666" s="3">
        <v>808750</v>
      </c>
      <c r="B666" s="3">
        <v>119038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14</v>
      </c>
      <c r="L666" s="4">
        <v>0</v>
      </c>
      <c r="M666" s="4">
        <v>0</v>
      </c>
      <c r="N666" s="4">
        <v>0</v>
      </c>
    </row>
    <row r="667" spans="1:14">
      <c r="A667" s="3">
        <v>808751</v>
      </c>
      <c r="B667" s="3">
        <v>174034</v>
      </c>
      <c r="C667" s="4">
        <v>0</v>
      </c>
      <c r="D667" s="4">
        <v>10</v>
      </c>
      <c r="E667" s="4">
        <v>10</v>
      </c>
      <c r="F667" s="4">
        <v>12</v>
      </c>
      <c r="G667" s="4">
        <v>43</v>
      </c>
      <c r="H667" s="4">
        <v>0</v>
      </c>
      <c r="I667" s="4">
        <v>10</v>
      </c>
      <c r="J667" s="4">
        <v>0</v>
      </c>
      <c r="K667" s="4">
        <v>22.5</v>
      </c>
      <c r="L667" s="4">
        <v>99.5</v>
      </c>
      <c r="M667" s="4">
        <v>0</v>
      </c>
      <c r="N667" s="4">
        <v>49</v>
      </c>
    </row>
    <row r="668" spans="1:14">
      <c r="A668" s="3">
        <v>808775</v>
      </c>
      <c r="B668" s="3">
        <v>170392</v>
      </c>
      <c r="C668" s="4">
        <v>62.75</v>
      </c>
      <c r="D668" s="4">
        <v>20</v>
      </c>
      <c r="E668" s="4">
        <v>30</v>
      </c>
      <c r="F668" s="4">
        <v>40</v>
      </c>
      <c r="G668" s="4">
        <v>51</v>
      </c>
      <c r="H668" s="4">
        <v>20</v>
      </c>
      <c r="I668" s="4">
        <v>10</v>
      </c>
      <c r="J668" s="4">
        <v>2</v>
      </c>
      <c r="K668" s="4">
        <v>49.5</v>
      </c>
      <c r="L668" s="4">
        <v>28</v>
      </c>
      <c r="M668" s="4">
        <v>34.5</v>
      </c>
      <c r="N668" s="4">
        <v>52</v>
      </c>
    </row>
    <row r="669" spans="1:14">
      <c r="A669" s="3">
        <v>808775</v>
      </c>
      <c r="B669" s="3">
        <v>170846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10</v>
      </c>
      <c r="M669" s="4">
        <v>0</v>
      </c>
      <c r="N669" s="4">
        <v>0</v>
      </c>
    </row>
    <row r="670" spans="1:14">
      <c r="A670" s="3">
        <v>808786</v>
      </c>
      <c r="B670" s="3">
        <v>177426</v>
      </c>
      <c r="C670" s="4">
        <v>35</v>
      </c>
      <c r="D670" s="4">
        <v>51</v>
      </c>
      <c r="E670" s="4">
        <v>92.5</v>
      </c>
      <c r="F670" s="4">
        <v>40</v>
      </c>
      <c r="G670" s="4">
        <v>107.5</v>
      </c>
      <c r="H670" s="4">
        <v>77.5</v>
      </c>
      <c r="I670" s="4">
        <v>37.5</v>
      </c>
      <c r="J670" s="4">
        <v>50</v>
      </c>
      <c r="K670" s="4">
        <v>75</v>
      </c>
      <c r="L670" s="4">
        <v>58</v>
      </c>
      <c r="M670" s="4">
        <v>27.5</v>
      </c>
      <c r="N670" s="4">
        <v>45</v>
      </c>
    </row>
    <row r="671" spans="1:14">
      <c r="A671" s="3">
        <v>808786</v>
      </c>
      <c r="B671" s="3">
        <v>203407</v>
      </c>
      <c r="C671" s="4">
        <v>10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>
      <c r="A672" s="3">
        <v>808787</v>
      </c>
      <c r="B672" s="3">
        <v>149991</v>
      </c>
      <c r="C672" s="4">
        <v>92</v>
      </c>
      <c r="D672" s="4">
        <v>155</v>
      </c>
      <c r="E672" s="4">
        <v>149.5</v>
      </c>
      <c r="F672" s="4">
        <v>156</v>
      </c>
      <c r="G672" s="4">
        <v>127.5</v>
      </c>
      <c r="H672" s="4">
        <v>162.5</v>
      </c>
      <c r="I672" s="4">
        <v>125</v>
      </c>
      <c r="J672" s="4">
        <v>124</v>
      </c>
      <c r="K672" s="4">
        <v>137.5</v>
      </c>
      <c r="L672" s="4">
        <v>100</v>
      </c>
      <c r="M672" s="4">
        <v>119.95</v>
      </c>
      <c r="N672" s="4">
        <v>88</v>
      </c>
    </row>
    <row r="673" spans="1:14">
      <c r="A673" s="3">
        <v>808789</v>
      </c>
      <c r="B673" s="3">
        <v>170363</v>
      </c>
      <c r="C673" s="4">
        <v>42</v>
      </c>
      <c r="D673" s="4">
        <v>40</v>
      </c>
      <c r="E673" s="4">
        <v>102</v>
      </c>
      <c r="F673" s="4">
        <v>0</v>
      </c>
      <c r="G673" s="4">
        <v>85</v>
      </c>
      <c r="H673" s="4">
        <v>18.5</v>
      </c>
      <c r="I673" s="4">
        <v>102.5</v>
      </c>
      <c r="J673" s="4">
        <v>0</v>
      </c>
      <c r="K673" s="4">
        <v>55</v>
      </c>
      <c r="L673" s="4">
        <v>70</v>
      </c>
      <c r="M673" s="4">
        <v>105</v>
      </c>
      <c r="N673" s="4">
        <v>202</v>
      </c>
    </row>
    <row r="674" spans="1:14">
      <c r="A674" s="3">
        <v>808791</v>
      </c>
      <c r="B674" s="3">
        <v>170149</v>
      </c>
      <c r="C674" s="4">
        <v>25</v>
      </c>
      <c r="D674" s="4">
        <v>50</v>
      </c>
      <c r="E674" s="4">
        <v>92</v>
      </c>
      <c r="F674" s="4">
        <v>70</v>
      </c>
      <c r="G674" s="4">
        <v>0</v>
      </c>
      <c r="H674" s="4">
        <v>146.9</v>
      </c>
      <c r="I674" s="4">
        <v>75</v>
      </c>
      <c r="J674" s="4">
        <v>0</v>
      </c>
      <c r="K674" s="4">
        <v>95</v>
      </c>
      <c r="L674" s="4">
        <v>0</v>
      </c>
      <c r="M674" s="4">
        <v>137</v>
      </c>
      <c r="N674" s="4">
        <v>189</v>
      </c>
    </row>
    <row r="675" spans="1:14">
      <c r="A675" s="3">
        <v>808791</v>
      </c>
      <c r="B675" s="3">
        <v>170204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42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>
      <c r="A676" s="3">
        <v>808792</v>
      </c>
      <c r="B676" s="3">
        <v>144804</v>
      </c>
      <c r="C676" s="4">
        <v>0</v>
      </c>
      <c r="D676" s="4">
        <v>20</v>
      </c>
      <c r="E676" s="4">
        <v>40</v>
      </c>
      <c r="F676" s="4">
        <v>27.5</v>
      </c>
      <c r="G676" s="4">
        <v>27.5</v>
      </c>
      <c r="H676" s="4">
        <v>31</v>
      </c>
      <c r="I676" s="4">
        <v>36</v>
      </c>
      <c r="J676" s="4">
        <v>57.5</v>
      </c>
      <c r="K676" s="4">
        <v>37.5</v>
      </c>
      <c r="L676" s="4">
        <v>65.25</v>
      </c>
      <c r="M676" s="4">
        <v>60</v>
      </c>
      <c r="N676" s="4">
        <v>87</v>
      </c>
    </row>
    <row r="677" spans="1:14">
      <c r="A677" s="3">
        <v>808795</v>
      </c>
      <c r="B677" s="3">
        <v>119208</v>
      </c>
      <c r="C677" s="4">
        <v>45</v>
      </c>
      <c r="D677" s="4">
        <v>0</v>
      </c>
      <c r="E677" s="4">
        <v>0</v>
      </c>
      <c r="F677" s="4">
        <v>0</v>
      </c>
      <c r="G677" s="4">
        <v>127.5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60</v>
      </c>
    </row>
    <row r="678" spans="1:14">
      <c r="A678" s="3">
        <v>808818</v>
      </c>
      <c r="B678" s="3">
        <v>172905</v>
      </c>
      <c r="C678" s="4">
        <v>17.5</v>
      </c>
      <c r="D678" s="4">
        <v>0</v>
      </c>
      <c r="E678" s="4">
        <v>30</v>
      </c>
      <c r="F678" s="4">
        <v>22.5</v>
      </c>
      <c r="G678" s="4">
        <v>17.5</v>
      </c>
      <c r="H678" s="4">
        <v>22.5</v>
      </c>
      <c r="I678" s="4">
        <v>2.5</v>
      </c>
      <c r="J678" s="4">
        <v>5</v>
      </c>
      <c r="K678" s="4">
        <v>22.5</v>
      </c>
      <c r="L678" s="4">
        <v>11.25</v>
      </c>
      <c r="M678" s="4">
        <v>10</v>
      </c>
      <c r="N678" s="4">
        <v>93.5</v>
      </c>
    </row>
    <row r="679" spans="1:14">
      <c r="A679" s="3">
        <v>808820</v>
      </c>
      <c r="B679" s="3">
        <v>119028</v>
      </c>
      <c r="C679" s="4">
        <v>93</v>
      </c>
      <c r="D679" s="4">
        <v>62</v>
      </c>
      <c r="E679" s="4">
        <v>93</v>
      </c>
      <c r="F679" s="4">
        <v>62</v>
      </c>
      <c r="G679" s="4">
        <v>41</v>
      </c>
      <c r="H679" s="4">
        <v>31</v>
      </c>
      <c r="I679" s="4">
        <v>31</v>
      </c>
      <c r="J679" s="4">
        <v>31</v>
      </c>
      <c r="K679" s="4">
        <v>83</v>
      </c>
      <c r="L679" s="4">
        <v>93</v>
      </c>
      <c r="M679" s="4">
        <v>217</v>
      </c>
      <c r="N679" s="4">
        <v>217</v>
      </c>
    </row>
    <row r="680" spans="1:14">
      <c r="A680" s="3">
        <v>808821</v>
      </c>
      <c r="B680" s="3">
        <v>172497</v>
      </c>
      <c r="C680" s="4">
        <v>10</v>
      </c>
      <c r="D680" s="4">
        <v>17.5</v>
      </c>
      <c r="E680" s="4">
        <v>20</v>
      </c>
      <c r="F680" s="4">
        <v>19</v>
      </c>
      <c r="G680" s="4">
        <v>28.5</v>
      </c>
      <c r="H680" s="4">
        <v>38</v>
      </c>
      <c r="I680" s="4">
        <v>30</v>
      </c>
      <c r="J680" s="4">
        <v>0</v>
      </c>
      <c r="K680" s="4">
        <v>30</v>
      </c>
      <c r="L680" s="4">
        <v>0</v>
      </c>
      <c r="M680" s="4">
        <v>0</v>
      </c>
      <c r="N680" s="4">
        <v>12.5</v>
      </c>
    </row>
    <row r="681" spans="1:14">
      <c r="A681" s="3">
        <v>808822</v>
      </c>
      <c r="B681" s="3">
        <v>174034</v>
      </c>
      <c r="C681" s="4">
        <v>0</v>
      </c>
      <c r="D681" s="4">
        <v>0</v>
      </c>
      <c r="E681" s="4">
        <v>0</v>
      </c>
      <c r="F681" s="4">
        <v>20</v>
      </c>
      <c r="G681" s="4">
        <v>9</v>
      </c>
      <c r="H681" s="4">
        <v>0</v>
      </c>
      <c r="I681" s="4">
        <v>10</v>
      </c>
      <c r="J681" s="4">
        <v>0</v>
      </c>
      <c r="K681" s="4">
        <v>10</v>
      </c>
      <c r="L681" s="4">
        <v>0</v>
      </c>
      <c r="M681" s="4">
        <v>50</v>
      </c>
      <c r="N681" s="4">
        <v>40</v>
      </c>
    </row>
    <row r="682" spans="1:14">
      <c r="A682" s="3">
        <v>808823</v>
      </c>
      <c r="B682" s="3">
        <v>119038</v>
      </c>
      <c r="C682" s="4">
        <v>0</v>
      </c>
      <c r="D682" s="4">
        <v>0</v>
      </c>
      <c r="E682" s="4">
        <v>0</v>
      </c>
      <c r="F682" s="4">
        <v>5</v>
      </c>
      <c r="G682" s="4">
        <v>65</v>
      </c>
      <c r="H682" s="4">
        <v>30</v>
      </c>
      <c r="I682" s="4">
        <v>25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</row>
    <row r="683" spans="1:14">
      <c r="A683" s="3">
        <v>808835</v>
      </c>
      <c r="B683" s="3">
        <v>146910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15</v>
      </c>
      <c r="L683" s="4">
        <v>0</v>
      </c>
      <c r="M683" s="4">
        <v>0</v>
      </c>
      <c r="N683" s="4">
        <v>0</v>
      </c>
    </row>
    <row r="684" spans="1:14">
      <c r="A684" s="3">
        <v>808837</v>
      </c>
      <c r="B684" s="3">
        <v>121706</v>
      </c>
      <c r="C684" s="4">
        <v>0</v>
      </c>
      <c r="D684" s="4">
        <v>21</v>
      </c>
      <c r="E684" s="4">
        <v>30</v>
      </c>
      <c r="F684" s="4">
        <v>0</v>
      </c>
      <c r="G684" s="4">
        <v>0</v>
      </c>
      <c r="H684" s="4">
        <v>0</v>
      </c>
      <c r="I684" s="4">
        <v>30</v>
      </c>
      <c r="J684" s="4">
        <v>45</v>
      </c>
      <c r="K684" s="4">
        <v>75</v>
      </c>
      <c r="L684" s="4">
        <v>60</v>
      </c>
      <c r="M684" s="4">
        <v>65</v>
      </c>
      <c r="N684" s="4">
        <v>117</v>
      </c>
    </row>
    <row r="685" spans="1:14">
      <c r="A685" s="3">
        <v>808845</v>
      </c>
      <c r="B685" s="3">
        <v>121574</v>
      </c>
      <c r="C685" s="4">
        <v>20</v>
      </c>
      <c r="D685" s="4">
        <v>57</v>
      </c>
      <c r="E685" s="4">
        <v>100</v>
      </c>
      <c r="F685" s="4">
        <v>70</v>
      </c>
      <c r="G685" s="4">
        <v>51</v>
      </c>
      <c r="H685" s="4">
        <v>51</v>
      </c>
      <c r="I685" s="4">
        <v>49</v>
      </c>
      <c r="J685" s="4">
        <v>70</v>
      </c>
      <c r="K685" s="4">
        <v>104.5</v>
      </c>
      <c r="L685" s="4">
        <v>79</v>
      </c>
      <c r="M685" s="4">
        <v>67.5</v>
      </c>
      <c r="N685" s="4">
        <v>95</v>
      </c>
    </row>
    <row r="686" spans="1:14">
      <c r="A686" s="3">
        <v>808849</v>
      </c>
      <c r="B686" s="3">
        <v>173728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10</v>
      </c>
      <c r="J686" s="4">
        <v>72.75</v>
      </c>
      <c r="K686" s="4">
        <v>95.25</v>
      </c>
      <c r="L686" s="4">
        <v>47.5</v>
      </c>
      <c r="M686" s="4">
        <v>36.5</v>
      </c>
      <c r="N686" s="4">
        <v>55</v>
      </c>
    </row>
    <row r="687" spans="1:14">
      <c r="A687" s="3">
        <v>808852</v>
      </c>
      <c r="B687" s="3">
        <v>175049</v>
      </c>
      <c r="C687" s="4">
        <v>45</v>
      </c>
      <c r="D687" s="4">
        <v>25</v>
      </c>
      <c r="E687" s="4">
        <v>35</v>
      </c>
      <c r="F687" s="4">
        <v>42.5</v>
      </c>
      <c r="G687" s="4">
        <v>32</v>
      </c>
      <c r="H687" s="4">
        <v>40</v>
      </c>
      <c r="I687" s="4">
        <v>35</v>
      </c>
      <c r="J687" s="4">
        <v>29</v>
      </c>
      <c r="K687" s="4">
        <v>60.25</v>
      </c>
      <c r="L687" s="4">
        <v>72.5</v>
      </c>
      <c r="M687" s="4">
        <v>39</v>
      </c>
      <c r="N687" s="4">
        <v>23</v>
      </c>
    </row>
    <row r="688" spans="1:14">
      <c r="A688" s="3">
        <v>808856</v>
      </c>
      <c r="B688" s="3">
        <v>178511</v>
      </c>
      <c r="C688" s="4">
        <v>34.5</v>
      </c>
      <c r="D688" s="4">
        <v>75</v>
      </c>
      <c r="E688" s="4">
        <v>64.5</v>
      </c>
      <c r="F688" s="4">
        <v>69.75</v>
      </c>
      <c r="G688" s="4">
        <v>7</v>
      </c>
      <c r="H688" s="4">
        <v>11</v>
      </c>
      <c r="I688" s="4">
        <v>10</v>
      </c>
      <c r="J688" s="4">
        <v>15</v>
      </c>
      <c r="K688" s="4">
        <v>8</v>
      </c>
      <c r="L688" s="4">
        <v>12.5</v>
      </c>
      <c r="M688" s="4">
        <v>35.5</v>
      </c>
      <c r="N688" s="4">
        <v>10</v>
      </c>
    </row>
    <row r="689" spans="1:14">
      <c r="A689" s="3">
        <v>808857</v>
      </c>
      <c r="B689" s="3">
        <v>119042</v>
      </c>
      <c r="C689" s="4">
        <v>0</v>
      </c>
      <c r="D689" s="4">
        <v>0</v>
      </c>
      <c r="E689" s="4">
        <v>10</v>
      </c>
      <c r="F689" s="4">
        <v>10</v>
      </c>
      <c r="G689" s="4">
        <v>35</v>
      </c>
      <c r="H689" s="4">
        <v>47.5</v>
      </c>
      <c r="I689" s="4">
        <v>25</v>
      </c>
      <c r="J689" s="4">
        <v>5</v>
      </c>
      <c r="K689" s="4">
        <v>18</v>
      </c>
      <c r="L689" s="4">
        <v>28</v>
      </c>
      <c r="M689" s="4">
        <v>31.5</v>
      </c>
      <c r="N689" s="4">
        <v>7.5</v>
      </c>
    </row>
    <row r="690" spans="1:14">
      <c r="A690" s="3">
        <v>808858</v>
      </c>
      <c r="B690" s="3">
        <v>119208</v>
      </c>
      <c r="C690" s="4">
        <v>80</v>
      </c>
      <c r="D690" s="4">
        <v>0</v>
      </c>
      <c r="E690" s="4">
        <v>161</v>
      </c>
      <c r="F690" s="4">
        <v>2.5</v>
      </c>
      <c r="G690" s="4">
        <v>0</v>
      </c>
      <c r="H690" s="4">
        <v>0</v>
      </c>
      <c r="I690" s="4">
        <v>0</v>
      </c>
      <c r="J690" s="4">
        <v>132</v>
      </c>
      <c r="K690" s="4">
        <v>0</v>
      </c>
      <c r="L690" s="4">
        <v>0</v>
      </c>
      <c r="M690" s="4">
        <v>69.5</v>
      </c>
      <c r="N690" s="4">
        <v>0</v>
      </c>
    </row>
    <row r="691" spans="1:14">
      <c r="A691" s="3">
        <v>808889</v>
      </c>
      <c r="B691" s="3">
        <v>140967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20</v>
      </c>
      <c r="L691" s="4">
        <v>0</v>
      </c>
      <c r="M691" s="4">
        <v>50</v>
      </c>
      <c r="N691" s="4">
        <v>10</v>
      </c>
    </row>
    <row r="692" spans="1:14">
      <c r="A692" s="3">
        <v>808890</v>
      </c>
      <c r="B692" s="3">
        <v>148233</v>
      </c>
      <c r="C692" s="4">
        <v>70</v>
      </c>
      <c r="D692" s="4">
        <v>70</v>
      </c>
      <c r="E692" s="4">
        <v>90</v>
      </c>
      <c r="F692" s="4">
        <v>35</v>
      </c>
      <c r="G692" s="4">
        <v>70</v>
      </c>
      <c r="H692" s="4">
        <v>70</v>
      </c>
      <c r="I692" s="4">
        <v>35</v>
      </c>
      <c r="J692" s="4">
        <v>70</v>
      </c>
      <c r="K692" s="4">
        <v>0</v>
      </c>
      <c r="L692" s="4">
        <v>85</v>
      </c>
      <c r="M692" s="4">
        <v>55</v>
      </c>
      <c r="N692" s="4">
        <v>95</v>
      </c>
    </row>
    <row r="693" spans="1:14">
      <c r="A693" s="3">
        <v>808891</v>
      </c>
      <c r="B693" s="3">
        <v>177631</v>
      </c>
      <c r="C693" s="4">
        <v>15</v>
      </c>
      <c r="D693" s="4">
        <v>0</v>
      </c>
      <c r="E693" s="4">
        <v>10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</row>
    <row r="694" spans="1:14">
      <c r="A694" s="3">
        <v>808892</v>
      </c>
      <c r="B694" s="3">
        <v>140858</v>
      </c>
      <c r="C694" s="4">
        <v>60</v>
      </c>
      <c r="D694" s="4">
        <v>30</v>
      </c>
      <c r="E694" s="4">
        <v>65</v>
      </c>
      <c r="F694" s="4">
        <v>82.75</v>
      </c>
      <c r="G694" s="4">
        <v>51</v>
      </c>
      <c r="H694" s="4">
        <v>43.75</v>
      </c>
      <c r="I694" s="4">
        <v>50</v>
      </c>
      <c r="J694" s="4">
        <v>25</v>
      </c>
      <c r="K694" s="4">
        <v>92.5</v>
      </c>
      <c r="L694" s="4">
        <v>120</v>
      </c>
      <c r="M694" s="4">
        <v>70</v>
      </c>
      <c r="N694" s="4">
        <v>85</v>
      </c>
    </row>
    <row r="695" spans="1:14">
      <c r="A695" s="3">
        <v>808893</v>
      </c>
      <c r="B695" s="3">
        <v>170248</v>
      </c>
      <c r="C695" s="4">
        <v>104.5</v>
      </c>
      <c r="D695" s="4">
        <v>31</v>
      </c>
      <c r="E695" s="4">
        <v>61</v>
      </c>
      <c r="F695" s="4">
        <v>60</v>
      </c>
      <c r="G695" s="4">
        <v>15</v>
      </c>
      <c r="H695" s="4">
        <v>10</v>
      </c>
      <c r="I695" s="4">
        <v>10</v>
      </c>
      <c r="J695" s="4">
        <v>5</v>
      </c>
      <c r="K695" s="4">
        <v>28</v>
      </c>
      <c r="L695" s="4">
        <v>20</v>
      </c>
      <c r="M695" s="4">
        <v>10</v>
      </c>
      <c r="N695" s="4">
        <v>47.5</v>
      </c>
    </row>
    <row r="696" spans="1:14">
      <c r="A696" s="3">
        <v>808894</v>
      </c>
      <c r="B696" s="3">
        <v>174756</v>
      </c>
      <c r="C696" s="4">
        <v>23.5</v>
      </c>
      <c r="D696" s="4">
        <v>25</v>
      </c>
      <c r="E696" s="4">
        <v>45</v>
      </c>
      <c r="F696" s="4">
        <v>38.5</v>
      </c>
      <c r="G696" s="4">
        <v>15</v>
      </c>
      <c r="H696" s="4">
        <v>14</v>
      </c>
      <c r="I696" s="4">
        <v>6.5</v>
      </c>
      <c r="J696" s="4">
        <v>28</v>
      </c>
      <c r="K696" s="4">
        <v>22.5</v>
      </c>
      <c r="L696" s="4">
        <v>0</v>
      </c>
      <c r="M696" s="4">
        <v>37.5</v>
      </c>
      <c r="N696" s="4">
        <v>32</v>
      </c>
    </row>
    <row r="697" spans="1:14">
      <c r="A697" s="3">
        <v>808895</v>
      </c>
      <c r="B697" s="3">
        <v>119050</v>
      </c>
      <c r="C697" s="4">
        <v>0</v>
      </c>
      <c r="D697" s="4">
        <v>0</v>
      </c>
      <c r="E697" s="4">
        <v>20</v>
      </c>
      <c r="F697" s="4">
        <v>25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>
      <c r="A698" s="3">
        <v>808895</v>
      </c>
      <c r="B698" s="3">
        <v>202881</v>
      </c>
      <c r="C698" s="4">
        <v>0</v>
      </c>
      <c r="D698" s="4">
        <v>0</v>
      </c>
      <c r="E698" s="4">
        <v>20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>
      <c r="A699" s="3">
        <v>808902</v>
      </c>
      <c r="B699" s="3">
        <v>170775</v>
      </c>
      <c r="C699" s="4">
        <v>0</v>
      </c>
      <c r="D699" s="4">
        <v>0</v>
      </c>
      <c r="E699" s="4">
        <v>0</v>
      </c>
      <c r="F699" s="4">
        <v>0</v>
      </c>
      <c r="G699" s="4">
        <v>45</v>
      </c>
      <c r="H699" s="4">
        <v>0</v>
      </c>
      <c r="I699" s="4">
        <v>10</v>
      </c>
      <c r="J699" s="4">
        <v>0</v>
      </c>
      <c r="K699" s="4">
        <v>40</v>
      </c>
      <c r="L699" s="4">
        <v>40</v>
      </c>
      <c r="M699" s="4">
        <v>25</v>
      </c>
      <c r="N699" s="4">
        <v>0</v>
      </c>
    </row>
    <row r="700" spans="1:14">
      <c r="A700" s="3">
        <v>808903</v>
      </c>
      <c r="B700" s="3">
        <v>170775</v>
      </c>
      <c r="C700" s="4">
        <v>0</v>
      </c>
      <c r="D700" s="4">
        <v>45</v>
      </c>
      <c r="E700" s="4">
        <v>20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</row>
    <row r="701" spans="1:14">
      <c r="A701" s="3">
        <v>808910</v>
      </c>
      <c r="B701" s="3">
        <v>119044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30</v>
      </c>
      <c r="M701" s="4">
        <v>0</v>
      </c>
      <c r="N701" s="4">
        <v>0</v>
      </c>
    </row>
    <row r="702" spans="1:14">
      <c r="A702" s="3">
        <v>808911</v>
      </c>
      <c r="B702" s="3">
        <v>205992</v>
      </c>
      <c r="C702" s="4">
        <v>0</v>
      </c>
      <c r="D702" s="4">
        <v>0</v>
      </c>
      <c r="E702" s="4">
        <v>10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>
      <c r="A703" s="3">
        <v>808911</v>
      </c>
      <c r="B703" s="3">
        <v>209139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20</v>
      </c>
      <c r="L703" s="4">
        <v>0</v>
      </c>
      <c r="M703" s="4">
        <v>0</v>
      </c>
      <c r="N703" s="4">
        <v>0</v>
      </c>
    </row>
    <row r="704" spans="1:14">
      <c r="A704" s="3">
        <v>808912</v>
      </c>
      <c r="B704" s="3">
        <v>146968</v>
      </c>
      <c r="C704" s="4">
        <v>23</v>
      </c>
      <c r="D704" s="4">
        <v>5</v>
      </c>
      <c r="E704" s="4">
        <v>0</v>
      </c>
      <c r="F704" s="4">
        <v>7.5</v>
      </c>
      <c r="G704" s="4">
        <v>7.5</v>
      </c>
      <c r="H704" s="4">
        <v>7.5</v>
      </c>
      <c r="I704" s="4">
        <v>19</v>
      </c>
      <c r="J704" s="4">
        <v>0</v>
      </c>
      <c r="K704" s="4">
        <v>27.5</v>
      </c>
      <c r="L704" s="4">
        <v>0</v>
      </c>
      <c r="M704" s="4">
        <v>0</v>
      </c>
      <c r="N704" s="4">
        <v>0</v>
      </c>
    </row>
    <row r="705" spans="1:14">
      <c r="A705" s="3">
        <v>808914</v>
      </c>
      <c r="B705" s="3">
        <v>119026</v>
      </c>
      <c r="C705" s="4">
        <v>30</v>
      </c>
      <c r="D705" s="4">
        <v>51</v>
      </c>
      <c r="E705" s="4">
        <v>40</v>
      </c>
      <c r="F705" s="4">
        <v>94.75</v>
      </c>
      <c r="G705" s="4">
        <v>35</v>
      </c>
      <c r="H705" s="4">
        <v>0</v>
      </c>
      <c r="I705" s="4">
        <v>12</v>
      </c>
      <c r="J705" s="4">
        <v>0</v>
      </c>
      <c r="K705" s="4">
        <v>25</v>
      </c>
      <c r="L705" s="4">
        <v>30</v>
      </c>
      <c r="M705" s="4">
        <v>0</v>
      </c>
      <c r="N705" s="4">
        <v>20.25</v>
      </c>
    </row>
    <row r="706" spans="1:14">
      <c r="A706" s="3">
        <v>808924</v>
      </c>
      <c r="B706" s="3">
        <v>179877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12.5</v>
      </c>
      <c r="J706" s="4">
        <v>22.5</v>
      </c>
      <c r="K706" s="4">
        <v>25</v>
      </c>
      <c r="L706" s="4">
        <v>15</v>
      </c>
      <c r="M706" s="4">
        <v>55</v>
      </c>
      <c r="N706" s="4">
        <v>19</v>
      </c>
    </row>
    <row r="707" spans="1:14">
      <c r="A707" s="3">
        <v>808925</v>
      </c>
      <c r="B707" s="3">
        <v>119023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152</v>
      </c>
      <c r="J707" s="4">
        <v>144</v>
      </c>
      <c r="K707" s="4">
        <v>106</v>
      </c>
      <c r="L707" s="4">
        <v>62</v>
      </c>
      <c r="M707" s="4">
        <v>155</v>
      </c>
      <c r="N707" s="4">
        <v>107</v>
      </c>
    </row>
    <row r="708" spans="1:14">
      <c r="A708" s="3">
        <v>808926</v>
      </c>
      <c r="B708" s="3">
        <v>119023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127</v>
      </c>
      <c r="J708" s="4">
        <v>138.5</v>
      </c>
      <c r="K708" s="4">
        <v>0</v>
      </c>
      <c r="L708" s="4">
        <v>57.5</v>
      </c>
      <c r="M708" s="4">
        <v>199.7</v>
      </c>
      <c r="N708" s="4">
        <v>124</v>
      </c>
    </row>
    <row r="709" spans="1:14">
      <c r="A709" s="3">
        <v>808928</v>
      </c>
      <c r="B709" s="3">
        <v>202842</v>
      </c>
      <c r="C709" s="4">
        <v>30</v>
      </c>
      <c r="D709" s="4">
        <v>52</v>
      </c>
      <c r="E709" s="4">
        <v>100</v>
      </c>
      <c r="F709" s="4">
        <v>52.5</v>
      </c>
      <c r="G709" s="4">
        <v>60</v>
      </c>
      <c r="H709" s="4">
        <v>96.5</v>
      </c>
      <c r="I709" s="4">
        <v>45</v>
      </c>
      <c r="J709" s="4">
        <v>5</v>
      </c>
      <c r="K709" s="4">
        <v>95</v>
      </c>
      <c r="L709" s="4">
        <v>75</v>
      </c>
      <c r="M709" s="4">
        <v>40</v>
      </c>
      <c r="N709" s="4">
        <v>105</v>
      </c>
    </row>
    <row r="710" spans="1:14">
      <c r="A710" s="3">
        <v>808929</v>
      </c>
      <c r="B710" s="3">
        <v>119044</v>
      </c>
      <c r="C710" s="4">
        <v>35</v>
      </c>
      <c r="D710" s="4">
        <v>20</v>
      </c>
      <c r="E710" s="4">
        <v>25</v>
      </c>
      <c r="F710" s="4">
        <v>57.5</v>
      </c>
      <c r="G710" s="4">
        <v>19.5</v>
      </c>
      <c r="H710" s="4">
        <v>50</v>
      </c>
      <c r="I710" s="4">
        <v>50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</row>
    <row r="711" spans="1:14">
      <c r="A711" s="3">
        <v>808930</v>
      </c>
      <c r="B711" s="3">
        <v>170392</v>
      </c>
      <c r="C711" s="4">
        <v>13.25</v>
      </c>
      <c r="D711" s="4">
        <v>0</v>
      </c>
      <c r="E711" s="4">
        <v>20</v>
      </c>
      <c r="F711" s="4">
        <v>0</v>
      </c>
      <c r="G711" s="4">
        <v>0</v>
      </c>
      <c r="H711" s="4">
        <v>0</v>
      </c>
      <c r="I711" s="4">
        <v>11.1</v>
      </c>
      <c r="J711" s="4">
        <v>10</v>
      </c>
      <c r="K711" s="4">
        <v>36</v>
      </c>
      <c r="L711" s="4">
        <v>46.85</v>
      </c>
      <c r="M711" s="4">
        <v>5</v>
      </c>
      <c r="N711" s="4">
        <v>10</v>
      </c>
    </row>
    <row r="712" spans="1:14">
      <c r="A712" s="3">
        <v>808931</v>
      </c>
      <c r="B712" s="3">
        <v>170248</v>
      </c>
      <c r="C712" s="4">
        <v>1</v>
      </c>
      <c r="D712" s="4">
        <v>0</v>
      </c>
      <c r="E712" s="4">
        <v>0</v>
      </c>
      <c r="F712" s="4">
        <v>0</v>
      </c>
      <c r="G712" s="4">
        <v>10</v>
      </c>
      <c r="H712" s="4">
        <v>7.5</v>
      </c>
      <c r="I712" s="4">
        <v>0</v>
      </c>
      <c r="J712" s="4">
        <v>0</v>
      </c>
      <c r="K712" s="4">
        <v>1</v>
      </c>
      <c r="L712" s="4">
        <v>0</v>
      </c>
      <c r="M712" s="4">
        <v>0</v>
      </c>
      <c r="N712" s="4">
        <v>0</v>
      </c>
    </row>
    <row r="713" spans="1:14">
      <c r="A713" s="3">
        <v>808934</v>
      </c>
      <c r="B713" s="3">
        <v>142843</v>
      </c>
      <c r="C713" s="4">
        <v>79</v>
      </c>
      <c r="D713" s="4">
        <v>91</v>
      </c>
      <c r="E713" s="4">
        <v>60</v>
      </c>
      <c r="F713" s="4">
        <v>110.5</v>
      </c>
      <c r="G713" s="4">
        <v>93</v>
      </c>
      <c r="H713" s="4">
        <v>110</v>
      </c>
      <c r="I713" s="4">
        <v>103</v>
      </c>
      <c r="J713" s="4">
        <v>100.6</v>
      </c>
      <c r="K713" s="4">
        <v>89</v>
      </c>
      <c r="L713" s="4">
        <v>126</v>
      </c>
      <c r="M713" s="4">
        <v>205.85</v>
      </c>
      <c r="N713" s="4">
        <v>71.5</v>
      </c>
    </row>
    <row r="714" spans="1:14">
      <c r="A714" s="3">
        <v>808937</v>
      </c>
      <c r="B714" s="3">
        <v>125022</v>
      </c>
      <c r="C714" s="4">
        <v>10</v>
      </c>
      <c r="D714" s="4">
        <v>28.5</v>
      </c>
      <c r="E714" s="4">
        <v>63</v>
      </c>
      <c r="F714" s="4">
        <v>47.5</v>
      </c>
      <c r="G714" s="4">
        <v>55</v>
      </c>
      <c r="H714" s="4">
        <v>34</v>
      </c>
      <c r="I714" s="4">
        <v>69</v>
      </c>
      <c r="J714" s="4">
        <v>30.5</v>
      </c>
      <c r="K714" s="4">
        <v>37.5</v>
      </c>
      <c r="L714" s="4">
        <v>5</v>
      </c>
      <c r="M714" s="4">
        <v>2.5</v>
      </c>
      <c r="N714" s="4">
        <v>20</v>
      </c>
    </row>
    <row r="715" spans="1:14">
      <c r="A715" s="3">
        <v>808938</v>
      </c>
      <c r="B715" s="3">
        <v>178764</v>
      </c>
      <c r="C715" s="4">
        <v>62</v>
      </c>
      <c r="D715" s="4">
        <v>30</v>
      </c>
      <c r="E715" s="4">
        <v>75</v>
      </c>
      <c r="F715" s="4">
        <v>55</v>
      </c>
      <c r="G715" s="4">
        <v>30</v>
      </c>
      <c r="H715" s="4">
        <v>48</v>
      </c>
      <c r="I715" s="4">
        <v>25</v>
      </c>
      <c r="J715" s="4">
        <v>35</v>
      </c>
      <c r="K715" s="4">
        <v>30</v>
      </c>
      <c r="L715" s="4">
        <v>47</v>
      </c>
      <c r="M715" s="4">
        <v>97</v>
      </c>
      <c r="N715" s="4">
        <v>125</v>
      </c>
    </row>
    <row r="716" spans="1:14">
      <c r="A716" s="3">
        <v>808939</v>
      </c>
      <c r="B716" s="3">
        <v>119044</v>
      </c>
      <c r="C716" s="4">
        <v>0</v>
      </c>
      <c r="D716" s="4">
        <v>15</v>
      </c>
      <c r="E716" s="4">
        <v>75</v>
      </c>
      <c r="F716" s="4">
        <v>72</v>
      </c>
      <c r="G716" s="4">
        <v>37</v>
      </c>
      <c r="H716" s="4">
        <v>0</v>
      </c>
      <c r="I716" s="4">
        <v>10</v>
      </c>
      <c r="J716" s="4">
        <v>27.5</v>
      </c>
      <c r="K716" s="4">
        <v>0</v>
      </c>
      <c r="L716" s="4">
        <v>0</v>
      </c>
      <c r="M716" s="4">
        <v>0</v>
      </c>
      <c r="N716" s="4">
        <v>0</v>
      </c>
    </row>
    <row r="717" spans="1:14">
      <c r="A717" s="3">
        <v>808939</v>
      </c>
      <c r="B717" s="3">
        <v>147640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17</v>
      </c>
      <c r="L717" s="4">
        <v>90</v>
      </c>
      <c r="M717" s="4">
        <v>125</v>
      </c>
      <c r="N717" s="4">
        <v>0</v>
      </c>
    </row>
    <row r="718" spans="1:14">
      <c r="A718" s="3">
        <v>808940</v>
      </c>
      <c r="B718" s="3">
        <v>174034</v>
      </c>
      <c r="C718" s="4">
        <v>10</v>
      </c>
      <c r="D718" s="4">
        <v>0</v>
      </c>
      <c r="E718" s="4">
        <v>25</v>
      </c>
      <c r="F718" s="4">
        <v>137</v>
      </c>
      <c r="G718" s="4">
        <v>40</v>
      </c>
      <c r="H718" s="4">
        <v>58</v>
      </c>
      <c r="I718" s="4">
        <v>110</v>
      </c>
      <c r="J718" s="4">
        <v>0</v>
      </c>
      <c r="K718" s="4">
        <v>152</v>
      </c>
      <c r="L718" s="4">
        <v>195</v>
      </c>
      <c r="M718" s="4">
        <v>237</v>
      </c>
      <c r="N718" s="4">
        <v>236</v>
      </c>
    </row>
    <row r="719" spans="1:14">
      <c r="A719" s="3">
        <v>808941</v>
      </c>
      <c r="B719" s="3">
        <v>122377</v>
      </c>
      <c r="C719" s="4">
        <v>55</v>
      </c>
      <c r="D719" s="4">
        <v>110</v>
      </c>
      <c r="E719" s="4">
        <v>157</v>
      </c>
      <c r="F719" s="4">
        <v>119</v>
      </c>
      <c r="G719" s="4">
        <v>90</v>
      </c>
      <c r="H719" s="4">
        <v>50</v>
      </c>
      <c r="I719" s="4">
        <v>25</v>
      </c>
      <c r="J719" s="4">
        <v>50</v>
      </c>
      <c r="K719" s="4">
        <v>88.5</v>
      </c>
      <c r="L719" s="4">
        <v>115</v>
      </c>
      <c r="M719" s="4">
        <v>35</v>
      </c>
      <c r="N719" s="4">
        <v>32.5</v>
      </c>
    </row>
    <row r="720" spans="1:14">
      <c r="A720" s="3">
        <v>808951</v>
      </c>
      <c r="B720" s="3">
        <v>119154</v>
      </c>
      <c r="C720" s="4">
        <v>60</v>
      </c>
      <c r="D720" s="4">
        <v>65</v>
      </c>
      <c r="E720" s="4">
        <v>97</v>
      </c>
      <c r="F720" s="4">
        <v>50</v>
      </c>
      <c r="G720" s="4">
        <v>30</v>
      </c>
      <c r="H720" s="4">
        <v>65</v>
      </c>
      <c r="I720" s="4">
        <v>65</v>
      </c>
      <c r="J720" s="4">
        <v>0</v>
      </c>
      <c r="K720" s="4">
        <v>75</v>
      </c>
      <c r="L720" s="4">
        <v>98</v>
      </c>
      <c r="M720" s="4">
        <v>125</v>
      </c>
      <c r="N720" s="4">
        <v>170</v>
      </c>
    </row>
    <row r="721" spans="1:14">
      <c r="A721" s="3">
        <v>808957</v>
      </c>
      <c r="B721" s="3">
        <v>119044</v>
      </c>
      <c r="C721" s="4">
        <v>7.5</v>
      </c>
      <c r="D721" s="4">
        <v>30</v>
      </c>
      <c r="E721" s="4">
        <v>20</v>
      </c>
      <c r="F721" s="4">
        <v>3.5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</row>
    <row r="722" spans="1:14">
      <c r="A722" s="3">
        <v>808958</v>
      </c>
      <c r="B722" s="3">
        <v>173310</v>
      </c>
      <c r="C722" s="4">
        <v>20</v>
      </c>
      <c r="D722" s="4">
        <v>20</v>
      </c>
      <c r="E722" s="4">
        <v>41</v>
      </c>
      <c r="F722" s="4">
        <v>50</v>
      </c>
      <c r="G722" s="4">
        <v>30</v>
      </c>
      <c r="H722" s="4">
        <v>10</v>
      </c>
      <c r="I722" s="4">
        <v>0</v>
      </c>
      <c r="J722" s="4">
        <v>10</v>
      </c>
      <c r="K722" s="4">
        <v>30.5</v>
      </c>
      <c r="L722" s="4">
        <v>10</v>
      </c>
      <c r="M722" s="4">
        <v>26</v>
      </c>
      <c r="N722" s="4">
        <v>53.25</v>
      </c>
    </row>
    <row r="723" spans="1:14">
      <c r="A723" s="3">
        <v>808959</v>
      </c>
      <c r="B723" s="3">
        <v>178669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35</v>
      </c>
      <c r="I723" s="4">
        <v>40</v>
      </c>
      <c r="J723" s="4">
        <v>30</v>
      </c>
      <c r="K723" s="4">
        <v>57</v>
      </c>
      <c r="L723" s="4">
        <v>19</v>
      </c>
      <c r="M723" s="4">
        <v>117.5</v>
      </c>
      <c r="N723" s="4">
        <v>109.3</v>
      </c>
    </row>
    <row r="724" spans="1:14">
      <c r="A724" s="3">
        <v>808979</v>
      </c>
      <c r="B724" s="3">
        <v>149996</v>
      </c>
      <c r="C724" s="4">
        <v>10</v>
      </c>
      <c r="D724" s="4">
        <v>0</v>
      </c>
      <c r="E724" s="4">
        <v>20</v>
      </c>
      <c r="F724" s="4">
        <v>10</v>
      </c>
      <c r="G724" s="4">
        <v>17</v>
      </c>
      <c r="H724" s="4">
        <v>0</v>
      </c>
      <c r="I724" s="4">
        <v>35</v>
      </c>
      <c r="J724" s="4">
        <v>0</v>
      </c>
      <c r="K724" s="4">
        <v>10</v>
      </c>
      <c r="L724" s="4">
        <v>10</v>
      </c>
      <c r="M724" s="4">
        <v>60</v>
      </c>
      <c r="N724" s="4">
        <v>35</v>
      </c>
    </row>
    <row r="725" spans="1:14">
      <c r="A725" s="3">
        <v>808980</v>
      </c>
      <c r="B725" s="3">
        <v>175717</v>
      </c>
      <c r="C725" s="4">
        <v>10</v>
      </c>
      <c r="D725" s="4">
        <v>7</v>
      </c>
      <c r="E725" s="4">
        <v>15</v>
      </c>
      <c r="F725" s="4">
        <v>29.5</v>
      </c>
      <c r="G725" s="4">
        <v>0</v>
      </c>
      <c r="H725" s="4">
        <v>0</v>
      </c>
      <c r="I725" s="4">
        <v>19</v>
      </c>
      <c r="J725" s="4">
        <v>10</v>
      </c>
      <c r="K725" s="4">
        <v>52</v>
      </c>
      <c r="L725" s="4">
        <v>40</v>
      </c>
      <c r="M725" s="4">
        <v>38.9</v>
      </c>
      <c r="N725" s="4">
        <v>74.5</v>
      </c>
    </row>
    <row r="726" spans="1:14">
      <c r="A726" s="3">
        <v>809004</v>
      </c>
      <c r="B726" s="3">
        <v>175662</v>
      </c>
      <c r="C726" s="4">
        <v>30</v>
      </c>
      <c r="D726" s="4">
        <v>30</v>
      </c>
      <c r="E726" s="4">
        <v>71</v>
      </c>
      <c r="F726" s="4">
        <v>40</v>
      </c>
      <c r="G726" s="4">
        <v>0</v>
      </c>
      <c r="H726" s="4">
        <v>35</v>
      </c>
      <c r="I726" s="4">
        <v>0</v>
      </c>
      <c r="J726" s="4">
        <v>0</v>
      </c>
      <c r="K726" s="4">
        <v>45</v>
      </c>
      <c r="L726" s="4">
        <v>50</v>
      </c>
      <c r="M726" s="4">
        <v>105</v>
      </c>
      <c r="N726" s="4">
        <v>70</v>
      </c>
    </row>
    <row r="727" spans="1:14">
      <c r="A727" s="3">
        <v>809004</v>
      </c>
      <c r="B727" s="3">
        <v>207290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15</v>
      </c>
      <c r="L727" s="4">
        <v>0</v>
      </c>
      <c r="M727" s="4">
        <v>0</v>
      </c>
      <c r="N727" s="4">
        <v>0</v>
      </c>
    </row>
    <row r="728" spans="1:14">
      <c r="A728" s="3">
        <v>809012</v>
      </c>
      <c r="B728" s="3">
        <v>146968</v>
      </c>
      <c r="C728" s="4">
        <v>10</v>
      </c>
      <c r="D728" s="4">
        <v>8.6</v>
      </c>
      <c r="E728" s="4">
        <v>12</v>
      </c>
      <c r="F728" s="4">
        <v>18.5</v>
      </c>
      <c r="G728" s="4">
        <v>7.5</v>
      </c>
      <c r="H728" s="4">
        <v>0</v>
      </c>
      <c r="I728" s="4">
        <v>0</v>
      </c>
      <c r="J728" s="4">
        <v>0</v>
      </c>
      <c r="K728" s="4">
        <v>20</v>
      </c>
      <c r="L728" s="4">
        <v>20</v>
      </c>
      <c r="M728" s="4">
        <v>3.5</v>
      </c>
      <c r="N728" s="4">
        <v>57.5</v>
      </c>
    </row>
    <row r="729" spans="1:14">
      <c r="A729" s="3">
        <v>809016</v>
      </c>
      <c r="B729" s="3">
        <v>171887</v>
      </c>
      <c r="C729" s="4">
        <v>60</v>
      </c>
      <c r="D729" s="4">
        <v>32</v>
      </c>
      <c r="E729" s="4">
        <v>70</v>
      </c>
      <c r="F729" s="4">
        <v>6.8</v>
      </c>
      <c r="G729" s="4">
        <v>25</v>
      </c>
      <c r="H729" s="4">
        <v>22.5</v>
      </c>
      <c r="I729" s="4">
        <v>32</v>
      </c>
      <c r="J729" s="4">
        <v>0</v>
      </c>
      <c r="K729" s="4">
        <v>57</v>
      </c>
      <c r="L729" s="4">
        <v>45.5</v>
      </c>
      <c r="M729" s="4">
        <v>65</v>
      </c>
      <c r="N729" s="4">
        <v>22</v>
      </c>
    </row>
    <row r="730" spans="1:14">
      <c r="A730" s="3">
        <v>809020</v>
      </c>
      <c r="B730" s="3">
        <v>140848</v>
      </c>
      <c r="C730" s="4">
        <v>36</v>
      </c>
      <c r="D730" s="4">
        <v>41</v>
      </c>
      <c r="E730" s="4">
        <v>36.5</v>
      </c>
      <c r="F730" s="4">
        <v>52</v>
      </c>
      <c r="G730" s="4">
        <v>48.5</v>
      </c>
      <c r="H730" s="4">
        <v>46</v>
      </c>
      <c r="I730" s="4">
        <v>45</v>
      </c>
      <c r="J730" s="4">
        <v>20</v>
      </c>
      <c r="K730" s="4">
        <v>40</v>
      </c>
      <c r="L730" s="4">
        <v>32</v>
      </c>
      <c r="M730" s="4">
        <v>59</v>
      </c>
      <c r="N730" s="4">
        <v>100</v>
      </c>
    </row>
    <row r="731" spans="1:14">
      <c r="A731" s="3">
        <v>809020</v>
      </c>
      <c r="B731" s="3">
        <v>208776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7.5</v>
      </c>
      <c r="N731" s="4">
        <v>0</v>
      </c>
    </row>
    <row r="732" spans="1:14">
      <c r="A732" s="3">
        <v>809039</v>
      </c>
      <c r="B732" s="3">
        <v>172497</v>
      </c>
      <c r="C732" s="4">
        <v>0</v>
      </c>
      <c r="D732" s="4">
        <v>18</v>
      </c>
      <c r="E732" s="4">
        <v>10</v>
      </c>
      <c r="F732" s="4">
        <v>0</v>
      </c>
      <c r="G732" s="4">
        <v>10</v>
      </c>
      <c r="H732" s="4">
        <v>20</v>
      </c>
      <c r="I732" s="4">
        <v>20</v>
      </c>
      <c r="J732" s="4">
        <v>10</v>
      </c>
      <c r="K732" s="4">
        <v>20</v>
      </c>
      <c r="L732" s="4">
        <v>0</v>
      </c>
      <c r="M732" s="4">
        <v>12.5</v>
      </c>
      <c r="N732" s="4">
        <v>20</v>
      </c>
    </row>
    <row r="733" spans="1:14">
      <c r="A733" s="3">
        <v>809044</v>
      </c>
      <c r="B733" s="3">
        <v>119221</v>
      </c>
      <c r="C733" s="4">
        <v>68.5</v>
      </c>
      <c r="D733" s="4">
        <v>27.5</v>
      </c>
      <c r="E733" s="4">
        <v>110.75</v>
      </c>
      <c r="F733" s="4">
        <v>170.25</v>
      </c>
      <c r="G733" s="4">
        <v>165</v>
      </c>
      <c r="H733" s="4">
        <v>58</v>
      </c>
      <c r="I733" s="4">
        <v>164.5</v>
      </c>
      <c r="J733" s="4">
        <v>45</v>
      </c>
      <c r="K733" s="4">
        <v>98</v>
      </c>
      <c r="L733" s="4">
        <v>165.6</v>
      </c>
      <c r="M733" s="4">
        <v>136</v>
      </c>
      <c r="N733" s="4">
        <v>211.8</v>
      </c>
    </row>
    <row r="734" spans="1:14">
      <c r="A734" s="3">
        <v>809102</v>
      </c>
      <c r="B734" s="3">
        <v>171839</v>
      </c>
      <c r="C734" s="4">
        <v>15</v>
      </c>
      <c r="D734" s="4">
        <v>115</v>
      </c>
      <c r="E734" s="4">
        <v>115</v>
      </c>
      <c r="F734" s="4">
        <v>62</v>
      </c>
      <c r="G734" s="4">
        <v>59.5</v>
      </c>
      <c r="H734" s="4">
        <v>60.5</v>
      </c>
      <c r="I734" s="4">
        <v>25</v>
      </c>
      <c r="J734" s="4">
        <v>20.5</v>
      </c>
      <c r="K734" s="4">
        <v>45</v>
      </c>
      <c r="L734" s="4">
        <v>0</v>
      </c>
      <c r="M734" s="4">
        <v>80.5</v>
      </c>
      <c r="N734" s="4">
        <v>40</v>
      </c>
    </row>
    <row r="735" spans="1:14">
      <c r="A735" s="3">
        <v>809103</v>
      </c>
      <c r="B735" s="3">
        <v>171923</v>
      </c>
      <c r="C735" s="4">
        <v>6.5</v>
      </c>
      <c r="D735" s="4">
        <v>38</v>
      </c>
      <c r="E735" s="4">
        <v>20</v>
      </c>
      <c r="F735" s="4">
        <v>2.5</v>
      </c>
      <c r="G735" s="4">
        <v>11</v>
      </c>
      <c r="H735" s="4">
        <v>35</v>
      </c>
      <c r="I735" s="4">
        <v>20</v>
      </c>
      <c r="J735" s="4">
        <v>0</v>
      </c>
      <c r="K735" s="4">
        <v>74.5</v>
      </c>
      <c r="L735" s="4">
        <v>75</v>
      </c>
      <c r="M735" s="4">
        <v>21.5</v>
      </c>
      <c r="N735" s="4">
        <v>101</v>
      </c>
    </row>
    <row r="736" spans="1:14">
      <c r="A736" s="3">
        <v>809114</v>
      </c>
      <c r="B736" s="3">
        <v>205966</v>
      </c>
      <c r="C736" s="4">
        <v>5</v>
      </c>
      <c r="D736" s="4">
        <v>55</v>
      </c>
      <c r="E736" s="4">
        <v>5</v>
      </c>
      <c r="F736" s="4">
        <v>21</v>
      </c>
      <c r="G736" s="4">
        <v>15</v>
      </c>
      <c r="H736" s="4">
        <v>15</v>
      </c>
      <c r="I736" s="4">
        <v>7.5</v>
      </c>
      <c r="J736" s="4">
        <v>10</v>
      </c>
      <c r="K736" s="4">
        <v>22.5</v>
      </c>
      <c r="L736" s="4">
        <v>30</v>
      </c>
      <c r="M736" s="4">
        <v>77.5</v>
      </c>
      <c r="N736" s="4">
        <v>41</v>
      </c>
    </row>
    <row r="737" spans="1:14">
      <c r="A737" s="3">
        <v>809115</v>
      </c>
      <c r="B737" s="3">
        <v>140967</v>
      </c>
      <c r="C737" s="4">
        <v>35</v>
      </c>
      <c r="D737" s="4">
        <v>150</v>
      </c>
      <c r="E737" s="4">
        <v>37.5</v>
      </c>
      <c r="F737" s="4">
        <v>35</v>
      </c>
      <c r="G737" s="4">
        <v>70</v>
      </c>
      <c r="H737" s="4">
        <v>15</v>
      </c>
      <c r="I737" s="4">
        <v>75</v>
      </c>
      <c r="J737" s="4">
        <v>81</v>
      </c>
      <c r="K737" s="4">
        <v>86</v>
      </c>
      <c r="L737" s="4">
        <v>79</v>
      </c>
      <c r="M737" s="4">
        <v>35</v>
      </c>
      <c r="N737" s="4">
        <v>20</v>
      </c>
    </row>
    <row r="738" spans="1:14">
      <c r="A738" s="3">
        <v>809117</v>
      </c>
      <c r="B738" s="3">
        <v>177259</v>
      </c>
      <c r="C738" s="4">
        <v>10</v>
      </c>
      <c r="D738" s="4">
        <v>0</v>
      </c>
      <c r="E738" s="4">
        <v>0</v>
      </c>
      <c r="F738" s="4">
        <v>10</v>
      </c>
      <c r="G738" s="4">
        <v>0</v>
      </c>
      <c r="H738" s="4">
        <v>0</v>
      </c>
      <c r="I738" s="4">
        <v>10</v>
      </c>
      <c r="J738" s="4">
        <v>0</v>
      </c>
      <c r="K738" s="4">
        <v>10</v>
      </c>
      <c r="L738" s="4">
        <v>0</v>
      </c>
      <c r="M738" s="4">
        <v>0</v>
      </c>
      <c r="N738" s="4">
        <v>0</v>
      </c>
    </row>
    <row r="739" spans="1:14">
      <c r="A739" s="3">
        <v>809120</v>
      </c>
      <c r="B739" s="3">
        <v>208183</v>
      </c>
      <c r="C739" s="4">
        <v>0</v>
      </c>
      <c r="D739" s="4">
        <v>30</v>
      </c>
      <c r="E739" s="4">
        <v>96.1</v>
      </c>
      <c r="F739" s="4">
        <v>41.25</v>
      </c>
      <c r="G739" s="4">
        <v>70.5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</row>
    <row r="740" spans="1:14">
      <c r="A740" s="3">
        <v>809121</v>
      </c>
      <c r="B740" s="3">
        <v>141177</v>
      </c>
      <c r="C740" s="4">
        <v>0</v>
      </c>
      <c r="D740" s="4">
        <v>0</v>
      </c>
      <c r="E740" s="4">
        <v>20</v>
      </c>
      <c r="F740" s="4">
        <v>20</v>
      </c>
      <c r="G740" s="4">
        <v>10</v>
      </c>
      <c r="H740" s="4">
        <v>0</v>
      </c>
      <c r="I740" s="4">
        <v>32</v>
      </c>
      <c r="J740" s="4">
        <v>23</v>
      </c>
      <c r="K740" s="4">
        <v>33</v>
      </c>
      <c r="L740" s="4">
        <v>51</v>
      </c>
      <c r="M740" s="4">
        <v>35</v>
      </c>
      <c r="N740" s="4">
        <v>35</v>
      </c>
    </row>
    <row r="741" spans="1:14">
      <c r="A741" s="3">
        <v>809121</v>
      </c>
      <c r="B741" s="3">
        <v>170115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13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</row>
    <row r="742" spans="1:14">
      <c r="A742" s="3">
        <v>809133</v>
      </c>
      <c r="B742" s="3">
        <v>149885</v>
      </c>
      <c r="C742" s="4">
        <v>0</v>
      </c>
      <c r="D742" s="4">
        <v>19</v>
      </c>
      <c r="E742" s="4">
        <v>13</v>
      </c>
      <c r="F742" s="4">
        <v>27.5</v>
      </c>
      <c r="G742" s="4">
        <v>12.5</v>
      </c>
      <c r="H742" s="4">
        <v>27.5</v>
      </c>
      <c r="I742" s="4">
        <v>0</v>
      </c>
      <c r="J742" s="4">
        <v>21</v>
      </c>
      <c r="K742" s="4">
        <v>84</v>
      </c>
      <c r="L742" s="4">
        <v>10</v>
      </c>
      <c r="M742" s="4">
        <v>27.5</v>
      </c>
      <c r="N742" s="4">
        <v>57.5</v>
      </c>
    </row>
    <row r="743" spans="1:14">
      <c r="A743" s="3">
        <v>809142</v>
      </c>
      <c r="B743" s="3">
        <v>178764</v>
      </c>
      <c r="C743" s="4">
        <v>100</v>
      </c>
      <c r="D743" s="4">
        <v>40</v>
      </c>
      <c r="E743" s="4">
        <v>122</v>
      </c>
      <c r="F743" s="4">
        <v>156</v>
      </c>
      <c r="G743" s="4">
        <v>110</v>
      </c>
      <c r="H743" s="4">
        <v>100</v>
      </c>
      <c r="I743" s="4">
        <v>105</v>
      </c>
      <c r="J743" s="4">
        <v>65</v>
      </c>
      <c r="K743" s="4">
        <v>161</v>
      </c>
      <c r="L743" s="4">
        <v>155</v>
      </c>
      <c r="M743" s="4">
        <v>157.5</v>
      </c>
      <c r="N743" s="4">
        <v>120</v>
      </c>
    </row>
    <row r="744" spans="1:14">
      <c r="A744" s="3">
        <v>809143</v>
      </c>
      <c r="B744" s="3">
        <v>119044</v>
      </c>
      <c r="C744" s="4">
        <v>0</v>
      </c>
      <c r="D744" s="4">
        <v>30</v>
      </c>
      <c r="E744" s="4">
        <v>0</v>
      </c>
      <c r="F744" s="4">
        <v>7.5</v>
      </c>
      <c r="G744" s="4">
        <v>17</v>
      </c>
      <c r="H744" s="4">
        <v>0</v>
      </c>
      <c r="I744" s="4">
        <v>10</v>
      </c>
      <c r="J744" s="4">
        <v>15</v>
      </c>
      <c r="K744" s="4">
        <v>2.5</v>
      </c>
      <c r="L744" s="4">
        <v>0</v>
      </c>
      <c r="M744" s="4">
        <v>0</v>
      </c>
      <c r="N744" s="4">
        <v>0</v>
      </c>
    </row>
    <row r="745" spans="1:14">
      <c r="A745" s="3">
        <v>809165</v>
      </c>
      <c r="B745" s="3">
        <v>119038</v>
      </c>
      <c r="C745" s="4">
        <v>30</v>
      </c>
      <c r="D745" s="4">
        <v>40</v>
      </c>
      <c r="E745" s="4">
        <v>0</v>
      </c>
      <c r="F745" s="4">
        <v>20</v>
      </c>
      <c r="G745" s="4">
        <v>15</v>
      </c>
      <c r="H745" s="4">
        <v>15</v>
      </c>
      <c r="I745" s="4">
        <v>20</v>
      </c>
      <c r="J745" s="4">
        <v>0</v>
      </c>
      <c r="K745" s="4">
        <v>20</v>
      </c>
      <c r="L745" s="4">
        <v>14.5</v>
      </c>
      <c r="M745" s="4">
        <v>25</v>
      </c>
      <c r="N745" s="4">
        <v>0</v>
      </c>
    </row>
    <row r="746" spans="1:14">
      <c r="A746" s="3">
        <v>809168</v>
      </c>
      <c r="B746" s="3">
        <v>119038</v>
      </c>
      <c r="C746" s="4">
        <v>0</v>
      </c>
      <c r="D746" s="4">
        <v>0</v>
      </c>
      <c r="E746" s="4">
        <v>0</v>
      </c>
      <c r="F746" s="4">
        <v>0</v>
      </c>
      <c r="G746" s="4">
        <v>15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</row>
    <row r="747" spans="1:14">
      <c r="A747" s="3">
        <v>809170</v>
      </c>
      <c r="B747" s="3">
        <v>119038</v>
      </c>
      <c r="C747" s="4">
        <v>40</v>
      </c>
      <c r="D747" s="4">
        <v>0</v>
      </c>
      <c r="E747" s="4">
        <v>20</v>
      </c>
      <c r="F747" s="4">
        <v>10</v>
      </c>
      <c r="G747" s="4">
        <v>20</v>
      </c>
      <c r="H747" s="4">
        <v>20</v>
      </c>
      <c r="I747" s="4">
        <v>29</v>
      </c>
      <c r="J747" s="4">
        <v>20</v>
      </c>
      <c r="K747" s="4">
        <v>5</v>
      </c>
      <c r="L747" s="4">
        <v>10</v>
      </c>
      <c r="M747" s="4">
        <v>27</v>
      </c>
      <c r="N747" s="4">
        <v>0</v>
      </c>
    </row>
    <row r="748" spans="1:14">
      <c r="A748" s="3">
        <v>809179</v>
      </c>
      <c r="B748" s="3">
        <v>175856</v>
      </c>
      <c r="C748" s="4">
        <v>23</v>
      </c>
      <c r="D748" s="4">
        <v>41</v>
      </c>
      <c r="E748" s="4">
        <v>105</v>
      </c>
      <c r="F748" s="4">
        <v>30</v>
      </c>
      <c r="G748" s="4">
        <v>20</v>
      </c>
      <c r="H748" s="4">
        <v>61</v>
      </c>
      <c r="I748" s="4">
        <v>59.5</v>
      </c>
      <c r="J748" s="4">
        <v>21</v>
      </c>
      <c r="K748" s="4">
        <v>56</v>
      </c>
      <c r="L748" s="4">
        <v>125</v>
      </c>
      <c r="M748" s="4">
        <v>90</v>
      </c>
      <c r="N748" s="4">
        <v>55</v>
      </c>
    </row>
    <row r="749" spans="1:14">
      <c r="A749" s="3">
        <v>809180</v>
      </c>
      <c r="B749" s="3">
        <v>174299</v>
      </c>
      <c r="C749" s="4">
        <v>20</v>
      </c>
      <c r="D749" s="4">
        <v>15</v>
      </c>
      <c r="E749" s="4">
        <v>0</v>
      </c>
      <c r="F749" s="4">
        <v>0</v>
      </c>
      <c r="G749" s="4">
        <v>0</v>
      </c>
      <c r="H749" s="4">
        <v>28</v>
      </c>
      <c r="I749" s="4">
        <v>0</v>
      </c>
      <c r="J749" s="4">
        <v>0</v>
      </c>
      <c r="K749" s="4">
        <v>0</v>
      </c>
      <c r="L749" s="4">
        <v>24.5</v>
      </c>
      <c r="M749" s="4">
        <v>0</v>
      </c>
      <c r="N749" s="4">
        <v>35</v>
      </c>
    </row>
    <row r="750" spans="1:14">
      <c r="A750" s="3">
        <v>809181</v>
      </c>
      <c r="B750" s="3">
        <v>171685</v>
      </c>
      <c r="C750" s="4">
        <v>0</v>
      </c>
      <c r="D750" s="4">
        <v>0</v>
      </c>
      <c r="E750" s="4">
        <v>10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</row>
    <row r="751" spans="1:14">
      <c r="A751" s="3">
        <v>809181</v>
      </c>
      <c r="B751" s="3">
        <v>177202</v>
      </c>
      <c r="C751" s="4">
        <v>45</v>
      </c>
      <c r="D751" s="4">
        <v>40</v>
      </c>
      <c r="E751" s="4">
        <v>30</v>
      </c>
      <c r="F751" s="4">
        <v>40</v>
      </c>
      <c r="G751" s="4">
        <v>37.549999999999997</v>
      </c>
      <c r="H751" s="4">
        <v>1</v>
      </c>
      <c r="I751" s="4">
        <v>11</v>
      </c>
      <c r="J751" s="4">
        <v>10</v>
      </c>
      <c r="K751" s="4">
        <v>0</v>
      </c>
      <c r="L751" s="4">
        <v>0</v>
      </c>
      <c r="M751" s="4">
        <v>0</v>
      </c>
      <c r="N751" s="4">
        <v>0</v>
      </c>
    </row>
    <row r="752" spans="1:14">
      <c r="A752" s="3">
        <v>809182</v>
      </c>
      <c r="B752" s="3">
        <v>178511</v>
      </c>
      <c r="C752" s="4">
        <v>37</v>
      </c>
      <c r="D752" s="4">
        <v>71</v>
      </c>
      <c r="E752" s="4">
        <v>22</v>
      </c>
      <c r="F752" s="4">
        <v>34.5</v>
      </c>
      <c r="G752" s="4">
        <v>7</v>
      </c>
      <c r="H752" s="4">
        <v>17.5</v>
      </c>
      <c r="I752" s="4">
        <v>16</v>
      </c>
      <c r="J752" s="4">
        <v>36</v>
      </c>
      <c r="K752" s="4">
        <v>19</v>
      </c>
      <c r="L752" s="4">
        <v>20.5</v>
      </c>
      <c r="M752" s="4">
        <v>28.5</v>
      </c>
      <c r="N752" s="4">
        <v>15.5</v>
      </c>
    </row>
    <row r="753" spans="1:14">
      <c r="A753" s="3">
        <v>809183</v>
      </c>
      <c r="B753" s="3">
        <v>119208</v>
      </c>
      <c r="C753" s="4">
        <v>80</v>
      </c>
      <c r="D753" s="4">
        <v>35</v>
      </c>
      <c r="E753" s="4">
        <v>159.5</v>
      </c>
      <c r="F753" s="4">
        <v>70</v>
      </c>
      <c r="G753" s="4">
        <v>79</v>
      </c>
      <c r="H753" s="4">
        <v>113</v>
      </c>
      <c r="I753" s="4">
        <v>35</v>
      </c>
      <c r="J753" s="4">
        <v>115</v>
      </c>
      <c r="K753" s="4">
        <v>105</v>
      </c>
      <c r="L753" s="4">
        <v>115</v>
      </c>
      <c r="M753" s="4">
        <v>89.5</v>
      </c>
      <c r="N753" s="4">
        <v>267</v>
      </c>
    </row>
    <row r="754" spans="1:14">
      <c r="A754" s="3">
        <v>809184</v>
      </c>
      <c r="B754" s="3">
        <v>119208</v>
      </c>
      <c r="C754" s="4">
        <v>35</v>
      </c>
      <c r="D754" s="4">
        <v>0</v>
      </c>
      <c r="E754" s="4">
        <v>157.5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</row>
    <row r="755" spans="1:14">
      <c r="A755" s="3">
        <v>809191</v>
      </c>
      <c r="B755" s="3">
        <v>170132</v>
      </c>
      <c r="C755" s="4">
        <v>154</v>
      </c>
      <c r="D755" s="4">
        <v>80</v>
      </c>
      <c r="E755" s="4">
        <v>122</v>
      </c>
      <c r="F755" s="4">
        <v>72.5</v>
      </c>
      <c r="G755" s="4">
        <v>75</v>
      </c>
      <c r="H755" s="4">
        <v>0</v>
      </c>
      <c r="I755" s="4">
        <v>35</v>
      </c>
      <c r="J755" s="4">
        <v>40</v>
      </c>
      <c r="K755" s="4">
        <v>90</v>
      </c>
      <c r="L755" s="4">
        <v>65</v>
      </c>
      <c r="M755" s="4">
        <v>70</v>
      </c>
      <c r="N755" s="4">
        <v>140</v>
      </c>
    </row>
    <row r="756" spans="1:14">
      <c r="A756" s="3">
        <v>809205</v>
      </c>
      <c r="B756" s="3">
        <v>174299</v>
      </c>
      <c r="C756" s="4">
        <v>39</v>
      </c>
      <c r="D756" s="4">
        <v>22</v>
      </c>
      <c r="E756" s="4">
        <v>17</v>
      </c>
      <c r="F756" s="4">
        <v>51</v>
      </c>
      <c r="G756" s="4">
        <v>69</v>
      </c>
      <c r="H756" s="4">
        <v>35</v>
      </c>
      <c r="I756" s="4">
        <v>10</v>
      </c>
      <c r="J756" s="4">
        <v>20</v>
      </c>
      <c r="K756" s="4">
        <v>27</v>
      </c>
      <c r="L756" s="4">
        <v>22</v>
      </c>
      <c r="M756" s="4">
        <v>11</v>
      </c>
      <c r="N756" s="4">
        <v>36</v>
      </c>
    </row>
    <row r="757" spans="1:14">
      <c r="A757" s="3">
        <v>809212</v>
      </c>
      <c r="B757" s="3">
        <v>170904</v>
      </c>
      <c r="C757" s="4">
        <v>16</v>
      </c>
      <c r="D757" s="4">
        <v>30</v>
      </c>
      <c r="E757" s="4">
        <v>38</v>
      </c>
      <c r="F757" s="4">
        <v>55</v>
      </c>
      <c r="G757" s="4">
        <v>18</v>
      </c>
      <c r="H757" s="4">
        <v>48</v>
      </c>
      <c r="I757" s="4">
        <v>44</v>
      </c>
      <c r="J757" s="4">
        <v>37</v>
      </c>
      <c r="K757" s="4">
        <v>41.5</v>
      </c>
      <c r="L757" s="4">
        <v>39</v>
      </c>
      <c r="M757" s="4">
        <v>21</v>
      </c>
      <c r="N757" s="4">
        <v>39.4</v>
      </c>
    </row>
    <row r="758" spans="1:14">
      <c r="A758" s="3">
        <v>809217</v>
      </c>
      <c r="B758" s="3">
        <v>121572</v>
      </c>
      <c r="C758" s="4">
        <v>20</v>
      </c>
      <c r="D758" s="4">
        <v>15</v>
      </c>
      <c r="E758" s="4">
        <v>35</v>
      </c>
      <c r="F758" s="4">
        <v>37.5</v>
      </c>
      <c r="G758" s="4">
        <v>27.5</v>
      </c>
      <c r="H758" s="4">
        <v>37.5</v>
      </c>
      <c r="I758" s="4">
        <v>15</v>
      </c>
      <c r="J758" s="4">
        <v>20</v>
      </c>
      <c r="K758" s="4">
        <v>62.5</v>
      </c>
      <c r="L758" s="4">
        <v>80</v>
      </c>
      <c r="M758" s="4">
        <v>60</v>
      </c>
      <c r="N758" s="4">
        <v>70</v>
      </c>
    </row>
    <row r="759" spans="1:14">
      <c r="A759" s="3">
        <v>809219</v>
      </c>
      <c r="B759" s="3">
        <v>176833</v>
      </c>
      <c r="C759" s="4">
        <v>80</v>
      </c>
      <c r="D759" s="4">
        <v>40</v>
      </c>
      <c r="E759" s="4">
        <v>80</v>
      </c>
      <c r="F759" s="4">
        <v>50</v>
      </c>
      <c r="G759" s="4">
        <v>50</v>
      </c>
      <c r="H759" s="4">
        <v>16</v>
      </c>
      <c r="I759" s="4">
        <v>10</v>
      </c>
      <c r="J759" s="4">
        <v>10</v>
      </c>
      <c r="K759" s="4">
        <v>35</v>
      </c>
      <c r="L759" s="4">
        <v>30</v>
      </c>
      <c r="M759" s="4">
        <v>10</v>
      </c>
      <c r="N759" s="4">
        <v>60</v>
      </c>
    </row>
    <row r="760" spans="1:14">
      <c r="A760" s="3">
        <v>809221</v>
      </c>
      <c r="B760" s="3">
        <v>122377</v>
      </c>
      <c r="C760" s="4">
        <v>0</v>
      </c>
      <c r="D760" s="4">
        <v>10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15</v>
      </c>
      <c r="L760" s="4">
        <v>0</v>
      </c>
      <c r="M760" s="4">
        <v>0</v>
      </c>
      <c r="N760" s="4">
        <v>0</v>
      </c>
    </row>
    <row r="761" spans="1:14">
      <c r="A761" s="3">
        <v>809222</v>
      </c>
      <c r="B761" s="3">
        <v>140958</v>
      </c>
      <c r="C761" s="4">
        <v>0</v>
      </c>
      <c r="D761" s="4">
        <v>0</v>
      </c>
      <c r="E761" s="4">
        <v>21</v>
      </c>
      <c r="F761" s="4">
        <v>25</v>
      </c>
      <c r="G761" s="4">
        <v>20</v>
      </c>
      <c r="H761" s="4">
        <v>10</v>
      </c>
      <c r="I761" s="4">
        <v>20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</row>
    <row r="762" spans="1:14">
      <c r="A762" s="3">
        <v>809223</v>
      </c>
      <c r="B762" s="3">
        <v>143301</v>
      </c>
      <c r="C762" s="4">
        <v>45</v>
      </c>
      <c r="D762" s="4">
        <v>0</v>
      </c>
      <c r="E762" s="4">
        <v>2.5</v>
      </c>
      <c r="F762" s="4">
        <v>40</v>
      </c>
      <c r="G762" s="4">
        <v>10</v>
      </c>
      <c r="H762" s="4">
        <v>17.5</v>
      </c>
      <c r="I762" s="4">
        <v>7.5</v>
      </c>
      <c r="J762" s="4">
        <v>0</v>
      </c>
      <c r="K762" s="4">
        <v>0</v>
      </c>
      <c r="L762" s="4">
        <v>0</v>
      </c>
      <c r="M762" s="4">
        <v>32.5</v>
      </c>
      <c r="N762" s="4">
        <v>32.5</v>
      </c>
    </row>
    <row r="763" spans="1:14">
      <c r="A763" s="3">
        <v>809241</v>
      </c>
      <c r="B763" s="3">
        <v>140860</v>
      </c>
      <c r="C763" s="4">
        <v>20</v>
      </c>
      <c r="D763" s="4">
        <v>50</v>
      </c>
      <c r="E763" s="4">
        <v>30</v>
      </c>
      <c r="F763" s="4">
        <v>60</v>
      </c>
      <c r="G763" s="4">
        <v>52</v>
      </c>
      <c r="H763" s="4">
        <v>30</v>
      </c>
      <c r="I763" s="4">
        <v>10</v>
      </c>
      <c r="J763" s="4">
        <v>20</v>
      </c>
      <c r="K763" s="4">
        <v>37.5</v>
      </c>
      <c r="L763" s="4">
        <v>25</v>
      </c>
      <c r="M763" s="4">
        <v>40</v>
      </c>
      <c r="N763" s="4">
        <v>30</v>
      </c>
    </row>
    <row r="764" spans="1:14">
      <c r="A764" s="3">
        <v>809242</v>
      </c>
      <c r="B764" s="3">
        <v>170501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20</v>
      </c>
    </row>
    <row r="765" spans="1:14">
      <c r="A765" s="3">
        <v>809267</v>
      </c>
      <c r="B765" s="3">
        <v>177104</v>
      </c>
      <c r="C765" s="4">
        <v>62</v>
      </c>
      <c r="D765" s="4">
        <v>79</v>
      </c>
      <c r="E765" s="4">
        <v>107</v>
      </c>
      <c r="F765" s="4">
        <v>100</v>
      </c>
      <c r="G765" s="4">
        <v>120</v>
      </c>
      <c r="H765" s="4">
        <v>97.65</v>
      </c>
      <c r="I765" s="4">
        <v>125.35</v>
      </c>
      <c r="J765" s="4">
        <v>26</v>
      </c>
      <c r="K765" s="4">
        <v>138</v>
      </c>
      <c r="L765" s="4">
        <v>105</v>
      </c>
      <c r="M765" s="4">
        <v>90.9</v>
      </c>
      <c r="N765" s="4">
        <v>95</v>
      </c>
    </row>
    <row r="766" spans="1:14">
      <c r="A766" s="3">
        <v>809279</v>
      </c>
      <c r="B766" s="3">
        <v>173288</v>
      </c>
      <c r="C766" s="4">
        <v>0</v>
      </c>
      <c r="D766" s="4">
        <v>18</v>
      </c>
      <c r="E766" s="4">
        <v>10</v>
      </c>
      <c r="F766" s="4">
        <v>17.5</v>
      </c>
      <c r="G766" s="4">
        <v>6</v>
      </c>
      <c r="H766" s="4">
        <v>17.5</v>
      </c>
      <c r="I766" s="4">
        <v>12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>
      <c r="A767" s="3">
        <v>809280</v>
      </c>
      <c r="B767" s="3">
        <v>170775</v>
      </c>
      <c r="C767" s="4">
        <v>10</v>
      </c>
      <c r="D767" s="4">
        <v>23</v>
      </c>
      <c r="E767" s="4">
        <v>70</v>
      </c>
      <c r="F767" s="4">
        <v>75</v>
      </c>
      <c r="G767" s="4">
        <v>55</v>
      </c>
      <c r="H767" s="4">
        <v>0</v>
      </c>
      <c r="I767" s="4">
        <v>35</v>
      </c>
      <c r="J767" s="4">
        <v>0</v>
      </c>
      <c r="K767" s="4">
        <v>45</v>
      </c>
      <c r="L767" s="4">
        <v>45</v>
      </c>
      <c r="M767" s="4">
        <v>20</v>
      </c>
      <c r="N767" s="4">
        <v>110</v>
      </c>
    </row>
    <row r="768" spans="1:14">
      <c r="A768" s="3">
        <v>809281</v>
      </c>
      <c r="B768" s="3">
        <v>140967</v>
      </c>
      <c r="C768" s="4">
        <v>0</v>
      </c>
      <c r="D768" s="4">
        <v>0</v>
      </c>
      <c r="E768" s="4">
        <v>0</v>
      </c>
      <c r="F768" s="4">
        <v>10</v>
      </c>
      <c r="G768" s="4">
        <v>35</v>
      </c>
      <c r="H768" s="4">
        <v>0</v>
      </c>
      <c r="I768" s="4">
        <v>25.5</v>
      </c>
      <c r="J768" s="4">
        <v>64.5</v>
      </c>
      <c r="K768" s="4">
        <v>17.5</v>
      </c>
      <c r="L768" s="4">
        <v>0</v>
      </c>
      <c r="M768" s="4">
        <v>45</v>
      </c>
      <c r="N768" s="4">
        <v>0</v>
      </c>
    </row>
    <row r="769" spans="1:14">
      <c r="A769" s="3">
        <v>809282</v>
      </c>
      <c r="B769" s="3">
        <v>170775</v>
      </c>
      <c r="C769" s="4">
        <v>25</v>
      </c>
      <c r="D769" s="4">
        <v>15</v>
      </c>
      <c r="E769" s="4">
        <v>40</v>
      </c>
      <c r="F769" s="4">
        <v>25</v>
      </c>
      <c r="G769" s="4">
        <v>20</v>
      </c>
      <c r="H769" s="4">
        <v>10</v>
      </c>
      <c r="I769" s="4">
        <v>120</v>
      </c>
      <c r="J769" s="4">
        <v>55</v>
      </c>
      <c r="K769" s="4">
        <v>87</v>
      </c>
      <c r="L769" s="4">
        <v>87</v>
      </c>
      <c r="M769" s="4">
        <v>25</v>
      </c>
      <c r="N769" s="4">
        <v>60</v>
      </c>
    </row>
    <row r="770" spans="1:14">
      <c r="A770" s="3">
        <v>809283</v>
      </c>
      <c r="B770" s="3">
        <v>119038</v>
      </c>
      <c r="C770" s="4">
        <v>30</v>
      </c>
      <c r="D770" s="4">
        <v>20</v>
      </c>
      <c r="E770" s="4">
        <v>75</v>
      </c>
      <c r="F770" s="4">
        <v>112.5</v>
      </c>
      <c r="G770" s="4">
        <v>111.35</v>
      </c>
      <c r="H770" s="4">
        <v>167.65</v>
      </c>
      <c r="I770" s="4">
        <v>90</v>
      </c>
      <c r="J770" s="4">
        <v>101.5</v>
      </c>
      <c r="K770" s="4">
        <v>105</v>
      </c>
      <c r="L770" s="4">
        <v>127</v>
      </c>
      <c r="M770" s="4">
        <v>159.5</v>
      </c>
      <c r="N770" s="4">
        <v>108.5</v>
      </c>
    </row>
    <row r="771" spans="1:14">
      <c r="A771" s="3">
        <v>809284</v>
      </c>
      <c r="B771" s="3">
        <v>140958</v>
      </c>
      <c r="C771" s="4">
        <v>10</v>
      </c>
      <c r="D771" s="4">
        <v>50</v>
      </c>
      <c r="E771" s="4">
        <v>133.75</v>
      </c>
      <c r="F771" s="4">
        <v>65</v>
      </c>
      <c r="G771" s="4">
        <v>30</v>
      </c>
      <c r="H771" s="4">
        <v>60</v>
      </c>
      <c r="I771" s="4">
        <v>0</v>
      </c>
      <c r="J771" s="4">
        <v>0</v>
      </c>
      <c r="K771" s="4">
        <v>70</v>
      </c>
      <c r="L771" s="4">
        <v>60</v>
      </c>
      <c r="M771" s="4">
        <v>50</v>
      </c>
      <c r="N771" s="4">
        <v>36</v>
      </c>
    </row>
    <row r="772" spans="1:14">
      <c r="A772" s="3">
        <v>809285</v>
      </c>
      <c r="B772" s="3">
        <v>140967</v>
      </c>
      <c r="C772" s="4">
        <v>35</v>
      </c>
      <c r="D772" s="4">
        <v>45</v>
      </c>
      <c r="E772" s="4">
        <v>135</v>
      </c>
      <c r="F772" s="4">
        <v>35</v>
      </c>
      <c r="G772" s="4">
        <v>100</v>
      </c>
      <c r="H772" s="4">
        <v>20</v>
      </c>
      <c r="I772" s="4">
        <v>20</v>
      </c>
      <c r="J772" s="4">
        <v>65</v>
      </c>
      <c r="K772" s="4">
        <v>41.5</v>
      </c>
      <c r="L772" s="4">
        <v>8.5</v>
      </c>
      <c r="M772" s="4">
        <v>100</v>
      </c>
      <c r="N772" s="4">
        <v>0</v>
      </c>
    </row>
    <row r="773" spans="1:14">
      <c r="A773" s="3">
        <v>809295</v>
      </c>
      <c r="B773" s="3">
        <v>171578</v>
      </c>
      <c r="C773" s="4">
        <v>60</v>
      </c>
      <c r="D773" s="4">
        <v>125</v>
      </c>
      <c r="E773" s="4">
        <v>185</v>
      </c>
      <c r="F773" s="4">
        <v>177</v>
      </c>
      <c r="G773" s="4">
        <v>122</v>
      </c>
      <c r="H773" s="4">
        <v>101</v>
      </c>
      <c r="I773" s="4">
        <v>152</v>
      </c>
      <c r="J773" s="4">
        <v>78.5</v>
      </c>
      <c r="K773" s="4">
        <v>217</v>
      </c>
      <c r="L773" s="4">
        <v>123.5</v>
      </c>
      <c r="M773" s="4">
        <v>249</v>
      </c>
      <c r="N773" s="4">
        <v>99.75</v>
      </c>
    </row>
    <row r="774" spans="1:14">
      <c r="A774" s="3">
        <v>809312</v>
      </c>
      <c r="B774" s="3">
        <v>173729</v>
      </c>
      <c r="C774" s="4">
        <v>0</v>
      </c>
      <c r="D774" s="4">
        <v>0</v>
      </c>
      <c r="E774" s="4">
        <v>32.5</v>
      </c>
      <c r="F774" s="4">
        <v>22</v>
      </c>
      <c r="G774" s="4">
        <v>10</v>
      </c>
      <c r="H774" s="4">
        <v>0</v>
      </c>
      <c r="I774" s="4">
        <v>5</v>
      </c>
      <c r="J774" s="4">
        <v>7.55</v>
      </c>
      <c r="K774" s="4">
        <v>22.5</v>
      </c>
      <c r="L774" s="4">
        <v>10</v>
      </c>
      <c r="M774" s="4">
        <v>0</v>
      </c>
      <c r="N774" s="4">
        <v>10</v>
      </c>
    </row>
    <row r="775" spans="1:14">
      <c r="A775" s="3">
        <v>809315</v>
      </c>
      <c r="B775" s="3">
        <v>205370</v>
      </c>
      <c r="C775" s="4">
        <v>71.5</v>
      </c>
      <c r="D775" s="4">
        <v>68</v>
      </c>
      <c r="E775" s="4">
        <v>7.5</v>
      </c>
      <c r="F775" s="4">
        <v>50</v>
      </c>
      <c r="G775" s="4">
        <v>62</v>
      </c>
      <c r="H775" s="4">
        <v>30</v>
      </c>
      <c r="I775" s="4">
        <v>5</v>
      </c>
      <c r="J775" s="4">
        <v>10</v>
      </c>
      <c r="K775" s="4">
        <v>10</v>
      </c>
      <c r="L775" s="4">
        <v>30</v>
      </c>
      <c r="M775" s="4">
        <v>41</v>
      </c>
      <c r="N775" s="4">
        <v>20</v>
      </c>
    </row>
    <row r="776" spans="1:14">
      <c r="A776" s="3">
        <v>809325</v>
      </c>
      <c r="B776" s="3">
        <v>205370</v>
      </c>
      <c r="C776" s="4">
        <v>35.5</v>
      </c>
      <c r="D776" s="4">
        <v>34</v>
      </c>
      <c r="E776" s="4">
        <v>10</v>
      </c>
      <c r="F776" s="4">
        <v>43</v>
      </c>
      <c r="G776" s="4">
        <v>20</v>
      </c>
      <c r="H776" s="4">
        <v>10</v>
      </c>
      <c r="I776" s="4">
        <v>5</v>
      </c>
      <c r="J776" s="4">
        <v>0</v>
      </c>
      <c r="K776" s="4">
        <v>11</v>
      </c>
      <c r="L776" s="4">
        <v>10</v>
      </c>
      <c r="M776" s="4">
        <v>10</v>
      </c>
      <c r="N776" s="4">
        <v>0</v>
      </c>
    </row>
    <row r="777" spans="1:14">
      <c r="A777" s="3">
        <v>809326</v>
      </c>
      <c r="B777" s="3">
        <v>170392</v>
      </c>
      <c r="C777" s="4">
        <v>30</v>
      </c>
      <c r="D777" s="4">
        <v>22.5</v>
      </c>
      <c r="E777" s="4">
        <v>57.5</v>
      </c>
      <c r="F777" s="4">
        <v>40</v>
      </c>
      <c r="G777" s="4">
        <v>41</v>
      </c>
      <c r="H777" s="4">
        <v>0</v>
      </c>
      <c r="I777" s="4">
        <v>10</v>
      </c>
      <c r="J777" s="4">
        <v>2</v>
      </c>
      <c r="K777" s="4">
        <v>49</v>
      </c>
      <c r="L777" s="4">
        <v>40</v>
      </c>
      <c r="M777" s="4">
        <v>62</v>
      </c>
      <c r="N777" s="4">
        <v>52</v>
      </c>
    </row>
    <row r="778" spans="1:14">
      <c r="A778" s="3">
        <v>809327</v>
      </c>
      <c r="B778" s="3">
        <v>172648</v>
      </c>
      <c r="C778" s="4">
        <v>46.5</v>
      </c>
      <c r="D778" s="4">
        <v>50</v>
      </c>
      <c r="E778" s="4">
        <v>74</v>
      </c>
      <c r="F778" s="4">
        <v>45</v>
      </c>
      <c r="G778" s="4">
        <v>70</v>
      </c>
      <c r="H778" s="4">
        <v>17</v>
      </c>
      <c r="I778" s="4">
        <v>28.5</v>
      </c>
      <c r="J778" s="4">
        <v>10</v>
      </c>
      <c r="K778" s="4">
        <v>117.5</v>
      </c>
      <c r="L778" s="4">
        <v>124.75</v>
      </c>
      <c r="M778" s="4">
        <v>128.5</v>
      </c>
      <c r="N778" s="4">
        <v>101.25</v>
      </c>
    </row>
    <row r="779" spans="1:14">
      <c r="A779" s="3">
        <v>809330</v>
      </c>
      <c r="B779" s="3">
        <v>176647</v>
      </c>
      <c r="C779" s="4">
        <v>2</v>
      </c>
      <c r="D779" s="4">
        <v>25.5</v>
      </c>
      <c r="E779" s="4">
        <v>164</v>
      </c>
      <c r="F779" s="4">
        <v>168.5</v>
      </c>
      <c r="G779" s="4">
        <v>142.9</v>
      </c>
      <c r="H779" s="4">
        <v>122.85</v>
      </c>
      <c r="I779" s="4">
        <v>87.5</v>
      </c>
      <c r="J779" s="4">
        <v>154</v>
      </c>
      <c r="K779" s="4">
        <v>202</v>
      </c>
      <c r="L779" s="4">
        <v>200.5</v>
      </c>
      <c r="M779" s="4">
        <v>207.25</v>
      </c>
      <c r="N779" s="4">
        <v>184</v>
      </c>
    </row>
    <row r="780" spans="1:14">
      <c r="A780" s="3">
        <v>809332</v>
      </c>
      <c r="B780" s="3">
        <v>177093</v>
      </c>
      <c r="C780" s="4">
        <v>84.75</v>
      </c>
      <c r="D780" s="4">
        <v>20.25</v>
      </c>
      <c r="E780" s="4">
        <v>30</v>
      </c>
      <c r="F780" s="4">
        <v>60</v>
      </c>
      <c r="G780" s="4">
        <v>90.5</v>
      </c>
      <c r="H780" s="4">
        <v>68.75</v>
      </c>
      <c r="I780" s="4">
        <v>28</v>
      </c>
      <c r="J780" s="4">
        <v>46</v>
      </c>
      <c r="K780" s="4">
        <v>21.5</v>
      </c>
      <c r="L780" s="4">
        <v>32.5</v>
      </c>
      <c r="M780" s="4">
        <v>44.5</v>
      </c>
      <c r="N780" s="4">
        <v>108.75</v>
      </c>
    </row>
    <row r="781" spans="1:14">
      <c r="A781" s="3">
        <v>809333</v>
      </c>
      <c r="B781" s="3">
        <v>172640</v>
      </c>
      <c r="C781" s="4">
        <v>55</v>
      </c>
      <c r="D781" s="4">
        <v>123</v>
      </c>
      <c r="E781" s="4">
        <v>55</v>
      </c>
      <c r="F781" s="4">
        <v>301.5</v>
      </c>
      <c r="G781" s="4">
        <v>93.5</v>
      </c>
      <c r="H781" s="4">
        <v>177.5</v>
      </c>
      <c r="I781" s="4">
        <v>90</v>
      </c>
      <c r="J781" s="4">
        <v>48</v>
      </c>
      <c r="K781" s="4">
        <v>100</v>
      </c>
      <c r="L781" s="4">
        <v>45.75</v>
      </c>
      <c r="M781" s="4">
        <v>112.5</v>
      </c>
      <c r="N781" s="4">
        <v>0</v>
      </c>
    </row>
    <row r="782" spans="1:14">
      <c r="A782" s="3">
        <v>809334</v>
      </c>
      <c r="B782" s="3">
        <v>170392</v>
      </c>
      <c r="C782" s="4">
        <v>10</v>
      </c>
      <c r="D782" s="4">
        <v>60</v>
      </c>
      <c r="E782" s="4">
        <v>50</v>
      </c>
      <c r="F782" s="4">
        <v>40</v>
      </c>
      <c r="G782" s="4">
        <v>0</v>
      </c>
      <c r="H782" s="4">
        <v>0</v>
      </c>
      <c r="I782" s="4">
        <v>20</v>
      </c>
      <c r="J782" s="4">
        <v>0</v>
      </c>
      <c r="K782" s="4">
        <v>10</v>
      </c>
      <c r="L782" s="4">
        <v>0</v>
      </c>
      <c r="M782" s="4">
        <v>0</v>
      </c>
      <c r="N782" s="4">
        <v>0</v>
      </c>
    </row>
    <row r="783" spans="1:14">
      <c r="A783" s="3">
        <v>809338</v>
      </c>
      <c r="B783" s="3">
        <v>119117</v>
      </c>
      <c r="C783" s="4">
        <v>65</v>
      </c>
      <c r="D783" s="4">
        <v>60</v>
      </c>
      <c r="E783" s="4">
        <v>135</v>
      </c>
      <c r="F783" s="4">
        <v>110</v>
      </c>
      <c r="G783" s="4">
        <v>140</v>
      </c>
      <c r="H783" s="4">
        <v>57.5</v>
      </c>
      <c r="I783" s="4">
        <v>60</v>
      </c>
      <c r="J783" s="4">
        <v>28.5</v>
      </c>
      <c r="K783" s="4">
        <v>90</v>
      </c>
      <c r="L783" s="4">
        <v>50</v>
      </c>
      <c r="M783" s="4">
        <v>0</v>
      </c>
      <c r="N783" s="4">
        <v>112</v>
      </c>
    </row>
    <row r="784" spans="1:14">
      <c r="A784" s="3">
        <v>809348</v>
      </c>
      <c r="B784" s="3">
        <v>173729</v>
      </c>
      <c r="C784" s="4">
        <v>20.5</v>
      </c>
      <c r="D784" s="4">
        <v>55</v>
      </c>
      <c r="E784" s="4">
        <v>63.5</v>
      </c>
      <c r="F784" s="4">
        <v>49</v>
      </c>
      <c r="G784" s="4">
        <v>25</v>
      </c>
      <c r="H784" s="4">
        <v>21.5</v>
      </c>
      <c r="I784" s="4">
        <v>5</v>
      </c>
      <c r="J784" s="4">
        <v>0</v>
      </c>
      <c r="K784" s="4">
        <v>27.5</v>
      </c>
      <c r="L784" s="4">
        <v>40</v>
      </c>
      <c r="M784" s="4">
        <v>0</v>
      </c>
      <c r="N784" s="4">
        <v>12.5</v>
      </c>
    </row>
    <row r="785" spans="1:14">
      <c r="A785" s="3">
        <v>809350</v>
      </c>
      <c r="B785" s="3">
        <v>172338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10</v>
      </c>
      <c r="J785" s="4">
        <v>0</v>
      </c>
      <c r="K785" s="4">
        <v>0</v>
      </c>
      <c r="L785" s="4">
        <v>6</v>
      </c>
      <c r="M785" s="4">
        <v>10</v>
      </c>
      <c r="N785" s="4">
        <v>0</v>
      </c>
    </row>
    <row r="786" spans="1:14">
      <c r="A786" s="3">
        <v>809354</v>
      </c>
      <c r="B786" s="3">
        <v>174034</v>
      </c>
      <c r="C786" s="4">
        <v>0</v>
      </c>
      <c r="D786" s="4">
        <v>10</v>
      </c>
      <c r="E786" s="4">
        <v>0</v>
      </c>
      <c r="F786" s="4">
        <v>0</v>
      </c>
      <c r="G786" s="4">
        <v>83</v>
      </c>
      <c r="H786" s="4">
        <v>80</v>
      </c>
      <c r="I786" s="4">
        <v>15</v>
      </c>
      <c r="J786" s="4">
        <v>0</v>
      </c>
      <c r="K786" s="4">
        <v>77</v>
      </c>
      <c r="L786" s="4">
        <v>35</v>
      </c>
      <c r="M786" s="4">
        <v>40</v>
      </c>
      <c r="N786" s="4">
        <v>60</v>
      </c>
    </row>
    <row r="787" spans="1:14">
      <c r="A787" s="3">
        <v>809361</v>
      </c>
      <c r="B787" s="3">
        <v>177016</v>
      </c>
      <c r="C787" s="4">
        <v>62</v>
      </c>
      <c r="D787" s="4">
        <v>50</v>
      </c>
      <c r="E787" s="4">
        <v>40</v>
      </c>
      <c r="F787" s="4">
        <v>35.5</v>
      </c>
      <c r="G787" s="4">
        <v>30.5</v>
      </c>
      <c r="H787" s="4">
        <v>35</v>
      </c>
      <c r="I787" s="4">
        <v>30</v>
      </c>
      <c r="J787" s="4">
        <v>9</v>
      </c>
      <c r="K787" s="4">
        <v>55</v>
      </c>
      <c r="L787" s="4">
        <v>15</v>
      </c>
      <c r="M787" s="4">
        <v>52.5</v>
      </c>
      <c r="N787" s="4">
        <v>105</v>
      </c>
    </row>
    <row r="788" spans="1:14">
      <c r="A788" s="3">
        <v>809368</v>
      </c>
      <c r="B788" s="3">
        <v>144447</v>
      </c>
      <c r="C788" s="4">
        <v>25</v>
      </c>
      <c r="D788" s="4">
        <v>25</v>
      </c>
      <c r="E788" s="4">
        <v>45</v>
      </c>
      <c r="F788" s="4">
        <v>59.5</v>
      </c>
      <c r="G788" s="4">
        <v>62.5</v>
      </c>
      <c r="H788" s="4">
        <v>37.5</v>
      </c>
      <c r="I788" s="4">
        <v>54</v>
      </c>
      <c r="J788" s="4">
        <v>50</v>
      </c>
      <c r="K788" s="4">
        <v>55</v>
      </c>
      <c r="L788" s="4">
        <v>60</v>
      </c>
      <c r="M788" s="4">
        <v>98.5</v>
      </c>
      <c r="N788" s="4">
        <v>55</v>
      </c>
    </row>
    <row r="789" spans="1:14">
      <c r="A789" s="3">
        <v>809411</v>
      </c>
      <c r="B789" s="3">
        <v>149885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7.5</v>
      </c>
      <c r="K789" s="4">
        <v>0</v>
      </c>
      <c r="L789" s="4">
        <v>0</v>
      </c>
      <c r="M789" s="4">
        <v>0</v>
      </c>
      <c r="N789" s="4">
        <v>0</v>
      </c>
    </row>
    <row r="790" spans="1:14">
      <c r="A790" s="3">
        <v>809411</v>
      </c>
      <c r="B790" s="3">
        <v>170617</v>
      </c>
      <c r="C790" s="4">
        <v>0</v>
      </c>
      <c r="D790" s="4">
        <v>50</v>
      </c>
      <c r="E790" s="4">
        <v>44.5</v>
      </c>
      <c r="F790" s="4">
        <v>78.5</v>
      </c>
      <c r="G790" s="4">
        <v>70.5</v>
      </c>
      <c r="H790" s="4">
        <v>101.45</v>
      </c>
      <c r="I790" s="4">
        <v>95.5</v>
      </c>
      <c r="J790" s="4">
        <v>17.5</v>
      </c>
      <c r="K790" s="4">
        <v>61.5</v>
      </c>
      <c r="L790" s="4">
        <v>27.5</v>
      </c>
      <c r="M790" s="4">
        <v>27</v>
      </c>
      <c r="N790" s="4">
        <v>70.5</v>
      </c>
    </row>
    <row r="791" spans="1:14">
      <c r="A791" s="3">
        <v>809413</v>
      </c>
      <c r="B791" s="3">
        <v>119042</v>
      </c>
      <c r="C791" s="4">
        <v>20</v>
      </c>
      <c r="D791" s="4">
        <v>20</v>
      </c>
      <c r="E791" s="4">
        <v>15</v>
      </c>
      <c r="F791" s="4">
        <v>40</v>
      </c>
      <c r="G791" s="4">
        <v>23</v>
      </c>
      <c r="H791" s="4">
        <v>21</v>
      </c>
      <c r="I791" s="4">
        <v>10</v>
      </c>
      <c r="J791" s="4">
        <v>25</v>
      </c>
      <c r="K791" s="4">
        <v>20</v>
      </c>
      <c r="L791" s="4">
        <v>12.5</v>
      </c>
      <c r="M791" s="4">
        <v>30</v>
      </c>
      <c r="N791" s="4">
        <v>30</v>
      </c>
    </row>
    <row r="792" spans="1:14">
      <c r="A792" s="3">
        <v>809418</v>
      </c>
      <c r="B792" s="3">
        <v>144747</v>
      </c>
      <c r="C792" s="4">
        <v>0</v>
      </c>
      <c r="D792" s="4">
        <v>0</v>
      </c>
      <c r="E792" s="4">
        <v>35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>
      <c r="A793" s="3">
        <v>809420</v>
      </c>
      <c r="B793" s="3">
        <v>174756</v>
      </c>
      <c r="C793" s="4">
        <v>0</v>
      </c>
      <c r="D793" s="4">
        <v>15</v>
      </c>
      <c r="E793" s="4">
        <v>38</v>
      </c>
      <c r="F793" s="4">
        <v>45</v>
      </c>
      <c r="G793" s="4">
        <v>15</v>
      </c>
      <c r="H793" s="4">
        <v>17.5</v>
      </c>
      <c r="I793" s="4">
        <v>22</v>
      </c>
      <c r="J793" s="4">
        <v>25</v>
      </c>
      <c r="K793" s="4">
        <v>12.5</v>
      </c>
      <c r="L793" s="4">
        <v>10</v>
      </c>
      <c r="M793" s="4">
        <v>30</v>
      </c>
      <c r="N793" s="4">
        <v>0</v>
      </c>
    </row>
    <row r="794" spans="1:14">
      <c r="A794" s="3">
        <v>809421</v>
      </c>
      <c r="B794" s="3">
        <v>170904</v>
      </c>
      <c r="C794" s="4">
        <v>16</v>
      </c>
      <c r="D794" s="4">
        <v>12</v>
      </c>
      <c r="E794" s="4">
        <v>20</v>
      </c>
      <c r="F794" s="4">
        <v>36</v>
      </c>
      <c r="G794" s="4">
        <v>20</v>
      </c>
      <c r="H794" s="4">
        <v>32</v>
      </c>
      <c r="I794" s="4">
        <v>12</v>
      </c>
      <c r="J794" s="4">
        <v>6</v>
      </c>
      <c r="K794" s="4">
        <v>20</v>
      </c>
      <c r="L794" s="4">
        <v>25</v>
      </c>
      <c r="M794" s="4">
        <v>10</v>
      </c>
      <c r="N794" s="4">
        <v>25</v>
      </c>
    </row>
    <row r="795" spans="1:14">
      <c r="A795" s="3">
        <v>809422</v>
      </c>
      <c r="B795" s="3">
        <v>177259</v>
      </c>
      <c r="C795" s="4">
        <v>0</v>
      </c>
      <c r="D795" s="4">
        <v>0</v>
      </c>
      <c r="E795" s="4">
        <v>0</v>
      </c>
      <c r="F795" s="4">
        <v>10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>
      <c r="A796" s="3">
        <v>809423</v>
      </c>
      <c r="B796" s="3">
        <v>142269</v>
      </c>
      <c r="C796" s="4">
        <v>20</v>
      </c>
      <c r="D796" s="4">
        <v>35</v>
      </c>
      <c r="E796" s="4">
        <v>0</v>
      </c>
      <c r="F796" s="4">
        <v>0</v>
      </c>
      <c r="G796" s="4">
        <v>70</v>
      </c>
      <c r="H796" s="4">
        <v>0</v>
      </c>
      <c r="I796" s="4">
        <v>35</v>
      </c>
      <c r="J796" s="4">
        <v>35</v>
      </c>
      <c r="K796" s="4">
        <v>95</v>
      </c>
      <c r="L796" s="4">
        <v>35</v>
      </c>
      <c r="M796" s="4">
        <v>0</v>
      </c>
      <c r="N796" s="4">
        <v>0</v>
      </c>
    </row>
    <row r="797" spans="1:14">
      <c r="A797" s="3">
        <v>809424</v>
      </c>
      <c r="B797" s="3">
        <v>177202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1.5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</row>
    <row r="798" spans="1:14">
      <c r="A798" s="3">
        <v>809426</v>
      </c>
      <c r="B798" s="3">
        <v>171839</v>
      </c>
      <c r="C798" s="4">
        <v>0</v>
      </c>
      <c r="D798" s="4">
        <v>40</v>
      </c>
      <c r="E798" s="4">
        <v>19.5</v>
      </c>
      <c r="F798" s="4">
        <v>32.5</v>
      </c>
      <c r="G798" s="4">
        <v>4.5</v>
      </c>
      <c r="H798" s="4">
        <v>30</v>
      </c>
      <c r="I798" s="4">
        <v>30</v>
      </c>
      <c r="J798" s="4">
        <v>15</v>
      </c>
      <c r="K798" s="4">
        <v>7.5</v>
      </c>
      <c r="L798" s="4">
        <v>20</v>
      </c>
      <c r="M798" s="4">
        <v>8.5</v>
      </c>
      <c r="N798" s="4">
        <v>0</v>
      </c>
    </row>
    <row r="799" spans="1:14">
      <c r="A799" s="3">
        <v>809438</v>
      </c>
      <c r="B799" s="3">
        <v>177016</v>
      </c>
      <c r="C799" s="4">
        <v>20</v>
      </c>
      <c r="D799" s="4">
        <v>20</v>
      </c>
      <c r="E799" s="4">
        <v>20</v>
      </c>
      <c r="F799" s="4">
        <v>20</v>
      </c>
      <c r="G799" s="4">
        <v>8</v>
      </c>
      <c r="H799" s="4">
        <v>20</v>
      </c>
      <c r="I799" s="4">
        <v>33</v>
      </c>
      <c r="J799" s="4">
        <v>15</v>
      </c>
      <c r="K799" s="4">
        <v>10</v>
      </c>
      <c r="L799" s="4">
        <v>0</v>
      </c>
      <c r="M799" s="4">
        <v>35</v>
      </c>
      <c r="N799" s="4">
        <v>30</v>
      </c>
    </row>
    <row r="800" spans="1:14">
      <c r="A800" s="3">
        <v>809439</v>
      </c>
      <c r="B800" s="3">
        <v>208183</v>
      </c>
      <c r="C800" s="4">
        <v>0</v>
      </c>
      <c r="D800" s="4">
        <v>0</v>
      </c>
      <c r="E800" s="4">
        <v>45</v>
      </c>
      <c r="F800" s="4">
        <v>28.75</v>
      </c>
      <c r="G800" s="4">
        <v>30</v>
      </c>
      <c r="H800" s="4">
        <v>0</v>
      </c>
      <c r="I800" s="4">
        <v>0</v>
      </c>
      <c r="J800" s="4">
        <v>0</v>
      </c>
      <c r="K800" s="4">
        <v>0</v>
      </c>
      <c r="L800" s="4">
        <v>4.5</v>
      </c>
      <c r="M800" s="4">
        <v>0</v>
      </c>
      <c r="N800" s="4">
        <v>0</v>
      </c>
    </row>
    <row r="801" spans="1:14">
      <c r="A801" s="3">
        <v>809455</v>
      </c>
      <c r="B801" s="3">
        <v>146968</v>
      </c>
      <c r="C801" s="4">
        <v>20</v>
      </c>
      <c r="D801" s="4">
        <v>47.5</v>
      </c>
      <c r="E801" s="4">
        <v>50</v>
      </c>
      <c r="F801" s="4">
        <v>32.5</v>
      </c>
      <c r="G801" s="4">
        <v>22.5</v>
      </c>
      <c r="H801" s="4">
        <v>22.5</v>
      </c>
      <c r="I801" s="4">
        <v>62</v>
      </c>
      <c r="J801" s="4">
        <v>30</v>
      </c>
      <c r="K801" s="4">
        <v>37.5</v>
      </c>
      <c r="L801" s="4">
        <v>20</v>
      </c>
      <c r="M801" s="4">
        <v>22.5</v>
      </c>
      <c r="N801" s="4">
        <v>20</v>
      </c>
    </row>
    <row r="802" spans="1:14">
      <c r="A802" s="3">
        <v>809457</v>
      </c>
      <c r="B802" s="3">
        <v>122377</v>
      </c>
      <c r="C802" s="4">
        <v>40</v>
      </c>
      <c r="D802" s="4">
        <v>45</v>
      </c>
      <c r="E802" s="4">
        <v>52</v>
      </c>
      <c r="F802" s="4">
        <v>20</v>
      </c>
      <c r="G802" s="4">
        <v>37.5</v>
      </c>
      <c r="H802" s="4">
        <v>20</v>
      </c>
      <c r="I802" s="4">
        <v>10</v>
      </c>
      <c r="J802" s="4">
        <v>15</v>
      </c>
      <c r="K802" s="4">
        <v>57.5</v>
      </c>
      <c r="L802" s="4">
        <v>82.5</v>
      </c>
      <c r="M802" s="4">
        <v>50</v>
      </c>
      <c r="N802" s="4">
        <v>75</v>
      </c>
    </row>
    <row r="803" spans="1:14">
      <c r="A803" s="3">
        <v>809459</v>
      </c>
      <c r="B803" s="3">
        <v>119117</v>
      </c>
      <c r="C803" s="4">
        <v>15</v>
      </c>
      <c r="D803" s="4">
        <v>0</v>
      </c>
      <c r="E803" s="4">
        <v>15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>
      <c r="A804" s="3">
        <v>809466</v>
      </c>
      <c r="B804" s="3">
        <v>119046</v>
      </c>
      <c r="C804" s="4">
        <v>85</v>
      </c>
      <c r="D804" s="4">
        <v>104.5</v>
      </c>
      <c r="E804" s="4">
        <v>90</v>
      </c>
      <c r="F804" s="4">
        <v>40</v>
      </c>
      <c r="G804" s="4">
        <v>25</v>
      </c>
      <c r="H804" s="4">
        <v>45</v>
      </c>
      <c r="I804" s="4">
        <v>14</v>
      </c>
      <c r="J804" s="4">
        <v>10</v>
      </c>
      <c r="K804" s="4">
        <v>30</v>
      </c>
      <c r="L804" s="4">
        <v>10</v>
      </c>
      <c r="M804" s="4">
        <v>60</v>
      </c>
      <c r="N804" s="4">
        <v>0</v>
      </c>
    </row>
    <row r="805" spans="1:14">
      <c r="A805" s="3">
        <v>809467</v>
      </c>
      <c r="B805" s="3">
        <v>175288</v>
      </c>
      <c r="C805" s="4">
        <v>30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15</v>
      </c>
      <c r="J805" s="4">
        <v>45</v>
      </c>
      <c r="K805" s="4">
        <v>115</v>
      </c>
      <c r="L805" s="4">
        <v>50</v>
      </c>
      <c r="M805" s="4">
        <v>40</v>
      </c>
      <c r="N805" s="4">
        <v>105</v>
      </c>
    </row>
    <row r="806" spans="1:14">
      <c r="A806" s="3">
        <v>809471</v>
      </c>
      <c r="B806" s="3">
        <v>119029</v>
      </c>
      <c r="C806" s="4">
        <v>25</v>
      </c>
      <c r="D806" s="4">
        <v>0</v>
      </c>
      <c r="E806" s="4">
        <v>0</v>
      </c>
      <c r="F806" s="4">
        <v>0</v>
      </c>
      <c r="G806" s="4">
        <v>25</v>
      </c>
      <c r="H806" s="4">
        <v>19.5</v>
      </c>
      <c r="I806" s="4">
        <v>20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</row>
    <row r="807" spans="1:14">
      <c r="A807" s="3">
        <v>809476</v>
      </c>
      <c r="B807" s="3">
        <v>119029</v>
      </c>
      <c r="C807" s="4">
        <v>57.5</v>
      </c>
      <c r="D807" s="4">
        <v>15</v>
      </c>
      <c r="E807" s="4">
        <v>53.5</v>
      </c>
      <c r="F807" s="4">
        <v>80</v>
      </c>
      <c r="G807" s="4">
        <v>0</v>
      </c>
      <c r="H807" s="4">
        <v>25</v>
      </c>
      <c r="I807" s="4">
        <v>20</v>
      </c>
      <c r="J807" s="4">
        <v>0</v>
      </c>
      <c r="K807" s="4">
        <v>40</v>
      </c>
      <c r="L807" s="4">
        <v>0</v>
      </c>
      <c r="M807" s="4">
        <v>0</v>
      </c>
      <c r="N807" s="4">
        <v>0</v>
      </c>
    </row>
    <row r="808" spans="1:14">
      <c r="A808" s="3">
        <v>809479</v>
      </c>
      <c r="B808" s="3">
        <v>176303</v>
      </c>
      <c r="C808" s="4">
        <v>17.5</v>
      </c>
      <c r="D808" s="4">
        <v>25.5</v>
      </c>
      <c r="E808" s="4">
        <v>43.75</v>
      </c>
      <c r="F808" s="4">
        <v>53.5</v>
      </c>
      <c r="G808" s="4">
        <v>47.5</v>
      </c>
      <c r="H808" s="4">
        <v>30</v>
      </c>
      <c r="I808" s="4">
        <v>31.25</v>
      </c>
      <c r="J808" s="4">
        <v>15</v>
      </c>
      <c r="K808" s="4">
        <v>36</v>
      </c>
      <c r="L808" s="4">
        <v>22.5</v>
      </c>
      <c r="M808" s="4">
        <v>45</v>
      </c>
      <c r="N808" s="4">
        <v>45.75</v>
      </c>
    </row>
    <row r="809" spans="1:14">
      <c r="A809" s="3">
        <v>809506</v>
      </c>
      <c r="B809" s="3">
        <v>149885</v>
      </c>
      <c r="C809" s="4">
        <v>15</v>
      </c>
      <c r="D809" s="4">
        <v>36.25</v>
      </c>
      <c r="E809" s="4">
        <v>61.5</v>
      </c>
      <c r="F809" s="4">
        <v>93</v>
      </c>
      <c r="G809" s="4">
        <v>41.5</v>
      </c>
      <c r="H809" s="4">
        <v>55</v>
      </c>
      <c r="I809" s="4">
        <v>97.65</v>
      </c>
      <c r="J809" s="4">
        <v>40</v>
      </c>
      <c r="K809" s="4">
        <v>70</v>
      </c>
      <c r="L809" s="4">
        <v>108.8</v>
      </c>
      <c r="M809" s="4">
        <v>95</v>
      </c>
      <c r="N809" s="4">
        <v>233</v>
      </c>
    </row>
    <row r="810" spans="1:14">
      <c r="A810" s="3">
        <v>809507</v>
      </c>
      <c r="B810" s="3">
        <v>172712</v>
      </c>
      <c r="C810" s="4">
        <v>40</v>
      </c>
      <c r="D810" s="4">
        <v>35</v>
      </c>
      <c r="E810" s="4">
        <v>56</v>
      </c>
      <c r="F810" s="4">
        <v>30.5</v>
      </c>
      <c r="G810" s="4">
        <v>42.5</v>
      </c>
      <c r="H810" s="4">
        <v>43.5</v>
      </c>
      <c r="I810" s="4">
        <v>53</v>
      </c>
      <c r="J810" s="4">
        <v>46</v>
      </c>
      <c r="K810" s="4">
        <v>25</v>
      </c>
      <c r="L810" s="4">
        <v>37</v>
      </c>
      <c r="M810" s="4">
        <v>35</v>
      </c>
      <c r="N810" s="4">
        <v>35</v>
      </c>
    </row>
    <row r="811" spans="1:14">
      <c r="A811" s="3">
        <v>809527</v>
      </c>
      <c r="B811" s="3">
        <v>119154</v>
      </c>
      <c r="C811" s="4">
        <v>0</v>
      </c>
      <c r="D811" s="4">
        <v>20</v>
      </c>
      <c r="E811" s="4">
        <v>25</v>
      </c>
      <c r="F811" s="4">
        <v>30</v>
      </c>
      <c r="G811" s="4">
        <v>26.5</v>
      </c>
      <c r="H811" s="4">
        <v>25</v>
      </c>
      <c r="I811" s="4">
        <v>15</v>
      </c>
      <c r="J811" s="4">
        <v>0</v>
      </c>
      <c r="K811" s="4">
        <v>95</v>
      </c>
      <c r="L811" s="4">
        <v>40</v>
      </c>
      <c r="M811" s="4">
        <v>70</v>
      </c>
      <c r="N811" s="4">
        <v>25</v>
      </c>
    </row>
    <row r="812" spans="1:14">
      <c r="A812" s="3">
        <v>809529</v>
      </c>
      <c r="B812" s="3">
        <v>145394</v>
      </c>
      <c r="C812" s="4">
        <v>15</v>
      </c>
      <c r="D812" s="4">
        <v>28</v>
      </c>
      <c r="E812" s="4">
        <v>43</v>
      </c>
      <c r="F812" s="4">
        <v>36.5</v>
      </c>
      <c r="G812" s="4">
        <v>58.75</v>
      </c>
      <c r="H812" s="4">
        <v>55</v>
      </c>
      <c r="I812" s="4">
        <v>35</v>
      </c>
      <c r="J812" s="4">
        <v>10</v>
      </c>
      <c r="K812" s="4">
        <v>65</v>
      </c>
      <c r="L812" s="4">
        <v>62</v>
      </c>
      <c r="M812" s="4">
        <v>35</v>
      </c>
      <c r="N812" s="4">
        <v>15</v>
      </c>
    </row>
    <row r="813" spans="1:14">
      <c r="A813" s="3">
        <v>809532</v>
      </c>
      <c r="B813" s="3">
        <v>177426</v>
      </c>
      <c r="C813" s="4">
        <v>28.5</v>
      </c>
      <c r="D813" s="4">
        <v>41.5</v>
      </c>
      <c r="E813" s="4">
        <v>20</v>
      </c>
      <c r="F813" s="4">
        <v>28.5</v>
      </c>
      <c r="G813" s="4">
        <v>10</v>
      </c>
      <c r="H813" s="4">
        <v>40</v>
      </c>
      <c r="I813" s="4">
        <v>22.5</v>
      </c>
      <c r="J813" s="4">
        <v>20</v>
      </c>
      <c r="K813" s="4">
        <v>42.25</v>
      </c>
      <c r="L813" s="4">
        <v>0</v>
      </c>
      <c r="M813" s="4">
        <v>43.5</v>
      </c>
      <c r="N813" s="4">
        <v>82</v>
      </c>
    </row>
    <row r="814" spans="1:14">
      <c r="A814" s="3">
        <v>809534</v>
      </c>
      <c r="B814" s="3">
        <v>174445</v>
      </c>
      <c r="C814" s="4">
        <v>14.5</v>
      </c>
      <c r="D814" s="4">
        <v>26.25</v>
      </c>
      <c r="E814" s="4">
        <v>22.5</v>
      </c>
      <c r="F814" s="4">
        <v>39.200000000000003</v>
      </c>
      <c r="G814" s="4">
        <v>15</v>
      </c>
      <c r="H814" s="4">
        <v>51.5</v>
      </c>
      <c r="I814" s="4">
        <v>20</v>
      </c>
      <c r="J814" s="4">
        <v>11</v>
      </c>
      <c r="K814" s="4">
        <v>52.5</v>
      </c>
      <c r="L814" s="4">
        <v>25</v>
      </c>
      <c r="M814" s="4">
        <v>27.5</v>
      </c>
      <c r="N814" s="4">
        <v>99.5</v>
      </c>
    </row>
    <row r="815" spans="1:14">
      <c r="A815" s="3">
        <v>809550</v>
      </c>
      <c r="B815" s="3">
        <v>173528</v>
      </c>
      <c r="C815" s="4">
        <v>65</v>
      </c>
      <c r="D815" s="4">
        <v>20</v>
      </c>
      <c r="E815" s="4">
        <v>0</v>
      </c>
      <c r="F815" s="4">
        <v>52</v>
      </c>
      <c r="G815" s="4">
        <v>67.5</v>
      </c>
      <c r="H815" s="4">
        <v>43</v>
      </c>
      <c r="I815" s="4">
        <v>42.5</v>
      </c>
      <c r="J815" s="4">
        <v>20</v>
      </c>
      <c r="K815" s="4">
        <v>60</v>
      </c>
      <c r="L815" s="4">
        <v>104</v>
      </c>
      <c r="M815" s="4">
        <v>63.2</v>
      </c>
      <c r="N815" s="4">
        <v>65</v>
      </c>
    </row>
    <row r="816" spans="1:14">
      <c r="A816" s="3">
        <v>809551</v>
      </c>
      <c r="B816" s="3">
        <v>205966</v>
      </c>
      <c r="C816" s="4">
        <v>0</v>
      </c>
      <c r="D816" s="4">
        <v>30</v>
      </c>
      <c r="E816" s="4">
        <v>15</v>
      </c>
      <c r="F816" s="4">
        <v>19.5</v>
      </c>
      <c r="G816" s="4">
        <v>16</v>
      </c>
      <c r="H816" s="4">
        <v>10</v>
      </c>
      <c r="I816" s="4">
        <v>7.5</v>
      </c>
      <c r="J816" s="4">
        <v>10</v>
      </c>
      <c r="K816" s="4">
        <v>8.5</v>
      </c>
      <c r="L816" s="4">
        <v>10</v>
      </c>
      <c r="M816" s="4">
        <v>10</v>
      </c>
      <c r="N816" s="4">
        <v>15</v>
      </c>
    </row>
    <row r="817" spans="1:14">
      <c r="A817" s="3">
        <v>809552</v>
      </c>
      <c r="B817" s="3">
        <v>176929</v>
      </c>
      <c r="C817" s="4">
        <v>89</v>
      </c>
      <c r="D817" s="4">
        <v>0</v>
      </c>
      <c r="E817" s="4">
        <v>35</v>
      </c>
      <c r="F817" s="4">
        <v>92</v>
      </c>
      <c r="G817" s="4">
        <v>99.75</v>
      </c>
      <c r="H817" s="4">
        <v>127</v>
      </c>
      <c r="I817" s="4">
        <v>63</v>
      </c>
      <c r="J817" s="4">
        <v>20</v>
      </c>
      <c r="K817" s="4">
        <v>41</v>
      </c>
      <c r="L817" s="4">
        <v>123</v>
      </c>
      <c r="M817" s="4">
        <v>65.5</v>
      </c>
      <c r="N817" s="4">
        <v>180</v>
      </c>
    </row>
    <row r="818" spans="1:14">
      <c r="A818" s="3">
        <v>809569</v>
      </c>
      <c r="B818" s="3">
        <v>171880</v>
      </c>
      <c r="C818" s="4">
        <v>0</v>
      </c>
      <c r="D818" s="4">
        <v>10</v>
      </c>
      <c r="E818" s="4">
        <v>0</v>
      </c>
      <c r="F818" s="4">
        <v>10</v>
      </c>
      <c r="G818" s="4">
        <v>0</v>
      </c>
      <c r="H818" s="4">
        <v>25</v>
      </c>
      <c r="I818" s="4">
        <v>10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spans="1:14">
      <c r="A819" s="3">
        <v>809577</v>
      </c>
      <c r="B819" s="3">
        <v>170847</v>
      </c>
      <c r="C819" s="4">
        <v>102</v>
      </c>
      <c r="D819" s="4">
        <v>99.2</v>
      </c>
      <c r="E819" s="4">
        <v>120</v>
      </c>
      <c r="F819" s="4">
        <v>110</v>
      </c>
      <c r="G819" s="4">
        <v>110</v>
      </c>
      <c r="H819" s="4">
        <v>65</v>
      </c>
      <c r="I819" s="4">
        <v>41</v>
      </c>
      <c r="J819" s="4">
        <v>30</v>
      </c>
      <c r="K819" s="4">
        <v>78.5</v>
      </c>
      <c r="L819" s="4">
        <v>48</v>
      </c>
      <c r="M819" s="4">
        <v>72.5</v>
      </c>
      <c r="N819" s="4">
        <v>145.5</v>
      </c>
    </row>
    <row r="820" spans="1:14">
      <c r="A820" s="3">
        <v>809577</v>
      </c>
      <c r="B820" s="3">
        <v>176693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10</v>
      </c>
      <c r="N820" s="4">
        <v>0</v>
      </c>
    </row>
    <row r="821" spans="1:14">
      <c r="A821" s="3">
        <v>809578</v>
      </c>
      <c r="B821" s="3">
        <v>177016</v>
      </c>
      <c r="C821" s="4">
        <v>54</v>
      </c>
      <c r="D821" s="4">
        <v>40</v>
      </c>
      <c r="E821" s="4">
        <v>53</v>
      </c>
      <c r="F821" s="4">
        <v>70</v>
      </c>
      <c r="G821" s="4">
        <v>28</v>
      </c>
      <c r="H821" s="4">
        <v>46</v>
      </c>
      <c r="I821" s="4">
        <v>45</v>
      </c>
      <c r="J821" s="4">
        <v>10</v>
      </c>
      <c r="K821" s="4">
        <v>79</v>
      </c>
      <c r="L821" s="4">
        <v>42.5</v>
      </c>
      <c r="M821" s="4">
        <v>85</v>
      </c>
      <c r="N821" s="4">
        <v>120</v>
      </c>
    </row>
    <row r="822" spans="1:14">
      <c r="A822" s="3">
        <v>809579</v>
      </c>
      <c r="B822" s="3">
        <v>119261</v>
      </c>
      <c r="C822" s="4">
        <v>100</v>
      </c>
      <c r="D822" s="4">
        <v>58</v>
      </c>
      <c r="E822" s="4">
        <v>101</v>
      </c>
      <c r="F822" s="4">
        <v>142</v>
      </c>
      <c r="G822" s="4">
        <v>58.5</v>
      </c>
      <c r="H822" s="4">
        <v>102</v>
      </c>
      <c r="I822" s="4">
        <v>234.25</v>
      </c>
      <c r="J822" s="4">
        <v>300.5</v>
      </c>
      <c r="K822" s="4">
        <v>200</v>
      </c>
      <c r="L822" s="4">
        <v>543.75</v>
      </c>
      <c r="M822" s="4">
        <v>606.6</v>
      </c>
      <c r="N822" s="4">
        <v>700.25</v>
      </c>
    </row>
    <row r="823" spans="1:14">
      <c r="A823" s="3">
        <v>809580</v>
      </c>
      <c r="B823" s="3">
        <v>170204</v>
      </c>
      <c r="C823" s="4">
        <v>0</v>
      </c>
      <c r="D823" s="4">
        <v>0</v>
      </c>
      <c r="E823" s="4">
        <v>212</v>
      </c>
      <c r="F823" s="4">
        <v>67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>
      <c r="A824" s="3">
        <v>809617</v>
      </c>
      <c r="B824" s="3">
        <v>171662</v>
      </c>
      <c r="C824" s="4">
        <v>25</v>
      </c>
      <c r="D824" s="4">
        <v>0</v>
      </c>
      <c r="E824" s="4">
        <v>35</v>
      </c>
      <c r="F824" s="4">
        <v>30</v>
      </c>
      <c r="G824" s="4">
        <v>7.5</v>
      </c>
      <c r="H824" s="4">
        <v>15</v>
      </c>
      <c r="I824" s="4">
        <v>15</v>
      </c>
      <c r="J824" s="4">
        <v>15</v>
      </c>
      <c r="K824" s="4">
        <v>0</v>
      </c>
      <c r="L824" s="4">
        <v>15</v>
      </c>
      <c r="M824" s="4">
        <v>0</v>
      </c>
      <c r="N824" s="4">
        <v>0</v>
      </c>
    </row>
    <row r="825" spans="1:14">
      <c r="A825" s="3">
        <v>809618</v>
      </c>
      <c r="B825" s="3">
        <v>171947</v>
      </c>
      <c r="C825" s="4">
        <v>55</v>
      </c>
      <c r="D825" s="4">
        <v>23.5</v>
      </c>
      <c r="E825" s="4">
        <v>37.5</v>
      </c>
      <c r="F825" s="4">
        <v>82.5</v>
      </c>
      <c r="G825" s="4">
        <v>107.5</v>
      </c>
      <c r="H825" s="4">
        <v>93</v>
      </c>
      <c r="I825" s="4">
        <v>80.25</v>
      </c>
      <c r="J825" s="4">
        <v>49.75</v>
      </c>
      <c r="K825" s="4">
        <v>85</v>
      </c>
      <c r="L825" s="4">
        <v>102.5</v>
      </c>
      <c r="M825" s="4">
        <v>62.5</v>
      </c>
      <c r="N825" s="4">
        <v>139</v>
      </c>
    </row>
    <row r="826" spans="1:14">
      <c r="A826" s="3">
        <v>809620</v>
      </c>
      <c r="B826" s="3">
        <v>119031</v>
      </c>
      <c r="C826" s="4">
        <v>20</v>
      </c>
      <c r="D826" s="4">
        <v>20</v>
      </c>
      <c r="E826" s="4">
        <v>0</v>
      </c>
      <c r="F826" s="4">
        <v>0</v>
      </c>
      <c r="G826" s="4">
        <v>25</v>
      </c>
      <c r="H826" s="4">
        <v>0</v>
      </c>
      <c r="I826" s="4">
        <v>0</v>
      </c>
      <c r="J826" s="4">
        <v>60</v>
      </c>
      <c r="K826" s="4">
        <v>40</v>
      </c>
      <c r="L826" s="4">
        <v>0</v>
      </c>
      <c r="M826" s="4">
        <v>0</v>
      </c>
      <c r="N826" s="4">
        <v>1</v>
      </c>
    </row>
    <row r="827" spans="1:14">
      <c r="A827" s="3">
        <v>809621</v>
      </c>
      <c r="B827" s="3">
        <v>142843</v>
      </c>
      <c r="C827" s="4">
        <v>25</v>
      </c>
      <c r="D827" s="4">
        <v>37</v>
      </c>
      <c r="E827" s="4">
        <v>91</v>
      </c>
      <c r="F827" s="4">
        <v>12</v>
      </c>
      <c r="G827" s="4">
        <v>50</v>
      </c>
      <c r="H827" s="4">
        <v>75</v>
      </c>
      <c r="I827" s="4">
        <v>25</v>
      </c>
      <c r="J827" s="4">
        <v>15</v>
      </c>
      <c r="K827" s="4">
        <v>22.5</v>
      </c>
      <c r="L827" s="4">
        <v>71.5</v>
      </c>
      <c r="M827" s="4">
        <v>30</v>
      </c>
      <c r="N827" s="4">
        <v>148</v>
      </c>
    </row>
    <row r="828" spans="1:14">
      <c r="A828" s="3">
        <v>809622</v>
      </c>
      <c r="B828" s="3">
        <v>119038</v>
      </c>
      <c r="C828" s="4">
        <v>30</v>
      </c>
      <c r="D828" s="4">
        <v>40</v>
      </c>
      <c r="E828" s="4">
        <v>35</v>
      </c>
      <c r="F828" s="4">
        <v>65</v>
      </c>
      <c r="G828" s="4">
        <v>15</v>
      </c>
      <c r="H828" s="4">
        <v>20</v>
      </c>
      <c r="I828" s="4">
        <v>0</v>
      </c>
      <c r="J828" s="4">
        <v>14</v>
      </c>
      <c r="K828" s="4">
        <v>20</v>
      </c>
      <c r="L828" s="4">
        <v>24.5</v>
      </c>
      <c r="M828" s="4">
        <v>34.5</v>
      </c>
      <c r="N828" s="4">
        <v>25</v>
      </c>
    </row>
    <row r="829" spans="1:14">
      <c r="A829" s="3">
        <v>809643</v>
      </c>
      <c r="B829" s="3">
        <v>173224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7.5</v>
      </c>
      <c r="M829" s="4">
        <v>0</v>
      </c>
      <c r="N829" s="4">
        <v>10</v>
      </c>
    </row>
    <row r="830" spans="1:14">
      <c r="A830" s="3">
        <v>809656</v>
      </c>
      <c r="B830" s="3">
        <v>171578</v>
      </c>
      <c r="C830" s="4">
        <v>0</v>
      </c>
      <c r="D830" s="4">
        <v>5</v>
      </c>
      <c r="E830" s="4">
        <v>0</v>
      </c>
      <c r="F830" s="4">
        <v>25</v>
      </c>
      <c r="G830" s="4">
        <v>10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spans="1:14">
      <c r="A831" s="3">
        <v>809735</v>
      </c>
      <c r="B831" s="3">
        <v>119029</v>
      </c>
      <c r="C831" s="4">
        <v>65.75</v>
      </c>
      <c r="D831" s="4">
        <v>75</v>
      </c>
      <c r="E831" s="4">
        <v>70</v>
      </c>
      <c r="F831" s="4">
        <v>62.25</v>
      </c>
      <c r="G831" s="4">
        <v>99</v>
      </c>
      <c r="H831" s="4">
        <v>116.5</v>
      </c>
      <c r="I831" s="4">
        <v>34</v>
      </c>
      <c r="J831" s="4">
        <v>0</v>
      </c>
      <c r="K831" s="4">
        <v>104.1</v>
      </c>
      <c r="L831" s="4">
        <v>74</v>
      </c>
      <c r="M831" s="4">
        <v>61.5</v>
      </c>
      <c r="N831" s="4">
        <v>30.5</v>
      </c>
    </row>
    <row r="832" spans="1:14">
      <c r="A832" s="3">
        <v>809736</v>
      </c>
      <c r="B832" s="3">
        <v>208183</v>
      </c>
      <c r="C832" s="4">
        <v>0</v>
      </c>
      <c r="D832" s="4">
        <v>15</v>
      </c>
      <c r="E832" s="4">
        <v>76.5</v>
      </c>
      <c r="F832" s="4">
        <v>128.5</v>
      </c>
      <c r="G832" s="4">
        <v>55</v>
      </c>
      <c r="H832" s="4">
        <v>0</v>
      </c>
      <c r="I832" s="4">
        <v>0</v>
      </c>
      <c r="J832" s="4">
        <v>15</v>
      </c>
      <c r="K832" s="4">
        <v>0</v>
      </c>
      <c r="L832" s="4">
        <v>0</v>
      </c>
      <c r="M832" s="4">
        <v>0</v>
      </c>
      <c r="N832" s="4">
        <v>0</v>
      </c>
    </row>
    <row r="833" spans="1:14">
      <c r="A833" s="3">
        <v>809778</v>
      </c>
      <c r="B833" s="3">
        <v>178230</v>
      </c>
      <c r="C833" s="4">
        <v>65</v>
      </c>
      <c r="D833" s="4">
        <v>56</v>
      </c>
      <c r="E833" s="4">
        <v>45</v>
      </c>
      <c r="F833" s="4">
        <v>55</v>
      </c>
      <c r="G833" s="4">
        <v>65</v>
      </c>
      <c r="H833" s="4">
        <v>10</v>
      </c>
      <c r="I833" s="4">
        <v>30</v>
      </c>
      <c r="J833" s="4">
        <v>20</v>
      </c>
      <c r="K833" s="4">
        <v>60</v>
      </c>
      <c r="L833" s="4">
        <v>30</v>
      </c>
      <c r="M833" s="4">
        <v>66</v>
      </c>
      <c r="N833" s="4">
        <v>39</v>
      </c>
    </row>
    <row r="834" spans="1:14">
      <c r="A834" s="3">
        <v>809780</v>
      </c>
      <c r="B834" s="3">
        <v>206219</v>
      </c>
      <c r="C834" s="4">
        <v>77</v>
      </c>
      <c r="D834" s="4">
        <v>50.45</v>
      </c>
      <c r="E834" s="4">
        <v>53</v>
      </c>
      <c r="F834" s="4">
        <v>62.5</v>
      </c>
      <c r="G834" s="4">
        <v>56.7</v>
      </c>
      <c r="H834" s="4">
        <v>56</v>
      </c>
      <c r="I834" s="4">
        <v>88</v>
      </c>
      <c r="J834" s="4">
        <v>32</v>
      </c>
      <c r="K834" s="4">
        <v>103.5</v>
      </c>
      <c r="L834" s="4">
        <v>71.2</v>
      </c>
      <c r="M834" s="4">
        <v>89.9</v>
      </c>
      <c r="N834" s="4">
        <v>46</v>
      </c>
    </row>
    <row r="835" spans="1:14">
      <c r="A835" s="3">
        <v>809781</v>
      </c>
      <c r="B835" s="3">
        <v>141556</v>
      </c>
      <c r="C835" s="4">
        <v>45</v>
      </c>
      <c r="D835" s="4">
        <v>82</v>
      </c>
      <c r="E835" s="4">
        <v>91</v>
      </c>
      <c r="F835" s="4">
        <v>76.5</v>
      </c>
      <c r="G835" s="4">
        <v>35</v>
      </c>
      <c r="H835" s="4">
        <v>50</v>
      </c>
      <c r="I835" s="4">
        <v>25</v>
      </c>
      <c r="J835" s="4">
        <v>15</v>
      </c>
      <c r="K835" s="4">
        <v>25</v>
      </c>
      <c r="L835" s="4">
        <v>56.5</v>
      </c>
      <c r="M835" s="4">
        <v>70</v>
      </c>
      <c r="N835" s="4">
        <v>50</v>
      </c>
    </row>
    <row r="836" spans="1:14">
      <c r="A836" s="3">
        <v>809785</v>
      </c>
      <c r="B836" s="3">
        <v>149765</v>
      </c>
      <c r="C836" s="4">
        <v>92</v>
      </c>
      <c r="D836" s="4">
        <v>95</v>
      </c>
      <c r="E836" s="4">
        <v>120</v>
      </c>
      <c r="F836" s="4">
        <v>40</v>
      </c>
      <c r="G836" s="4">
        <v>78</v>
      </c>
      <c r="H836" s="4">
        <v>65</v>
      </c>
      <c r="I836" s="4">
        <v>133</v>
      </c>
      <c r="J836" s="4">
        <v>114</v>
      </c>
      <c r="K836" s="4">
        <v>205</v>
      </c>
      <c r="L836" s="4">
        <v>49</v>
      </c>
      <c r="M836" s="4">
        <v>105</v>
      </c>
      <c r="N836" s="4">
        <v>105.9</v>
      </c>
    </row>
    <row r="837" spans="1:14">
      <c r="A837" s="3">
        <v>809794</v>
      </c>
      <c r="B837" s="3">
        <v>119031</v>
      </c>
      <c r="C837" s="4">
        <v>56.45</v>
      </c>
      <c r="D837" s="4">
        <v>20</v>
      </c>
      <c r="E837" s="4">
        <v>77.5</v>
      </c>
      <c r="F837" s="4">
        <v>20</v>
      </c>
      <c r="G837" s="4">
        <v>22</v>
      </c>
      <c r="H837" s="4">
        <v>0</v>
      </c>
      <c r="I837" s="4">
        <v>5</v>
      </c>
      <c r="J837" s="4">
        <v>50</v>
      </c>
      <c r="K837" s="4">
        <v>67.5</v>
      </c>
      <c r="L837" s="4">
        <v>0</v>
      </c>
      <c r="M837" s="4">
        <v>0</v>
      </c>
      <c r="N837" s="4">
        <v>85</v>
      </c>
    </row>
    <row r="838" spans="1:14">
      <c r="A838" s="3">
        <v>809860</v>
      </c>
      <c r="B838" s="3">
        <v>119044</v>
      </c>
      <c r="C838" s="4">
        <v>86.5</v>
      </c>
      <c r="D838" s="4">
        <v>74</v>
      </c>
      <c r="E838" s="4">
        <v>155</v>
      </c>
      <c r="F838" s="4">
        <v>30</v>
      </c>
      <c r="G838" s="4">
        <v>112.5</v>
      </c>
      <c r="H838" s="4">
        <v>35</v>
      </c>
      <c r="I838" s="4">
        <v>70</v>
      </c>
      <c r="J838" s="4">
        <v>55</v>
      </c>
      <c r="K838" s="4">
        <v>20</v>
      </c>
      <c r="L838" s="4">
        <v>60</v>
      </c>
      <c r="M838" s="4">
        <v>80</v>
      </c>
      <c r="N838" s="4">
        <v>125</v>
      </c>
    </row>
    <row r="839" spans="1:14">
      <c r="A839" s="3">
        <v>809892</v>
      </c>
      <c r="B839" s="3">
        <v>119029</v>
      </c>
      <c r="C839" s="4">
        <v>10</v>
      </c>
      <c r="D839" s="4">
        <v>5</v>
      </c>
      <c r="E839" s="4">
        <v>0</v>
      </c>
      <c r="F839" s="4">
        <v>40</v>
      </c>
      <c r="G839" s="4">
        <v>0</v>
      </c>
      <c r="H839" s="4">
        <v>15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>
      <c r="A840" s="3">
        <v>809893</v>
      </c>
      <c r="B840" s="3">
        <v>171662</v>
      </c>
      <c r="C840" s="4">
        <v>110</v>
      </c>
      <c r="D840" s="4">
        <v>60</v>
      </c>
      <c r="E840" s="4">
        <v>85</v>
      </c>
      <c r="F840" s="4">
        <v>65.5</v>
      </c>
      <c r="G840" s="4">
        <v>40</v>
      </c>
      <c r="H840" s="4">
        <v>77.5</v>
      </c>
      <c r="I840" s="4">
        <v>52.5</v>
      </c>
      <c r="J840" s="4">
        <v>40</v>
      </c>
      <c r="K840" s="4">
        <v>87.5</v>
      </c>
      <c r="L840" s="4">
        <v>72</v>
      </c>
      <c r="M840" s="4">
        <v>145.75</v>
      </c>
      <c r="N840" s="4">
        <v>113</v>
      </c>
    </row>
    <row r="841" spans="1:14">
      <c r="A841" s="3">
        <v>809906</v>
      </c>
      <c r="B841" s="3">
        <v>119026</v>
      </c>
      <c r="C841" s="4">
        <v>57.5</v>
      </c>
      <c r="D841" s="4">
        <v>0</v>
      </c>
      <c r="E841" s="4">
        <v>132.5</v>
      </c>
      <c r="F841" s="4">
        <v>47.5</v>
      </c>
      <c r="G841" s="4">
        <v>40</v>
      </c>
      <c r="H841" s="4">
        <v>57.5</v>
      </c>
      <c r="I841" s="4">
        <v>64.5</v>
      </c>
      <c r="J841" s="4">
        <v>20</v>
      </c>
      <c r="K841" s="4">
        <v>40</v>
      </c>
      <c r="L841" s="4">
        <v>17.5</v>
      </c>
      <c r="M841" s="4">
        <v>0</v>
      </c>
      <c r="N841" s="4">
        <v>0</v>
      </c>
    </row>
    <row r="842" spans="1:14">
      <c r="A842" s="3">
        <v>809907</v>
      </c>
      <c r="B842" s="3">
        <v>140848</v>
      </c>
      <c r="C842" s="4">
        <v>40</v>
      </c>
      <c r="D842" s="4">
        <v>60</v>
      </c>
      <c r="E842" s="4">
        <v>170</v>
      </c>
      <c r="F842" s="4">
        <v>93.5</v>
      </c>
      <c r="G842" s="4">
        <v>74.5</v>
      </c>
      <c r="H842" s="4">
        <v>37.5</v>
      </c>
      <c r="I842" s="4">
        <v>57.5</v>
      </c>
      <c r="J842" s="4">
        <v>70</v>
      </c>
      <c r="K842" s="4">
        <v>101</v>
      </c>
      <c r="L842" s="4">
        <v>97</v>
      </c>
      <c r="M842" s="4">
        <v>110</v>
      </c>
      <c r="N842" s="4">
        <v>148.5</v>
      </c>
    </row>
    <row r="843" spans="1:14">
      <c r="A843" s="3">
        <v>809908</v>
      </c>
      <c r="B843" s="3">
        <v>145394</v>
      </c>
      <c r="C843" s="4">
        <v>23</v>
      </c>
      <c r="D843" s="4">
        <v>25</v>
      </c>
      <c r="E843" s="4">
        <v>48.5</v>
      </c>
      <c r="F843" s="4">
        <v>66.5</v>
      </c>
      <c r="G843" s="4">
        <v>70</v>
      </c>
      <c r="H843" s="4">
        <v>35</v>
      </c>
      <c r="I843" s="4">
        <v>35</v>
      </c>
      <c r="J843" s="4">
        <v>30</v>
      </c>
      <c r="K843" s="4">
        <v>65</v>
      </c>
      <c r="L843" s="4">
        <v>65</v>
      </c>
      <c r="M843" s="4">
        <v>51.5</v>
      </c>
      <c r="N843" s="4">
        <v>15</v>
      </c>
    </row>
    <row r="844" spans="1:14">
      <c r="A844" s="3">
        <v>809909</v>
      </c>
      <c r="B844" s="3">
        <v>145394</v>
      </c>
      <c r="C844" s="4">
        <v>52.5</v>
      </c>
      <c r="D844" s="4">
        <v>48</v>
      </c>
      <c r="E844" s="4">
        <v>54</v>
      </c>
      <c r="F844" s="4">
        <v>21.75</v>
      </c>
      <c r="G844" s="4">
        <v>29.5</v>
      </c>
      <c r="H844" s="4">
        <v>30</v>
      </c>
      <c r="I844" s="4">
        <v>35</v>
      </c>
      <c r="J844" s="4">
        <v>15</v>
      </c>
      <c r="K844" s="4">
        <v>45</v>
      </c>
      <c r="L844" s="4">
        <v>45</v>
      </c>
      <c r="M844" s="4">
        <v>15</v>
      </c>
      <c r="N844" s="4">
        <v>10</v>
      </c>
    </row>
    <row r="845" spans="1:14">
      <c r="A845" s="3">
        <v>809916</v>
      </c>
      <c r="B845" s="3">
        <v>119208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125</v>
      </c>
      <c r="K845" s="4">
        <v>0</v>
      </c>
      <c r="L845" s="4">
        <v>0</v>
      </c>
      <c r="M845" s="4">
        <v>0</v>
      </c>
      <c r="N845" s="4">
        <v>249</v>
      </c>
    </row>
    <row r="846" spans="1:14">
      <c r="A846" s="3">
        <v>809917</v>
      </c>
      <c r="B846" s="3">
        <v>172150</v>
      </c>
      <c r="C846" s="4">
        <v>51.8</v>
      </c>
      <c r="D846" s="4">
        <v>33.25</v>
      </c>
      <c r="E846" s="4">
        <v>65</v>
      </c>
      <c r="F846" s="4">
        <v>94</v>
      </c>
      <c r="G846" s="4">
        <v>117.75</v>
      </c>
      <c r="H846" s="4">
        <v>148.5</v>
      </c>
      <c r="I846" s="4">
        <v>105.75</v>
      </c>
      <c r="J846" s="4">
        <v>77.25</v>
      </c>
      <c r="K846" s="4">
        <v>176.25</v>
      </c>
      <c r="L846" s="4">
        <v>105</v>
      </c>
      <c r="M846" s="4">
        <v>192.75</v>
      </c>
      <c r="N846" s="4">
        <v>295</v>
      </c>
    </row>
    <row r="847" spans="1:14">
      <c r="A847" s="3">
        <v>809918</v>
      </c>
      <c r="B847" s="3">
        <v>144868</v>
      </c>
      <c r="C847" s="4">
        <v>81</v>
      </c>
      <c r="D847" s="4">
        <v>15</v>
      </c>
      <c r="E847" s="4">
        <v>62</v>
      </c>
      <c r="F847" s="4">
        <v>149.25</v>
      </c>
      <c r="G847" s="4">
        <v>100.5</v>
      </c>
      <c r="H847" s="4">
        <v>34</v>
      </c>
      <c r="I847" s="4">
        <v>141.80000000000001</v>
      </c>
      <c r="J847" s="4">
        <v>76.5</v>
      </c>
      <c r="K847" s="4">
        <v>74</v>
      </c>
      <c r="L847" s="4">
        <v>72.5</v>
      </c>
      <c r="M847" s="4">
        <v>87.5</v>
      </c>
      <c r="N847" s="4">
        <v>169.5</v>
      </c>
    </row>
    <row r="848" spans="1:14">
      <c r="A848" s="3">
        <v>809983</v>
      </c>
      <c r="B848" s="3">
        <v>178230</v>
      </c>
      <c r="C848" s="4">
        <v>0</v>
      </c>
      <c r="D848" s="4">
        <v>0</v>
      </c>
      <c r="E848" s="4">
        <v>0</v>
      </c>
      <c r="F848" s="4">
        <v>10</v>
      </c>
      <c r="G848" s="4">
        <v>15</v>
      </c>
      <c r="H848" s="4">
        <v>0</v>
      </c>
      <c r="I848" s="4">
        <v>0</v>
      </c>
      <c r="J848" s="4">
        <v>0</v>
      </c>
      <c r="K848" s="4">
        <v>80</v>
      </c>
      <c r="L848" s="4">
        <v>10</v>
      </c>
      <c r="M848" s="4">
        <v>10</v>
      </c>
      <c r="N848" s="4">
        <v>30</v>
      </c>
    </row>
    <row r="849" spans="1:14">
      <c r="A849" s="3">
        <v>809984</v>
      </c>
      <c r="B849" s="3">
        <v>119038</v>
      </c>
      <c r="C849" s="4">
        <v>10</v>
      </c>
      <c r="D849" s="4">
        <v>10</v>
      </c>
      <c r="E849" s="4">
        <v>34</v>
      </c>
      <c r="F849" s="4">
        <v>25</v>
      </c>
      <c r="G849" s="4">
        <v>10</v>
      </c>
      <c r="H849" s="4">
        <v>10</v>
      </c>
      <c r="I849" s="4">
        <v>20</v>
      </c>
      <c r="J849" s="4">
        <v>0</v>
      </c>
      <c r="K849" s="4">
        <v>0</v>
      </c>
      <c r="L849" s="4">
        <v>20</v>
      </c>
      <c r="M849" s="4">
        <v>35</v>
      </c>
      <c r="N849" s="4">
        <v>65</v>
      </c>
    </row>
    <row r="850" spans="1:14">
      <c r="A850" s="3">
        <v>809985</v>
      </c>
      <c r="B850" s="3">
        <v>119028</v>
      </c>
      <c r="C850" s="4">
        <v>41</v>
      </c>
      <c r="D850" s="4">
        <v>62</v>
      </c>
      <c r="E850" s="4">
        <v>155</v>
      </c>
      <c r="F850" s="4">
        <v>72</v>
      </c>
      <c r="G850" s="4">
        <v>78</v>
      </c>
      <c r="H850" s="4">
        <v>31</v>
      </c>
      <c r="I850" s="4">
        <v>31</v>
      </c>
      <c r="J850" s="4">
        <v>31</v>
      </c>
      <c r="K850" s="4">
        <v>0</v>
      </c>
      <c r="L850" s="4">
        <v>31</v>
      </c>
      <c r="M850" s="4">
        <v>31</v>
      </c>
      <c r="N850" s="4">
        <v>37</v>
      </c>
    </row>
    <row r="851" spans="1:14">
      <c r="A851" s="3">
        <v>809986</v>
      </c>
      <c r="B851" s="3">
        <v>119028</v>
      </c>
      <c r="C851" s="4">
        <v>0</v>
      </c>
      <c r="D851" s="4">
        <v>0</v>
      </c>
      <c r="E851" s="4">
        <v>0</v>
      </c>
      <c r="F851" s="4">
        <v>41</v>
      </c>
      <c r="G851" s="4">
        <v>26</v>
      </c>
      <c r="H851" s="4">
        <v>31</v>
      </c>
      <c r="I851" s="4">
        <v>15</v>
      </c>
      <c r="J851" s="4">
        <v>0</v>
      </c>
      <c r="K851" s="4">
        <v>39</v>
      </c>
      <c r="L851" s="4">
        <v>10</v>
      </c>
      <c r="M851" s="4">
        <v>47</v>
      </c>
      <c r="N851" s="4">
        <v>62</v>
      </c>
    </row>
    <row r="852" spans="1:14">
      <c r="A852" s="3">
        <v>809989</v>
      </c>
      <c r="B852" s="3">
        <v>119066</v>
      </c>
      <c r="C852" s="4">
        <v>50</v>
      </c>
      <c r="D852" s="4">
        <v>55</v>
      </c>
      <c r="E852" s="4">
        <v>76</v>
      </c>
      <c r="F852" s="4">
        <v>74.2</v>
      </c>
      <c r="G852" s="4">
        <v>3</v>
      </c>
      <c r="H852" s="4">
        <v>54</v>
      </c>
      <c r="I852" s="4">
        <v>52</v>
      </c>
      <c r="J852" s="4">
        <v>0</v>
      </c>
      <c r="K852" s="4">
        <v>85.25</v>
      </c>
      <c r="L852" s="4">
        <v>50.5</v>
      </c>
      <c r="M852" s="4">
        <v>55</v>
      </c>
      <c r="N852" s="4">
        <v>107.5</v>
      </c>
    </row>
    <row r="853" spans="1:14">
      <c r="A853" s="3">
        <v>810055</v>
      </c>
      <c r="B853" s="3">
        <v>175288</v>
      </c>
      <c r="C853" s="4">
        <v>432</v>
      </c>
      <c r="D853" s="4">
        <v>400</v>
      </c>
      <c r="E853" s="4">
        <v>280.5</v>
      </c>
      <c r="F853" s="4">
        <v>380</v>
      </c>
      <c r="G853" s="4">
        <v>175</v>
      </c>
      <c r="H853" s="4">
        <v>420</v>
      </c>
      <c r="I853" s="4">
        <v>320</v>
      </c>
      <c r="J853" s="4">
        <v>275</v>
      </c>
      <c r="K853" s="4">
        <v>421</v>
      </c>
      <c r="L853" s="4">
        <v>308</v>
      </c>
      <c r="M853" s="4">
        <v>265</v>
      </c>
      <c r="N853" s="4">
        <v>309</v>
      </c>
    </row>
    <row r="854" spans="1:14">
      <c r="A854" s="3">
        <v>810084</v>
      </c>
      <c r="B854" s="3">
        <v>172193</v>
      </c>
      <c r="C854" s="4">
        <v>10</v>
      </c>
      <c r="D854" s="4">
        <v>20</v>
      </c>
      <c r="E854" s="4">
        <v>15</v>
      </c>
      <c r="F854" s="4">
        <v>13.5</v>
      </c>
      <c r="G854" s="4">
        <v>16.5</v>
      </c>
      <c r="H854" s="4">
        <v>3</v>
      </c>
      <c r="I854" s="4">
        <v>0</v>
      </c>
      <c r="J854" s="4">
        <v>0</v>
      </c>
      <c r="K854" s="4">
        <v>9.9</v>
      </c>
      <c r="L854" s="4">
        <v>0</v>
      </c>
      <c r="M854" s="4">
        <v>0</v>
      </c>
      <c r="N854" s="4">
        <v>0</v>
      </c>
    </row>
    <row r="855" spans="1:14">
      <c r="A855" s="3">
        <v>810094</v>
      </c>
      <c r="B855" s="3">
        <v>119029</v>
      </c>
      <c r="C855" s="4">
        <v>47.5</v>
      </c>
      <c r="D855" s="4">
        <v>35</v>
      </c>
      <c r="E855" s="4">
        <v>69</v>
      </c>
      <c r="F855" s="4">
        <v>39.5</v>
      </c>
      <c r="G855" s="4">
        <v>18</v>
      </c>
      <c r="H855" s="4">
        <v>45</v>
      </c>
      <c r="I855" s="4">
        <v>60</v>
      </c>
      <c r="J855" s="4">
        <v>0</v>
      </c>
      <c r="K855" s="4">
        <v>10</v>
      </c>
      <c r="L855" s="4">
        <v>0</v>
      </c>
      <c r="M855" s="4">
        <v>10</v>
      </c>
      <c r="N855" s="4">
        <v>66</v>
      </c>
    </row>
    <row r="856" spans="1:14">
      <c r="A856" s="3">
        <v>810104</v>
      </c>
      <c r="B856" s="3">
        <v>177947</v>
      </c>
      <c r="C856" s="4">
        <v>0</v>
      </c>
      <c r="D856" s="4">
        <v>10</v>
      </c>
      <c r="E856" s="4">
        <v>0</v>
      </c>
      <c r="F856" s="4">
        <v>0</v>
      </c>
      <c r="G856" s="4">
        <v>10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</row>
    <row r="857" spans="1:14">
      <c r="A857" s="3">
        <v>810105</v>
      </c>
      <c r="B857" s="3">
        <v>206219</v>
      </c>
      <c r="C857" s="4">
        <v>116.5</v>
      </c>
      <c r="D857" s="4">
        <v>30</v>
      </c>
      <c r="E857" s="4">
        <v>53</v>
      </c>
      <c r="F857" s="4">
        <v>52.5</v>
      </c>
      <c r="G857" s="4">
        <v>54</v>
      </c>
      <c r="H857" s="4">
        <v>76</v>
      </c>
      <c r="I857" s="4">
        <v>10</v>
      </c>
      <c r="J857" s="4">
        <v>20</v>
      </c>
      <c r="K857" s="4">
        <v>70</v>
      </c>
      <c r="L857" s="4">
        <v>31</v>
      </c>
      <c r="M857" s="4">
        <v>101</v>
      </c>
      <c r="N857" s="4">
        <v>99.5</v>
      </c>
    </row>
    <row r="858" spans="1:14">
      <c r="A858" s="3">
        <v>810120</v>
      </c>
      <c r="B858" s="3">
        <v>148557</v>
      </c>
      <c r="C858" s="4">
        <v>40</v>
      </c>
      <c r="D858" s="4">
        <v>95</v>
      </c>
      <c r="E858" s="4">
        <v>68.650000000000006</v>
      </c>
      <c r="F858" s="4">
        <v>90</v>
      </c>
      <c r="G858" s="4">
        <v>49.5</v>
      </c>
      <c r="H858" s="4">
        <v>53</v>
      </c>
      <c r="I858" s="4">
        <v>53.5</v>
      </c>
      <c r="J858" s="4">
        <v>32.5</v>
      </c>
      <c r="K858" s="4">
        <v>92.5</v>
      </c>
      <c r="L858" s="4">
        <v>0</v>
      </c>
      <c r="M858" s="4">
        <v>55</v>
      </c>
      <c r="N858" s="4">
        <v>50.5</v>
      </c>
    </row>
    <row r="859" spans="1:14">
      <c r="A859" s="3">
        <v>810122</v>
      </c>
      <c r="B859" s="3">
        <v>211137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23.5</v>
      </c>
      <c r="M859" s="4">
        <v>15</v>
      </c>
      <c r="N859" s="4">
        <v>0</v>
      </c>
    </row>
    <row r="860" spans="1:14">
      <c r="A860" s="3">
        <v>810127</v>
      </c>
      <c r="B860" s="3">
        <v>178137</v>
      </c>
      <c r="C860" s="4">
        <v>15.5</v>
      </c>
      <c r="D860" s="4">
        <v>28</v>
      </c>
      <c r="E860" s="4">
        <v>54.4</v>
      </c>
      <c r="F860" s="4">
        <v>27.5</v>
      </c>
      <c r="G860" s="4">
        <v>90.35</v>
      </c>
      <c r="H860" s="4">
        <v>93.5</v>
      </c>
      <c r="I860" s="4">
        <v>45.25</v>
      </c>
      <c r="J860" s="4">
        <v>12.5</v>
      </c>
      <c r="K860" s="4">
        <v>61</v>
      </c>
      <c r="L860" s="4">
        <v>78.5</v>
      </c>
      <c r="M860" s="4">
        <v>108.5</v>
      </c>
      <c r="N860" s="4">
        <v>48.5</v>
      </c>
    </row>
    <row r="861" spans="1:14">
      <c r="A861" s="3">
        <v>810128</v>
      </c>
      <c r="B861" s="3">
        <v>178003</v>
      </c>
      <c r="C861" s="4">
        <v>50</v>
      </c>
      <c r="D861" s="4">
        <v>0</v>
      </c>
      <c r="E861" s="4">
        <v>0</v>
      </c>
      <c r="F861" s="4">
        <v>14</v>
      </c>
      <c r="G861" s="4">
        <v>10</v>
      </c>
      <c r="H861" s="4">
        <v>20</v>
      </c>
      <c r="I861" s="4">
        <v>20</v>
      </c>
      <c r="J861" s="4">
        <v>8</v>
      </c>
      <c r="K861" s="4">
        <v>0</v>
      </c>
      <c r="L861" s="4">
        <v>13.5</v>
      </c>
      <c r="M861" s="4">
        <v>35</v>
      </c>
      <c r="N861" s="4">
        <v>0</v>
      </c>
    </row>
    <row r="862" spans="1:14">
      <c r="A862" s="3">
        <v>810129</v>
      </c>
      <c r="B862" s="3">
        <v>178003</v>
      </c>
      <c r="C862" s="4">
        <v>27.5</v>
      </c>
      <c r="D862" s="4">
        <v>10</v>
      </c>
      <c r="E862" s="4">
        <v>0</v>
      </c>
      <c r="F862" s="4">
        <v>20</v>
      </c>
      <c r="G862" s="4">
        <v>10</v>
      </c>
      <c r="H862" s="4">
        <v>10</v>
      </c>
      <c r="I862" s="4">
        <v>16</v>
      </c>
      <c r="J862" s="4">
        <v>8</v>
      </c>
      <c r="K862" s="4">
        <v>28.5</v>
      </c>
      <c r="L862" s="4">
        <v>37.5</v>
      </c>
      <c r="M862" s="4">
        <v>5</v>
      </c>
      <c r="N862" s="4">
        <v>10</v>
      </c>
    </row>
    <row r="863" spans="1:14">
      <c r="A863" s="3">
        <v>810130</v>
      </c>
      <c r="B863" s="3">
        <v>178003</v>
      </c>
      <c r="C863" s="4">
        <v>0</v>
      </c>
      <c r="D863" s="4">
        <v>30</v>
      </c>
      <c r="E863" s="4">
        <v>0</v>
      </c>
      <c r="F863" s="4">
        <v>60</v>
      </c>
      <c r="G863" s="4">
        <v>0</v>
      </c>
      <c r="H863" s="4">
        <v>5</v>
      </c>
      <c r="I863" s="4">
        <v>19</v>
      </c>
      <c r="J863" s="4">
        <v>8</v>
      </c>
      <c r="K863" s="4">
        <v>25</v>
      </c>
      <c r="L863" s="4">
        <v>20</v>
      </c>
      <c r="M863" s="4">
        <v>10</v>
      </c>
      <c r="N863" s="4">
        <v>18.75</v>
      </c>
    </row>
    <row r="864" spans="1:14">
      <c r="A864" s="3">
        <v>810131</v>
      </c>
      <c r="B864" s="3">
        <v>178836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1</v>
      </c>
      <c r="I864" s="4">
        <v>12</v>
      </c>
      <c r="J864" s="4">
        <v>15</v>
      </c>
      <c r="K864" s="4">
        <v>10</v>
      </c>
      <c r="L864" s="4">
        <v>0</v>
      </c>
      <c r="M864" s="4">
        <v>0</v>
      </c>
      <c r="N864" s="4">
        <v>0</v>
      </c>
    </row>
    <row r="865" spans="1:14">
      <c r="A865" s="3">
        <v>810132</v>
      </c>
      <c r="B865" s="3">
        <v>207643</v>
      </c>
      <c r="C865" s="4">
        <v>10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>
      <c r="A866" s="3">
        <v>810155</v>
      </c>
      <c r="B866" s="3">
        <v>149764</v>
      </c>
      <c r="C866" s="4">
        <v>128.5</v>
      </c>
      <c r="D866" s="4">
        <v>86.5</v>
      </c>
      <c r="E866" s="4">
        <v>48</v>
      </c>
      <c r="F866" s="4">
        <v>85</v>
      </c>
      <c r="G866" s="4">
        <v>70</v>
      </c>
      <c r="H866" s="4">
        <v>96.5</v>
      </c>
      <c r="I866" s="4">
        <v>155</v>
      </c>
      <c r="J866" s="4">
        <v>60</v>
      </c>
      <c r="K866" s="4">
        <v>122.5</v>
      </c>
      <c r="L866" s="4">
        <v>60.8</v>
      </c>
      <c r="M866" s="4">
        <v>102.5</v>
      </c>
      <c r="N866" s="4">
        <v>197</v>
      </c>
    </row>
    <row r="867" spans="1:14">
      <c r="A867" s="3">
        <v>810157</v>
      </c>
      <c r="B867" s="3">
        <v>140848</v>
      </c>
      <c r="C867" s="4">
        <v>89</v>
      </c>
      <c r="D867" s="4">
        <v>70</v>
      </c>
      <c r="E867" s="4">
        <v>51</v>
      </c>
      <c r="F867" s="4">
        <v>156.5</v>
      </c>
      <c r="G867" s="4">
        <v>91.5</v>
      </c>
      <c r="H867" s="4">
        <v>96.25</v>
      </c>
      <c r="I867" s="4">
        <v>119</v>
      </c>
      <c r="J867" s="4">
        <v>199</v>
      </c>
      <c r="K867" s="4">
        <v>163.5</v>
      </c>
      <c r="L867" s="4">
        <v>165</v>
      </c>
      <c r="M867" s="4">
        <v>155</v>
      </c>
      <c r="N867" s="4">
        <v>55</v>
      </c>
    </row>
    <row r="868" spans="1:14">
      <c r="A868" s="3">
        <v>810158</v>
      </c>
      <c r="B868" s="3">
        <v>119066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51.4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</row>
    <row r="869" spans="1:14">
      <c r="A869" s="3">
        <v>810159</v>
      </c>
      <c r="B869" s="3">
        <v>172084</v>
      </c>
      <c r="C869" s="4">
        <v>30</v>
      </c>
      <c r="D869" s="4">
        <v>80</v>
      </c>
      <c r="E869" s="4">
        <v>50</v>
      </c>
      <c r="F869" s="4">
        <v>77.5</v>
      </c>
      <c r="G869" s="4">
        <v>70</v>
      </c>
      <c r="H869" s="4">
        <v>41</v>
      </c>
      <c r="I869" s="4">
        <v>80</v>
      </c>
      <c r="J869" s="4">
        <v>40</v>
      </c>
      <c r="K869" s="4">
        <v>50</v>
      </c>
      <c r="L869" s="4">
        <v>45</v>
      </c>
      <c r="M869" s="4">
        <v>55</v>
      </c>
      <c r="N869" s="4">
        <v>61</v>
      </c>
    </row>
    <row r="870" spans="1:14">
      <c r="A870" s="3">
        <v>810182</v>
      </c>
      <c r="B870" s="3">
        <v>140829</v>
      </c>
      <c r="C870" s="4">
        <v>62.5</v>
      </c>
      <c r="D870" s="4">
        <v>110</v>
      </c>
      <c r="E870" s="4">
        <v>54.5</v>
      </c>
      <c r="F870" s="4">
        <v>100</v>
      </c>
      <c r="G870" s="4">
        <v>15</v>
      </c>
      <c r="H870" s="4">
        <v>70</v>
      </c>
      <c r="I870" s="4">
        <v>80</v>
      </c>
      <c r="J870" s="4">
        <v>70</v>
      </c>
      <c r="K870" s="4">
        <v>55</v>
      </c>
      <c r="L870" s="4">
        <v>140</v>
      </c>
      <c r="M870" s="4">
        <v>35</v>
      </c>
      <c r="N870" s="4">
        <v>139.5</v>
      </c>
    </row>
    <row r="871" spans="1:14">
      <c r="A871" s="3">
        <v>810221</v>
      </c>
      <c r="B871" s="3">
        <v>140857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4</v>
      </c>
      <c r="M871" s="4">
        <v>0</v>
      </c>
      <c r="N871" s="4">
        <v>0</v>
      </c>
    </row>
    <row r="872" spans="1:14">
      <c r="A872" s="3">
        <v>810221</v>
      </c>
      <c r="B872" s="3">
        <v>140858</v>
      </c>
      <c r="C872" s="4">
        <v>57.5</v>
      </c>
      <c r="D872" s="4">
        <v>76.5</v>
      </c>
      <c r="E872" s="4">
        <v>45</v>
      </c>
      <c r="F872" s="4">
        <v>46</v>
      </c>
      <c r="G872" s="4">
        <v>55</v>
      </c>
      <c r="H872" s="4">
        <v>57.5</v>
      </c>
      <c r="I872" s="4">
        <v>67</v>
      </c>
      <c r="J872" s="4">
        <v>50</v>
      </c>
      <c r="K872" s="4">
        <v>70</v>
      </c>
      <c r="L872" s="4">
        <v>87</v>
      </c>
      <c r="M872" s="4">
        <v>114</v>
      </c>
      <c r="N872" s="4">
        <v>182</v>
      </c>
    </row>
    <row r="873" spans="1:14">
      <c r="A873" s="3">
        <v>810222</v>
      </c>
      <c r="B873" s="3">
        <v>119263</v>
      </c>
      <c r="C873" s="4">
        <v>37</v>
      </c>
      <c r="D873" s="4">
        <v>27</v>
      </c>
      <c r="E873" s="4">
        <v>35</v>
      </c>
      <c r="F873" s="4">
        <v>90</v>
      </c>
      <c r="G873" s="4">
        <v>44.5</v>
      </c>
      <c r="H873" s="4">
        <v>63</v>
      </c>
      <c r="I873" s="4">
        <v>92</v>
      </c>
      <c r="J873" s="4">
        <v>23</v>
      </c>
      <c r="K873" s="4">
        <v>73</v>
      </c>
      <c r="L873" s="4">
        <v>34.5</v>
      </c>
      <c r="M873" s="4">
        <v>25</v>
      </c>
      <c r="N873" s="4">
        <v>80.5</v>
      </c>
    </row>
    <row r="874" spans="1:14">
      <c r="A874" s="3">
        <v>810223</v>
      </c>
      <c r="B874" s="3">
        <v>177104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25</v>
      </c>
      <c r="K874" s="4">
        <v>24</v>
      </c>
      <c r="L874" s="4">
        <v>60.5</v>
      </c>
      <c r="M874" s="4">
        <v>35</v>
      </c>
      <c r="N874" s="4">
        <v>65.349999999999994</v>
      </c>
    </row>
    <row r="875" spans="1:14">
      <c r="A875" s="3">
        <v>810224</v>
      </c>
      <c r="B875" s="3">
        <v>119028</v>
      </c>
      <c r="C875" s="4">
        <v>0</v>
      </c>
      <c r="D875" s="4">
        <v>0</v>
      </c>
      <c r="E875" s="4">
        <v>0</v>
      </c>
      <c r="F875" s="4">
        <v>52</v>
      </c>
      <c r="G875" s="4">
        <v>15</v>
      </c>
      <c r="H875" s="4">
        <v>0</v>
      </c>
      <c r="I875" s="4">
        <v>16</v>
      </c>
      <c r="J875" s="4">
        <v>50</v>
      </c>
      <c r="K875" s="4">
        <v>25</v>
      </c>
      <c r="L875" s="4">
        <v>0</v>
      </c>
      <c r="M875" s="4">
        <v>41</v>
      </c>
      <c r="N875" s="4">
        <v>93</v>
      </c>
    </row>
    <row r="876" spans="1:14">
      <c r="A876" s="3">
        <v>810225</v>
      </c>
      <c r="B876" s="3">
        <v>176833</v>
      </c>
      <c r="C876" s="4">
        <v>80</v>
      </c>
      <c r="D876" s="4">
        <v>100</v>
      </c>
      <c r="E876" s="4">
        <v>50</v>
      </c>
      <c r="F876" s="4">
        <v>15</v>
      </c>
      <c r="G876" s="4">
        <v>60</v>
      </c>
      <c r="H876" s="4">
        <v>45</v>
      </c>
      <c r="I876" s="4">
        <v>65</v>
      </c>
      <c r="J876" s="4">
        <v>30</v>
      </c>
      <c r="K876" s="4">
        <v>75</v>
      </c>
      <c r="L876" s="4">
        <v>45</v>
      </c>
      <c r="M876" s="4">
        <v>80</v>
      </c>
      <c r="N876" s="4">
        <v>55</v>
      </c>
    </row>
    <row r="877" spans="1:14">
      <c r="A877" s="3">
        <v>810242</v>
      </c>
      <c r="B877" s="3">
        <v>119261</v>
      </c>
      <c r="C877" s="4">
        <v>343.75</v>
      </c>
      <c r="D877" s="4">
        <v>117.25</v>
      </c>
      <c r="E877" s="4">
        <v>141.25</v>
      </c>
      <c r="F877" s="4">
        <v>255.75</v>
      </c>
      <c r="G877" s="4">
        <v>542</v>
      </c>
      <c r="H877" s="4">
        <v>1008.2</v>
      </c>
      <c r="I877" s="4">
        <v>410.5</v>
      </c>
      <c r="J877" s="4">
        <v>333.9</v>
      </c>
      <c r="K877" s="4">
        <v>548.25</v>
      </c>
      <c r="L877" s="4">
        <v>303.75</v>
      </c>
      <c r="M877" s="4">
        <v>300.55</v>
      </c>
      <c r="N877" s="4">
        <v>466.15</v>
      </c>
    </row>
    <row r="878" spans="1:14">
      <c r="A878" s="3">
        <v>810274</v>
      </c>
      <c r="B878" s="3">
        <v>144447</v>
      </c>
      <c r="C878" s="4">
        <v>20</v>
      </c>
      <c r="D878" s="4">
        <v>0</v>
      </c>
      <c r="E878" s="4">
        <v>30</v>
      </c>
      <c r="F878" s="4">
        <v>30</v>
      </c>
      <c r="G878" s="4">
        <v>38.5</v>
      </c>
      <c r="H878" s="4">
        <v>30</v>
      </c>
      <c r="I878" s="4">
        <v>37</v>
      </c>
      <c r="J878" s="4">
        <v>25</v>
      </c>
      <c r="K878" s="4">
        <v>35</v>
      </c>
      <c r="L878" s="4">
        <v>50</v>
      </c>
      <c r="M878" s="4">
        <v>75</v>
      </c>
      <c r="N878" s="4">
        <v>95</v>
      </c>
    </row>
    <row r="879" spans="1:14">
      <c r="A879" s="3">
        <v>810298</v>
      </c>
      <c r="B879" s="3">
        <v>172946</v>
      </c>
      <c r="C879" s="4">
        <v>0</v>
      </c>
      <c r="D879" s="4">
        <v>0</v>
      </c>
      <c r="E879" s="4">
        <v>0</v>
      </c>
      <c r="F879" s="4">
        <v>40</v>
      </c>
      <c r="G879" s="4">
        <v>39</v>
      </c>
      <c r="H879" s="4">
        <v>47.5</v>
      </c>
      <c r="I879" s="4">
        <v>0</v>
      </c>
      <c r="J879" s="4">
        <v>30</v>
      </c>
      <c r="K879" s="4">
        <v>0</v>
      </c>
      <c r="L879" s="4">
        <v>0</v>
      </c>
      <c r="M879" s="4">
        <v>0</v>
      </c>
      <c r="N879" s="4">
        <v>0</v>
      </c>
    </row>
    <row r="880" spans="1:14">
      <c r="A880" s="3">
        <v>810299</v>
      </c>
      <c r="B880" s="3">
        <v>140851</v>
      </c>
      <c r="C880" s="4">
        <v>5.5</v>
      </c>
      <c r="D880" s="4">
        <v>10</v>
      </c>
      <c r="E880" s="4">
        <v>20</v>
      </c>
      <c r="F880" s="4">
        <v>25</v>
      </c>
      <c r="G880" s="4">
        <v>0</v>
      </c>
      <c r="H880" s="4">
        <v>10</v>
      </c>
      <c r="I880" s="4">
        <v>25</v>
      </c>
      <c r="J880" s="4">
        <v>30</v>
      </c>
      <c r="K880" s="4">
        <v>15</v>
      </c>
      <c r="L880" s="4">
        <v>0</v>
      </c>
      <c r="M880" s="4">
        <v>0</v>
      </c>
      <c r="N880" s="4">
        <v>20</v>
      </c>
    </row>
    <row r="881" spans="1:14">
      <c r="A881" s="3">
        <v>810304</v>
      </c>
      <c r="B881" s="3">
        <v>176929</v>
      </c>
      <c r="C881" s="4">
        <v>22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spans="1:14">
      <c r="A882" s="3">
        <v>810305</v>
      </c>
      <c r="B882" s="3">
        <v>140967</v>
      </c>
      <c r="C882" s="4">
        <v>10</v>
      </c>
      <c r="D882" s="4">
        <v>75</v>
      </c>
      <c r="E882" s="4">
        <v>125</v>
      </c>
      <c r="F882" s="4">
        <v>75</v>
      </c>
      <c r="G882" s="4">
        <v>70</v>
      </c>
      <c r="H882" s="4">
        <v>0</v>
      </c>
      <c r="I882" s="4">
        <v>0</v>
      </c>
      <c r="J882" s="4">
        <v>45</v>
      </c>
      <c r="K882" s="4">
        <v>117</v>
      </c>
      <c r="L882" s="4">
        <v>0</v>
      </c>
      <c r="M882" s="4">
        <v>107.5</v>
      </c>
      <c r="N882" s="4">
        <v>32</v>
      </c>
    </row>
    <row r="883" spans="1:14">
      <c r="A883" s="3">
        <v>810324</v>
      </c>
      <c r="B883" s="3">
        <v>175288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60</v>
      </c>
      <c r="L883" s="4">
        <v>55</v>
      </c>
      <c r="M883" s="4">
        <v>40</v>
      </c>
      <c r="N883" s="4">
        <v>70</v>
      </c>
    </row>
    <row r="884" spans="1:14">
      <c r="A884" s="3">
        <v>810348</v>
      </c>
      <c r="B884" s="3">
        <v>176870</v>
      </c>
      <c r="C884" s="4">
        <v>0</v>
      </c>
      <c r="D884" s="4">
        <v>0</v>
      </c>
      <c r="E884" s="4">
        <v>0</v>
      </c>
      <c r="F884" s="4">
        <v>10</v>
      </c>
      <c r="G884" s="4">
        <v>0</v>
      </c>
      <c r="H884" s="4">
        <v>0</v>
      </c>
      <c r="I884" s="4">
        <v>15</v>
      </c>
      <c r="J884" s="4">
        <v>25</v>
      </c>
      <c r="K884" s="4">
        <v>0</v>
      </c>
      <c r="L884" s="4">
        <v>30</v>
      </c>
      <c r="M884" s="4">
        <v>10</v>
      </c>
      <c r="N884" s="4">
        <v>54.5</v>
      </c>
    </row>
    <row r="885" spans="1:14">
      <c r="A885" s="3">
        <v>810376</v>
      </c>
      <c r="B885" s="3">
        <v>146500</v>
      </c>
      <c r="C885" s="4">
        <v>0</v>
      </c>
      <c r="D885" s="4">
        <v>0</v>
      </c>
      <c r="E885" s="4">
        <v>0</v>
      </c>
      <c r="F885" s="4">
        <v>2.5</v>
      </c>
      <c r="G885" s="4">
        <v>15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</row>
    <row r="886" spans="1:14">
      <c r="A886" s="3">
        <v>810377</v>
      </c>
      <c r="B886" s="3">
        <v>119038</v>
      </c>
      <c r="C886" s="4">
        <v>30</v>
      </c>
      <c r="D886" s="4">
        <v>60</v>
      </c>
      <c r="E886" s="4">
        <v>30</v>
      </c>
      <c r="F886" s="4">
        <v>45</v>
      </c>
      <c r="G886" s="4">
        <v>39</v>
      </c>
      <c r="H886" s="4">
        <v>64</v>
      </c>
      <c r="I886" s="4">
        <v>29.5</v>
      </c>
      <c r="J886" s="4">
        <v>15</v>
      </c>
      <c r="K886" s="4">
        <v>45</v>
      </c>
      <c r="L886" s="4">
        <v>29.5</v>
      </c>
      <c r="M886" s="4">
        <v>59</v>
      </c>
      <c r="N886" s="4">
        <v>15</v>
      </c>
    </row>
    <row r="887" spans="1:14">
      <c r="A887" s="3">
        <v>810386</v>
      </c>
      <c r="B887" s="3">
        <v>172946</v>
      </c>
      <c r="C887" s="4">
        <v>0</v>
      </c>
      <c r="D887" s="4">
        <v>50</v>
      </c>
      <c r="E887" s="4">
        <v>60</v>
      </c>
      <c r="F887" s="4">
        <v>41.9</v>
      </c>
      <c r="G887" s="4">
        <v>61</v>
      </c>
      <c r="H887" s="4">
        <v>50</v>
      </c>
      <c r="I887" s="4">
        <v>45</v>
      </c>
      <c r="J887" s="4">
        <v>45</v>
      </c>
      <c r="K887" s="4">
        <v>55</v>
      </c>
      <c r="L887" s="4">
        <v>20</v>
      </c>
      <c r="M887" s="4">
        <v>0</v>
      </c>
      <c r="N887" s="4">
        <v>0</v>
      </c>
    </row>
    <row r="888" spans="1:14">
      <c r="A888" s="3">
        <v>810387</v>
      </c>
      <c r="B888" s="3">
        <v>142843</v>
      </c>
      <c r="C888" s="4">
        <v>25</v>
      </c>
      <c r="D888" s="4">
        <v>21</v>
      </c>
      <c r="E888" s="4">
        <v>91</v>
      </c>
      <c r="F888" s="4">
        <v>15</v>
      </c>
      <c r="G888" s="4">
        <v>129</v>
      </c>
      <c r="H888" s="4">
        <v>67.55</v>
      </c>
      <c r="I888" s="4">
        <v>50</v>
      </c>
      <c r="J888" s="4">
        <v>10</v>
      </c>
      <c r="K888" s="4">
        <v>0</v>
      </c>
      <c r="L888" s="4">
        <v>48</v>
      </c>
      <c r="M888" s="4">
        <v>23</v>
      </c>
      <c r="N888" s="4">
        <v>1</v>
      </c>
    </row>
    <row r="889" spans="1:14">
      <c r="A889" s="3">
        <v>810434</v>
      </c>
      <c r="B889" s="3">
        <v>174166</v>
      </c>
      <c r="C889" s="4">
        <v>15</v>
      </c>
      <c r="D889" s="4">
        <v>20</v>
      </c>
      <c r="E889" s="4">
        <v>55</v>
      </c>
      <c r="F889" s="4">
        <v>52.5</v>
      </c>
      <c r="G889" s="4">
        <v>42.5</v>
      </c>
      <c r="H889" s="4">
        <v>57.5</v>
      </c>
      <c r="I889" s="4">
        <v>20</v>
      </c>
      <c r="J889" s="4">
        <v>111</v>
      </c>
      <c r="K889" s="4">
        <v>50</v>
      </c>
      <c r="L889" s="4">
        <v>43</v>
      </c>
      <c r="M889" s="4">
        <v>50</v>
      </c>
      <c r="N889" s="4">
        <v>95</v>
      </c>
    </row>
    <row r="890" spans="1:14">
      <c r="A890" s="3">
        <v>810435</v>
      </c>
      <c r="B890" s="3">
        <v>178661</v>
      </c>
      <c r="C890" s="4">
        <v>0</v>
      </c>
      <c r="D890" s="4">
        <v>15</v>
      </c>
      <c r="E890" s="4">
        <v>20</v>
      </c>
      <c r="F890" s="4">
        <v>12</v>
      </c>
      <c r="G890" s="4">
        <v>45</v>
      </c>
      <c r="H890" s="4">
        <v>25</v>
      </c>
      <c r="I890" s="4">
        <v>25</v>
      </c>
      <c r="J890" s="4">
        <v>10</v>
      </c>
      <c r="K890" s="4">
        <v>10</v>
      </c>
      <c r="L890" s="4">
        <v>10</v>
      </c>
      <c r="M890" s="4">
        <v>10</v>
      </c>
      <c r="N890" s="4">
        <v>10</v>
      </c>
    </row>
    <row r="891" spans="1:14">
      <c r="A891" s="3">
        <v>810480</v>
      </c>
      <c r="B891" s="3">
        <v>141115</v>
      </c>
      <c r="C891" s="4">
        <v>27.4</v>
      </c>
      <c r="D891" s="4">
        <v>26.5</v>
      </c>
      <c r="E891" s="4">
        <v>48.5</v>
      </c>
      <c r="F891" s="4">
        <v>60.5</v>
      </c>
      <c r="G891" s="4">
        <v>23.5</v>
      </c>
      <c r="H891" s="4">
        <v>0</v>
      </c>
      <c r="I891" s="4">
        <v>0</v>
      </c>
      <c r="J891" s="4">
        <v>30</v>
      </c>
      <c r="K891" s="4">
        <v>30</v>
      </c>
      <c r="L891" s="4">
        <v>0</v>
      </c>
      <c r="M891" s="4">
        <v>0</v>
      </c>
      <c r="N891" s="4">
        <v>0</v>
      </c>
    </row>
    <row r="892" spans="1:14">
      <c r="A892" s="3">
        <v>810481</v>
      </c>
      <c r="B892" s="3">
        <v>172497</v>
      </c>
      <c r="C892" s="4">
        <v>21</v>
      </c>
      <c r="D892" s="4">
        <v>0</v>
      </c>
      <c r="E892" s="4">
        <v>20</v>
      </c>
      <c r="F892" s="4">
        <v>0</v>
      </c>
      <c r="G892" s="4">
        <v>0</v>
      </c>
      <c r="H892" s="4">
        <v>6</v>
      </c>
      <c r="I892" s="4">
        <v>0</v>
      </c>
      <c r="J892" s="4">
        <v>10</v>
      </c>
      <c r="K892" s="4">
        <v>0</v>
      </c>
      <c r="L892" s="4">
        <v>10</v>
      </c>
      <c r="M892" s="4">
        <v>0</v>
      </c>
      <c r="N892" s="4">
        <v>20.3</v>
      </c>
    </row>
    <row r="893" spans="1:14">
      <c r="A893" s="3">
        <v>810510</v>
      </c>
      <c r="B893" s="3">
        <v>174034</v>
      </c>
      <c r="C893" s="4">
        <v>0</v>
      </c>
      <c r="D893" s="4">
        <v>10</v>
      </c>
      <c r="E893" s="4">
        <v>0</v>
      </c>
      <c r="F893" s="4">
        <v>0</v>
      </c>
      <c r="G893" s="4">
        <v>12.5</v>
      </c>
      <c r="H893" s="4">
        <v>30</v>
      </c>
      <c r="I893" s="4">
        <v>10</v>
      </c>
      <c r="J893" s="4">
        <v>0</v>
      </c>
      <c r="K893" s="4">
        <v>25</v>
      </c>
      <c r="L893" s="4">
        <v>15</v>
      </c>
      <c r="M893" s="4">
        <v>55</v>
      </c>
      <c r="N893" s="4">
        <v>55</v>
      </c>
    </row>
    <row r="894" spans="1:14">
      <c r="A894" s="3">
        <v>810511</v>
      </c>
      <c r="B894" s="3">
        <v>119044</v>
      </c>
      <c r="C894" s="4">
        <v>45</v>
      </c>
      <c r="D894" s="4">
        <v>126</v>
      </c>
      <c r="E894" s="4">
        <v>160</v>
      </c>
      <c r="F894" s="4">
        <v>105</v>
      </c>
      <c r="G894" s="4">
        <v>60</v>
      </c>
      <c r="H894" s="4">
        <v>122.85</v>
      </c>
      <c r="I894" s="4">
        <v>67</v>
      </c>
      <c r="J894" s="4">
        <v>20</v>
      </c>
      <c r="K894" s="4">
        <v>65</v>
      </c>
      <c r="L894" s="4">
        <v>20</v>
      </c>
      <c r="M894" s="4">
        <v>290</v>
      </c>
      <c r="N894" s="4">
        <v>172.5</v>
      </c>
    </row>
    <row r="895" spans="1:14">
      <c r="A895" s="3">
        <v>810512</v>
      </c>
      <c r="B895" s="3">
        <v>119028</v>
      </c>
      <c r="C895" s="4">
        <v>37.5</v>
      </c>
      <c r="D895" s="4">
        <v>0</v>
      </c>
      <c r="E895" s="4">
        <v>62</v>
      </c>
      <c r="F895" s="4">
        <v>56</v>
      </c>
      <c r="G895" s="4">
        <v>26</v>
      </c>
      <c r="H895" s="4">
        <v>2.25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31</v>
      </c>
    </row>
    <row r="896" spans="1:14">
      <c r="A896" s="3">
        <v>810513</v>
      </c>
      <c r="B896" s="3">
        <v>176833</v>
      </c>
      <c r="C896" s="4">
        <v>60</v>
      </c>
      <c r="D896" s="4">
        <v>120</v>
      </c>
      <c r="E896" s="4">
        <v>85</v>
      </c>
      <c r="F896" s="4">
        <v>70</v>
      </c>
      <c r="G896" s="4">
        <v>105</v>
      </c>
      <c r="H896" s="4">
        <v>45</v>
      </c>
      <c r="I896" s="4">
        <v>105</v>
      </c>
      <c r="J896" s="4">
        <v>45</v>
      </c>
      <c r="K896" s="4">
        <v>60</v>
      </c>
      <c r="L896" s="4">
        <v>110</v>
      </c>
      <c r="M896" s="4">
        <v>60</v>
      </c>
      <c r="N896" s="4">
        <v>135</v>
      </c>
    </row>
    <row r="897" spans="1:14">
      <c r="A897" s="3">
        <v>810533</v>
      </c>
      <c r="B897" s="3">
        <v>178724</v>
      </c>
      <c r="C897" s="4">
        <v>0</v>
      </c>
      <c r="D897" s="4">
        <v>0</v>
      </c>
      <c r="E897" s="4">
        <v>19</v>
      </c>
      <c r="F897" s="4">
        <v>40</v>
      </c>
      <c r="G897" s="4">
        <v>0</v>
      </c>
      <c r="H897" s="4">
        <v>0</v>
      </c>
      <c r="I897" s="4">
        <v>0</v>
      </c>
      <c r="J897" s="4">
        <v>0</v>
      </c>
      <c r="K897" s="4">
        <v>10</v>
      </c>
      <c r="L897" s="4">
        <v>10</v>
      </c>
      <c r="M897" s="4">
        <v>0</v>
      </c>
      <c r="N897" s="4">
        <v>0</v>
      </c>
    </row>
    <row r="898" spans="1:14">
      <c r="A898" s="3">
        <v>810558</v>
      </c>
      <c r="B898" s="3">
        <v>141115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51</v>
      </c>
      <c r="N898" s="4">
        <v>93.5</v>
      </c>
    </row>
    <row r="899" spans="1:14">
      <c r="A899" s="3">
        <v>810559</v>
      </c>
      <c r="B899" s="3">
        <v>145353</v>
      </c>
      <c r="C899" s="4">
        <v>105</v>
      </c>
      <c r="D899" s="4">
        <v>102</v>
      </c>
      <c r="E899" s="4">
        <v>70</v>
      </c>
      <c r="F899" s="4">
        <v>111.5</v>
      </c>
      <c r="G899" s="4">
        <v>0</v>
      </c>
      <c r="H899" s="4">
        <v>0</v>
      </c>
      <c r="I899" s="4">
        <v>0</v>
      </c>
      <c r="J899" s="4">
        <v>30</v>
      </c>
      <c r="K899" s="4">
        <v>85</v>
      </c>
      <c r="L899" s="4">
        <v>60</v>
      </c>
      <c r="M899" s="4">
        <v>80</v>
      </c>
      <c r="N899" s="4">
        <v>70</v>
      </c>
    </row>
    <row r="900" spans="1:14">
      <c r="A900" s="3">
        <v>810560</v>
      </c>
      <c r="B900" s="3">
        <v>142332</v>
      </c>
      <c r="C900" s="4">
        <v>15</v>
      </c>
      <c r="D900" s="4">
        <v>52.5</v>
      </c>
      <c r="E900" s="4">
        <v>80</v>
      </c>
      <c r="F900" s="4">
        <v>70</v>
      </c>
      <c r="G900" s="4">
        <v>65</v>
      </c>
      <c r="H900" s="4">
        <v>47.5</v>
      </c>
      <c r="I900" s="4">
        <v>40</v>
      </c>
      <c r="J900" s="4">
        <v>10</v>
      </c>
      <c r="K900" s="4">
        <v>12.5</v>
      </c>
      <c r="L900" s="4">
        <v>75</v>
      </c>
      <c r="M900" s="4">
        <v>90</v>
      </c>
      <c r="N900" s="4">
        <v>30</v>
      </c>
    </row>
    <row r="901" spans="1:14">
      <c r="A901" s="3">
        <v>810583</v>
      </c>
      <c r="B901" s="3">
        <v>140958</v>
      </c>
      <c r="C901" s="4">
        <v>10</v>
      </c>
      <c r="D901" s="4">
        <v>20</v>
      </c>
      <c r="E901" s="4">
        <v>10</v>
      </c>
      <c r="F901" s="4">
        <v>52.5</v>
      </c>
      <c r="G901" s="4">
        <v>30.5</v>
      </c>
      <c r="H901" s="4">
        <v>0</v>
      </c>
      <c r="I901" s="4">
        <v>10</v>
      </c>
      <c r="J901" s="4">
        <v>0</v>
      </c>
      <c r="K901" s="4">
        <v>15</v>
      </c>
      <c r="L901" s="4">
        <v>10</v>
      </c>
      <c r="M901" s="4">
        <v>30</v>
      </c>
      <c r="N901" s="4">
        <v>35</v>
      </c>
    </row>
    <row r="902" spans="1:14">
      <c r="A902" s="3">
        <v>810584</v>
      </c>
      <c r="B902" s="3">
        <v>145394</v>
      </c>
      <c r="C902" s="4">
        <v>27.5</v>
      </c>
      <c r="D902" s="4">
        <v>43</v>
      </c>
      <c r="E902" s="4">
        <v>100</v>
      </c>
      <c r="F902" s="4">
        <v>24</v>
      </c>
      <c r="G902" s="4">
        <v>74.5</v>
      </c>
      <c r="H902" s="4">
        <v>45</v>
      </c>
      <c r="I902" s="4">
        <v>35</v>
      </c>
      <c r="J902" s="4">
        <v>14.45</v>
      </c>
      <c r="K902" s="4">
        <v>65</v>
      </c>
      <c r="L902" s="4">
        <v>45</v>
      </c>
      <c r="M902" s="4">
        <v>30</v>
      </c>
      <c r="N902" s="4">
        <v>15</v>
      </c>
    </row>
    <row r="903" spans="1:14">
      <c r="A903" s="3">
        <v>810595</v>
      </c>
      <c r="B903" s="3">
        <v>176641</v>
      </c>
      <c r="C903" s="4">
        <v>20</v>
      </c>
      <c r="D903" s="4">
        <v>84.5</v>
      </c>
      <c r="E903" s="4">
        <v>64</v>
      </c>
      <c r="F903" s="4">
        <v>93.5</v>
      </c>
      <c r="G903" s="4">
        <v>76.3</v>
      </c>
      <c r="H903" s="4">
        <v>54</v>
      </c>
      <c r="I903" s="4">
        <v>26.75</v>
      </c>
      <c r="J903" s="4">
        <v>19.75</v>
      </c>
      <c r="K903" s="4">
        <v>23.25</v>
      </c>
      <c r="L903" s="4">
        <v>10</v>
      </c>
      <c r="M903" s="4">
        <v>43</v>
      </c>
      <c r="N903" s="4">
        <v>40</v>
      </c>
    </row>
    <row r="904" spans="1:14">
      <c r="A904" s="3">
        <v>810596</v>
      </c>
      <c r="B904" s="3">
        <v>176693</v>
      </c>
      <c r="C904" s="4">
        <v>0</v>
      </c>
      <c r="D904" s="4">
        <v>0</v>
      </c>
      <c r="E904" s="4">
        <v>65</v>
      </c>
      <c r="F904" s="4">
        <v>55</v>
      </c>
      <c r="G904" s="4">
        <v>23.75</v>
      </c>
      <c r="H904" s="4">
        <v>75</v>
      </c>
      <c r="I904" s="4">
        <v>53</v>
      </c>
      <c r="J904" s="4">
        <v>35</v>
      </c>
      <c r="K904" s="4">
        <v>59.5</v>
      </c>
      <c r="L904" s="4">
        <v>98</v>
      </c>
      <c r="M904" s="4">
        <v>37</v>
      </c>
      <c r="N904" s="4">
        <v>40</v>
      </c>
    </row>
    <row r="905" spans="1:14">
      <c r="A905" s="3">
        <v>810597</v>
      </c>
      <c r="B905" s="3">
        <v>176693</v>
      </c>
      <c r="C905" s="4">
        <v>0</v>
      </c>
      <c r="D905" s="4">
        <v>10</v>
      </c>
      <c r="E905" s="4">
        <v>30</v>
      </c>
      <c r="F905" s="4">
        <v>1</v>
      </c>
      <c r="G905" s="4">
        <v>16</v>
      </c>
      <c r="H905" s="4">
        <v>10</v>
      </c>
      <c r="I905" s="4">
        <v>0</v>
      </c>
      <c r="J905" s="4">
        <v>15</v>
      </c>
      <c r="K905" s="4">
        <v>5</v>
      </c>
      <c r="L905" s="4">
        <v>0</v>
      </c>
      <c r="M905" s="4">
        <v>25</v>
      </c>
      <c r="N905" s="4">
        <v>30</v>
      </c>
    </row>
    <row r="906" spans="1:14">
      <c r="A906" s="3">
        <v>810647</v>
      </c>
      <c r="B906" s="3">
        <v>170617</v>
      </c>
      <c r="C906" s="4">
        <v>67</v>
      </c>
      <c r="D906" s="4">
        <v>70</v>
      </c>
      <c r="E906" s="4">
        <v>73.599999999999994</v>
      </c>
      <c r="F906" s="4">
        <v>129</v>
      </c>
      <c r="G906" s="4">
        <v>187.65</v>
      </c>
      <c r="H906" s="4">
        <v>109.1</v>
      </c>
      <c r="I906" s="4">
        <v>82</v>
      </c>
      <c r="J906" s="4">
        <v>70</v>
      </c>
      <c r="K906" s="4">
        <v>220.5</v>
      </c>
      <c r="L906" s="4">
        <v>197.9</v>
      </c>
      <c r="M906" s="4">
        <v>154.5</v>
      </c>
      <c r="N906" s="4">
        <v>344</v>
      </c>
    </row>
    <row r="907" spans="1:14">
      <c r="A907" s="3">
        <v>810648</v>
      </c>
      <c r="B907" s="3">
        <v>140481</v>
      </c>
      <c r="C907" s="4">
        <v>10</v>
      </c>
      <c r="D907" s="4">
        <v>15</v>
      </c>
      <c r="E907" s="4">
        <v>20</v>
      </c>
      <c r="F907" s="4">
        <v>0</v>
      </c>
      <c r="G907" s="4">
        <v>20</v>
      </c>
      <c r="H907" s="4">
        <v>0</v>
      </c>
      <c r="I907" s="4">
        <v>7.5</v>
      </c>
      <c r="J907" s="4">
        <v>10</v>
      </c>
      <c r="K907" s="4">
        <v>0</v>
      </c>
      <c r="L907" s="4">
        <v>0</v>
      </c>
      <c r="M907" s="4">
        <v>0</v>
      </c>
      <c r="N907" s="4">
        <v>10</v>
      </c>
    </row>
    <row r="908" spans="1:14">
      <c r="A908" s="3">
        <v>810653</v>
      </c>
      <c r="B908" s="3">
        <v>142843</v>
      </c>
      <c r="C908" s="4">
        <v>67</v>
      </c>
      <c r="D908" s="4">
        <v>30</v>
      </c>
      <c r="E908" s="4">
        <v>50.5</v>
      </c>
      <c r="F908" s="4">
        <v>42.5</v>
      </c>
      <c r="G908" s="4">
        <v>56.5</v>
      </c>
      <c r="H908" s="4">
        <v>55</v>
      </c>
      <c r="I908" s="4">
        <v>25</v>
      </c>
      <c r="J908" s="4">
        <v>40</v>
      </c>
      <c r="K908" s="4">
        <v>10</v>
      </c>
      <c r="L908" s="4">
        <v>73.5</v>
      </c>
      <c r="M908" s="4">
        <v>69</v>
      </c>
      <c r="N908" s="4">
        <v>51</v>
      </c>
    </row>
    <row r="909" spans="1:14">
      <c r="A909" s="3">
        <v>810683</v>
      </c>
      <c r="B909" s="3">
        <v>178661</v>
      </c>
      <c r="C909" s="4">
        <v>20</v>
      </c>
      <c r="D909" s="4">
        <v>25</v>
      </c>
      <c r="E909" s="4">
        <v>46</v>
      </c>
      <c r="F909" s="4">
        <v>78</v>
      </c>
      <c r="G909" s="4">
        <v>60</v>
      </c>
      <c r="H909" s="4">
        <v>85</v>
      </c>
      <c r="I909" s="4">
        <v>50</v>
      </c>
      <c r="J909" s="4">
        <v>53</v>
      </c>
      <c r="K909" s="4">
        <v>89</v>
      </c>
      <c r="L909" s="4">
        <v>85</v>
      </c>
      <c r="M909" s="4">
        <v>20</v>
      </c>
      <c r="N909" s="4">
        <v>95.5</v>
      </c>
    </row>
    <row r="910" spans="1:14">
      <c r="A910" s="3">
        <v>810684</v>
      </c>
      <c r="B910" s="3">
        <v>119261</v>
      </c>
      <c r="C910" s="4">
        <v>0</v>
      </c>
      <c r="D910" s="4">
        <v>0</v>
      </c>
      <c r="E910" s="4">
        <v>0</v>
      </c>
      <c r="F910" s="4">
        <v>11</v>
      </c>
      <c r="G910" s="4">
        <v>0</v>
      </c>
      <c r="H910" s="4">
        <v>0</v>
      </c>
      <c r="I910" s="4">
        <v>31</v>
      </c>
      <c r="J910" s="4">
        <v>0</v>
      </c>
      <c r="K910" s="4">
        <v>21</v>
      </c>
      <c r="L910" s="4">
        <v>0</v>
      </c>
      <c r="M910" s="4">
        <v>0</v>
      </c>
      <c r="N910" s="4">
        <v>0</v>
      </c>
    </row>
    <row r="911" spans="1:14">
      <c r="A911" s="3">
        <v>810685</v>
      </c>
      <c r="B911" s="3">
        <v>119208</v>
      </c>
      <c r="C911" s="4">
        <v>45</v>
      </c>
      <c r="D911" s="4">
        <v>186</v>
      </c>
      <c r="E911" s="4">
        <v>0</v>
      </c>
      <c r="F911" s="4">
        <v>111.5</v>
      </c>
      <c r="G911" s="4">
        <v>45</v>
      </c>
      <c r="H911" s="4">
        <v>45</v>
      </c>
      <c r="I911" s="4">
        <v>0</v>
      </c>
      <c r="J911" s="4">
        <v>0</v>
      </c>
      <c r="K911" s="4">
        <v>129.5</v>
      </c>
      <c r="L911" s="4">
        <v>0</v>
      </c>
      <c r="M911" s="4">
        <v>35</v>
      </c>
      <c r="N911" s="4">
        <v>4</v>
      </c>
    </row>
    <row r="912" spans="1:14">
      <c r="A912" s="3">
        <v>810686</v>
      </c>
      <c r="B912" s="3">
        <v>178661</v>
      </c>
      <c r="C912" s="4">
        <v>25</v>
      </c>
      <c r="D912" s="4">
        <v>55</v>
      </c>
      <c r="E912" s="4">
        <v>45</v>
      </c>
      <c r="F912" s="4">
        <v>70</v>
      </c>
      <c r="G912" s="4">
        <v>109.6</v>
      </c>
      <c r="H912" s="4">
        <v>54.5</v>
      </c>
      <c r="I912" s="4">
        <v>55</v>
      </c>
      <c r="J912" s="4">
        <v>30</v>
      </c>
      <c r="K912" s="4">
        <v>63</v>
      </c>
      <c r="L912" s="4">
        <v>77</v>
      </c>
      <c r="M912" s="4">
        <v>30</v>
      </c>
      <c r="N912" s="4">
        <v>60</v>
      </c>
    </row>
    <row r="913" spans="1:14">
      <c r="A913" s="3">
        <v>810700</v>
      </c>
      <c r="B913" s="3">
        <v>119154</v>
      </c>
      <c r="C913" s="4">
        <v>0</v>
      </c>
      <c r="D913" s="4">
        <v>15</v>
      </c>
      <c r="E913" s="4">
        <v>40</v>
      </c>
      <c r="F913" s="4">
        <v>15</v>
      </c>
      <c r="G913" s="4">
        <v>2.5</v>
      </c>
      <c r="H913" s="4">
        <v>0</v>
      </c>
      <c r="I913" s="4">
        <v>0</v>
      </c>
      <c r="J913" s="4">
        <v>0</v>
      </c>
      <c r="K913" s="4">
        <v>35</v>
      </c>
      <c r="L913" s="4">
        <v>0</v>
      </c>
      <c r="M913" s="4">
        <v>50</v>
      </c>
      <c r="N913" s="4">
        <v>37</v>
      </c>
    </row>
    <row r="914" spans="1:14">
      <c r="A914" s="3">
        <v>810734</v>
      </c>
      <c r="B914" s="3">
        <v>119065</v>
      </c>
      <c r="C914" s="4">
        <v>0</v>
      </c>
      <c r="D914" s="4">
        <v>0</v>
      </c>
      <c r="E914" s="4">
        <v>0</v>
      </c>
      <c r="F914" s="4">
        <v>0</v>
      </c>
      <c r="G914" s="4">
        <v>67.5</v>
      </c>
      <c r="H914" s="4">
        <v>42.5</v>
      </c>
      <c r="I914" s="4">
        <v>60</v>
      </c>
      <c r="J914" s="4">
        <v>70.75</v>
      </c>
      <c r="K914" s="4">
        <v>41.25</v>
      </c>
      <c r="L914" s="4">
        <v>37.5</v>
      </c>
      <c r="M914" s="4">
        <v>70</v>
      </c>
      <c r="N914" s="4">
        <v>139.1</v>
      </c>
    </row>
    <row r="915" spans="1:14">
      <c r="A915" s="3">
        <v>810741</v>
      </c>
      <c r="B915" s="3">
        <v>172597</v>
      </c>
      <c r="C915" s="4">
        <v>43</v>
      </c>
      <c r="D915" s="4">
        <v>0</v>
      </c>
      <c r="E915" s="4">
        <v>0</v>
      </c>
      <c r="F915" s="4">
        <v>20</v>
      </c>
      <c r="G915" s="4">
        <v>27.5</v>
      </c>
      <c r="H915" s="4">
        <v>40</v>
      </c>
      <c r="I915" s="4">
        <v>35</v>
      </c>
      <c r="J915" s="4">
        <v>15</v>
      </c>
      <c r="K915" s="4">
        <v>51</v>
      </c>
      <c r="L915" s="4">
        <v>15</v>
      </c>
      <c r="M915" s="4">
        <v>10</v>
      </c>
      <c r="N915" s="4">
        <v>104</v>
      </c>
    </row>
    <row r="916" spans="1:14">
      <c r="A916" s="3">
        <v>810751</v>
      </c>
      <c r="B916" s="3">
        <v>176870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21</v>
      </c>
      <c r="K916" s="4">
        <v>0</v>
      </c>
      <c r="L916" s="4">
        <v>5</v>
      </c>
      <c r="M916" s="4">
        <v>7.5</v>
      </c>
      <c r="N916" s="4">
        <v>5</v>
      </c>
    </row>
    <row r="917" spans="1:14">
      <c r="A917" s="3">
        <v>810756</v>
      </c>
      <c r="B917" s="3">
        <v>208329</v>
      </c>
      <c r="C917" s="4">
        <v>0</v>
      </c>
      <c r="D917" s="4">
        <v>0</v>
      </c>
      <c r="E917" s="4">
        <v>24.9</v>
      </c>
      <c r="F917" s="4">
        <v>41</v>
      </c>
      <c r="G917" s="4">
        <v>31.3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</row>
    <row r="918" spans="1:14">
      <c r="A918" s="3">
        <v>810762</v>
      </c>
      <c r="B918" s="3">
        <v>119044</v>
      </c>
      <c r="C918" s="4">
        <v>17.5</v>
      </c>
      <c r="D918" s="4">
        <v>40</v>
      </c>
      <c r="E918" s="4">
        <v>28.5</v>
      </c>
      <c r="F918" s="4">
        <v>62.5</v>
      </c>
      <c r="G918" s="4">
        <v>2</v>
      </c>
      <c r="H918" s="4">
        <v>0</v>
      </c>
      <c r="I918" s="4">
        <v>0</v>
      </c>
      <c r="J918" s="4">
        <v>12</v>
      </c>
      <c r="K918" s="4">
        <v>27.5</v>
      </c>
      <c r="L918" s="4">
        <v>60</v>
      </c>
      <c r="M918" s="4">
        <v>20</v>
      </c>
      <c r="N918" s="4">
        <v>92.5</v>
      </c>
    </row>
    <row r="919" spans="1:14">
      <c r="A919" s="3">
        <v>810798</v>
      </c>
      <c r="B919" s="3">
        <v>119031</v>
      </c>
      <c r="C919" s="4">
        <v>81.5</v>
      </c>
      <c r="D919" s="4">
        <v>95.75</v>
      </c>
      <c r="E919" s="4">
        <v>152.5</v>
      </c>
      <c r="F919" s="4">
        <v>110.9</v>
      </c>
      <c r="G919" s="4">
        <v>92</v>
      </c>
      <c r="H919" s="4">
        <v>133</v>
      </c>
      <c r="I919" s="4">
        <v>95</v>
      </c>
      <c r="J919" s="4">
        <v>153.25</v>
      </c>
      <c r="K919" s="4">
        <v>179.5</v>
      </c>
      <c r="L919" s="4">
        <v>75</v>
      </c>
      <c r="M919" s="4">
        <v>107.75</v>
      </c>
      <c r="N919" s="4">
        <v>96.5</v>
      </c>
    </row>
    <row r="920" spans="1:14">
      <c r="A920" s="3">
        <v>810799</v>
      </c>
      <c r="B920" s="3">
        <v>206219</v>
      </c>
      <c r="C920" s="4">
        <v>42</v>
      </c>
      <c r="D920" s="4">
        <v>43.5</v>
      </c>
      <c r="E920" s="4">
        <v>42</v>
      </c>
      <c r="F920" s="4">
        <v>24</v>
      </c>
      <c r="G920" s="4">
        <v>42</v>
      </c>
      <c r="H920" s="4">
        <v>45.05</v>
      </c>
      <c r="I920" s="4">
        <v>5.5</v>
      </c>
      <c r="J920" s="4">
        <v>23</v>
      </c>
      <c r="K920" s="4">
        <v>59</v>
      </c>
      <c r="L920" s="4">
        <v>0</v>
      </c>
      <c r="M920" s="4">
        <v>85</v>
      </c>
      <c r="N920" s="4">
        <v>30</v>
      </c>
    </row>
    <row r="921" spans="1:14">
      <c r="A921" s="3">
        <v>810821</v>
      </c>
      <c r="B921" s="3">
        <v>141512</v>
      </c>
      <c r="C921" s="4">
        <v>10</v>
      </c>
      <c r="D921" s="4">
        <v>3</v>
      </c>
      <c r="E921" s="4">
        <v>50</v>
      </c>
      <c r="F921" s="4">
        <v>51</v>
      </c>
      <c r="G921" s="4">
        <v>22.5</v>
      </c>
      <c r="H921" s="4">
        <v>25</v>
      </c>
      <c r="I921" s="4">
        <v>31</v>
      </c>
      <c r="J921" s="4">
        <v>40</v>
      </c>
      <c r="K921" s="4">
        <v>50</v>
      </c>
      <c r="L921" s="4">
        <v>20</v>
      </c>
      <c r="M921" s="4">
        <v>45</v>
      </c>
      <c r="N921" s="4">
        <v>76</v>
      </c>
    </row>
    <row r="922" spans="1:14">
      <c r="A922" s="3">
        <v>810830</v>
      </c>
      <c r="B922" s="3">
        <v>119261</v>
      </c>
      <c r="C922" s="4">
        <v>30</v>
      </c>
      <c r="D922" s="4">
        <v>0</v>
      </c>
      <c r="E922" s="4">
        <v>0</v>
      </c>
      <c r="F922" s="4">
        <v>16.5</v>
      </c>
      <c r="G922" s="4">
        <v>21</v>
      </c>
      <c r="H922" s="4">
        <v>22.5</v>
      </c>
      <c r="I922" s="4">
        <v>0</v>
      </c>
      <c r="J922" s="4">
        <v>21</v>
      </c>
      <c r="K922" s="4">
        <v>51</v>
      </c>
      <c r="L922" s="4">
        <v>50</v>
      </c>
      <c r="M922" s="4">
        <v>0</v>
      </c>
      <c r="N922" s="4">
        <v>0</v>
      </c>
    </row>
    <row r="923" spans="1:14">
      <c r="A923" s="3">
        <v>810839</v>
      </c>
      <c r="B923" s="3">
        <v>122377</v>
      </c>
      <c r="C923" s="4">
        <v>103</v>
      </c>
      <c r="D923" s="4">
        <v>171</v>
      </c>
      <c r="E923" s="4">
        <v>190</v>
      </c>
      <c r="F923" s="4">
        <v>155</v>
      </c>
      <c r="G923" s="4">
        <v>95</v>
      </c>
      <c r="H923" s="4">
        <v>85</v>
      </c>
      <c r="I923" s="4">
        <v>80</v>
      </c>
      <c r="J923" s="4">
        <v>55</v>
      </c>
      <c r="K923" s="4">
        <v>177</v>
      </c>
      <c r="L923" s="4">
        <v>178.5</v>
      </c>
      <c r="M923" s="4">
        <v>196</v>
      </c>
      <c r="N923" s="4">
        <v>140</v>
      </c>
    </row>
    <row r="924" spans="1:14">
      <c r="A924" s="3">
        <v>810840</v>
      </c>
      <c r="B924" s="3">
        <v>119026</v>
      </c>
      <c r="C924" s="4">
        <v>104</v>
      </c>
      <c r="D924" s="4">
        <v>52.55</v>
      </c>
      <c r="E924" s="4">
        <v>156.25</v>
      </c>
      <c r="F924" s="4">
        <v>151.49999999999997</v>
      </c>
      <c r="G924" s="4">
        <v>105</v>
      </c>
      <c r="H924" s="4">
        <v>145</v>
      </c>
      <c r="I924" s="4">
        <v>50</v>
      </c>
      <c r="J924" s="4">
        <v>45</v>
      </c>
      <c r="K924" s="4">
        <v>57.65</v>
      </c>
      <c r="L924" s="4">
        <v>30</v>
      </c>
      <c r="M924" s="4">
        <v>111</v>
      </c>
      <c r="N924" s="4">
        <v>119.5</v>
      </c>
    </row>
    <row r="925" spans="1:14">
      <c r="A925" s="3">
        <v>810841</v>
      </c>
      <c r="B925" s="3">
        <v>179755</v>
      </c>
      <c r="C925" s="4">
        <v>20</v>
      </c>
      <c r="D925" s="4">
        <v>35</v>
      </c>
      <c r="E925" s="4">
        <v>55</v>
      </c>
      <c r="F925" s="4">
        <v>75</v>
      </c>
      <c r="G925" s="4">
        <v>77</v>
      </c>
      <c r="H925" s="4">
        <v>40</v>
      </c>
      <c r="I925" s="4">
        <v>55</v>
      </c>
      <c r="J925" s="4">
        <v>35</v>
      </c>
      <c r="K925" s="4">
        <v>68</v>
      </c>
      <c r="L925" s="4">
        <v>60</v>
      </c>
      <c r="M925" s="4">
        <v>89</v>
      </c>
      <c r="N925" s="4">
        <v>49</v>
      </c>
    </row>
    <row r="926" spans="1:14">
      <c r="A926" s="3">
        <v>810843</v>
      </c>
      <c r="B926" s="3">
        <v>176773</v>
      </c>
      <c r="C926" s="4">
        <v>14.5</v>
      </c>
      <c r="D926" s="4">
        <v>17.5</v>
      </c>
      <c r="E926" s="4">
        <v>42.5</v>
      </c>
      <c r="F926" s="4">
        <v>63.5</v>
      </c>
      <c r="G926" s="4">
        <v>42.25</v>
      </c>
      <c r="H926" s="4">
        <v>22.5</v>
      </c>
      <c r="I926" s="4">
        <v>32</v>
      </c>
      <c r="J926" s="4">
        <v>15</v>
      </c>
      <c r="K926" s="4">
        <v>18.7</v>
      </c>
      <c r="L926" s="4">
        <v>25.1</v>
      </c>
      <c r="M926" s="4">
        <v>12.5</v>
      </c>
      <c r="N926" s="4">
        <v>23.35</v>
      </c>
    </row>
    <row r="927" spans="1:14">
      <c r="A927" s="3">
        <v>810852</v>
      </c>
      <c r="B927" s="3">
        <v>179911</v>
      </c>
      <c r="C927" s="4">
        <v>4</v>
      </c>
      <c r="D927" s="4">
        <v>13.75</v>
      </c>
      <c r="E927" s="4">
        <v>11.5</v>
      </c>
      <c r="F927" s="4">
        <v>2.5</v>
      </c>
      <c r="G927" s="4">
        <v>7.5</v>
      </c>
      <c r="H927" s="4">
        <v>2.5</v>
      </c>
      <c r="I927" s="4">
        <v>0</v>
      </c>
      <c r="J927" s="4">
        <v>11.5</v>
      </c>
      <c r="K927" s="4">
        <v>18.5</v>
      </c>
      <c r="L927" s="4">
        <v>0</v>
      </c>
      <c r="M927" s="4">
        <v>1</v>
      </c>
      <c r="N927" s="4">
        <v>7</v>
      </c>
    </row>
    <row r="928" spans="1:14">
      <c r="A928" s="3">
        <v>810871</v>
      </c>
      <c r="B928" s="3">
        <v>140860</v>
      </c>
      <c r="C928" s="4">
        <v>0</v>
      </c>
      <c r="D928" s="4">
        <v>0</v>
      </c>
      <c r="E928" s="4">
        <v>0</v>
      </c>
      <c r="F928" s="4">
        <v>30</v>
      </c>
      <c r="G928" s="4">
        <v>43</v>
      </c>
      <c r="H928" s="4">
        <v>10</v>
      </c>
      <c r="I928" s="4">
        <v>0</v>
      </c>
      <c r="J928" s="4">
        <v>0</v>
      </c>
      <c r="K928" s="4">
        <v>37.5</v>
      </c>
      <c r="L928" s="4">
        <v>5</v>
      </c>
      <c r="M928" s="4">
        <v>55</v>
      </c>
      <c r="N928" s="4">
        <v>20</v>
      </c>
    </row>
    <row r="929" spans="1:14">
      <c r="A929" s="3">
        <v>810894</v>
      </c>
      <c r="B929" s="3">
        <v>201280</v>
      </c>
      <c r="C929" s="4">
        <v>0</v>
      </c>
      <c r="D929" s="4">
        <v>37</v>
      </c>
      <c r="E929" s="4">
        <v>62.5</v>
      </c>
      <c r="F929" s="4">
        <v>116.5</v>
      </c>
      <c r="G929" s="4">
        <v>103.75</v>
      </c>
      <c r="H929" s="4">
        <v>74.5</v>
      </c>
      <c r="I929" s="4">
        <v>62</v>
      </c>
      <c r="J929" s="4">
        <v>30</v>
      </c>
      <c r="K929" s="4">
        <v>83</v>
      </c>
      <c r="L929" s="4">
        <v>51</v>
      </c>
      <c r="M929" s="4">
        <v>67</v>
      </c>
      <c r="N929" s="4">
        <v>15</v>
      </c>
    </row>
    <row r="930" spans="1:14">
      <c r="A930" s="3">
        <v>810896</v>
      </c>
      <c r="B930" s="3">
        <v>179467</v>
      </c>
      <c r="C930" s="4">
        <v>60</v>
      </c>
      <c r="D930" s="4">
        <v>10</v>
      </c>
      <c r="E930" s="4">
        <v>10</v>
      </c>
      <c r="F930" s="4">
        <v>0</v>
      </c>
      <c r="G930" s="4">
        <v>35</v>
      </c>
      <c r="H930" s="4">
        <v>5</v>
      </c>
      <c r="I930" s="4">
        <v>20</v>
      </c>
      <c r="J930" s="4">
        <v>50</v>
      </c>
      <c r="K930" s="4">
        <v>85</v>
      </c>
      <c r="L930" s="4">
        <v>97.5</v>
      </c>
      <c r="M930" s="4">
        <v>15</v>
      </c>
      <c r="N930" s="4">
        <v>65</v>
      </c>
    </row>
    <row r="931" spans="1:14">
      <c r="A931" s="3">
        <v>810897</v>
      </c>
      <c r="B931" s="3">
        <v>179467</v>
      </c>
      <c r="C931" s="4">
        <v>101.5</v>
      </c>
      <c r="D931" s="4">
        <v>5</v>
      </c>
      <c r="E931" s="4">
        <v>135</v>
      </c>
      <c r="F931" s="4">
        <v>0</v>
      </c>
      <c r="G931" s="4">
        <v>45</v>
      </c>
      <c r="H931" s="4">
        <v>45</v>
      </c>
      <c r="I931" s="4">
        <v>65</v>
      </c>
      <c r="J931" s="4">
        <v>103.5</v>
      </c>
      <c r="K931" s="4">
        <v>130</v>
      </c>
      <c r="L931" s="4">
        <v>104</v>
      </c>
      <c r="M931" s="4">
        <v>247.5</v>
      </c>
      <c r="N931" s="4">
        <v>316.5</v>
      </c>
    </row>
    <row r="932" spans="1:14">
      <c r="A932" s="3">
        <v>810898</v>
      </c>
      <c r="B932" s="3">
        <v>140881</v>
      </c>
      <c r="C932" s="4">
        <v>47</v>
      </c>
      <c r="D932" s="4">
        <v>87</v>
      </c>
      <c r="E932" s="4">
        <v>25</v>
      </c>
      <c r="F932" s="4">
        <v>30</v>
      </c>
      <c r="G932" s="4">
        <v>0</v>
      </c>
      <c r="H932" s="4">
        <v>32.5</v>
      </c>
      <c r="I932" s="4">
        <v>0</v>
      </c>
      <c r="J932" s="4">
        <v>55</v>
      </c>
      <c r="K932" s="4">
        <v>55</v>
      </c>
      <c r="L932" s="4">
        <v>0</v>
      </c>
      <c r="M932" s="4">
        <v>0</v>
      </c>
      <c r="N932" s="4">
        <v>10</v>
      </c>
    </row>
    <row r="933" spans="1:14">
      <c r="A933" s="3">
        <v>810899</v>
      </c>
      <c r="B933" s="3">
        <v>177295</v>
      </c>
      <c r="C933" s="4">
        <v>0</v>
      </c>
      <c r="D933" s="4">
        <v>147</v>
      </c>
      <c r="E933" s="4">
        <v>234</v>
      </c>
      <c r="F933" s="4">
        <v>65</v>
      </c>
      <c r="G933" s="4">
        <v>90</v>
      </c>
      <c r="H933" s="4">
        <v>35.5</v>
      </c>
      <c r="I933" s="4">
        <v>70</v>
      </c>
      <c r="J933" s="4">
        <v>0</v>
      </c>
      <c r="K933" s="4">
        <v>75</v>
      </c>
      <c r="L933" s="4">
        <v>75</v>
      </c>
      <c r="M933" s="4">
        <v>30</v>
      </c>
      <c r="N933" s="4">
        <v>40</v>
      </c>
    </row>
    <row r="934" spans="1:14">
      <c r="A934" s="3">
        <v>810901</v>
      </c>
      <c r="B934" s="3">
        <v>177295</v>
      </c>
      <c r="C934" s="4">
        <v>160</v>
      </c>
      <c r="D934" s="4">
        <v>227.5</v>
      </c>
      <c r="E934" s="4">
        <v>170</v>
      </c>
      <c r="F934" s="4">
        <v>65</v>
      </c>
      <c r="G934" s="4">
        <v>200</v>
      </c>
      <c r="H934" s="4">
        <v>20</v>
      </c>
      <c r="I934" s="4">
        <v>130</v>
      </c>
      <c r="J934" s="4">
        <v>10</v>
      </c>
      <c r="K934" s="4">
        <v>124</v>
      </c>
      <c r="L934" s="4">
        <v>75</v>
      </c>
      <c r="M934" s="4">
        <v>70</v>
      </c>
      <c r="N934" s="4">
        <v>250</v>
      </c>
    </row>
    <row r="935" spans="1:14">
      <c r="A935" s="3">
        <v>810902</v>
      </c>
      <c r="B935" s="3">
        <v>177295</v>
      </c>
      <c r="C935" s="4">
        <v>10</v>
      </c>
      <c r="D935" s="4">
        <v>130</v>
      </c>
      <c r="E935" s="4">
        <v>150</v>
      </c>
      <c r="F935" s="4">
        <v>55</v>
      </c>
      <c r="G935" s="4">
        <v>105</v>
      </c>
      <c r="H935" s="4">
        <v>40</v>
      </c>
      <c r="I935" s="4">
        <v>80</v>
      </c>
      <c r="J935" s="4">
        <v>0</v>
      </c>
      <c r="K935" s="4">
        <v>83</v>
      </c>
      <c r="L935" s="4">
        <v>75</v>
      </c>
      <c r="M935" s="4">
        <v>20</v>
      </c>
      <c r="N935" s="4">
        <v>50</v>
      </c>
    </row>
    <row r="936" spans="1:14">
      <c r="A936" s="3">
        <v>810906</v>
      </c>
      <c r="B936" s="3">
        <v>173728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12</v>
      </c>
      <c r="J936" s="4">
        <v>0</v>
      </c>
      <c r="K936" s="4">
        <v>23</v>
      </c>
      <c r="L936" s="4">
        <v>20</v>
      </c>
      <c r="M936" s="4">
        <v>0</v>
      </c>
      <c r="N936" s="4">
        <v>0</v>
      </c>
    </row>
    <row r="937" spans="1:14">
      <c r="A937" s="3">
        <v>810907</v>
      </c>
      <c r="B937" s="3">
        <v>142269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12.5</v>
      </c>
      <c r="L937" s="4">
        <v>0</v>
      </c>
      <c r="M937" s="4">
        <v>0</v>
      </c>
      <c r="N937" s="4">
        <v>0</v>
      </c>
    </row>
    <row r="938" spans="1:14">
      <c r="A938" s="3">
        <v>810908</v>
      </c>
      <c r="B938" s="3">
        <v>140850</v>
      </c>
      <c r="C938" s="4">
        <v>20</v>
      </c>
      <c r="D938" s="4">
        <v>20</v>
      </c>
      <c r="E938" s="4">
        <v>65</v>
      </c>
      <c r="F938" s="4">
        <v>40</v>
      </c>
      <c r="G938" s="4">
        <v>40</v>
      </c>
      <c r="H938" s="4">
        <v>35</v>
      </c>
      <c r="I938" s="4">
        <v>10</v>
      </c>
      <c r="J938" s="4">
        <v>20</v>
      </c>
      <c r="K938" s="4">
        <v>50</v>
      </c>
      <c r="L938" s="4">
        <v>53</v>
      </c>
      <c r="M938" s="4">
        <v>50.5</v>
      </c>
      <c r="N938" s="4">
        <v>60</v>
      </c>
    </row>
    <row r="939" spans="1:14">
      <c r="A939" s="3">
        <v>810913</v>
      </c>
      <c r="B939" s="3">
        <v>119029</v>
      </c>
      <c r="C939" s="4">
        <v>20</v>
      </c>
      <c r="D939" s="4">
        <v>0</v>
      </c>
      <c r="E939" s="4">
        <v>0</v>
      </c>
      <c r="F939" s="4">
        <v>12</v>
      </c>
      <c r="G939" s="4">
        <v>0</v>
      </c>
      <c r="H939" s="4">
        <v>15</v>
      </c>
      <c r="I939" s="4">
        <v>0</v>
      </c>
      <c r="J939" s="4">
        <v>0</v>
      </c>
      <c r="K939" s="4">
        <v>20</v>
      </c>
      <c r="L939" s="4">
        <v>0</v>
      </c>
      <c r="M939" s="4">
        <v>12</v>
      </c>
      <c r="N939" s="4">
        <v>15</v>
      </c>
    </row>
    <row r="940" spans="1:14">
      <c r="A940" s="3">
        <v>810914</v>
      </c>
      <c r="B940" s="3">
        <v>119179</v>
      </c>
      <c r="C940" s="4">
        <v>10</v>
      </c>
      <c r="D940" s="4">
        <v>0</v>
      </c>
      <c r="E940" s="4">
        <v>15</v>
      </c>
      <c r="F940" s="4">
        <v>25</v>
      </c>
      <c r="G940" s="4">
        <v>5</v>
      </c>
      <c r="H940" s="4">
        <v>15.5</v>
      </c>
      <c r="I940" s="4">
        <v>15</v>
      </c>
      <c r="J940" s="4">
        <v>7</v>
      </c>
      <c r="K940" s="4">
        <v>20</v>
      </c>
      <c r="L940" s="4">
        <v>22.5</v>
      </c>
      <c r="M940" s="4">
        <v>15</v>
      </c>
      <c r="N940" s="4">
        <v>22.5</v>
      </c>
    </row>
    <row r="941" spans="1:14">
      <c r="A941" s="3">
        <v>810919</v>
      </c>
      <c r="B941" s="3">
        <v>170248</v>
      </c>
      <c r="C941" s="4">
        <v>1</v>
      </c>
      <c r="D941" s="4">
        <v>20</v>
      </c>
      <c r="E941" s="4">
        <v>0</v>
      </c>
      <c r="F941" s="4">
        <v>10</v>
      </c>
      <c r="G941" s="4">
        <v>17.5</v>
      </c>
      <c r="H941" s="4">
        <v>10.5</v>
      </c>
      <c r="I941" s="4">
        <v>0</v>
      </c>
      <c r="J941" s="4">
        <v>0</v>
      </c>
      <c r="K941" s="4">
        <v>4.5</v>
      </c>
      <c r="L941" s="4">
        <v>7</v>
      </c>
      <c r="M941" s="4">
        <v>16</v>
      </c>
      <c r="N941" s="4">
        <v>0</v>
      </c>
    </row>
    <row r="942" spans="1:14">
      <c r="A942" s="3">
        <v>810920</v>
      </c>
      <c r="B942" s="3">
        <v>119109</v>
      </c>
      <c r="C942" s="4">
        <v>25</v>
      </c>
      <c r="D942" s="4">
        <v>0</v>
      </c>
      <c r="E942" s="4">
        <v>0</v>
      </c>
      <c r="F942" s="4">
        <v>35</v>
      </c>
      <c r="G942" s="4">
        <v>0</v>
      </c>
      <c r="H942" s="4">
        <v>0</v>
      </c>
      <c r="I942" s="4">
        <v>45</v>
      </c>
      <c r="J942" s="4">
        <v>25</v>
      </c>
      <c r="K942" s="4">
        <v>0</v>
      </c>
      <c r="L942" s="4">
        <v>40</v>
      </c>
      <c r="M942" s="4">
        <v>59</v>
      </c>
      <c r="N942" s="4">
        <v>97.5</v>
      </c>
    </row>
    <row r="943" spans="1:14">
      <c r="A943" s="3">
        <v>810922</v>
      </c>
      <c r="B943" s="3">
        <v>175288</v>
      </c>
      <c r="C943" s="4">
        <v>90</v>
      </c>
      <c r="D943" s="4">
        <v>60</v>
      </c>
      <c r="E943" s="4">
        <v>55</v>
      </c>
      <c r="F943" s="4">
        <v>60</v>
      </c>
      <c r="G943" s="4">
        <v>30</v>
      </c>
      <c r="H943" s="4">
        <v>60</v>
      </c>
      <c r="I943" s="4">
        <v>60</v>
      </c>
      <c r="J943" s="4">
        <v>10</v>
      </c>
      <c r="K943" s="4">
        <v>0</v>
      </c>
      <c r="L943" s="4">
        <v>0</v>
      </c>
      <c r="M943" s="4">
        <v>0</v>
      </c>
      <c r="N943" s="4">
        <v>0</v>
      </c>
    </row>
    <row r="944" spans="1:14">
      <c r="A944" s="3">
        <v>810951</v>
      </c>
      <c r="B944" s="3">
        <v>177295</v>
      </c>
      <c r="C944" s="4">
        <v>182</v>
      </c>
      <c r="D944" s="4">
        <v>310</v>
      </c>
      <c r="E944" s="4">
        <v>335</v>
      </c>
      <c r="F944" s="4">
        <v>136</v>
      </c>
      <c r="G944" s="4">
        <v>233.5</v>
      </c>
      <c r="H944" s="4">
        <v>82</v>
      </c>
      <c r="I944" s="4">
        <v>300.5</v>
      </c>
      <c r="J944" s="4">
        <v>0</v>
      </c>
      <c r="K944" s="4">
        <v>430.5</v>
      </c>
      <c r="L944" s="4">
        <v>115</v>
      </c>
      <c r="M944" s="4">
        <v>150.5</v>
      </c>
      <c r="N944" s="4">
        <v>444.5</v>
      </c>
    </row>
    <row r="945" spans="1:14">
      <c r="A945" s="3">
        <v>810952</v>
      </c>
      <c r="B945" s="3">
        <v>140881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20</v>
      </c>
      <c r="J945" s="4">
        <v>0</v>
      </c>
      <c r="K945" s="4">
        <v>40</v>
      </c>
      <c r="L945" s="4">
        <v>0</v>
      </c>
      <c r="M945" s="4">
        <v>0</v>
      </c>
      <c r="N945" s="4">
        <v>20</v>
      </c>
    </row>
    <row r="946" spans="1:14">
      <c r="A946" s="3">
        <v>810953</v>
      </c>
      <c r="B946" s="3">
        <v>140881</v>
      </c>
      <c r="C946" s="4">
        <v>35</v>
      </c>
      <c r="D946" s="4">
        <v>67</v>
      </c>
      <c r="E946" s="4">
        <v>25</v>
      </c>
      <c r="F946" s="4">
        <v>0</v>
      </c>
      <c r="G946" s="4">
        <v>0</v>
      </c>
      <c r="H946" s="4">
        <v>0</v>
      </c>
      <c r="I946" s="4">
        <v>25</v>
      </c>
      <c r="J946" s="4">
        <v>40</v>
      </c>
      <c r="K946" s="4">
        <v>40</v>
      </c>
      <c r="L946" s="4">
        <v>0</v>
      </c>
      <c r="M946" s="4">
        <v>35</v>
      </c>
      <c r="N946" s="4">
        <v>65</v>
      </c>
    </row>
    <row r="947" spans="1:14">
      <c r="A947" s="3">
        <v>810954</v>
      </c>
      <c r="B947" s="3">
        <v>174034</v>
      </c>
      <c r="C947" s="4">
        <v>10</v>
      </c>
      <c r="D947" s="4">
        <v>10</v>
      </c>
      <c r="E947" s="4">
        <v>10</v>
      </c>
      <c r="F947" s="4">
        <v>10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</row>
    <row r="948" spans="1:14">
      <c r="A948" s="3">
        <v>810956</v>
      </c>
      <c r="B948" s="3">
        <v>179869</v>
      </c>
      <c r="C948" s="4">
        <v>50</v>
      </c>
      <c r="D948" s="4">
        <v>31.5</v>
      </c>
      <c r="E948" s="4">
        <v>45</v>
      </c>
      <c r="F948" s="4">
        <v>30</v>
      </c>
      <c r="G948" s="4">
        <v>16</v>
      </c>
      <c r="H948" s="4">
        <v>17.5</v>
      </c>
      <c r="I948" s="4">
        <v>30</v>
      </c>
      <c r="J948" s="4">
        <v>10</v>
      </c>
      <c r="K948" s="4">
        <v>42.5</v>
      </c>
      <c r="L948" s="4">
        <v>55.5</v>
      </c>
      <c r="M948" s="4">
        <v>70</v>
      </c>
      <c r="N948" s="4">
        <v>77</v>
      </c>
    </row>
    <row r="949" spans="1:14">
      <c r="A949" s="3">
        <v>810958</v>
      </c>
      <c r="B949" s="3">
        <v>179877</v>
      </c>
      <c r="C949" s="4">
        <v>55.5</v>
      </c>
      <c r="D949" s="4">
        <v>20</v>
      </c>
      <c r="E949" s="4">
        <v>62</v>
      </c>
      <c r="F949" s="4">
        <v>62.5</v>
      </c>
      <c r="G949" s="4">
        <v>47.5</v>
      </c>
      <c r="H949" s="4">
        <v>52.5</v>
      </c>
      <c r="I949" s="4">
        <v>68.5</v>
      </c>
      <c r="J949" s="4">
        <v>35.5</v>
      </c>
      <c r="K949" s="4">
        <v>68</v>
      </c>
      <c r="L949" s="4">
        <v>87.5</v>
      </c>
      <c r="M949" s="4">
        <v>76.25</v>
      </c>
      <c r="N949" s="4">
        <v>139.44999999999999</v>
      </c>
    </row>
    <row r="950" spans="1:14">
      <c r="A950" s="3">
        <v>810991</v>
      </c>
      <c r="B950" s="3">
        <v>172640</v>
      </c>
      <c r="C950" s="4">
        <v>0</v>
      </c>
      <c r="D950" s="4">
        <v>20</v>
      </c>
      <c r="E950" s="4">
        <v>10</v>
      </c>
      <c r="F950" s="4">
        <v>17.5</v>
      </c>
      <c r="G950" s="4">
        <v>42.5</v>
      </c>
      <c r="H950" s="4">
        <v>10</v>
      </c>
      <c r="I950" s="4">
        <v>90</v>
      </c>
      <c r="J950" s="4">
        <v>20</v>
      </c>
      <c r="K950" s="4">
        <v>37.5</v>
      </c>
      <c r="L950" s="4">
        <v>120</v>
      </c>
      <c r="M950" s="4">
        <v>55.5</v>
      </c>
      <c r="N950" s="4">
        <v>4.5</v>
      </c>
    </row>
    <row r="951" spans="1:14">
      <c r="A951" s="3">
        <v>811032</v>
      </c>
      <c r="B951" s="3">
        <v>170204</v>
      </c>
      <c r="C951" s="4">
        <v>21</v>
      </c>
      <c r="D951" s="4">
        <v>70</v>
      </c>
      <c r="E951" s="4">
        <v>112</v>
      </c>
      <c r="F951" s="4">
        <v>154</v>
      </c>
      <c r="G951" s="4">
        <v>0</v>
      </c>
      <c r="H951" s="4">
        <v>20</v>
      </c>
      <c r="I951" s="4">
        <v>0</v>
      </c>
      <c r="J951" s="4">
        <v>42</v>
      </c>
      <c r="K951" s="4">
        <v>72</v>
      </c>
      <c r="L951" s="4">
        <v>77</v>
      </c>
      <c r="M951" s="4">
        <v>70</v>
      </c>
      <c r="N951" s="4">
        <v>45</v>
      </c>
    </row>
    <row r="952" spans="1:14">
      <c r="A952" s="3">
        <v>811033</v>
      </c>
      <c r="B952" s="3">
        <v>179877</v>
      </c>
      <c r="C952" s="4">
        <v>0</v>
      </c>
      <c r="D952" s="4">
        <v>25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>
      <c r="A953" s="3">
        <v>811034</v>
      </c>
      <c r="B953" s="3">
        <v>207643</v>
      </c>
      <c r="C953" s="4">
        <v>0</v>
      </c>
      <c r="D953" s="4">
        <v>0</v>
      </c>
      <c r="E953" s="4">
        <v>40</v>
      </c>
      <c r="F953" s="4">
        <v>0</v>
      </c>
      <c r="G953" s="4">
        <v>0</v>
      </c>
      <c r="H953" s="4">
        <v>5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</row>
    <row r="954" spans="1:14">
      <c r="A954" s="3">
        <v>811036</v>
      </c>
      <c r="B954" s="3">
        <v>170846</v>
      </c>
      <c r="C954" s="4">
        <v>0</v>
      </c>
      <c r="D954" s="4">
        <v>25.75</v>
      </c>
      <c r="E954" s="4">
        <v>0</v>
      </c>
      <c r="F954" s="4">
        <v>18.5</v>
      </c>
      <c r="G954" s="4">
        <v>0</v>
      </c>
      <c r="H954" s="4">
        <v>20</v>
      </c>
      <c r="I954" s="4">
        <v>0</v>
      </c>
      <c r="J954" s="4">
        <v>5</v>
      </c>
      <c r="K954" s="4">
        <v>10</v>
      </c>
      <c r="L954" s="4">
        <v>0</v>
      </c>
      <c r="M954" s="4">
        <v>0</v>
      </c>
      <c r="N954" s="4">
        <v>49</v>
      </c>
    </row>
    <row r="955" spans="1:14">
      <c r="A955" s="3">
        <v>811037</v>
      </c>
      <c r="B955" s="3">
        <v>179869</v>
      </c>
      <c r="C955" s="4">
        <v>83</v>
      </c>
      <c r="D955" s="4">
        <v>85</v>
      </c>
      <c r="E955" s="4">
        <v>46</v>
      </c>
      <c r="F955" s="4">
        <v>20.5</v>
      </c>
      <c r="G955" s="4">
        <v>52</v>
      </c>
      <c r="H955" s="4">
        <v>20</v>
      </c>
      <c r="I955" s="4">
        <v>37.5</v>
      </c>
      <c r="J955" s="4">
        <v>19</v>
      </c>
      <c r="K955" s="4">
        <v>82.5</v>
      </c>
      <c r="L955" s="4">
        <v>55</v>
      </c>
      <c r="M955" s="4">
        <v>7.5</v>
      </c>
      <c r="N955" s="4">
        <v>115.5</v>
      </c>
    </row>
    <row r="956" spans="1:14">
      <c r="A956" s="3">
        <v>811038</v>
      </c>
      <c r="B956" s="3">
        <v>172497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10</v>
      </c>
      <c r="L956" s="4">
        <v>10</v>
      </c>
      <c r="M956" s="4">
        <v>0</v>
      </c>
      <c r="N956" s="4">
        <v>0</v>
      </c>
    </row>
    <row r="957" spans="1:14">
      <c r="A957" s="3">
        <v>811045</v>
      </c>
      <c r="B957" s="3">
        <v>172905</v>
      </c>
      <c r="C957" s="4">
        <v>0</v>
      </c>
      <c r="D957" s="4">
        <v>0</v>
      </c>
      <c r="E957" s="4">
        <v>0</v>
      </c>
      <c r="F957" s="4">
        <v>0</v>
      </c>
      <c r="G957" s="4">
        <v>5</v>
      </c>
      <c r="H957" s="4">
        <v>20</v>
      </c>
      <c r="I957" s="4">
        <v>10</v>
      </c>
      <c r="J957" s="4">
        <v>0</v>
      </c>
      <c r="K957" s="4">
        <v>52.5</v>
      </c>
      <c r="L957" s="4">
        <v>27</v>
      </c>
      <c r="M957" s="4">
        <v>21</v>
      </c>
      <c r="N957" s="4">
        <v>35</v>
      </c>
    </row>
    <row r="958" spans="1:14">
      <c r="A958" s="3">
        <v>811047</v>
      </c>
      <c r="B958" s="3">
        <v>174756</v>
      </c>
      <c r="C958" s="4">
        <v>25</v>
      </c>
      <c r="D958" s="4">
        <v>35</v>
      </c>
      <c r="E958" s="4">
        <v>66.25</v>
      </c>
      <c r="F958" s="4">
        <v>26</v>
      </c>
      <c r="G958" s="4">
        <v>35</v>
      </c>
      <c r="H958" s="4">
        <v>22.5</v>
      </c>
      <c r="I958" s="4">
        <v>63.5</v>
      </c>
      <c r="J958" s="4">
        <v>45</v>
      </c>
      <c r="K958" s="4">
        <v>39</v>
      </c>
      <c r="L958" s="4">
        <v>95</v>
      </c>
      <c r="M958" s="4">
        <v>77.5</v>
      </c>
      <c r="N958" s="4">
        <v>75</v>
      </c>
    </row>
    <row r="959" spans="1:14">
      <c r="A959" s="3">
        <v>811049</v>
      </c>
      <c r="B959" s="3">
        <v>119117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35</v>
      </c>
      <c r="I959" s="4">
        <v>10</v>
      </c>
      <c r="J959" s="4">
        <v>65</v>
      </c>
      <c r="K959" s="4">
        <v>76</v>
      </c>
      <c r="L959" s="4">
        <v>30</v>
      </c>
      <c r="M959" s="4">
        <v>0</v>
      </c>
      <c r="N959" s="4">
        <v>50</v>
      </c>
    </row>
    <row r="960" spans="1:14">
      <c r="A960" s="3">
        <v>811051</v>
      </c>
      <c r="B960" s="3">
        <v>173849</v>
      </c>
      <c r="C960" s="4">
        <v>20</v>
      </c>
      <c r="D960" s="4">
        <v>0</v>
      </c>
      <c r="E960" s="4">
        <v>0</v>
      </c>
      <c r="F960" s="4">
        <v>10</v>
      </c>
      <c r="G960" s="4">
        <v>10</v>
      </c>
      <c r="H960" s="4">
        <v>0</v>
      </c>
      <c r="I960" s="4">
        <v>22</v>
      </c>
      <c r="J960" s="4">
        <v>0</v>
      </c>
      <c r="K960" s="4">
        <v>10</v>
      </c>
      <c r="L960" s="4">
        <v>9.25</v>
      </c>
      <c r="M960" s="4">
        <v>10</v>
      </c>
      <c r="N960" s="4">
        <v>0</v>
      </c>
    </row>
    <row r="961" spans="1:14">
      <c r="A961" s="3">
        <v>811052</v>
      </c>
      <c r="B961" s="3">
        <v>178219</v>
      </c>
      <c r="C961" s="4">
        <v>1</v>
      </c>
      <c r="D961" s="4">
        <v>0</v>
      </c>
      <c r="E961" s="4">
        <v>20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</row>
    <row r="962" spans="1:14">
      <c r="A962" s="3">
        <v>811064</v>
      </c>
      <c r="B962" s="3">
        <v>170248</v>
      </c>
      <c r="C962" s="4">
        <v>1</v>
      </c>
      <c r="D962" s="4">
        <v>0</v>
      </c>
      <c r="E962" s="4">
        <v>1.25</v>
      </c>
      <c r="F962" s="4">
        <v>0</v>
      </c>
      <c r="G962" s="4">
        <v>29.25</v>
      </c>
      <c r="H962" s="4">
        <v>7.5</v>
      </c>
      <c r="I962" s="4">
        <v>10</v>
      </c>
      <c r="J962" s="4">
        <v>0</v>
      </c>
      <c r="K962" s="4">
        <v>2</v>
      </c>
      <c r="L962" s="4">
        <v>16</v>
      </c>
      <c r="M962" s="4">
        <v>0</v>
      </c>
      <c r="N962" s="4">
        <v>0</v>
      </c>
    </row>
    <row r="963" spans="1:14">
      <c r="A963" s="3">
        <v>811066</v>
      </c>
      <c r="B963" s="3">
        <v>119038</v>
      </c>
      <c r="C963" s="4">
        <v>85</v>
      </c>
      <c r="D963" s="4">
        <v>0</v>
      </c>
      <c r="E963" s="4">
        <v>25</v>
      </c>
      <c r="F963" s="4">
        <v>30</v>
      </c>
      <c r="G963" s="4">
        <v>30</v>
      </c>
      <c r="H963" s="4">
        <v>20</v>
      </c>
      <c r="I963" s="4">
        <v>18.5</v>
      </c>
      <c r="J963" s="4">
        <v>21.1</v>
      </c>
      <c r="K963" s="4">
        <v>30</v>
      </c>
      <c r="L963" s="4">
        <v>0</v>
      </c>
      <c r="M963" s="4">
        <v>75.5</v>
      </c>
      <c r="N963" s="4">
        <v>0</v>
      </c>
    </row>
    <row r="964" spans="1:14">
      <c r="A964" s="3">
        <v>811070</v>
      </c>
      <c r="B964" s="3">
        <v>170501</v>
      </c>
      <c r="C964" s="4">
        <v>23.75</v>
      </c>
      <c r="D964" s="4">
        <v>5</v>
      </c>
      <c r="E964" s="4">
        <v>33</v>
      </c>
      <c r="F964" s="4">
        <v>21</v>
      </c>
      <c r="G964" s="4">
        <v>7.5</v>
      </c>
      <c r="H964" s="4">
        <v>5</v>
      </c>
      <c r="I964" s="4">
        <v>0</v>
      </c>
      <c r="J964" s="4">
        <v>5</v>
      </c>
      <c r="K964" s="4">
        <v>7.5</v>
      </c>
      <c r="L964" s="4">
        <v>0</v>
      </c>
      <c r="M964" s="4">
        <v>0</v>
      </c>
      <c r="N964" s="4">
        <v>0</v>
      </c>
    </row>
    <row r="965" spans="1:14">
      <c r="A965" s="3">
        <v>811071</v>
      </c>
      <c r="B965" s="3">
        <v>173288</v>
      </c>
      <c r="C965" s="4">
        <v>0</v>
      </c>
      <c r="D965" s="4">
        <v>26</v>
      </c>
      <c r="E965" s="4">
        <v>16</v>
      </c>
      <c r="F965" s="4">
        <v>7.5</v>
      </c>
      <c r="G965" s="4">
        <v>0</v>
      </c>
      <c r="H965" s="4">
        <v>18</v>
      </c>
      <c r="I965" s="4">
        <v>12</v>
      </c>
      <c r="J965" s="4">
        <v>6</v>
      </c>
      <c r="K965" s="4">
        <v>0</v>
      </c>
      <c r="L965" s="4">
        <v>0</v>
      </c>
      <c r="M965" s="4">
        <v>0</v>
      </c>
      <c r="N965" s="4">
        <v>0</v>
      </c>
    </row>
    <row r="966" spans="1:14">
      <c r="A966" s="3">
        <v>811085</v>
      </c>
      <c r="B966" s="3">
        <v>178230</v>
      </c>
      <c r="C966" s="4">
        <v>10</v>
      </c>
      <c r="D966" s="4">
        <v>0</v>
      </c>
      <c r="E966" s="4">
        <v>0</v>
      </c>
      <c r="F966" s="4">
        <v>7.5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</row>
    <row r="967" spans="1:14">
      <c r="A967" s="3">
        <v>811086</v>
      </c>
      <c r="B967" s="3">
        <v>178230</v>
      </c>
      <c r="C967" s="4">
        <v>36</v>
      </c>
      <c r="D967" s="4">
        <v>40</v>
      </c>
      <c r="E967" s="4">
        <v>70</v>
      </c>
      <c r="F967" s="4">
        <v>86</v>
      </c>
      <c r="G967" s="4">
        <v>23.5</v>
      </c>
      <c r="H967" s="4">
        <v>40</v>
      </c>
      <c r="I967" s="4">
        <v>50</v>
      </c>
      <c r="J967" s="4">
        <v>0</v>
      </c>
      <c r="K967" s="4">
        <v>15</v>
      </c>
      <c r="L967" s="4">
        <v>45</v>
      </c>
      <c r="M967" s="4">
        <v>20</v>
      </c>
      <c r="N967" s="4">
        <v>46</v>
      </c>
    </row>
    <row r="968" spans="1:14">
      <c r="A968" s="3">
        <v>811088</v>
      </c>
      <c r="B968" s="3">
        <v>143114</v>
      </c>
      <c r="C968" s="4">
        <v>53</v>
      </c>
      <c r="D968" s="4">
        <v>15</v>
      </c>
      <c r="E968" s="4">
        <v>95.5</v>
      </c>
      <c r="F968" s="4">
        <v>102.5</v>
      </c>
      <c r="G968" s="4">
        <v>87.5</v>
      </c>
      <c r="H968" s="4">
        <v>70</v>
      </c>
      <c r="I968" s="4">
        <v>32.5</v>
      </c>
      <c r="J968" s="4">
        <v>60</v>
      </c>
      <c r="K968" s="4">
        <v>78</v>
      </c>
      <c r="L968" s="4">
        <v>80</v>
      </c>
      <c r="M968" s="4">
        <v>66.25</v>
      </c>
      <c r="N968" s="4">
        <v>37.5</v>
      </c>
    </row>
    <row r="969" spans="1:14">
      <c r="A969" s="3">
        <v>811089</v>
      </c>
      <c r="B969" s="3">
        <v>170228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8.5</v>
      </c>
      <c r="M969" s="4">
        <v>0</v>
      </c>
      <c r="N969" s="4">
        <v>0</v>
      </c>
    </row>
    <row r="970" spans="1:14">
      <c r="A970" s="3">
        <v>811089</v>
      </c>
      <c r="B970" s="3">
        <v>179877</v>
      </c>
      <c r="C970" s="4">
        <v>71.95</v>
      </c>
      <c r="D970" s="4">
        <v>66</v>
      </c>
      <c r="E970" s="4">
        <v>95</v>
      </c>
      <c r="F970" s="4">
        <v>73.55</v>
      </c>
      <c r="G970" s="4">
        <v>88.5</v>
      </c>
      <c r="H970" s="4">
        <v>113</v>
      </c>
      <c r="I970" s="4">
        <v>151</v>
      </c>
      <c r="J970" s="4">
        <v>91.5</v>
      </c>
      <c r="K970" s="4">
        <v>142.5</v>
      </c>
      <c r="L970" s="4">
        <v>151</v>
      </c>
      <c r="M970" s="4">
        <v>75</v>
      </c>
      <c r="N970" s="4">
        <v>142.9</v>
      </c>
    </row>
    <row r="971" spans="1:14">
      <c r="A971" s="3">
        <v>811091</v>
      </c>
      <c r="B971" s="3">
        <v>140481</v>
      </c>
      <c r="C971" s="4">
        <v>0</v>
      </c>
      <c r="D971" s="4">
        <v>10</v>
      </c>
      <c r="E971" s="4">
        <v>0</v>
      </c>
      <c r="F971" s="4">
        <v>20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</row>
    <row r="972" spans="1:14">
      <c r="A972" s="3">
        <v>811092</v>
      </c>
      <c r="B972" s="3">
        <v>176641</v>
      </c>
      <c r="C972" s="4">
        <v>166</v>
      </c>
      <c r="D972" s="4">
        <v>40.549999999999997</v>
      </c>
      <c r="E972" s="4">
        <v>105</v>
      </c>
      <c r="F972" s="4">
        <v>38.5</v>
      </c>
      <c r="G972" s="4">
        <v>79</v>
      </c>
      <c r="H972" s="4">
        <v>106.5</v>
      </c>
      <c r="I972" s="4">
        <v>67.5</v>
      </c>
      <c r="J972" s="4">
        <v>40</v>
      </c>
      <c r="K972" s="4">
        <v>73.5</v>
      </c>
      <c r="L972" s="4">
        <v>41</v>
      </c>
      <c r="M972" s="4">
        <v>36</v>
      </c>
      <c r="N972" s="4">
        <v>106.5</v>
      </c>
    </row>
    <row r="973" spans="1:14">
      <c r="A973" s="3">
        <v>811093</v>
      </c>
      <c r="B973" s="3">
        <v>176844</v>
      </c>
      <c r="C973" s="4">
        <v>0</v>
      </c>
      <c r="D973" s="4">
        <v>20</v>
      </c>
      <c r="E973" s="4">
        <v>60</v>
      </c>
      <c r="F973" s="4">
        <v>55</v>
      </c>
      <c r="G973" s="4">
        <v>20</v>
      </c>
      <c r="H973" s="4">
        <v>20</v>
      </c>
      <c r="I973" s="4">
        <v>32</v>
      </c>
      <c r="J973" s="4">
        <v>42</v>
      </c>
      <c r="K973" s="4">
        <v>20</v>
      </c>
      <c r="L973" s="4">
        <v>40</v>
      </c>
      <c r="M973" s="4">
        <v>20</v>
      </c>
      <c r="N973" s="4">
        <v>0</v>
      </c>
    </row>
    <row r="974" spans="1:14">
      <c r="A974" s="3">
        <v>811098</v>
      </c>
      <c r="B974" s="3">
        <v>119038</v>
      </c>
      <c r="C974" s="4">
        <v>0</v>
      </c>
      <c r="D974" s="4">
        <v>0</v>
      </c>
      <c r="E974" s="4">
        <v>0</v>
      </c>
      <c r="F974" s="4">
        <v>20</v>
      </c>
      <c r="G974" s="4">
        <v>45</v>
      </c>
      <c r="H974" s="4">
        <v>105</v>
      </c>
      <c r="I974" s="4">
        <v>35</v>
      </c>
      <c r="J974" s="4">
        <v>70</v>
      </c>
      <c r="K974" s="4">
        <v>0</v>
      </c>
      <c r="L974" s="4">
        <v>0</v>
      </c>
      <c r="M974" s="4">
        <v>0</v>
      </c>
      <c r="N974" s="4">
        <v>35</v>
      </c>
    </row>
    <row r="975" spans="1:14">
      <c r="A975" s="3">
        <v>811099</v>
      </c>
      <c r="B975" s="3">
        <v>179869</v>
      </c>
      <c r="C975" s="4">
        <v>0</v>
      </c>
      <c r="D975" s="4">
        <v>0</v>
      </c>
      <c r="E975" s="4">
        <v>20</v>
      </c>
      <c r="F975" s="4">
        <v>16</v>
      </c>
      <c r="G975" s="4">
        <v>1</v>
      </c>
      <c r="H975" s="4">
        <v>0</v>
      </c>
      <c r="I975" s="4">
        <v>22.5</v>
      </c>
      <c r="J975" s="4">
        <v>10</v>
      </c>
      <c r="K975" s="4">
        <v>32.5</v>
      </c>
      <c r="L975" s="4">
        <v>15</v>
      </c>
      <c r="M975" s="4">
        <v>35</v>
      </c>
      <c r="N975" s="4">
        <v>23</v>
      </c>
    </row>
    <row r="976" spans="1:14">
      <c r="A976" s="3">
        <v>811106</v>
      </c>
      <c r="B976" s="3">
        <v>178234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10</v>
      </c>
      <c r="L976" s="4">
        <v>0</v>
      </c>
      <c r="M976" s="4">
        <v>0</v>
      </c>
      <c r="N976" s="4">
        <v>0</v>
      </c>
    </row>
    <row r="977" spans="1:14">
      <c r="A977" s="3">
        <v>811106</v>
      </c>
      <c r="B977" s="3">
        <v>178237</v>
      </c>
      <c r="C977" s="4">
        <v>196</v>
      </c>
      <c r="D977" s="4">
        <v>182.5</v>
      </c>
      <c r="E977" s="4">
        <v>196.25</v>
      </c>
      <c r="F977" s="4">
        <v>149</v>
      </c>
      <c r="G977" s="4">
        <v>130.5</v>
      </c>
      <c r="H977" s="4">
        <v>194</v>
      </c>
      <c r="I977" s="4">
        <v>209.5</v>
      </c>
      <c r="J977" s="4">
        <v>143</v>
      </c>
      <c r="K977" s="4">
        <v>259</v>
      </c>
      <c r="L977" s="4">
        <v>171.25</v>
      </c>
      <c r="M977" s="4">
        <v>170.5</v>
      </c>
      <c r="N977" s="4">
        <v>281.45</v>
      </c>
    </row>
    <row r="978" spans="1:14">
      <c r="A978" s="3">
        <v>811107</v>
      </c>
      <c r="B978" s="3">
        <v>170204</v>
      </c>
      <c r="C978" s="4">
        <v>0</v>
      </c>
      <c r="D978" s="4">
        <v>0</v>
      </c>
      <c r="E978" s="4">
        <v>0</v>
      </c>
      <c r="F978" s="4">
        <v>3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</row>
    <row r="979" spans="1:14">
      <c r="A979" s="3">
        <v>811118</v>
      </c>
      <c r="B979" s="3">
        <v>141905</v>
      </c>
      <c r="C979" s="4">
        <v>40</v>
      </c>
      <c r="D979" s="4">
        <v>51</v>
      </c>
      <c r="E979" s="4">
        <v>0</v>
      </c>
      <c r="F979" s="4">
        <v>30</v>
      </c>
      <c r="G979" s="4">
        <v>37</v>
      </c>
      <c r="H979" s="4">
        <v>20</v>
      </c>
      <c r="I979" s="4">
        <v>23</v>
      </c>
      <c r="J979" s="4">
        <v>17.5</v>
      </c>
      <c r="K979" s="4">
        <v>10</v>
      </c>
      <c r="L979" s="4">
        <v>0</v>
      </c>
      <c r="M979" s="4">
        <v>0</v>
      </c>
      <c r="N979" s="4">
        <v>10</v>
      </c>
    </row>
    <row r="980" spans="1:14">
      <c r="A980" s="3">
        <v>811119</v>
      </c>
      <c r="B980" s="3">
        <v>177068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27</v>
      </c>
    </row>
    <row r="981" spans="1:14">
      <c r="A981" s="3">
        <v>811119</v>
      </c>
      <c r="B981" s="3">
        <v>177662</v>
      </c>
      <c r="C981" s="4">
        <v>31.5</v>
      </c>
      <c r="D981" s="4">
        <v>20</v>
      </c>
      <c r="E981" s="4">
        <v>7.5</v>
      </c>
      <c r="F981" s="4">
        <v>56.5</v>
      </c>
      <c r="G981" s="4">
        <v>42</v>
      </c>
      <c r="H981" s="4">
        <v>49</v>
      </c>
      <c r="I981" s="4">
        <v>17.5</v>
      </c>
      <c r="J981" s="4">
        <v>0</v>
      </c>
      <c r="K981" s="4">
        <v>33</v>
      </c>
      <c r="L981" s="4">
        <v>21</v>
      </c>
      <c r="M981" s="4">
        <v>15.5</v>
      </c>
      <c r="N981" s="4">
        <v>35</v>
      </c>
    </row>
    <row r="982" spans="1:14">
      <c r="A982" s="3">
        <v>811121</v>
      </c>
      <c r="B982" s="3">
        <v>143607</v>
      </c>
      <c r="C982" s="4">
        <v>10</v>
      </c>
      <c r="D982" s="4">
        <v>60</v>
      </c>
      <c r="E982" s="4">
        <v>25</v>
      </c>
      <c r="F982" s="4">
        <v>39</v>
      </c>
      <c r="G982" s="4">
        <v>40</v>
      </c>
      <c r="H982" s="4">
        <v>13</v>
      </c>
      <c r="I982" s="4">
        <v>20</v>
      </c>
      <c r="J982" s="4">
        <v>50</v>
      </c>
      <c r="K982" s="4">
        <v>57.5</v>
      </c>
      <c r="L982" s="4">
        <v>37.5</v>
      </c>
      <c r="M982" s="4">
        <v>43.5</v>
      </c>
      <c r="N982" s="4">
        <v>34</v>
      </c>
    </row>
    <row r="983" spans="1:14">
      <c r="A983" s="3">
        <v>811134</v>
      </c>
      <c r="B983" s="3">
        <v>173749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2.5</v>
      </c>
      <c r="I983" s="4">
        <v>0</v>
      </c>
      <c r="J983" s="4">
        <v>0</v>
      </c>
      <c r="K983" s="4">
        <v>5</v>
      </c>
      <c r="L983" s="4">
        <v>0</v>
      </c>
      <c r="M983" s="4">
        <v>0</v>
      </c>
      <c r="N983" s="4">
        <v>0</v>
      </c>
    </row>
    <row r="984" spans="1:14">
      <c r="A984" s="3">
        <v>811135</v>
      </c>
      <c r="B984" s="3">
        <v>175288</v>
      </c>
      <c r="C984" s="4">
        <v>80</v>
      </c>
      <c r="D984" s="4">
        <v>80</v>
      </c>
      <c r="E984" s="4">
        <v>95</v>
      </c>
      <c r="F984" s="4">
        <v>90</v>
      </c>
      <c r="G984" s="4">
        <v>50</v>
      </c>
      <c r="H984" s="4">
        <v>50</v>
      </c>
      <c r="I984" s="4">
        <v>100</v>
      </c>
      <c r="J984" s="4">
        <v>150</v>
      </c>
      <c r="K984" s="4">
        <v>163</v>
      </c>
      <c r="L984" s="4">
        <v>160</v>
      </c>
      <c r="M984" s="4">
        <v>115</v>
      </c>
      <c r="N984" s="4">
        <v>115</v>
      </c>
    </row>
    <row r="985" spans="1:14">
      <c r="A985" s="3">
        <v>811136</v>
      </c>
      <c r="B985" s="3">
        <v>174166</v>
      </c>
      <c r="C985" s="4">
        <v>177</v>
      </c>
      <c r="D985" s="4">
        <v>141.25</v>
      </c>
      <c r="E985" s="4">
        <v>155</v>
      </c>
      <c r="F985" s="4">
        <v>140</v>
      </c>
      <c r="G985" s="4">
        <v>107.5</v>
      </c>
      <c r="H985" s="4">
        <v>110</v>
      </c>
      <c r="I985" s="4">
        <v>103.5</v>
      </c>
      <c r="J985" s="4">
        <v>10</v>
      </c>
      <c r="K985" s="4">
        <v>0</v>
      </c>
      <c r="L985" s="4">
        <v>0</v>
      </c>
      <c r="M985" s="4">
        <v>0</v>
      </c>
      <c r="N985" s="4">
        <v>0</v>
      </c>
    </row>
    <row r="986" spans="1:14">
      <c r="A986" s="3">
        <v>811136</v>
      </c>
      <c r="B986" s="3">
        <v>175856</v>
      </c>
      <c r="C986" s="4">
        <v>25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>
      <c r="A987" s="3">
        <v>811137</v>
      </c>
      <c r="B987" s="3">
        <v>177957</v>
      </c>
      <c r="C987" s="4">
        <v>33.5</v>
      </c>
      <c r="D987" s="4">
        <v>33.75</v>
      </c>
      <c r="E987" s="4">
        <v>91.75</v>
      </c>
      <c r="F987" s="4">
        <v>83.5</v>
      </c>
      <c r="G987" s="4">
        <v>85.5</v>
      </c>
      <c r="H987" s="4">
        <v>85.5</v>
      </c>
      <c r="I987" s="4">
        <v>38.9</v>
      </c>
      <c r="J987" s="4">
        <v>44.25</v>
      </c>
      <c r="K987" s="4">
        <v>85.25</v>
      </c>
      <c r="L987" s="4">
        <v>117.25</v>
      </c>
      <c r="M987" s="4">
        <v>63.3</v>
      </c>
      <c r="N987" s="4">
        <v>161.25</v>
      </c>
    </row>
    <row r="988" spans="1:14">
      <c r="A988" s="3">
        <v>811138</v>
      </c>
      <c r="B988" s="3">
        <v>173310</v>
      </c>
      <c r="C988" s="4">
        <v>50</v>
      </c>
      <c r="D988" s="4">
        <v>49.5</v>
      </c>
      <c r="E988" s="4">
        <v>101</v>
      </c>
      <c r="F988" s="4">
        <v>77</v>
      </c>
      <c r="G988" s="4">
        <v>60.5</v>
      </c>
      <c r="H988" s="4">
        <v>50.75</v>
      </c>
      <c r="I988" s="4">
        <v>55.5</v>
      </c>
      <c r="J988" s="4">
        <v>35</v>
      </c>
      <c r="K988" s="4">
        <v>50.1</v>
      </c>
      <c r="L988" s="4">
        <v>32</v>
      </c>
      <c r="M988" s="4">
        <v>62.45</v>
      </c>
      <c r="N988" s="4">
        <v>93.95</v>
      </c>
    </row>
    <row r="989" spans="1:14">
      <c r="A989" s="3">
        <v>811139</v>
      </c>
      <c r="B989" s="3">
        <v>170248</v>
      </c>
      <c r="C989" s="4">
        <v>3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</row>
    <row r="990" spans="1:14">
      <c r="A990" s="3">
        <v>811165</v>
      </c>
      <c r="B990" s="3">
        <v>176844</v>
      </c>
      <c r="C990" s="4">
        <v>0</v>
      </c>
      <c r="D990" s="4">
        <v>30</v>
      </c>
      <c r="E990" s="4">
        <v>30</v>
      </c>
      <c r="F990" s="4">
        <v>67</v>
      </c>
      <c r="G990" s="4">
        <v>15</v>
      </c>
      <c r="H990" s="4">
        <v>47</v>
      </c>
      <c r="I990" s="4">
        <v>20</v>
      </c>
      <c r="J990" s="4">
        <v>0</v>
      </c>
      <c r="K990" s="4">
        <v>15</v>
      </c>
      <c r="L990" s="4">
        <v>65</v>
      </c>
      <c r="M990" s="4">
        <v>63.5</v>
      </c>
      <c r="N990" s="4">
        <v>50</v>
      </c>
    </row>
    <row r="991" spans="1:14">
      <c r="A991" s="3">
        <v>811172</v>
      </c>
      <c r="B991" s="3">
        <v>170392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35</v>
      </c>
    </row>
    <row r="992" spans="1:14">
      <c r="A992" s="3">
        <v>811172</v>
      </c>
      <c r="B992" s="3">
        <v>172640</v>
      </c>
      <c r="C992" s="4">
        <v>36</v>
      </c>
      <c r="D992" s="4">
        <v>20</v>
      </c>
      <c r="E992" s="4">
        <v>118.75</v>
      </c>
      <c r="F992" s="4">
        <v>149</v>
      </c>
      <c r="G992" s="4">
        <v>76</v>
      </c>
      <c r="H992" s="4">
        <v>92</v>
      </c>
      <c r="I992" s="4">
        <v>55</v>
      </c>
      <c r="J992" s="4">
        <v>149</v>
      </c>
      <c r="K992" s="4">
        <v>98.5</v>
      </c>
      <c r="L992" s="4">
        <v>95.5</v>
      </c>
      <c r="M992" s="4">
        <v>124.5</v>
      </c>
      <c r="N992" s="4">
        <v>151</v>
      </c>
    </row>
    <row r="993" spans="1:14">
      <c r="A993" s="3">
        <v>811173</v>
      </c>
      <c r="B993" s="3">
        <v>177290</v>
      </c>
      <c r="C993" s="4">
        <v>14</v>
      </c>
      <c r="D993" s="4">
        <v>30</v>
      </c>
      <c r="E993" s="4">
        <v>30</v>
      </c>
      <c r="F993" s="4">
        <v>13</v>
      </c>
      <c r="G993" s="4">
        <v>1</v>
      </c>
      <c r="H993" s="4">
        <v>20</v>
      </c>
      <c r="I993" s="4">
        <v>0</v>
      </c>
      <c r="J993" s="4">
        <v>0</v>
      </c>
      <c r="K993" s="4">
        <v>0</v>
      </c>
      <c r="L993" s="4">
        <v>10</v>
      </c>
      <c r="M993" s="4">
        <v>0</v>
      </c>
      <c r="N993" s="4">
        <v>20</v>
      </c>
    </row>
    <row r="994" spans="1:14">
      <c r="A994" s="3">
        <v>811181</v>
      </c>
      <c r="B994" s="3">
        <v>170228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35</v>
      </c>
      <c r="M994" s="4">
        <v>0</v>
      </c>
      <c r="N994" s="4">
        <v>0</v>
      </c>
    </row>
    <row r="995" spans="1:14">
      <c r="A995" s="3">
        <v>811182</v>
      </c>
      <c r="B995" s="3">
        <v>174316</v>
      </c>
      <c r="C995" s="4">
        <v>54</v>
      </c>
      <c r="D995" s="4">
        <v>67</v>
      </c>
      <c r="E995" s="4">
        <v>40</v>
      </c>
      <c r="F995" s="4">
        <v>37</v>
      </c>
      <c r="G995" s="4">
        <v>30</v>
      </c>
      <c r="H995" s="4">
        <v>25</v>
      </c>
      <c r="I995" s="4">
        <v>40</v>
      </c>
      <c r="J995" s="4">
        <v>5</v>
      </c>
      <c r="K995" s="4">
        <v>20</v>
      </c>
      <c r="L995" s="4">
        <v>15</v>
      </c>
      <c r="M995" s="4">
        <v>88</v>
      </c>
      <c r="N995" s="4">
        <v>54</v>
      </c>
    </row>
    <row r="996" spans="1:14">
      <c r="A996" s="3">
        <v>811183</v>
      </c>
      <c r="B996" s="3">
        <v>174445</v>
      </c>
      <c r="C996" s="4">
        <v>16</v>
      </c>
      <c r="D996" s="4">
        <v>22.5</v>
      </c>
      <c r="E996" s="4">
        <v>15</v>
      </c>
      <c r="F996" s="4">
        <v>54</v>
      </c>
      <c r="G996" s="4">
        <v>20</v>
      </c>
      <c r="H996" s="4">
        <v>19</v>
      </c>
      <c r="I996" s="4">
        <v>10</v>
      </c>
      <c r="J996" s="4">
        <v>11</v>
      </c>
      <c r="K996" s="4">
        <v>40</v>
      </c>
      <c r="L996" s="4">
        <v>25</v>
      </c>
      <c r="M996" s="4">
        <v>26</v>
      </c>
      <c r="N996" s="4">
        <v>144</v>
      </c>
    </row>
    <row r="997" spans="1:14">
      <c r="A997" s="3">
        <v>811184</v>
      </c>
      <c r="B997" s="3">
        <v>201090</v>
      </c>
      <c r="C997" s="4">
        <v>16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</row>
    <row r="998" spans="1:14">
      <c r="A998" s="3">
        <v>811185</v>
      </c>
      <c r="B998" s="3">
        <v>119034</v>
      </c>
      <c r="C998" s="4">
        <v>35</v>
      </c>
      <c r="D998" s="4">
        <v>29.5</v>
      </c>
      <c r="E998" s="4">
        <v>0</v>
      </c>
      <c r="F998" s="4">
        <v>0</v>
      </c>
      <c r="G998" s="4">
        <v>0</v>
      </c>
      <c r="H998" s="4">
        <v>5</v>
      </c>
      <c r="I998" s="4">
        <v>0</v>
      </c>
      <c r="J998" s="4">
        <v>25</v>
      </c>
      <c r="K998" s="4">
        <v>15</v>
      </c>
      <c r="L998" s="4">
        <v>0</v>
      </c>
      <c r="M998" s="4">
        <v>0</v>
      </c>
      <c r="N998" s="4">
        <v>20</v>
      </c>
    </row>
    <row r="999" spans="1:14">
      <c r="A999" s="3">
        <v>811186</v>
      </c>
      <c r="B999" s="3">
        <v>143607</v>
      </c>
      <c r="C999" s="4">
        <v>37</v>
      </c>
      <c r="D999" s="4">
        <v>60</v>
      </c>
      <c r="E999" s="4">
        <v>50</v>
      </c>
      <c r="F999" s="4">
        <v>72</v>
      </c>
      <c r="G999" s="4">
        <v>77</v>
      </c>
      <c r="H999" s="4">
        <v>38</v>
      </c>
      <c r="I999" s="4">
        <v>20</v>
      </c>
      <c r="J999" s="4">
        <v>24</v>
      </c>
      <c r="K999" s="4">
        <v>69.5</v>
      </c>
      <c r="L999" s="4">
        <v>55</v>
      </c>
      <c r="M999" s="4">
        <v>52.5</v>
      </c>
      <c r="N999" s="4">
        <v>45</v>
      </c>
    </row>
    <row r="1000" spans="1:14">
      <c r="A1000" s="3">
        <v>811187</v>
      </c>
      <c r="B1000" s="3">
        <v>140967</v>
      </c>
      <c r="C1000" s="4">
        <v>30</v>
      </c>
      <c r="D1000" s="4">
        <v>10</v>
      </c>
      <c r="E1000" s="4">
        <v>0</v>
      </c>
      <c r="F1000" s="4">
        <v>20</v>
      </c>
      <c r="G1000" s="4">
        <v>85</v>
      </c>
      <c r="H1000" s="4">
        <v>0</v>
      </c>
      <c r="I1000" s="4">
        <v>0</v>
      </c>
      <c r="J1000" s="4">
        <v>0</v>
      </c>
      <c r="K1000" s="4">
        <v>52.5</v>
      </c>
      <c r="L1000" s="4">
        <v>0</v>
      </c>
      <c r="M1000" s="4">
        <v>131.85</v>
      </c>
      <c r="N1000" s="4">
        <v>141</v>
      </c>
    </row>
    <row r="1001" spans="1:14">
      <c r="A1001" s="3">
        <v>811189</v>
      </c>
      <c r="B1001" s="3">
        <v>176833</v>
      </c>
      <c r="C1001" s="4">
        <v>170</v>
      </c>
      <c r="D1001" s="4">
        <v>177</v>
      </c>
      <c r="E1001" s="4">
        <v>152</v>
      </c>
      <c r="F1001" s="4">
        <v>65</v>
      </c>
      <c r="G1001" s="4">
        <v>135</v>
      </c>
      <c r="H1001" s="4">
        <v>42</v>
      </c>
      <c r="I1001" s="4">
        <v>101</v>
      </c>
      <c r="J1001" s="4">
        <v>45</v>
      </c>
      <c r="K1001" s="4">
        <v>171</v>
      </c>
      <c r="L1001" s="4">
        <v>95</v>
      </c>
      <c r="M1001" s="4">
        <v>90</v>
      </c>
      <c r="N1001" s="4">
        <v>97</v>
      </c>
    </row>
    <row r="1002" spans="1:14">
      <c r="A1002" s="3">
        <v>811191</v>
      </c>
      <c r="B1002" s="3">
        <v>207977</v>
      </c>
      <c r="C1002" s="4">
        <v>20</v>
      </c>
      <c r="D1002" s="4">
        <v>35</v>
      </c>
      <c r="E1002" s="4">
        <v>20</v>
      </c>
      <c r="F1002" s="4">
        <v>27</v>
      </c>
      <c r="G1002" s="4">
        <v>30</v>
      </c>
      <c r="H1002" s="4">
        <v>6</v>
      </c>
      <c r="I1002" s="4">
        <v>22</v>
      </c>
      <c r="J1002" s="4">
        <v>10</v>
      </c>
      <c r="K1002" s="4">
        <v>8</v>
      </c>
      <c r="L1002" s="4">
        <v>20</v>
      </c>
      <c r="M1002" s="4">
        <v>20</v>
      </c>
      <c r="N1002" s="4">
        <v>30</v>
      </c>
    </row>
    <row r="1003" spans="1:14">
      <c r="A1003" s="3">
        <v>811192</v>
      </c>
      <c r="B1003" s="3">
        <v>174166</v>
      </c>
      <c r="C1003" s="4">
        <v>0</v>
      </c>
      <c r="D1003" s="4">
        <v>30</v>
      </c>
      <c r="E1003" s="4">
        <v>65</v>
      </c>
      <c r="F1003" s="4">
        <v>30</v>
      </c>
      <c r="G1003" s="4">
        <v>42.5</v>
      </c>
      <c r="H1003" s="4">
        <v>52.5</v>
      </c>
      <c r="I1003" s="4">
        <v>82.85</v>
      </c>
      <c r="J1003" s="4">
        <v>75</v>
      </c>
      <c r="K1003" s="4">
        <v>55</v>
      </c>
      <c r="L1003" s="4">
        <v>45</v>
      </c>
      <c r="M1003" s="4">
        <v>136.5</v>
      </c>
      <c r="N1003" s="4">
        <v>55</v>
      </c>
    </row>
    <row r="1004" spans="1:14">
      <c r="A1004" s="3">
        <v>811214</v>
      </c>
      <c r="B1004" s="3">
        <v>173288</v>
      </c>
      <c r="C1004" s="4">
        <v>0</v>
      </c>
      <c r="D1004" s="4">
        <v>26</v>
      </c>
      <c r="E1004" s="4">
        <v>45</v>
      </c>
      <c r="F1004" s="4">
        <v>13</v>
      </c>
      <c r="G1004" s="4">
        <v>9</v>
      </c>
      <c r="H1004" s="4">
        <v>22</v>
      </c>
      <c r="I1004" s="4">
        <v>12</v>
      </c>
      <c r="J1004" s="4">
        <v>12</v>
      </c>
      <c r="K1004" s="4">
        <v>10</v>
      </c>
      <c r="L1004" s="4">
        <v>32</v>
      </c>
      <c r="M1004" s="4">
        <v>29</v>
      </c>
      <c r="N1004" s="4">
        <v>86</v>
      </c>
    </row>
    <row r="1005" spans="1:14">
      <c r="A1005" s="3">
        <v>811218</v>
      </c>
      <c r="B1005" s="3">
        <v>178236</v>
      </c>
      <c r="C1005" s="4">
        <v>66.8</v>
      </c>
      <c r="D1005" s="4">
        <v>198</v>
      </c>
      <c r="E1005" s="4">
        <v>45.5</v>
      </c>
      <c r="F1005" s="4">
        <v>131.25</v>
      </c>
      <c r="G1005" s="4">
        <v>54.75</v>
      </c>
      <c r="H1005" s="4">
        <v>73</v>
      </c>
      <c r="I1005" s="4">
        <v>15</v>
      </c>
      <c r="J1005" s="4">
        <v>0</v>
      </c>
      <c r="K1005" s="4">
        <v>60</v>
      </c>
      <c r="L1005" s="4">
        <v>30</v>
      </c>
      <c r="M1005" s="4">
        <v>15</v>
      </c>
      <c r="N1005" s="4">
        <v>80</v>
      </c>
    </row>
    <row r="1006" spans="1:14">
      <c r="A1006" s="3">
        <v>811219</v>
      </c>
      <c r="B1006" s="3">
        <v>143301</v>
      </c>
      <c r="C1006" s="4">
        <v>0</v>
      </c>
      <c r="D1006" s="4">
        <v>0</v>
      </c>
      <c r="E1006" s="4">
        <v>0</v>
      </c>
      <c r="F1006" s="4">
        <v>17.5</v>
      </c>
      <c r="G1006" s="4">
        <v>4</v>
      </c>
      <c r="H1006" s="4">
        <v>26.5</v>
      </c>
      <c r="I1006" s="4">
        <v>7.5</v>
      </c>
      <c r="J1006" s="4">
        <v>0</v>
      </c>
      <c r="K1006" s="4">
        <v>0</v>
      </c>
      <c r="L1006" s="4">
        <v>0</v>
      </c>
      <c r="M1006" s="4">
        <v>26.5</v>
      </c>
      <c r="N1006" s="4">
        <v>0</v>
      </c>
    </row>
    <row r="1007" spans="1:14">
      <c r="A1007" s="3">
        <v>811241</v>
      </c>
      <c r="B1007" s="3">
        <v>170146</v>
      </c>
      <c r="C1007" s="4">
        <v>0</v>
      </c>
      <c r="D1007" s="4">
        <v>0</v>
      </c>
      <c r="E1007" s="4">
        <v>0</v>
      </c>
      <c r="F1007" s="4">
        <v>10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</row>
    <row r="1008" spans="1:14">
      <c r="A1008" s="3">
        <v>811242</v>
      </c>
      <c r="B1008" s="3">
        <v>147770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19.600000000000001</v>
      </c>
      <c r="M1008" s="4">
        <v>19</v>
      </c>
      <c r="N1008" s="4">
        <v>5</v>
      </c>
    </row>
    <row r="1009" spans="1:14">
      <c r="A1009" s="3">
        <v>811243</v>
      </c>
      <c r="B1009" s="3">
        <v>176303</v>
      </c>
      <c r="C1009" s="4">
        <v>0</v>
      </c>
      <c r="D1009" s="4">
        <v>40</v>
      </c>
      <c r="E1009" s="4">
        <v>0</v>
      </c>
      <c r="F1009" s="4">
        <v>0</v>
      </c>
      <c r="G1009" s="4">
        <v>0</v>
      </c>
      <c r="H1009" s="4">
        <v>0</v>
      </c>
      <c r="I1009" s="4">
        <v>5</v>
      </c>
      <c r="J1009" s="4">
        <v>0</v>
      </c>
      <c r="K1009" s="4">
        <v>0</v>
      </c>
      <c r="L1009" s="4">
        <v>5</v>
      </c>
      <c r="M1009" s="4">
        <v>5</v>
      </c>
      <c r="N1009" s="4">
        <v>0</v>
      </c>
    </row>
    <row r="1010" spans="1:14">
      <c r="A1010" s="3">
        <v>811244</v>
      </c>
      <c r="B1010" s="3">
        <v>178768</v>
      </c>
      <c r="C1010" s="4">
        <v>0</v>
      </c>
      <c r="D1010" s="4">
        <v>15</v>
      </c>
      <c r="E1010" s="4">
        <v>0</v>
      </c>
      <c r="F1010" s="4">
        <v>41</v>
      </c>
      <c r="G1010" s="4">
        <v>0</v>
      </c>
      <c r="H1010" s="4">
        <v>35</v>
      </c>
      <c r="I1010" s="4">
        <v>0</v>
      </c>
      <c r="J1010" s="4">
        <v>0</v>
      </c>
      <c r="K1010" s="4">
        <v>18</v>
      </c>
      <c r="L1010" s="4">
        <v>0</v>
      </c>
      <c r="M1010" s="4">
        <v>0</v>
      </c>
      <c r="N1010" s="4">
        <v>5</v>
      </c>
    </row>
    <row r="1011" spans="1:14">
      <c r="A1011" s="3">
        <v>811251</v>
      </c>
      <c r="B1011" s="3">
        <v>144868</v>
      </c>
      <c r="C1011" s="4">
        <v>8</v>
      </c>
      <c r="D1011" s="4">
        <v>0</v>
      </c>
      <c r="E1011" s="4">
        <v>5</v>
      </c>
      <c r="F1011" s="4">
        <v>5</v>
      </c>
      <c r="G1011" s="4">
        <v>10</v>
      </c>
      <c r="H1011" s="4">
        <v>0</v>
      </c>
      <c r="I1011" s="4">
        <v>5</v>
      </c>
      <c r="J1011" s="4">
        <v>12.5</v>
      </c>
      <c r="K1011" s="4">
        <v>14</v>
      </c>
      <c r="L1011" s="4">
        <v>20</v>
      </c>
      <c r="M1011" s="4">
        <v>14.5</v>
      </c>
      <c r="N1011" s="4">
        <v>25</v>
      </c>
    </row>
    <row r="1012" spans="1:14">
      <c r="A1012" s="3">
        <v>811253</v>
      </c>
      <c r="B1012" s="3">
        <v>119066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57</v>
      </c>
    </row>
    <row r="1013" spans="1:14">
      <c r="A1013" s="3">
        <v>811254</v>
      </c>
      <c r="B1013" s="3">
        <v>202881</v>
      </c>
      <c r="C1013" s="4">
        <v>0</v>
      </c>
      <c r="D1013" s="4">
        <v>0</v>
      </c>
      <c r="E1013" s="4">
        <v>20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</row>
    <row r="1014" spans="1:14">
      <c r="A1014" s="3">
        <v>811254</v>
      </c>
      <c r="B1014" s="3">
        <v>208066</v>
      </c>
      <c r="C1014" s="4">
        <v>0</v>
      </c>
      <c r="D1014" s="4">
        <v>0</v>
      </c>
      <c r="E1014" s="4">
        <v>0</v>
      </c>
      <c r="F1014" s="4">
        <v>0</v>
      </c>
      <c r="G1014" s="4">
        <v>9.5</v>
      </c>
      <c r="H1014" s="4">
        <v>16</v>
      </c>
      <c r="I1014" s="4">
        <v>7</v>
      </c>
      <c r="J1014" s="4">
        <v>0</v>
      </c>
      <c r="K1014" s="4">
        <v>25</v>
      </c>
      <c r="L1014" s="4">
        <v>0</v>
      </c>
      <c r="M1014" s="4">
        <v>0</v>
      </c>
      <c r="N1014" s="4">
        <v>0</v>
      </c>
    </row>
    <row r="1015" spans="1:14">
      <c r="A1015" s="3">
        <v>811255</v>
      </c>
      <c r="B1015" s="3">
        <v>176773</v>
      </c>
      <c r="C1015" s="4">
        <v>15</v>
      </c>
      <c r="D1015" s="4">
        <v>15</v>
      </c>
      <c r="E1015" s="4">
        <v>15</v>
      </c>
      <c r="F1015" s="4">
        <v>26.25</v>
      </c>
      <c r="G1015" s="4">
        <v>15</v>
      </c>
      <c r="H1015" s="4">
        <v>15</v>
      </c>
      <c r="I1015" s="4">
        <v>15</v>
      </c>
      <c r="J1015" s="4">
        <v>15</v>
      </c>
      <c r="K1015" s="4">
        <v>0</v>
      </c>
      <c r="L1015" s="4">
        <v>0</v>
      </c>
      <c r="M1015" s="4">
        <v>0</v>
      </c>
      <c r="N1015" s="4">
        <v>0</v>
      </c>
    </row>
    <row r="1016" spans="1:14">
      <c r="A1016" s="3">
        <v>811256</v>
      </c>
      <c r="B1016" s="3">
        <v>179879</v>
      </c>
      <c r="C1016" s="4">
        <v>0</v>
      </c>
      <c r="D1016" s="4">
        <v>35</v>
      </c>
      <c r="E1016" s="4">
        <v>49</v>
      </c>
      <c r="F1016" s="4">
        <v>9</v>
      </c>
      <c r="G1016" s="4">
        <v>41</v>
      </c>
      <c r="H1016" s="4">
        <v>0</v>
      </c>
      <c r="I1016" s="4">
        <v>20</v>
      </c>
      <c r="J1016" s="4">
        <v>15</v>
      </c>
      <c r="K1016" s="4">
        <v>28.5</v>
      </c>
      <c r="L1016" s="4">
        <v>15</v>
      </c>
      <c r="M1016" s="4">
        <v>60</v>
      </c>
      <c r="N1016" s="4">
        <v>20</v>
      </c>
    </row>
    <row r="1017" spans="1:14">
      <c r="A1017" s="3">
        <v>811270</v>
      </c>
      <c r="B1017" s="3">
        <v>179560</v>
      </c>
      <c r="C1017" s="4">
        <v>33.5</v>
      </c>
      <c r="D1017" s="4">
        <v>55</v>
      </c>
      <c r="E1017" s="4">
        <v>95</v>
      </c>
      <c r="F1017" s="4">
        <v>154.80000000000001</v>
      </c>
      <c r="G1017" s="4">
        <v>234.5</v>
      </c>
      <c r="H1017" s="4">
        <v>206.25</v>
      </c>
      <c r="I1017" s="4">
        <v>109</v>
      </c>
      <c r="J1017" s="4">
        <v>145</v>
      </c>
      <c r="K1017" s="4">
        <v>110</v>
      </c>
      <c r="L1017" s="4">
        <v>150</v>
      </c>
      <c r="M1017" s="4">
        <v>115</v>
      </c>
      <c r="N1017" s="4">
        <v>74.849999999999994</v>
      </c>
    </row>
    <row r="1018" spans="1:14">
      <c r="A1018" s="3">
        <v>811271</v>
      </c>
      <c r="B1018" s="3">
        <v>141115</v>
      </c>
      <c r="C1018" s="4">
        <v>51.5</v>
      </c>
      <c r="D1018" s="4">
        <v>0</v>
      </c>
      <c r="E1018" s="4">
        <v>0</v>
      </c>
      <c r="F1018" s="4">
        <v>61.5</v>
      </c>
      <c r="G1018" s="4">
        <v>30</v>
      </c>
      <c r="H1018" s="4">
        <v>0</v>
      </c>
      <c r="I1018" s="4">
        <v>90</v>
      </c>
      <c r="J1018" s="4">
        <v>60</v>
      </c>
      <c r="K1018" s="4">
        <v>56.25</v>
      </c>
      <c r="L1018" s="4">
        <v>50</v>
      </c>
      <c r="M1018" s="4">
        <v>51</v>
      </c>
      <c r="N1018" s="4">
        <v>30</v>
      </c>
    </row>
    <row r="1019" spans="1:14">
      <c r="A1019" s="3">
        <v>811273</v>
      </c>
      <c r="B1019" s="3">
        <v>170501</v>
      </c>
      <c r="C1019" s="4">
        <v>0</v>
      </c>
      <c r="D1019" s="4">
        <v>10</v>
      </c>
      <c r="E1019" s="4">
        <v>10</v>
      </c>
      <c r="F1019" s="4">
        <v>9.5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5</v>
      </c>
      <c r="N1019" s="4">
        <v>45.25</v>
      </c>
    </row>
    <row r="1020" spans="1:14">
      <c r="A1020" s="3">
        <v>811274</v>
      </c>
      <c r="B1020" s="3">
        <v>140848</v>
      </c>
      <c r="C1020" s="4">
        <v>20</v>
      </c>
      <c r="D1020" s="4">
        <v>40</v>
      </c>
      <c r="E1020" s="4">
        <v>20</v>
      </c>
      <c r="F1020" s="4">
        <v>37.5</v>
      </c>
      <c r="G1020" s="4">
        <v>41</v>
      </c>
      <c r="H1020" s="4">
        <v>40</v>
      </c>
      <c r="I1020" s="4">
        <v>10</v>
      </c>
      <c r="J1020" s="4">
        <v>60</v>
      </c>
      <c r="K1020" s="4">
        <v>10</v>
      </c>
      <c r="L1020" s="4">
        <v>0</v>
      </c>
      <c r="M1020" s="4">
        <v>10</v>
      </c>
      <c r="N1020" s="4">
        <v>10</v>
      </c>
    </row>
    <row r="1021" spans="1:14">
      <c r="A1021" s="3">
        <v>811275</v>
      </c>
      <c r="B1021" s="3">
        <v>179946</v>
      </c>
      <c r="C1021" s="4">
        <v>0</v>
      </c>
      <c r="D1021" s="4">
        <v>0</v>
      </c>
      <c r="E1021" s="4">
        <v>0</v>
      </c>
      <c r="F1021" s="4">
        <v>11</v>
      </c>
      <c r="G1021" s="4">
        <v>0</v>
      </c>
      <c r="H1021" s="4">
        <v>0</v>
      </c>
      <c r="I1021" s="4">
        <v>50</v>
      </c>
      <c r="J1021" s="4">
        <v>0</v>
      </c>
      <c r="K1021" s="4">
        <v>63</v>
      </c>
      <c r="L1021" s="4">
        <v>30</v>
      </c>
      <c r="M1021" s="4">
        <v>25</v>
      </c>
      <c r="N1021" s="4">
        <v>246.25</v>
      </c>
    </row>
    <row r="1022" spans="1:14">
      <c r="A1022" s="3">
        <v>811315</v>
      </c>
      <c r="B1022" s="3">
        <v>119031</v>
      </c>
      <c r="C1022" s="4">
        <v>43</v>
      </c>
      <c r="D1022" s="4">
        <v>18.850000000000001</v>
      </c>
      <c r="E1022" s="4">
        <v>136.5</v>
      </c>
      <c r="F1022" s="4">
        <v>17.5</v>
      </c>
      <c r="G1022" s="4">
        <v>115</v>
      </c>
      <c r="H1022" s="4">
        <v>42</v>
      </c>
      <c r="I1022" s="4">
        <v>65</v>
      </c>
      <c r="J1022" s="4">
        <v>12</v>
      </c>
      <c r="K1022" s="4">
        <v>37.5</v>
      </c>
      <c r="L1022" s="4">
        <v>133</v>
      </c>
      <c r="M1022" s="4">
        <v>27</v>
      </c>
      <c r="N1022" s="4">
        <v>15</v>
      </c>
    </row>
    <row r="1023" spans="1:14">
      <c r="A1023" s="3">
        <v>811316</v>
      </c>
      <c r="B1023" s="3">
        <v>178230</v>
      </c>
      <c r="C1023" s="4">
        <v>100</v>
      </c>
      <c r="D1023" s="4">
        <v>80</v>
      </c>
      <c r="E1023" s="4">
        <v>36</v>
      </c>
      <c r="F1023" s="4">
        <v>127.5</v>
      </c>
      <c r="G1023" s="4">
        <v>26</v>
      </c>
      <c r="H1023" s="4">
        <v>0</v>
      </c>
      <c r="I1023" s="4">
        <v>0</v>
      </c>
      <c r="J1023" s="4">
        <v>10</v>
      </c>
      <c r="K1023" s="4">
        <v>30</v>
      </c>
      <c r="L1023" s="4">
        <v>33.5</v>
      </c>
      <c r="M1023" s="4">
        <v>58.5</v>
      </c>
      <c r="N1023" s="4">
        <v>35</v>
      </c>
    </row>
    <row r="1024" spans="1:14">
      <c r="A1024" s="3">
        <v>811324</v>
      </c>
      <c r="B1024" s="3">
        <v>170204</v>
      </c>
      <c r="C1024" s="4">
        <v>17.5</v>
      </c>
      <c r="D1024" s="4">
        <v>62.5</v>
      </c>
      <c r="E1024" s="4">
        <v>144</v>
      </c>
      <c r="F1024" s="4">
        <v>30</v>
      </c>
      <c r="G1024" s="4">
        <v>0</v>
      </c>
      <c r="H1024" s="4">
        <v>17.5</v>
      </c>
      <c r="I1024" s="4">
        <v>0</v>
      </c>
      <c r="J1024" s="4">
        <v>15</v>
      </c>
      <c r="K1024" s="4">
        <v>40</v>
      </c>
      <c r="L1024" s="4">
        <v>45</v>
      </c>
      <c r="M1024" s="4">
        <v>36</v>
      </c>
      <c r="N1024" s="4">
        <v>22</v>
      </c>
    </row>
    <row r="1025" spans="1:14">
      <c r="A1025" s="3">
        <v>811328</v>
      </c>
      <c r="B1025" s="3">
        <v>176833</v>
      </c>
      <c r="C1025" s="4">
        <v>55</v>
      </c>
      <c r="D1025" s="4">
        <v>55</v>
      </c>
      <c r="E1025" s="4">
        <v>95</v>
      </c>
      <c r="F1025" s="4">
        <v>40</v>
      </c>
      <c r="G1025" s="4">
        <v>70</v>
      </c>
      <c r="H1025" s="4">
        <v>30</v>
      </c>
      <c r="I1025" s="4">
        <v>25</v>
      </c>
      <c r="J1025" s="4">
        <v>45</v>
      </c>
      <c r="K1025" s="4">
        <v>80</v>
      </c>
      <c r="L1025" s="4">
        <v>60</v>
      </c>
      <c r="M1025" s="4">
        <v>20</v>
      </c>
      <c r="N1025" s="4">
        <v>40</v>
      </c>
    </row>
    <row r="1026" spans="1:14">
      <c r="A1026" s="3">
        <v>811329</v>
      </c>
      <c r="B1026" s="3">
        <v>177595</v>
      </c>
      <c r="C1026" s="4">
        <v>0</v>
      </c>
      <c r="D1026" s="4">
        <v>0</v>
      </c>
      <c r="E1026" s="4">
        <v>0</v>
      </c>
      <c r="F1026" s="4">
        <v>0</v>
      </c>
      <c r="G1026" s="4">
        <v>30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</row>
    <row r="1027" spans="1:14">
      <c r="A1027" s="3">
        <v>811348</v>
      </c>
      <c r="B1027" s="3">
        <v>119117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45</v>
      </c>
      <c r="K1027" s="4">
        <v>10</v>
      </c>
      <c r="L1027" s="4">
        <v>0</v>
      </c>
      <c r="M1027" s="4">
        <v>0</v>
      </c>
      <c r="N1027" s="4">
        <v>0</v>
      </c>
    </row>
    <row r="1028" spans="1:14">
      <c r="A1028" s="3">
        <v>811349</v>
      </c>
      <c r="B1028" s="3">
        <v>178230</v>
      </c>
      <c r="C1028" s="4">
        <v>0</v>
      </c>
      <c r="D1028" s="4">
        <v>0</v>
      </c>
      <c r="E1028" s="4">
        <v>10</v>
      </c>
      <c r="F1028" s="4">
        <v>10</v>
      </c>
      <c r="G1028" s="4">
        <v>30</v>
      </c>
      <c r="H1028" s="4">
        <v>35</v>
      </c>
      <c r="I1028" s="4">
        <v>25</v>
      </c>
      <c r="J1028" s="4">
        <v>25</v>
      </c>
      <c r="K1028" s="4">
        <v>0</v>
      </c>
      <c r="L1028" s="4">
        <v>0</v>
      </c>
      <c r="M1028" s="4">
        <v>8.5</v>
      </c>
      <c r="N1028" s="4">
        <v>16</v>
      </c>
    </row>
    <row r="1029" spans="1:14">
      <c r="A1029" s="3">
        <v>811350</v>
      </c>
      <c r="B1029" s="3">
        <v>177379</v>
      </c>
      <c r="C1029" s="4">
        <v>43.5</v>
      </c>
      <c r="D1029" s="4">
        <v>30</v>
      </c>
      <c r="E1029" s="4">
        <v>30</v>
      </c>
      <c r="F1029" s="4">
        <v>20</v>
      </c>
      <c r="G1029" s="4">
        <v>15</v>
      </c>
      <c r="H1029" s="4">
        <v>123.5</v>
      </c>
      <c r="I1029" s="4">
        <v>85</v>
      </c>
      <c r="J1029" s="4">
        <v>60</v>
      </c>
      <c r="K1029" s="4">
        <v>0</v>
      </c>
      <c r="L1029" s="4">
        <v>20</v>
      </c>
      <c r="M1029" s="4">
        <v>60</v>
      </c>
      <c r="N1029" s="4">
        <v>139.5</v>
      </c>
    </row>
    <row r="1030" spans="1:14">
      <c r="A1030" s="3">
        <v>811356</v>
      </c>
      <c r="B1030" s="3">
        <v>170146</v>
      </c>
      <c r="C1030" s="4">
        <v>15</v>
      </c>
      <c r="D1030" s="4">
        <v>20</v>
      </c>
      <c r="E1030" s="4">
        <v>73</v>
      </c>
      <c r="F1030" s="4">
        <v>30</v>
      </c>
      <c r="G1030" s="4">
        <v>62</v>
      </c>
      <c r="H1030" s="4">
        <v>0</v>
      </c>
      <c r="I1030" s="4">
        <v>50</v>
      </c>
      <c r="J1030" s="4">
        <v>5</v>
      </c>
      <c r="K1030" s="4">
        <v>57</v>
      </c>
      <c r="L1030" s="4">
        <v>0</v>
      </c>
      <c r="M1030" s="4">
        <v>0</v>
      </c>
      <c r="N1030" s="4">
        <v>5</v>
      </c>
    </row>
    <row r="1031" spans="1:14">
      <c r="A1031" s="3">
        <v>811357</v>
      </c>
      <c r="B1031" s="3">
        <v>170132</v>
      </c>
      <c r="C1031" s="4">
        <v>0</v>
      </c>
      <c r="D1031" s="4">
        <v>0</v>
      </c>
      <c r="E1031" s="4">
        <v>21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</row>
    <row r="1032" spans="1:14">
      <c r="A1032" s="3">
        <v>811357</v>
      </c>
      <c r="B1032" s="3">
        <v>170146</v>
      </c>
      <c r="C1032" s="4">
        <v>0</v>
      </c>
      <c r="D1032" s="4">
        <v>0</v>
      </c>
      <c r="E1032" s="4">
        <v>0</v>
      </c>
      <c r="F1032" s="4">
        <v>21</v>
      </c>
      <c r="G1032" s="4">
        <v>20</v>
      </c>
      <c r="H1032" s="4">
        <v>0</v>
      </c>
      <c r="I1032" s="4">
        <v>10</v>
      </c>
      <c r="J1032" s="4">
        <v>0</v>
      </c>
      <c r="K1032" s="4">
        <v>35</v>
      </c>
      <c r="L1032" s="4">
        <v>6</v>
      </c>
      <c r="M1032" s="4">
        <v>0</v>
      </c>
      <c r="N1032" s="4">
        <v>5</v>
      </c>
    </row>
    <row r="1033" spans="1:14">
      <c r="A1033" s="3">
        <v>811360</v>
      </c>
      <c r="B1033" s="3">
        <v>170013</v>
      </c>
      <c r="C1033" s="4">
        <v>15</v>
      </c>
      <c r="D1033" s="4">
        <v>25</v>
      </c>
      <c r="E1033" s="4">
        <v>0</v>
      </c>
      <c r="F1033" s="4">
        <v>73.5</v>
      </c>
      <c r="G1033" s="4">
        <v>47.5</v>
      </c>
      <c r="H1033" s="4">
        <v>59</v>
      </c>
      <c r="I1033" s="4">
        <v>25</v>
      </c>
      <c r="J1033" s="4">
        <v>7</v>
      </c>
      <c r="K1033" s="4">
        <v>38</v>
      </c>
      <c r="L1033" s="4">
        <v>30</v>
      </c>
      <c r="M1033" s="4">
        <v>70</v>
      </c>
      <c r="N1033" s="4">
        <v>80</v>
      </c>
    </row>
    <row r="1034" spans="1:14">
      <c r="A1034" s="3">
        <v>811385</v>
      </c>
      <c r="B1034" s="3">
        <v>142269</v>
      </c>
      <c r="C1034" s="4">
        <v>30</v>
      </c>
      <c r="D1034" s="4">
        <v>15</v>
      </c>
      <c r="E1034" s="4">
        <v>63</v>
      </c>
      <c r="F1034" s="4">
        <v>40</v>
      </c>
      <c r="G1034" s="4">
        <v>20</v>
      </c>
      <c r="H1034" s="4">
        <v>10</v>
      </c>
      <c r="I1034" s="4">
        <v>85</v>
      </c>
      <c r="J1034" s="4">
        <v>70</v>
      </c>
      <c r="K1034" s="4">
        <v>30</v>
      </c>
      <c r="L1034" s="4">
        <v>35</v>
      </c>
      <c r="M1034" s="4">
        <v>70</v>
      </c>
      <c r="N1034" s="4">
        <v>116.5</v>
      </c>
    </row>
    <row r="1035" spans="1:14">
      <c r="A1035" s="3">
        <v>811386</v>
      </c>
      <c r="B1035" s="3">
        <v>119066</v>
      </c>
      <c r="C1035" s="4">
        <v>70</v>
      </c>
      <c r="D1035" s="4">
        <v>122</v>
      </c>
      <c r="E1035" s="4">
        <v>160</v>
      </c>
      <c r="F1035" s="4">
        <v>3</v>
      </c>
      <c r="G1035" s="4">
        <v>107</v>
      </c>
      <c r="H1035" s="4">
        <v>104</v>
      </c>
      <c r="I1035" s="4">
        <v>71</v>
      </c>
      <c r="J1035" s="4">
        <v>0</v>
      </c>
      <c r="K1035" s="4">
        <v>107</v>
      </c>
      <c r="L1035" s="4">
        <v>70</v>
      </c>
      <c r="M1035" s="4">
        <v>85</v>
      </c>
      <c r="N1035" s="4">
        <v>100</v>
      </c>
    </row>
    <row r="1036" spans="1:14">
      <c r="A1036" s="3">
        <v>811387</v>
      </c>
      <c r="B1036" s="3">
        <v>179560</v>
      </c>
      <c r="C1036" s="4">
        <v>21</v>
      </c>
      <c r="D1036" s="4">
        <v>0</v>
      </c>
      <c r="E1036" s="4">
        <v>27.5</v>
      </c>
      <c r="F1036" s="4">
        <v>45</v>
      </c>
      <c r="G1036" s="4">
        <v>27.5</v>
      </c>
      <c r="H1036" s="4">
        <v>25</v>
      </c>
      <c r="I1036" s="4">
        <v>5</v>
      </c>
      <c r="J1036" s="4">
        <v>15</v>
      </c>
      <c r="K1036" s="4">
        <v>35</v>
      </c>
      <c r="L1036" s="4">
        <v>10</v>
      </c>
      <c r="M1036" s="4">
        <v>12.5</v>
      </c>
      <c r="N1036" s="4">
        <v>15</v>
      </c>
    </row>
    <row r="1037" spans="1:14">
      <c r="A1037" s="3">
        <v>811401</v>
      </c>
      <c r="B1037" s="3">
        <v>145639</v>
      </c>
      <c r="C1037" s="4">
        <v>0</v>
      </c>
      <c r="D1037" s="4">
        <v>0</v>
      </c>
      <c r="E1037" s="4">
        <v>0</v>
      </c>
      <c r="F1037" s="4">
        <v>4</v>
      </c>
      <c r="G1037" s="4">
        <v>21</v>
      </c>
      <c r="H1037" s="4">
        <v>9</v>
      </c>
      <c r="I1037" s="4">
        <v>0</v>
      </c>
      <c r="J1037" s="4">
        <v>5</v>
      </c>
      <c r="K1037" s="4">
        <v>7.5</v>
      </c>
      <c r="L1037" s="4">
        <v>0</v>
      </c>
      <c r="M1037" s="4">
        <v>0</v>
      </c>
      <c r="N1037" s="4">
        <v>17.5</v>
      </c>
    </row>
    <row r="1038" spans="1:14">
      <c r="A1038" s="3">
        <v>811402</v>
      </c>
      <c r="B1038" s="3">
        <v>176869</v>
      </c>
      <c r="C1038" s="4">
        <v>44</v>
      </c>
      <c r="D1038" s="4">
        <v>72</v>
      </c>
      <c r="E1038" s="4">
        <v>252.5</v>
      </c>
      <c r="F1038" s="4">
        <v>157</v>
      </c>
      <c r="G1038" s="4">
        <v>108.5</v>
      </c>
      <c r="H1038" s="4">
        <v>150</v>
      </c>
      <c r="I1038" s="4">
        <v>55.5</v>
      </c>
      <c r="J1038" s="4">
        <v>35</v>
      </c>
      <c r="K1038" s="4">
        <v>192</v>
      </c>
      <c r="L1038" s="4">
        <v>67.5</v>
      </c>
      <c r="M1038" s="4">
        <v>124.5</v>
      </c>
      <c r="N1038" s="4">
        <v>131</v>
      </c>
    </row>
    <row r="1039" spans="1:14">
      <c r="A1039" s="3">
        <v>811403</v>
      </c>
      <c r="B1039" s="3">
        <v>207977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6</v>
      </c>
      <c r="I1039" s="4">
        <v>5</v>
      </c>
      <c r="J1039" s="4">
        <v>0</v>
      </c>
      <c r="K1039" s="4">
        <v>10</v>
      </c>
      <c r="L1039" s="4">
        <v>0</v>
      </c>
      <c r="M1039" s="4">
        <v>10</v>
      </c>
      <c r="N1039" s="4">
        <v>0</v>
      </c>
    </row>
    <row r="1040" spans="1:14">
      <c r="A1040" s="3">
        <v>811405</v>
      </c>
      <c r="B1040" s="3">
        <v>178768</v>
      </c>
      <c r="C1040" s="4">
        <v>100</v>
      </c>
      <c r="D1040" s="4">
        <v>80</v>
      </c>
      <c r="E1040" s="4">
        <v>170</v>
      </c>
      <c r="F1040" s="4">
        <v>89.5</v>
      </c>
      <c r="G1040" s="4">
        <v>39</v>
      </c>
      <c r="H1040" s="4">
        <v>93.8</v>
      </c>
      <c r="I1040" s="4">
        <v>15</v>
      </c>
      <c r="J1040" s="4">
        <v>96.2</v>
      </c>
      <c r="K1040" s="4">
        <v>60</v>
      </c>
      <c r="L1040" s="4">
        <v>87.5</v>
      </c>
      <c r="M1040" s="4">
        <v>100</v>
      </c>
      <c r="N1040" s="4">
        <v>160</v>
      </c>
    </row>
    <row r="1041" spans="1:14">
      <c r="A1041" s="3">
        <v>811418</v>
      </c>
      <c r="B1041" s="3">
        <v>174034</v>
      </c>
      <c r="C1041" s="4">
        <v>140</v>
      </c>
      <c r="D1041" s="4">
        <v>65</v>
      </c>
      <c r="E1041" s="4">
        <v>25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15</v>
      </c>
      <c r="M1041" s="4">
        <v>30</v>
      </c>
      <c r="N1041" s="4">
        <v>125</v>
      </c>
    </row>
    <row r="1042" spans="1:14">
      <c r="A1042" s="3">
        <v>811419</v>
      </c>
      <c r="B1042" s="3">
        <v>201578</v>
      </c>
      <c r="C1042" s="4">
        <v>0</v>
      </c>
      <c r="D1042" s="4">
        <v>0</v>
      </c>
      <c r="E1042" s="4">
        <v>25</v>
      </c>
      <c r="F1042" s="4">
        <v>0</v>
      </c>
      <c r="G1042" s="4">
        <v>0</v>
      </c>
      <c r="H1042" s="4">
        <v>0</v>
      </c>
      <c r="I1042" s="4">
        <v>0</v>
      </c>
      <c r="J1042" s="4">
        <v>30</v>
      </c>
      <c r="K1042" s="4">
        <v>0</v>
      </c>
      <c r="L1042" s="4">
        <v>15</v>
      </c>
      <c r="M1042" s="4">
        <v>0</v>
      </c>
      <c r="N1042" s="4">
        <v>0</v>
      </c>
    </row>
    <row r="1043" spans="1:14">
      <c r="A1043" s="3">
        <v>811420</v>
      </c>
      <c r="B1043" s="3">
        <v>119221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56</v>
      </c>
      <c r="K1043" s="4">
        <v>0</v>
      </c>
      <c r="L1043" s="4">
        <v>0</v>
      </c>
      <c r="M1043" s="4">
        <v>0</v>
      </c>
      <c r="N1043" s="4">
        <v>0</v>
      </c>
    </row>
    <row r="1044" spans="1:14">
      <c r="A1044" s="3">
        <v>811420</v>
      </c>
      <c r="B1044" s="3">
        <v>176833</v>
      </c>
      <c r="C1044" s="4">
        <v>78</v>
      </c>
      <c r="D1044" s="4">
        <v>54</v>
      </c>
      <c r="E1044" s="4">
        <v>60</v>
      </c>
      <c r="F1044" s="4">
        <v>20</v>
      </c>
      <c r="G1044" s="4">
        <v>60</v>
      </c>
      <c r="H1044" s="4">
        <v>25</v>
      </c>
      <c r="I1044" s="4">
        <v>55</v>
      </c>
      <c r="J1044" s="4">
        <v>20</v>
      </c>
      <c r="K1044" s="4">
        <v>75</v>
      </c>
      <c r="L1044" s="4">
        <v>35</v>
      </c>
      <c r="M1044" s="4">
        <v>20</v>
      </c>
      <c r="N1044" s="4">
        <v>50</v>
      </c>
    </row>
    <row r="1045" spans="1:14">
      <c r="A1045" s="3">
        <v>811422</v>
      </c>
      <c r="B1045" s="3">
        <v>175288</v>
      </c>
      <c r="C1045" s="4">
        <v>60</v>
      </c>
      <c r="D1045" s="4">
        <v>60</v>
      </c>
      <c r="E1045" s="4">
        <v>60</v>
      </c>
      <c r="F1045" s="4">
        <v>20</v>
      </c>
      <c r="G1045" s="4">
        <v>20</v>
      </c>
      <c r="H1045" s="4">
        <v>0</v>
      </c>
      <c r="I1045" s="4">
        <v>20</v>
      </c>
      <c r="J1045" s="4">
        <v>70</v>
      </c>
      <c r="K1045" s="4">
        <v>90</v>
      </c>
      <c r="L1045" s="4">
        <v>50</v>
      </c>
      <c r="M1045" s="4">
        <v>105</v>
      </c>
      <c r="N1045" s="4">
        <v>145</v>
      </c>
    </row>
    <row r="1046" spans="1:14">
      <c r="A1046" s="3">
        <v>811423</v>
      </c>
      <c r="B1046" s="3">
        <v>141905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10</v>
      </c>
      <c r="J1046" s="4">
        <v>0</v>
      </c>
      <c r="K1046" s="4">
        <v>0</v>
      </c>
      <c r="L1046" s="4">
        <v>5</v>
      </c>
      <c r="M1046" s="4">
        <v>0</v>
      </c>
      <c r="N1046" s="4">
        <v>0</v>
      </c>
    </row>
    <row r="1047" spans="1:14">
      <c r="A1047" s="3">
        <v>811425</v>
      </c>
      <c r="B1047" s="3">
        <v>175547</v>
      </c>
      <c r="C1047" s="4">
        <v>166</v>
      </c>
      <c r="D1047" s="4">
        <v>235</v>
      </c>
      <c r="E1047" s="4">
        <v>211</v>
      </c>
      <c r="F1047" s="4">
        <v>171</v>
      </c>
      <c r="G1047" s="4">
        <v>402</v>
      </c>
      <c r="H1047" s="4">
        <v>290</v>
      </c>
      <c r="I1047" s="4">
        <v>245</v>
      </c>
      <c r="J1047" s="4">
        <v>245</v>
      </c>
      <c r="K1047" s="4">
        <v>347</v>
      </c>
      <c r="L1047" s="4">
        <v>326</v>
      </c>
      <c r="M1047" s="4">
        <v>336</v>
      </c>
      <c r="N1047" s="4">
        <v>415</v>
      </c>
    </row>
    <row r="1048" spans="1:14">
      <c r="A1048" s="3">
        <v>811433</v>
      </c>
      <c r="B1048" s="3">
        <v>119038</v>
      </c>
      <c r="C1048" s="4">
        <v>0</v>
      </c>
      <c r="D1048" s="4">
        <v>0</v>
      </c>
      <c r="E1048" s="4">
        <v>25</v>
      </c>
      <c r="F1048" s="4">
        <v>20</v>
      </c>
      <c r="G1048" s="4">
        <v>10</v>
      </c>
      <c r="H1048" s="4">
        <v>10</v>
      </c>
      <c r="I1048" s="4">
        <v>20</v>
      </c>
      <c r="J1048" s="4">
        <v>0</v>
      </c>
      <c r="K1048" s="4">
        <v>0</v>
      </c>
      <c r="L1048" s="4">
        <v>20</v>
      </c>
      <c r="M1048" s="4">
        <v>20</v>
      </c>
      <c r="N1048" s="4">
        <v>0</v>
      </c>
    </row>
    <row r="1049" spans="1:14">
      <c r="A1049" s="3">
        <v>811454</v>
      </c>
      <c r="B1049" s="3">
        <v>144243</v>
      </c>
      <c r="C1049" s="4">
        <v>48.6</v>
      </c>
      <c r="D1049" s="4">
        <v>82</v>
      </c>
      <c r="E1049" s="4">
        <v>52.5</v>
      </c>
      <c r="F1049" s="4">
        <v>15</v>
      </c>
      <c r="G1049" s="4">
        <v>14.5</v>
      </c>
      <c r="H1049" s="4">
        <v>40</v>
      </c>
      <c r="I1049" s="4">
        <v>20</v>
      </c>
      <c r="J1049" s="4">
        <v>15</v>
      </c>
      <c r="K1049" s="4">
        <v>25</v>
      </c>
      <c r="L1049" s="4">
        <v>27.25</v>
      </c>
      <c r="M1049" s="4">
        <v>17</v>
      </c>
      <c r="N1049" s="4">
        <v>50</v>
      </c>
    </row>
    <row r="1050" spans="1:14">
      <c r="A1050" s="3">
        <v>811455</v>
      </c>
      <c r="B1050" s="3">
        <v>176279</v>
      </c>
      <c r="C1050" s="4">
        <v>5</v>
      </c>
      <c r="D1050" s="4">
        <v>10</v>
      </c>
      <c r="E1050" s="4">
        <v>31.25</v>
      </c>
      <c r="F1050" s="4">
        <v>27.5</v>
      </c>
      <c r="G1050" s="4">
        <v>50</v>
      </c>
      <c r="H1050" s="4">
        <v>50.5</v>
      </c>
      <c r="I1050" s="4">
        <v>19.75</v>
      </c>
      <c r="J1050" s="4">
        <v>12.5</v>
      </c>
      <c r="K1050" s="4">
        <v>37</v>
      </c>
      <c r="L1050" s="4">
        <v>30</v>
      </c>
      <c r="M1050" s="4">
        <v>27.5</v>
      </c>
      <c r="N1050" s="4">
        <v>59</v>
      </c>
    </row>
    <row r="1051" spans="1:14">
      <c r="A1051" s="3">
        <v>811475</v>
      </c>
      <c r="B1051" s="3">
        <v>178844</v>
      </c>
      <c r="C1051" s="4">
        <v>17</v>
      </c>
      <c r="D1051" s="4">
        <v>0</v>
      </c>
      <c r="E1051" s="4">
        <v>7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</row>
    <row r="1052" spans="1:14">
      <c r="A1052" s="3">
        <v>811479</v>
      </c>
      <c r="B1052" s="3">
        <v>145394</v>
      </c>
      <c r="C1052" s="4">
        <v>24</v>
      </c>
      <c r="D1052" s="4">
        <v>20</v>
      </c>
      <c r="E1052" s="4">
        <v>33</v>
      </c>
      <c r="F1052" s="4">
        <v>21.5</v>
      </c>
      <c r="G1052" s="4">
        <v>61.5</v>
      </c>
      <c r="H1052" s="4">
        <v>47</v>
      </c>
      <c r="I1052" s="4">
        <v>25</v>
      </c>
      <c r="J1052" s="4">
        <v>15</v>
      </c>
      <c r="K1052" s="4">
        <v>45</v>
      </c>
      <c r="L1052" s="4">
        <v>52.5</v>
      </c>
      <c r="M1052" s="4">
        <v>30</v>
      </c>
      <c r="N1052" s="4">
        <v>30</v>
      </c>
    </row>
    <row r="1053" spans="1:14">
      <c r="A1053" s="3">
        <v>811480</v>
      </c>
      <c r="B1053" s="3">
        <v>119071</v>
      </c>
      <c r="C1053" s="4">
        <v>30</v>
      </c>
      <c r="D1053" s="4">
        <v>10</v>
      </c>
      <c r="E1053" s="4">
        <v>94</v>
      </c>
      <c r="F1053" s="4">
        <v>62.75</v>
      </c>
      <c r="G1053" s="4">
        <v>86</v>
      </c>
      <c r="H1053" s="4">
        <v>55</v>
      </c>
      <c r="I1053" s="4">
        <v>20</v>
      </c>
      <c r="J1053" s="4">
        <v>20</v>
      </c>
      <c r="K1053" s="4">
        <v>112.5</v>
      </c>
      <c r="L1053" s="4">
        <v>22.5</v>
      </c>
      <c r="M1053" s="4">
        <v>38.5</v>
      </c>
      <c r="N1053" s="4">
        <v>98.75</v>
      </c>
    </row>
    <row r="1054" spans="1:14">
      <c r="A1054" s="3">
        <v>811481</v>
      </c>
      <c r="B1054" s="3">
        <v>179891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1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</row>
    <row r="1055" spans="1:14">
      <c r="A1055" s="3">
        <v>811489</v>
      </c>
      <c r="B1055" s="3">
        <v>179879</v>
      </c>
      <c r="C1055" s="4">
        <v>0</v>
      </c>
      <c r="D1055" s="4">
        <v>15</v>
      </c>
      <c r="E1055" s="4">
        <v>10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20</v>
      </c>
      <c r="L1055" s="4">
        <v>0</v>
      </c>
      <c r="M1055" s="4">
        <v>0</v>
      </c>
      <c r="N1055" s="4">
        <v>0</v>
      </c>
    </row>
    <row r="1056" spans="1:14">
      <c r="A1056" s="3">
        <v>811510</v>
      </c>
      <c r="B1056" s="3">
        <v>206219</v>
      </c>
      <c r="C1056" s="4">
        <v>72.5</v>
      </c>
      <c r="D1056" s="4">
        <v>54</v>
      </c>
      <c r="E1056" s="4">
        <v>44</v>
      </c>
      <c r="F1056" s="4">
        <v>46</v>
      </c>
      <c r="G1056" s="4">
        <v>78.900000000000006</v>
      </c>
      <c r="H1056" s="4">
        <v>33</v>
      </c>
      <c r="I1056" s="4">
        <v>30</v>
      </c>
      <c r="J1056" s="4">
        <v>0</v>
      </c>
      <c r="K1056" s="4">
        <v>11</v>
      </c>
      <c r="L1056" s="4">
        <v>32</v>
      </c>
      <c r="M1056" s="4">
        <v>74.5</v>
      </c>
      <c r="N1056" s="4">
        <v>126</v>
      </c>
    </row>
    <row r="1057" spans="1:14">
      <c r="A1057" s="3">
        <v>811511</v>
      </c>
      <c r="B1057" s="3">
        <v>174034</v>
      </c>
      <c r="C1057" s="4">
        <v>0</v>
      </c>
      <c r="D1057" s="4">
        <v>0</v>
      </c>
      <c r="E1057" s="4">
        <v>0</v>
      </c>
      <c r="F1057" s="4">
        <v>12</v>
      </c>
      <c r="G1057" s="4">
        <v>98</v>
      </c>
      <c r="H1057" s="4">
        <v>11</v>
      </c>
      <c r="I1057" s="4">
        <v>0</v>
      </c>
      <c r="J1057" s="4">
        <v>0</v>
      </c>
      <c r="K1057" s="4">
        <v>0</v>
      </c>
      <c r="L1057" s="4">
        <v>0</v>
      </c>
      <c r="M1057" s="4">
        <v>40</v>
      </c>
      <c r="N1057" s="4">
        <v>20</v>
      </c>
    </row>
    <row r="1058" spans="1:14">
      <c r="A1058" s="3">
        <v>811512</v>
      </c>
      <c r="B1058" s="3">
        <v>140967</v>
      </c>
      <c r="C1058" s="4">
        <v>10</v>
      </c>
      <c r="D1058" s="4">
        <v>15</v>
      </c>
      <c r="E1058" s="4">
        <v>25</v>
      </c>
      <c r="F1058" s="4">
        <v>62.5</v>
      </c>
      <c r="G1058" s="4">
        <v>45</v>
      </c>
      <c r="H1058" s="4">
        <v>10</v>
      </c>
      <c r="I1058" s="4">
        <v>0</v>
      </c>
      <c r="J1058" s="4">
        <v>0</v>
      </c>
      <c r="K1058" s="4">
        <v>7.5</v>
      </c>
      <c r="L1058" s="4">
        <v>120</v>
      </c>
      <c r="M1058" s="4">
        <v>30</v>
      </c>
      <c r="N1058" s="4">
        <v>80</v>
      </c>
    </row>
    <row r="1059" spans="1:14">
      <c r="A1059" s="3">
        <v>811513</v>
      </c>
      <c r="B1059" s="3">
        <v>206066</v>
      </c>
      <c r="C1059" s="4">
        <v>116</v>
      </c>
      <c r="D1059" s="4">
        <v>61</v>
      </c>
      <c r="E1059" s="4">
        <v>63</v>
      </c>
      <c r="F1059" s="4">
        <v>134.5</v>
      </c>
      <c r="G1059" s="4">
        <v>115</v>
      </c>
      <c r="H1059" s="4">
        <v>65</v>
      </c>
      <c r="I1059" s="4">
        <v>44.5</v>
      </c>
      <c r="J1059" s="4">
        <v>30</v>
      </c>
      <c r="K1059" s="4">
        <v>98</v>
      </c>
      <c r="L1059" s="4">
        <v>45</v>
      </c>
      <c r="M1059" s="4">
        <v>85</v>
      </c>
      <c r="N1059" s="4">
        <v>15</v>
      </c>
    </row>
    <row r="1060" spans="1:14">
      <c r="A1060" s="3">
        <v>811514</v>
      </c>
      <c r="B1060" s="3">
        <v>178764</v>
      </c>
      <c r="C1060" s="4">
        <v>45</v>
      </c>
      <c r="D1060" s="4">
        <v>81</v>
      </c>
      <c r="E1060" s="4">
        <v>162</v>
      </c>
      <c r="F1060" s="4">
        <v>95</v>
      </c>
      <c r="G1060" s="4">
        <v>95</v>
      </c>
      <c r="H1060" s="4">
        <v>100</v>
      </c>
      <c r="I1060" s="4">
        <v>110</v>
      </c>
      <c r="J1060" s="4">
        <v>80</v>
      </c>
      <c r="K1060" s="4">
        <v>115</v>
      </c>
      <c r="L1060" s="4">
        <v>210</v>
      </c>
      <c r="M1060" s="4">
        <v>210</v>
      </c>
      <c r="N1060" s="4">
        <v>190</v>
      </c>
    </row>
    <row r="1061" spans="1:14">
      <c r="A1061" s="3">
        <v>811522</v>
      </c>
      <c r="B1061" s="3">
        <v>175288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10</v>
      </c>
      <c r="N1061" s="4">
        <v>70</v>
      </c>
    </row>
    <row r="1062" spans="1:14">
      <c r="A1062" s="3">
        <v>811523</v>
      </c>
      <c r="B1062" s="3">
        <v>201117</v>
      </c>
      <c r="C1062" s="4">
        <v>42.65</v>
      </c>
      <c r="D1062" s="4">
        <v>40</v>
      </c>
      <c r="E1062" s="4">
        <v>45.8</v>
      </c>
      <c r="F1062" s="4">
        <v>79.45</v>
      </c>
      <c r="G1062" s="4">
        <v>55.3</v>
      </c>
      <c r="H1062" s="4">
        <v>59.25</v>
      </c>
      <c r="I1062" s="4">
        <v>85.25</v>
      </c>
      <c r="J1062" s="4">
        <v>32.5</v>
      </c>
      <c r="K1062" s="4">
        <v>34.5</v>
      </c>
      <c r="L1062" s="4">
        <v>70.5</v>
      </c>
      <c r="M1062" s="4">
        <v>92.5</v>
      </c>
      <c r="N1062" s="4">
        <v>45</v>
      </c>
    </row>
    <row r="1063" spans="1:14">
      <c r="A1063" s="3">
        <v>811534</v>
      </c>
      <c r="B1063" s="3">
        <v>119034</v>
      </c>
      <c r="C1063" s="4">
        <v>10</v>
      </c>
      <c r="D1063" s="4">
        <v>35</v>
      </c>
      <c r="E1063" s="4">
        <v>37.5</v>
      </c>
      <c r="F1063" s="4">
        <v>10.5</v>
      </c>
      <c r="G1063" s="4">
        <v>16.55</v>
      </c>
      <c r="H1063" s="4">
        <v>0</v>
      </c>
      <c r="I1063" s="4">
        <v>0</v>
      </c>
      <c r="J1063" s="4">
        <v>13</v>
      </c>
      <c r="K1063" s="4">
        <v>25.75</v>
      </c>
      <c r="L1063" s="4">
        <v>20</v>
      </c>
      <c r="M1063" s="4">
        <v>0</v>
      </c>
      <c r="N1063" s="4">
        <v>21</v>
      </c>
    </row>
    <row r="1064" spans="1:14">
      <c r="A1064" s="3">
        <v>811535</v>
      </c>
      <c r="B1064" s="3">
        <v>176279</v>
      </c>
      <c r="C1064" s="4">
        <v>0</v>
      </c>
      <c r="D1064" s="4">
        <v>11</v>
      </c>
      <c r="E1064" s="4">
        <v>5</v>
      </c>
      <c r="F1064" s="4">
        <v>38.5</v>
      </c>
      <c r="G1064" s="4">
        <v>17.5</v>
      </c>
      <c r="H1064" s="4">
        <v>10</v>
      </c>
      <c r="I1064" s="4">
        <v>15</v>
      </c>
      <c r="J1064" s="4">
        <v>34.5</v>
      </c>
      <c r="K1064" s="4">
        <v>67.25</v>
      </c>
      <c r="L1064" s="4">
        <v>45</v>
      </c>
      <c r="M1064" s="4">
        <v>32.5</v>
      </c>
      <c r="N1064" s="4">
        <v>65.25</v>
      </c>
    </row>
    <row r="1065" spans="1:14">
      <c r="A1065" s="3">
        <v>811543</v>
      </c>
      <c r="B1065" s="3">
        <v>119066</v>
      </c>
      <c r="C1065" s="4">
        <v>35</v>
      </c>
      <c r="D1065" s="4">
        <v>0</v>
      </c>
      <c r="E1065" s="4">
        <v>15</v>
      </c>
      <c r="F1065" s="4">
        <v>0</v>
      </c>
      <c r="G1065" s="4">
        <v>3</v>
      </c>
      <c r="H1065" s="4">
        <v>3</v>
      </c>
      <c r="I1065" s="4">
        <v>0</v>
      </c>
      <c r="J1065" s="4">
        <v>0</v>
      </c>
      <c r="K1065" s="4">
        <v>3</v>
      </c>
      <c r="L1065" s="4">
        <v>0</v>
      </c>
      <c r="M1065" s="4">
        <v>0</v>
      </c>
      <c r="N1065" s="4">
        <v>0</v>
      </c>
    </row>
    <row r="1066" spans="1:14">
      <c r="A1066" s="3">
        <v>811544</v>
      </c>
      <c r="B1066" s="3">
        <v>172497</v>
      </c>
      <c r="C1066" s="4">
        <v>10</v>
      </c>
      <c r="D1066" s="4">
        <v>0</v>
      </c>
      <c r="E1066" s="4">
        <v>5</v>
      </c>
      <c r="F1066" s="4">
        <v>10</v>
      </c>
      <c r="G1066" s="4">
        <v>0</v>
      </c>
      <c r="H1066" s="4">
        <v>10</v>
      </c>
      <c r="I1066" s="4">
        <v>0</v>
      </c>
      <c r="J1066" s="4">
        <v>0</v>
      </c>
      <c r="K1066" s="4">
        <v>0</v>
      </c>
      <c r="L1066" s="4">
        <v>20</v>
      </c>
      <c r="M1066" s="4">
        <v>0</v>
      </c>
      <c r="N1066" s="4">
        <v>12.5</v>
      </c>
    </row>
    <row r="1067" spans="1:14">
      <c r="A1067" s="3">
        <v>811545</v>
      </c>
      <c r="B1067" s="3">
        <v>178460</v>
      </c>
      <c r="C1067" s="4">
        <v>46</v>
      </c>
      <c r="D1067" s="4">
        <v>45</v>
      </c>
      <c r="E1067" s="4">
        <v>20</v>
      </c>
      <c r="F1067" s="4">
        <v>37</v>
      </c>
      <c r="G1067" s="4">
        <v>53</v>
      </c>
      <c r="H1067" s="4">
        <v>15</v>
      </c>
      <c r="I1067" s="4">
        <v>33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</row>
    <row r="1068" spans="1:14">
      <c r="A1068" s="3">
        <v>811546</v>
      </c>
      <c r="B1068" s="3">
        <v>179908</v>
      </c>
      <c r="C1068" s="4">
        <v>45</v>
      </c>
      <c r="D1068" s="4">
        <v>50</v>
      </c>
      <c r="E1068" s="4">
        <v>15</v>
      </c>
      <c r="F1068" s="4">
        <v>35</v>
      </c>
      <c r="G1068" s="4">
        <v>30</v>
      </c>
      <c r="H1068" s="4">
        <v>41</v>
      </c>
      <c r="I1068" s="4">
        <v>20</v>
      </c>
      <c r="J1068" s="4">
        <v>60</v>
      </c>
      <c r="K1068" s="4">
        <v>66</v>
      </c>
      <c r="L1068" s="4">
        <v>30</v>
      </c>
      <c r="M1068" s="4">
        <v>40</v>
      </c>
      <c r="N1068" s="4">
        <v>174</v>
      </c>
    </row>
    <row r="1069" spans="1:14">
      <c r="A1069" s="3">
        <v>811547</v>
      </c>
      <c r="B1069" s="3">
        <v>179908</v>
      </c>
      <c r="C1069" s="4">
        <v>15</v>
      </c>
      <c r="D1069" s="4">
        <v>10</v>
      </c>
      <c r="E1069" s="4">
        <v>0</v>
      </c>
      <c r="F1069" s="4">
        <v>7.5</v>
      </c>
      <c r="G1069" s="4">
        <v>0</v>
      </c>
      <c r="H1069" s="4">
        <v>0</v>
      </c>
      <c r="I1069" s="4">
        <v>10</v>
      </c>
      <c r="J1069" s="4">
        <v>25</v>
      </c>
      <c r="K1069" s="4">
        <v>30</v>
      </c>
      <c r="L1069" s="4">
        <v>40</v>
      </c>
      <c r="M1069" s="4">
        <v>30</v>
      </c>
      <c r="N1069" s="4">
        <v>20</v>
      </c>
    </row>
    <row r="1070" spans="1:14">
      <c r="A1070" s="3">
        <v>811547</v>
      </c>
      <c r="B1070" s="3">
        <v>204869</v>
      </c>
      <c r="C1070" s="4">
        <v>0</v>
      </c>
      <c r="D1070" s="4">
        <v>0</v>
      </c>
      <c r="E1070" s="4">
        <v>0</v>
      </c>
      <c r="F1070" s="4">
        <v>6.5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</row>
    <row r="1071" spans="1:14">
      <c r="A1071" s="3">
        <v>811549</v>
      </c>
      <c r="B1071" s="3">
        <v>178150</v>
      </c>
      <c r="C1071" s="4">
        <v>0</v>
      </c>
      <c r="D1071" s="4">
        <v>10</v>
      </c>
      <c r="E1071" s="4">
        <v>20</v>
      </c>
      <c r="F1071" s="4">
        <v>25</v>
      </c>
      <c r="G1071" s="4">
        <v>15</v>
      </c>
      <c r="H1071" s="4">
        <v>22.5</v>
      </c>
      <c r="I1071" s="4">
        <v>15</v>
      </c>
      <c r="J1071" s="4">
        <v>25</v>
      </c>
      <c r="K1071" s="4">
        <v>33</v>
      </c>
      <c r="L1071" s="4">
        <v>15</v>
      </c>
      <c r="M1071" s="4">
        <v>55</v>
      </c>
      <c r="N1071" s="4">
        <v>65</v>
      </c>
    </row>
    <row r="1072" spans="1:14">
      <c r="A1072" s="3">
        <v>811549</v>
      </c>
      <c r="B1072" s="3">
        <v>204869</v>
      </c>
      <c r="C1072" s="4">
        <v>0</v>
      </c>
      <c r="D1072" s="4">
        <v>0</v>
      </c>
      <c r="E1072" s="4">
        <v>0</v>
      </c>
      <c r="F1072" s="4">
        <v>0</v>
      </c>
      <c r="G1072" s="4">
        <v>15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>
      <c r="A1073" s="3">
        <v>811550</v>
      </c>
      <c r="B1073" s="3">
        <v>119208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105</v>
      </c>
      <c r="J1073" s="4">
        <v>0</v>
      </c>
      <c r="K1073" s="4">
        <v>0</v>
      </c>
      <c r="L1073" s="4">
        <v>0</v>
      </c>
      <c r="M1073" s="4">
        <v>0</v>
      </c>
      <c r="N1073" s="4">
        <v>123.5</v>
      </c>
    </row>
    <row r="1074" spans="1:14">
      <c r="A1074" s="3">
        <v>811582</v>
      </c>
      <c r="B1074" s="3">
        <v>170550</v>
      </c>
      <c r="C1074" s="4">
        <v>30</v>
      </c>
      <c r="D1074" s="4">
        <v>20</v>
      </c>
      <c r="E1074" s="4">
        <v>45</v>
      </c>
      <c r="F1074" s="4">
        <v>10</v>
      </c>
      <c r="G1074" s="4">
        <v>27.5</v>
      </c>
      <c r="H1074" s="4">
        <v>35</v>
      </c>
      <c r="I1074" s="4">
        <v>28.5</v>
      </c>
      <c r="J1074" s="4">
        <v>25</v>
      </c>
      <c r="K1074" s="4">
        <v>15</v>
      </c>
      <c r="L1074" s="4">
        <v>39.5</v>
      </c>
      <c r="M1074" s="4">
        <v>99</v>
      </c>
      <c r="N1074" s="4">
        <v>39</v>
      </c>
    </row>
    <row r="1075" spans="1:14">
      <c r="A1075" s="3">
        <v>811584</v>
      </c>
      <c r="B1075" s="3">
        <v>170013</v>
      </c>
      <c r="C1075" s="4">
        <v>7.5</v>
      </c>
      <c r="D1075" s="4">
        <v>20</v>
      </c>
      <c r="E1075" s="4">
        <v>52.5</v>
      </c>
      <c r="F1075" s="4">
        <v>54</v>
      </c>
      <c r="G1075" s="4">
        <v>3.5</v>
      </c>
      <c r="H1075" s="4">
        <v>6</v>
      </c>
      <c r="I1075" s="4">
        <v>0</v>
      </c>
      <c r="J1075" s="4">
        <v>0</v>
      </c>
      <c r="K1075" s="4">
        <v>0</v>
      </c>
      <c r="L1075" s="4">
        <v>0</v>
      </c>
      <c r="M1075" s="4">
        <v>7.5</v>
      </c>
      <c r="N1075" s="4">
        <v>0</v>
      </c>
    </row>
    <row r="1076" spans="1:14">
      <c r="A1076" s="3">
        <v>811585</v>
      </c>
      <c r="B1076" s="3">
        <v>202288</v>
      </c>
      <c r="C1076" s="4">
        <v>48.5</v>
      </c>
      <c r="D1076" s="4">
        <v>15</v>
      </c>
      <c r="E1076" s="4">
        <v>0</v>
      </c>
      <c r="F1076" s="4">
        <v>19</v>
      </c>
      <c r="G1076" s="4">
        <v>15</v>
      </c>
      <c r="H1076" s="4">
        <v>7.5</v>
      </c>
      <c r="I1076" s="4">
        <v>12.5</v>
      </c>
      <c r="J1076" s="4">
        <v>25</v>
      </c>
      <c r="K1076" s="4">
        <v>25</v>
      </c>
      <c r="L1076" s="4">
        <v>25</v>
      </c>
      <c r="M1076" s="4">
        <v>48</v>
      </c>
      <c r="N1076" s="4">
        <v>32</v>
      </c>
    </row>
    <row r="1077" spans="1:14">
      <c r="A1077" s="3">
        <v>811588</v>
      </c>
      <c r="B1077" s="3">
        <v>143114</v>
      </c>
      <c r="C1077" s="4">
        <v>0</v>
      </c>
      <c r="D1077" s="4">
        <v>0</v>
      </c>
      <c r="E1077" s="4">
        <v>20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</row>
    <row r="1078" spans="1:14">
      <c r="A1078" s="3">
        <v>811588</v>
      </c>
      <c r="B1078" s="3">
        <v>202204</v>
      </c>
      <c r="C1078" s="4">
        <v>47.5</v>
      </c>
      <c r="D1078" s="4">
        <v>0</v>
      </c>
      <c r="E1078" s="4">
        <v>65.5</v>
      </c>
      <c r="F1078" s="4">
        <v>93</v>
      </c>
      <c r="G1078" s="4">
        <v>10</v>
      </c>
      <c r="H1078" s="4">
        <v>104</v>
      </c>
      <c r="I1078" s="4">
        <v>35</v>
      </c>
      <c r="J1078" s="4">
        <v>0</v>
      </c>
      <c r="K1078" s="4">
        <v>48</v>
      </c>
      <c r="L1078" s="4">
        <v>15</v>
      </c>
      <c r="M1078" s="4">
        <v>70</v>
      </c>
      <c r="N1078" s="4">
        <v>147.35</v>
      </c>
    </row>
    <row r="1079" spans="1:14">
      <c r="A1079" s="3">
        <v>811596</v>
      </c>
      <c r="B1079" s="3">
        <v>119050</v>
      </c>
      <c r="C1079" s="4">
        <v>20</v>
      </c>
      <c r="D1079" s="4">
        <v>30</v>
      </c>
      <c r="E1079" s="4">
        <v>111</v>
      </c>
      <c r="F1079" s="4">
        <v>48.5</v>
      </c>
      <c r="G1079" s="4">
        <v>5</v>
      </c>
      <c r="H1079" s="4">
        <v>17.5</v>
      </c>
      <c r="I1079" s="4">
        <v>25</v>
      </c>
      <c r="J1079" s="4">
        <v>0</v>
      </c>
      <c r="K1079" s="4">
        <v>12.5</v>
      </c>
      <c r="L1079" s="4">
        <v>50</v>
      </c>
      <c r="M1079" s="4">
        <v>35</v>
      </c>
      <c r="N1079" s="4">
        <v>65</v>
      </c>
    </row>
    <row r="1080" spans="1:14">
      <c r="A1080" s="3">
        <v>811621</v>
      </c>
      <c r="B1080" s="3">
        <v>173224</v>
      </c>
      <c r="C1080" s="4">
        <v>100</v>
      </c>
      <c r="D1080" s="4">
        <v>103.5</v>
      </c>
      <c r="E1080" s="4">
        <v>100</v>
      </c>
      <c r="F1080" s="4">
        <v>83.5</v>
      </c>
      <c r="G1080" s="4">
        <v>40</v>
      </c>
      <c r="H1080" s="4">
        <v>22.5</v>
      </c>
      <c r="I1080" s="4">
        <v>40</v>
      </c>
      <c r="J1080" s="4">
        <v>15</v>
      </c>
      <c r="K1080" s="4">
        <v>76</v>
      </c>
      <c r="L1080" s="4">
        <v>7.5</v>
      </c>
      <c r="M1080" s="4">
        <v>30</v>
      </c>
      <c r="N1080" s="4">
        <v>10</v>
      </c>
    </row>
    <row r="1081" spans="1:14">
      <c r="A1081" s="3">
        <v>811622</v>
      </c>
      <c r="B1081" s="3">
        <v>173224</v>
      </c>
      <c r="C1081" s="4">
        <v>50</v>
      </c>
      <c r="D1081" s="4">
        <v>41</v>
      </c>
      <c r="E1081" s="4">
        <v>45</v>
      </c>
      <c r="F1081" s="4">
        <v>42.5</v>
      </c>
      <c r="G1081" s="4">
        <v>37.5</v>
      </c>
      <c r="H1081" s="4">
        <v>15</v>
      </c>
      <c r="I1081" s="4">
        <v>22</v>
      </c>
      <c r="J1081" s="4">
        <v>1</v>
      </c>
      <c r="K1081" s="4">
        <v>24.5</v>
      </c>
      <c r="L1081" s="4">
        <v>28.5</v>
      </c>
      <c r="M1081" s="4">
        <v>31</v>
      </c>
      <c r="N1081" s="4">
        <v>74</v>
      </c>
    </row>
    <row r="1082" spans="1:14">
      <c r="A1082" s="3">
        <v>811623</v>
      </c>
      <c r="B1082" s="3">
        <v>179560</v>
      </c>
      <c r="C1082" s="4">
        <v>45</v>
      </c>
      <c r="D1082" s="4">
        <v>42</v>
      </c>
      <c r="E1082" s="4">
        <v>81.5</v>
      </c>
      <c r="F1082" s="4">
        <v>64.25</v>
      </c>
      <c r="G1082" s="4">
        <v>66.5</v>
      </c>
      <c r="H1082" s="4">
        <v>47.5</v>
      </c>
      <c r="I1082" s="4">
        <v>31</v>
      </c>
      <c r="J1082" s="4">
        <v>30</v>
      </c>
      <c r="K1082" s="4">
        <v>25</v>
      </c>
      <c r="L1082" s="4">
        <v>25</v>
      </c>
      <c r="M1082" s="4">
        <v>46.5</v>
      </c>
      <c r="N1082" s="4">
        <v>84</v>
      </c>
    </row>
    <row r="1083" spans="1:14">
      <c r="A1083" s="3">
        <v>811624</v>
      </c>
      <c r="B1083" s="3">
        <v>179560</v>
      </c>
      <c r="C1083" s="4">
        <v>0</v>
      </c>
      <c r="D1083" s="4">
        <v>10</v>
      </c>
      <c r="E1083" s="4">
        <v>35</v>
      </c>
      <c r="F1083" s="4">
        <v>41.85</v>
      </c>
      <c r="G1083" s="4">
        <v>65</v>
      </c>
      <c r="H1083" s="4">
        <v>82.5</v>
      </c>
      <c r="I1083" s="4">
        <v>25</v>
      </c>
      <c r="J1083" s="4">
        <v>27</v>
      </c>
      <c r="K1083" s="4">
        <v>62.5</v>
      </c>
      <c r="L1083" s="4">
        <v>30</v>
      </c>
      <c r="M1083" s="4">
        <v>0</v>
      </c>
      <c r="N1083" s="4">
        <v>21</v>
      </c>
    </row>
    <row r="1084" spans="1:14">
      <c r="A1084" s="3">
        <v>811625</v>
      </c>
      <c r="B1084" s="3">
        <v>176773</v>
      </c>
      <c r="C1084" s="4">
        <v>45</v>
      </c>
      <c r="D1084" s="4">
        <v>30.25</v>
      </c>
      <c r="E1084" s="4">
        <v>33</v>
      </c>
      <c r="F1084" s="4">
        <v>49.75</v>
      </c>
      <c r="G1084" s="4">
        <v>27</v>
      </c>
      <c r="H1084" s="4">
        <v>40.9</v>
      </c>
      <c r="I1084" s="4">
        <v>46.5</v>
      </c>
      <c r="J1084" s="4">
        <v>31.85</v>
      </c>
      <c r="K1084" s="4">
        <v>82.5</v>
      </c>
      <c r="L1084" s="4">
        <v>57.5</v>
      </c>
      <c r="M1084" s="4">
        <v>37.5</v>
      </c>
      <c r="N1084" s="4">
        <v>60.15</v>
      </c>
    </row>
    <row r="1085" spans="1:14">
      <c r="A1085" s="3">
        <v>811628</v>
      </c>
      <c r="B1085" s="3">
        <v>202288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10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</row>
    <row r="1086" spans="1:14">
      <c r="A1086" s="3">
        <v>811629</v>
      </c>
      <c r="B1086" s="3">
        <v>170013</v>
      </c>
      <c r="C1086" s="4">
        <v>25</v>
      </c>
      <c r="D1086" s="4">
        <v>0</v>
      </c>
      <c r="E1086" s="4">
        <v>20</v>
      </c>
      <c r="F1086" s="4">
        <v>25</v>
      </c>
      <c r="G1086" s="4">
        <v>0</v>
      </c>
      <c r="H1086" s="4">
        <v>11</v>
      </c>
      <c r="I1086" s="4">
        <v>0</v>
      </c>
      <c r="J1086" s="4">
        <v>10</v>
      </c>
      <c r="K1086" s="4">
        <v>0</v>
      </c>
      <c r="L1086" s="4">
        <v>20</v>
      </c>
      <c r="M1086" s="4">
        <v>0</v>
      </c>
      <c r="N1086" s="4">
        <v>15</v>
      </c>
    </row>
    <row r="1087" spans="1:14">
      <c r="A1087" s="3">
        <v>811630</v>
      </c>
      <c r="B1087" s="3">
        <v>140481</v>
      </c>
      <c r="C1087" s="4">
        <v>0</v>
      </c>
      <c r="D1087" s="4">
        <v>50</v>
      </c>
      <c r="E1087" s="4">
        <v>30</v>
      </c>
      <c r="F1087" s="4">
        <v>30</v>
      </c>
      <c r="G1087" s="4">
        <v>10</v>
      </c>
      <c r="H1087" s="4">
        <v>32</v>
      </c>
      <c r="I1087" s="4">
        <v>27.5</v>
      </c>
      <c r="J1087" s="4">
        <v>40</v>
      </c>
      <c r="K1087" s="4">
        <v>55</v>
      </c>
      <c r="L1087" s="4">
        <v>35</v>
      </c>
      <c r="M1087" s="4">
        <v>164</v>
      </c>
      <c r="N1087" s="4">
        <v>150</v>
      </c>
    </row>
    <row r="1088" spans="1:14">
      <c r="A1088" s="3">
        <v>811633</v>
      </c>
      <c r="B1088" s="3">
        <v>170617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67.5</v>
      </c>
      <c r="I1088" s="4">
        <v>46.25</v>
      </c>
      <c r="J1088" s="4">
        <v>22.5</v>
      </c>
      <c r="K1088" s="4">
        <v>23</v>
      </c>
      <c r="L1088" s="4">
        <v>0</v>
      </c>
      <c r="M1088" s="4">
        <v>0</v>
      </c>
      <c r="N1088" s="4">
        <v>0</v>
      </c>
    </row>
    <row r="1089" spans="1:14">
      <c r="A1089" s="3">
        <v>811634</v>
      </c>
      <c r="B1089" s="3">
        <v>170617</v>
      </c>
      <c r="C1089" s="4">
        <v>117</v>
      </c>
      <c r="D1089" s="4">
        <v>80.5</v>
      </c>
      <c r="E1089" s="4">
        <v>110.75</v>
      </c>
      <c r="F1089" s="4">
        <v>66</v>
      </c>
      <c r="G1089" s="4">
        <v>134.5</v>
      </c>
      <c r="H1089" s="4">
        <v>80</v>
      </c>
      <c r="I1089" s="4">
        <v>134.15</v>
      </c>
      <c r="J1089" s="4">
        <v>124</v>
      </c>
      <c r="K1089" s="4">
        <v>165.75</v>
      </c>
      <c r="L1089" s="4">
        <v>121.5</v>
      </c>
      <c r="M1089" s="4">
        <v>65</v>
      </c>
      <c r="N1089" s="4">
        <v>10</v>
      </c>
    </row>
    <row r="1090" spans="1:14">
      <c r="A1090" s="3">
        <v>811639</v>
      </c>
      <c r="B1090" s="3">
        <v>141512</v>
      </c>
      <c r="C1090" s="4">
        <v>30</v>
      </c>
      <c r="D1090" s="4">
        <v>5</v>
      </c>
      <c r="E1090" s="4">
        <v>25</v>
      </c>
      <c r="F1090" s="4">
        <v>33</v>
      </c>
      <c r="G1090" s="4">
        <v>67.699999999999989</v>
      </c>
      <c r="H1090" s="4">
        <v>51.75</v>
      </c>
      <c r="I1090" s="4">
        <v>50.05</v>
      </c>
      <c r="J1090" s="4">
        <v>10</v>
      </c>
      <c r="K1090" s="4">
        <v>34.5</v>
      </c>
      <c r="L1090" s="4">
        <v>11.5</v>
      </c>
      <c r="M1090" s="4">
        <v>8</v>
      </c>
      <c r="N1090" s="4">
        <v>74.5</v>
      </c>
    </row>
    <row r="1091" spans="1:14">
      <c r="A1091" s="3">
        <v>811647</v>
      </c>
      <c r="B1091" s="3">
        <v>171839</v>
      </c>
      <c r="C1091" s="4">
        <v>10</v>
      </c>
      <c r="D1091" s="4">
        <v>76</v>
      </c>
      <c r="E1091" s="4">
        <v>69</v>
      </c>
      <c r="F1091" s="4">
        <v>67</v>
      </c>
      <c r="G1091" s="4">
        <v>24.5</v>
      </c>
      <c r="H1091" s="4">
        <v>45</v>
      </c>
      <c r="I1091" s="4">
        <v>50</v>
      </c>
      <c r="J1091" s="4">
        <v>10</v>
      </c>
      <c r="K1091" s="4">
        <v>57.5</v>
      </c>
      <c r="L1091" s="4">
        <v>50</v>
      </c>
      <c r="M1091" s="4">
        <v>15</v>
      </c>
      <c r="N1091" s="4">
        <v>0</v>
      </c>
    </row>
    <row r="1092" spans="1:14">
      <c r="A1092" s="3">
        <v>811648</v>
      </c>
      <c r="B1092" s="3">
        <v>172640</v>
      </c>
      <c r="C1092" s="4">
        <v>17</v>
      </c>
      <c r="D1092" s="4">
        <v>10</v>
      </c>
      <c r="E1092" s="4">
        <v>17.5</v>
      </c>
      <c r="F1092" s="4">
        <v>24</v>
      </c>
      <c r="G1092" s="4">
        <v>30</v>
      </c>
      <c r="H1092" s="4">
        <v>15</v>
      </c>
      <c r="I1092" s="4">
        <v>20</v>
      </c>
      <c r="J1092" s="4">
        <v>0</v>
      </c>
      <c r="K1092" s="4">
        <v>43</v>
      </c>
      <c r="L1092" s="4">
        <v>69</v>
      </c>
      <c r="M1092" s="4">
        <v>158.75</v>
      </c>
      <c r="N1092" s="4">
        <v>0</v>
      </c>
    </row>
    <row r="1093" spans="1:14">
      <c r="A1093" s="3">
        <v>811663</v>
      </c>
      <c r="B1093" s="3">
        <v>178003</v>
      </c>
      <c r="C1093" s="4">
        <v>0</v>
      </c>
      <c r="D1093" s="4">
        <v>10</v>
      </c>
      <c r="E1093" s="4">
        <v>10</v>
      </c>
      <c r="F1093" s="4">
        <v>20</v>
      </c>
      <c r="G1093" s="4">
        <v>0</v>
      </c>
      <c r="H1093" s="4">
        <v>10</v>
      </c>
      <c r="I1093" s="4">
        <v>35</v>
      </c>
      <c r="J1093" s="4">
        <v>22</v>
      </c>
      <c r="K1093" s="4">
        <v>5</v>
      </c>
      <c r="L1093" s="4">
        <v>28</v>
      </c>
      <c r="M1093" s="4">
        <v>10</v>
      </c>
      <c r="N1093" s="4">
        <v>66</v>
      </c>
    </row>
    <row r="1094" spans="1:14">
      <c r="A1094" s="3">
        <v>811672</v>
      </c>
      <c r="B1094" s="3">
        <v>205370</v>
      </c>
      <c r="C1094" s="4">
        <v>97</v>
      </c>
      <c r="D1094" s="4">
        <v>115.5</v>
      </c>
      <c r="E1094" s="4">
        <v>88</v>
      </c>
      <c r="F1094" s="4">
        <v>98.25</v>
      </c>
      <c r="G1094" s="4">
        <v>134</v>
      </c>
      <c r="H1094" s="4">
        <v>40</v>
      </c>
      <c r="I1094" s="4">
        <v>19</v>
      </c>
      <c r="J1094" s="4">
        <v>10</v>
      </c>
      <c r="K1094" s="4">
        <v>37.75</v>
      </c>
      <c r="L1094" s="4">
        <v>82.5</v>
      </c>
      <c r="M1094" s="4">
        <v>64</v>
      </c>
      <c r="N1094" s="4">
        <v>115</v>
      </c>
    </row>
    <row r="1095" spans="1:14">
      <c r="A1095" s="3">
        <v>811674</v>
      </c>
      <c r="B1095" s="3">
        <v>179784</v>
      </c>
      <c r="C1095" s="4">
        <v>93.5</v>
      </c>
      <c r="D1095" s="4">
        <v>117.5</v>
      </c>
      <c r="E1095" s="4">
        <v>126.5</v>
      </c>
      <c r="F1095" s="4">
        <v>51</v>
      </c>
      <c r="G1095" s="4">
        <v>60.5</v>
      </c>
      <c r="H1095" s="4">
        <v>57.25</v>
      </c>
      <c r="I1095" s="4">
        <v>111.05</v>
      </c>
      <c r="J1095" s="4">
        <v>45</v>
      </c>
      <c r="K1095" s="4">
        <v>110.5</v>
      </c>
      <c r="L1095" s="4">
        <v>62</v>
      </c>
      <c r="M1095" s="4">
        <v>122</v>
      </c>
      <c r="N1095" s="4">
        <v>203</v>
      </c>
    </row>
    <row r="1096" spans="1:14">
      <c r="A1096" s="3">
        <v>811676</v>
      </c>
      <c r="B1096" s="3">
        <v>179784</v>
      </c>
      <c r="C1096" s="4">
        <v>45.85</v>
      </c>
      <c r="D1096" s="4">
        <v>50</v>
      </c>
      <c r="E1096" s="4">
        <v>55</v>
      </c>
      <c r="F1096" s="4">
        <v>30</v>
      </c>
      <c r="G1096" s="4">
        <v>35</v>
      </c>
      <c r="H1096" s="4">
        <v>27.5</v>
      </c>
      <c r="I1096" s="4">
        <v>15</v>
      </c>
      <c r="J1096" s="4">
        <v>9.5</v>
      </c>
      <c r="K1096" s="4">
        <v>14</v>
      </c>
      <c r="L1096" s="4">
        <v>33</v>
      </c>
      <c r="M1096" s="4">
        <v>65</v>
      </c>
      <c r="N1096" s="4">
        <v>53</v>
      </c>
    </row>
    <row r="1097" spans="1:14">
      <c r="A1097" s="3">
        <v>811677</v>
      </c>
      <c r="B1097" s="3">
        <v>170617</v>
      </c>
      <c r="C1097" s="4">
        <v>8</v>
      </c>
      <c r="D1097" s="4">
        <v>0</v>
      </c>
      <c r="E1097" s="4">
        <v>64</v>
      </c>
      <c r="F1097" s="4">
        <v>67</v>
      </c>
      <c r="G1097" s="4">
        <v>39.5</v>
      </c>
      <c r="H1097" s="4">
        <v>21</v>
      </c>
      <c r="I1097" s="4">
        <v>80</v>
      </c>
      <c r="J1097" s="4">
        <v>30</v>
      </c>
      <c r="K1097" s="4">
        <v>75</v>
      </c>
      <c r="L1097" s="4">
        <v>32.5</v>
      </c>
      <c r="M1097" s="4">
        <v>40</v>
      </c>
      <c r="N1097" s="4">
        <v>156</v>
      </c>
    </row>
    <row r="1098" spans="1:14">
      <c r="A1098" s="3">
        <v>811679</v>
      </c>
      <c r="B1098" s="3">
        <v>177016</v>
      </c>
      <c r="C1098" s="4">
        <v>20</v>
      </c>
      <c r="D1098" s="4">
        <v>50</v>
      </c>
      <c r="E1098" s="4">
        <v>20</v>
      </c>
      <c r="F1098" s="4">
        <v>35</v>
      </c>
      <c r="G1098" s="4">
        <v>8</v>
      </c>
      <c r="H1098" s="4">
        <v>24</v>
      </c>
      <c r="I1098" s="4">
        <v>0</v>
      </c>
      <c r="J1098" s="4">
        <v>0</v>
      </c>
      <c r="K1098" s="4">
        <v>15</v>
      </c>
      <c r="L1098" s="4">
        <v>0</v>
      </c>
      <c r="M1098" s="4">
        <v>0</v>
      </c>
      <c r="N1098" s="4">
        <v>0</v>
      </c>
    </row>
    <row r="1099" spans="1:14">
      <c r="A1099" s="3">
        <v>811681</v>
      </c>
      <c r="B1099" s="3">
        <v>173611</v>
      </c>
      <c r="C1099" s="4">
        <v>10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10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</row>
    <row r="1100" spans="1:14">
      <c r="A1100" s="3">
        <v>811681</v>
      </c>
      <c r="B1100" s="3">
        <v>177425</v>
      </c>
      <c r="C1100" s="4">
        <v>75</v>
      </c>
      <c r="D1100" s="4">
        <v>0</v>
      </c>
      <c r="E1100" s="4">
        <v>52</v>
      </c>
      <c r="F1100" s="4">
        <v>45</v>
      </c>
      <c r="G1100" s="4">
        <v>10</v>
      </c>
      <c r="H1100" s="4">
        <v>20</v>
      </c>
      <c r="I1100" s="4">
        <v>10</v>
      </c>
      <c r="J1100" s="4">
        <v>35</v>
      </c>
      <c r="K1100" s="4">
        <v>70</v>
      </c>
      <c r="L1100" s="4">
        <v>90</v>
      </c>
      <c r="M1100" s="4">
        <v>35</v>
      </c>
      <c r="N1100" s="4">
        <v>77</v>
      </c>
    </row>
    <row r="1101" spans="1:14">
      <c r="A1101" s="3">
        <v>811682</v>
      </c>
      <c r="B1101" s="3">
        <v>174631</v>
      </c>
      <c r="C1101" s="4">
        <v>88.5</v>
      </c>
      <c r="D1101" s="4">
        <v>136</v>
      </c>
      <c r="E1101" s="4">
        <v>144</v>
      </c>
      <c r="F1101" s="4">
        <v>87.75</v>
      </c>
      <c r="G1101" s="4">
        <v>51</v>
      </c>
      <c r="H1101" s="4">
        <v>68.5</v>
      </c>
      <c r="I1101" s="4">
        <v>47.25</v>
      </c>
      <c r="J1101" s="4">
        <v>55.75</v>
      </c>
      <c r="K1101" s="4">
        <v>42.5</v>
      </c>
      <c r="L1101" s="4">
        <v>86</v>
      </c>
      <c r="M1101" s="4">
        <v>42</v>
      </c>
      <c r="N1101" s="4">
        <v>120</v>
      </c>
    </row>
    <row r="1102" spans="1:14">
      <c r="A1102" s="3">
        <v>811683</v>
      </c>
      <c r="B1102" s="3">
        <v>178230</v>
      </c>
      <c r="C1102" s="4">
        <v>80</v>
      </c>
      <c r="D1102" s="4">
        <v>70</v>
      </c>
      <c r="E1102" s="4">
        <v>75</v>
      </c>
      <c r="F1102" s="4">
        <v>100</v>
      </c>
      <c r="G1102" s="4">
        <v>60</v>
      </c>
      <c r="H1102" s="4">
        <v>85</v>
      </c>
      <c r="I1102" s="4">
        <v>65</v>
      </c>
      <c r="J1102" s="4">
        <v>30</v>
      </c>
      <c r="K1102" s="4">
        <v>95</v>
      </c>
      <c r="L1102" s="4">
        <v>80</v>
      </c>
      <c r="M1102" s="4">
        <v>150</v>
      </c>
      <c r="N1102" s="4">
        <v>61</v>
      </c>
    </row>
    <row r="1103" spans="1:14">
      <c r="A1103" s="3">
        <v>811685</v>
      </c>
      <c r="B1103" s="3">
        <v>201280</v>
      </c>
      <c r="C1103" s="4">
        <v>60</v>
      </c>
      <c r="D1103" s="4">
        <v>0</v>
      </c>
      <c r="E1103" s="4">
        <v>35</v>
      </c>
      <c r="F1103" s="4">
        <v>102.5</v>
      </c>
      <c r="G1103" s="4">
        <v>88</v>
      </c>
      <c r="H1103" s="4">
        <v>64</v>
      </c>
      <c r="I1103" s="4">
        <v>59</v>
      </c>
      <c r="J1103" s="4">
        <v>53</v>
      </c>
      <c r="K1103" s="4">
        <v>98.1</v>
      </c>
      <c r="L1103" s="4">
        <v>79</v>
      </c>
      <c r="M1103" s="4">
        <v>122</v>
      </c>
      <c r="N1103" s="4">
        <v>47</v>
      </c>
    </row>
    <row r="1104" spans="1:14">
      <c r="A1104" s="3">
        <v>811686</v>
      </c>
      <c r="B1104" s="3">
        <v>171839</v>
      </c>
      <c r="C1104" s="4">
        <v>61.5</v>
      </c>
      <c r="D1104" s="4">
        <v>128</v>
      </c>
      <c r="E1104" s="4">
        <v>100</v>
      </c>
      <c r="F1104" s="4">
        <v>107</v>
      </c>
      <c r="G1104" s="4">
        <v>31.5</v>
      </c>
      <c r="H1104" s="4">
        <v>105</v>
      </c>
      <c r="I1104" s="4">
        <v>95</v>
      </c>
      <c r="J1104" s="4">
        <v>136.5</v>
      </c>
      <c r="K1104" s="4">
        <v>122.5</v>
      </c>
      <c r="L1104" s="4">
        <v>55</v>
      </c>
      <c r="M1104" s="4">
        <v>60</v>
      </c>
      <c r="N1104" s="4">
        <v>189</v>
      </c>
    </row>
    <row r="1105" spans="1:14">
      <c r="A1105" s="3">
        <v>811686</v>
      </c>
      <c r="B1105" s="3">
        <v>205949</v>
      </c>
      <c r="C1105" s="4">
        <v>0</v>
      </c>
      <c r="D1105" s="4">
        <v>10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>
      <c r="A1106" s="3">
        <v>811687</v>
      </c>
      <c r="B1106" s="3">
        <v>143608</v>
      </c>
      <c r="C1106" s="4">
        <v>26.65</v>
      </c>
      <c r="D1106" s="4">
        <v>112</v>
      </c>
      <c r="E1106" s="4">
        <v>76.5</v>
      </c>
      <c r="F1106" s="4">
        <v>118</v>
      </c>
      <c r="G1106" s="4">
        <v>118</v>
      </c>
      <c r="H1106" s="4">
        <v>101</v>
      </c>
      <c r="I1106" s="4">
        <v>95</v>
      </c>
      <c r="J1106" s="4">
        <v>84.75</v>
      </c>
      <c r="K1106" s="4">
        <v>68</v>
      </c>
      <c r="L1106" s="4">
        <v>126.5</v>
      </c>
      <c r="M1106" s="4">
        <v>55</v>
      </c>
      <c r="N1106" s="4">
        <v>90</v>
      </c>
    </row>
    <row r="1107" spans="1:14">
      <c r="A1107" s="3">
        <v>811693</v>
      </c>
      <c r="B1107" s="3">
        <v>119029</v>
      </c>
      <c r="C1107" s="4">
        <v>20</v>
      </c>
      <c r="D1107" s="4">
        <v>32.5</v>
      </c>
      <c r="E1107" s="4">
        <v>0</v>
      </c>
      <c r="F1107" s="4">
        <v>19</v>
      </c>
      <c r="G1107" s="4">
        <v>20</v>
      </c>
      <c r="H1107" s="4">
        <v>25</v>
      </c>
      <c r="I1107" s="4">
        <v>65</v>
      </c>
      <c r="J1107" s="4">
        <v>0</v>
      </c>
      <c r="K1107" s="4">
        <v>95</v>
      </c>
      <c r="L1107" s="4">
        <v>45</v>
      </c>
      <c r="M1107" s="4">
        <v>42</v>
      </c>
      <c r="N1107" s="4">
        <v>37</v>
      </c>
    </row>
    <row r="1108" spans="1:14">
      <c r="A1108" s="3">
        <v>811694</v>
      </c>
      <c r="B1108" s="3">
        <v>170197</v>
      </c>
      <c r="C1108" s="4">
        <v>171</v>
      </c>
      <c r="D1108" s="4">
        <v>140</v>
      </c>
      <c r="E1108" s="4">
        <v>164</v>
      </c>
      <c r="F1108" s="4">
        <v>453</v>
      </c>
      <c r="G1108" s="4">
        <v>234</v>
      </c>
      <c r="H1108" s="4">
        <v>90</v>
      </c>
      <c r="I1108" s="4">
        <v>186</v>
      </c>
      <c r="J1108" s="4">
        <v>154</v>
      </c>
      <c r="K1108" s="4">
        <v>202</v>
      </c>
      <c r="L1108" s="4">
        <v>209</v>
      </c>
      <c r="M1108" s="4">
        <v>244.5</v>
      </c>
      <c r="N1108" s="4">
        <v>401</v>
      </c>
    </row>
    <row r="1109" spans="1:14">
      <c r="A1109" s="3">
        <v>811733</v>
      </c>
      <c r="B1109" s="3">
        <v>179560</v>
      </c>
      <c r="C1109" s="4">
        <v>0</v>
      </c>
      <c r="D1109" s="4">
        <v>10</v>
      </c>
      <c r="E1109" s="4">
        <v>25</v>
      </c>
      <c r="F1109" s="4">
        <v>25.85</v>
      </c>
      <c r="G1109" s="4">
        <v>0</v>
      </c>
      <c r="H1109" s="4">
        <v>2.5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</row>
    <row r="1110" spans="1:14">
      <c r="A1110" s="3">
        <v>811735</v>
      </c>
      <c r="B1110" s="3">
        <v>201280</v>
      </c>
      <c r="C1110" s="4">
        <v>99</v>
      </c>
      <c r="D1110" s="4">
        <v>63</v>
      </c>
      <c r="E1110" s="4">
        <v>82.25</v>
      </c>
      <c r="F1110" s="4">
        <v>139</v>
      </c>
      <c r="G1110" s="4">
        <v>54</v>
      </c>
      <c r="H1110" s="4">
        <v>76.5</v>
      </c>
      <c r="I1110" s="4">
        <v>93.9</v>
      </c>
      <c r="J1110" s="4">
        <v>37</v>
      </c>
      <c r="K1110" s="4">
        <v>100</v>
      </c>
      <c r="L1110" s="4">
        <v>79</v>
      </c>
      <c r="M1110" s="4">
        <v>75</v>
      </c>
      <c r="N1110" s="4">
        <v>103</v>
      </c>
    </row>
    <row r="1111" spans="1:14">
      <c r="A1111" s="3">
        <v>811771</v>
      </c>
      <c r="B1111" s="3">
        <v>170550</v>
      </c>
      <c r="C1111" s="4">
        <v>0</v>
      </c>
      <c r="D1111" s="4">
        <v>80</v>
      </c>
      <c r="E1111" s="4">
        <v>46</v>
      </c>
      <c r="F1111" s="4">
        <v>10.5</v>
      </c>
      <c r="G1111" s="4">
        <v>32.5</v>
      </c>
      <c r="H1111" s="4">
        <v>15</v>
      </c>
      <c r="I1111" s="4">
        <v>17.5</v>
      </c>
      <c r="J1111" s="4">
        <v>15</v>
      </c>
      <c r="K1111" s="4">
        <v>17.5</v>
      </c>
      <c r="L1111" s="4">
        <v>34.5</v>
      </c>
      <c r="M1111" s="4">
        <v>79</v>
      </c>
      <c r="N1111" s="4">
        <v>61</v>
      </c>
    </row>
    <row r="1112" spans="1:14">
      <c r="A1112" s="3">
        <v>811772</v>
      </c>
      <c r="B1112" s="3">
        <v>119044</v>
      </c>
      <c r="C1112" s="4">
        <v>0</v>
      </c>
      <c r="D1112" s="4">
        <v>25</v>
      </c>
      <c r="E1112" s="4">
        <v>30</v>
      </c>
      <c r="F1112" s="4">
        <v>57</v>
      </c>
      <c r="G1112" s="4">
        <v>99.5</v>
      </c>
      <c r="H1112" s="4">
        <v>15</v>
      </c>
      <c r="I1112" s="4">
        <v>95</v>
      </c>
      <c r="J1112" s="4">
        <v>105</v>
      </c>
      <c r="K1112" s="4">
        <v>213.5</v>
      </c>
      <c r="L1112" s="4">
        <v>81.5</v>
      </c>
      <c r="M1112" s="4">
        <v>30</v>
      </c>
      <c r="N1112" s="4">
        <v>52.5</v>
      </c>
    </row>
    <row r="1113" spans="1:14">
      <c r="A1113" s="3">
        <v>811773</v>
      </c>
      <c r="B1113" s="3">
        <v>140881</v>
      </c>
      <c r="C1113" s="4">
        <v>0</v>
      </c>
      <c r="D1113" s="4">
        <v>0</v>
      </c>
      <c r="E1113" s="4">
        <v>0</v>
      </c>
      <c r="F1113" s="4">
        <v>0</v>
      </c>
      <c r="G1113" s="4">
        <v>15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</row>
    <row r="1114" spans="1:14">
      <c r="A1114" s="3">
        <v>811774</v>
      </c>
      <c r="B1114" s="3">
        <v>119028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31</v>
      </c>
      <c r="I1114" s="4">
        <v>31</v>
      </c>
      <c r="J1114" s="4">
        <v>62</v>
      </c>
      <c r="K1114" s="4">
        <v>56</v>
      </c>
      <c r="L1114" s="4">
        <v>20</v>
      </c>
      <c r="M1114" s="4">
        <v>22</v>
      </c>
      <c r="N1114" s="4">
        <v>0</v>
      </c>
    </row>
    <row r="1115" spans="1:14">
      <c r="A1115" s="3">
        <v>811776</v>
      </c>
      <c r="B1115" s="3">
        <v>119066</v>
      </c>
      <c r="C1115" s="4">
        <v>0</v>
      </c>
      <c r="D1115" s="4">
        <v>38.5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10</v>
      </c>
      <c r="L1115" s="4">
        <v>0</v>
      </c>
      <c r="M1115" s="4">
        <v>0</v>
      </c>
      <c r="N1115" s="4">
        <v>0</v>
      </c>
    </row>
    <row r="1116" spans="1:14">
      <c r="A1116" s="3">
        <v>811777</v>
      </c>
      <c r="B1116" s="3">
        <v>178031</v>
      </c>
      <c r="C1116" s="4">
        <v>100</v>
      </c>
      <c r="D1116" s="4">
        <v>25</v>
      </c>
      <c r="E1116" s="4">
        <v>35</v>
      </c>
      <c r="F1116" s="4">
        <v>55</v>
      </c>
      <c r="G1116" s="4">
        <v>98</v>
      </c>
      <c r="H1116" s="4">
        <v>20</v>
      </c>
      <c r="I1116" s="4">
        <v>60</v>
      </c>
      <c r="J1116" s="4">
        <v>0</v>
      </c>
      <c r="K1116" s="4">
        <v>40</v>
      </c>
      <c r="L1116" s="4">
        <v>45</v>
      </c>
      <c r="M1116" s="4">
        <v>65</v>
      </c>
      <c r="N1116" s="4">
        <v>70</v>
      </c>
    </row>
    <row r="1117" spans="1:14">
      <c r="A1117" s="3">
        <v>811778</v>
      </c>
      <c r="B1117" s="3">
        <v>179879</v>
      </c>
      <c r="C1117" s="4">
        <v>35</v>
      </c>
      <c r="D1117" s="4">
        <v>15</v>
      </c>
      <c r="E1117" s="4">
        <v>40</v>
      </c>
      <c r="F1117" s="4">
        <v>0</v>
      </c>
      <c r="G1117" s="4">
        <v>39</v>
      </c>
      <c r="H1117" s="4">
        <v>0</v>
      </c>
      <c r="I1117" s="4">
        <v>25</v>
      </c>
      <c r="J1117" s="4">
        <v>20</v>
      </c>
      <c r="K1117" s="4">
        <v>15</v>
      </c>
      <c r="L1117" s="4">
        <v>20</v>
      </c>
      <c r="M1117" s="4">
        <v>0</v>
      </c>
      <c r="N1117" s="4">
        <v>0</v>
      </c>
    </row>
    <row r="1118" spans="1:14">
      <c r="A1118" s="3">
        <v>811779</v>
      </c>
      <c r="B1118" s="3">
        <v>178230</v>
      </c>
      <c r="C1118" s="4">
        <v>0</v>
      </c>
      <c r="D1118" s="4">
        <v>0</v>
      </c>
      <c r="E1118" s="4">
        <v>20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</row>
    <row r="1119" spans="1:14">
      <c r="A1119" s="3">
        <v>811780</v>
      </c>
      <c r="B1119" s="3">
        <v>205591</v>
      </c>
      <c r="C1119" s="4">
        <v>10</v>
      </c>
      <c r="D1119" s="4">
        <v>50</v>
      </c>
      <c r="E1119" s="4">
        <v>40</v>
      </c>
      <c r="F1119" s="4">
        <v>89</v>
      </c>
      <c r="G1119" s="4">
        <v>52.5</v>
      </c>
      <c r="H1119" s="4">
        <v>50</v>
      </c>
      <c r="I1119" s="4">
        <v>10</v>
      </c>
      <c r="J1119" s="4">
        <v>40</v>
      </c>
      <c r="K1119" s="4">
        <v>53</v>
      </c>
      <c r="L1119" s="4">
        <v>55</v>
      </c>
      <c r="M1119" s="4">
        <v>80</v>
      </c>
      <c r="N1119" s="4">
        <v>117.25</v>
      </c>
    </row>
    <row r="1120" spans="1:14">
      <c r="A1120" s="3">
        <v>811781</v>
      </c>
      <c r="B1120" s="3">
        <v>170248</v>
      </c>
      <c r="C1120" s="4">
        <v>4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</row>
    <row r="1121" spans="1:14">
      <c r="A1121" s="3">
        <v>811782</v>
      </c>
      <c r="B1121" s="3">
        <v>207643</v>
      </c>
      <c r="C1121" s="4">
        <v>0</v>
      </c>
      <c r="D1121" s="4">
        <v>0</v>
      </c>
      <c r="E1121" s="4">
        <v>10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</row>
    <row r="1122" spans="1:14">
      <c r="A1122" s="3">
        <v>811799</v>
      </c>
      <c r="B1122" s="3">
        <v>119208</v>
      </c>
      <c r="C1122" s="4">
        <v>115</v>
      </c>
      <c r="D1122" s="4">
        <v>0</v>
      </c>
      <c r="E1122" s="4">
        <v>10</v>
      </c>
      <c r="F1122" s="4">
        <v>0</v>
      </c>
      <c r="G1122" s="4">
        <v>44</v>
      </c>
      <c r="H1122" s="4">
        <v>74</v>
      </c>
      <c r="I1122" s="4">
        <v>0</v>
      </c>
      <c r="J1122" s="4">
        <v>0</v>
      </c>
      <c r="K1122" s="4">
        <v>115</v>
      </c>
      <c r="L1122" s="4">
        <v>0</v>
      </c>
      <c r="M1122" s="4">
        <v>0</v>
      </c>
      <c r="N1122" s="4">
        <v>43</v>
      </c>
    </row>
    <row r="1123" spans="1:14">
      <c r="A1123" s="3">
        <v>811800</v>
      </c>
      <c r="B1123" s="3">
        <v>119208</v>
      </c>
      <c r="C1123" s="4">
        <v>49.5</v>
      </c>
      <c r="D1123" s="4">
        <v>50</v>
      </c>
      <c r="E1123" s="4">
        <v>15</v>
      </c>
      <c r="F1123" s="4">
        <v>16</v>
      </c>
      <c r="G1123" s="4">
        <v>0</v>
      </c>
      <c r="H1123" s="4">
        <v>0</v>
      </c>
      <c r="I1123" s="4">
        <v>39</v>
      </c>
      <c r="J1123" s="4">
        <v>0</v>
      </c>
      <c r="K1123" s="4">
        <v>77.5</v>
      </c>
      <c r="L1123" s="4">
        <v>0</v>
      </c>
      <c r="M1123" s="4">
        <v>45</v>
      </c>
      <c r="N1123" s="4">
        <v>161</v>
      </c>
    </row>
    <row r="1124" spans="1:14">
      <c r="A1124" s="3">
        <v>811848</v>
      </c>
      <c r="B1124" s="3">
        <v>202758</v>
      </c>
      <c r="C1124" s="4">
        <v>25</v>
      </c>
      <c r="D1124" s="4">
        <v>0</v>
      </c>
      <c r="E1124" s="4">
        <v>79</v>
      </c>
      <c r="F1124" s="4">
        <v>58.5</v>
      </c>
      <c r="G1124" s="4">
        <v>68.5</v>
      </c>
      <c r="H1124" s="4">
        <v>70.5</v>
      </c>
      <c r="I1124" s="4">
        <v>34</v>
      </c>
      <c r="J1124" s="4">
        <v>22</v>
      </c>
      <c r="K1124" s="4">
        <v>54.5</v>
      </c>
      <c r="L1124" s="4">
        <v>40</v>
      </c>
      <c r="M1124" s="4">
        <v>38</v>
      </c>
      <c r="N1124" s="4">
        <v>81</v>
      </c>
    </row>
    <row r="1125" spans="1:14">
      <c r="A1125" s="3">
        <v>811860</v>
      </c>
      <c r="B1125" s="3">
        <v>175049</v>
      </c>
      <c r="C1125" s="4">
        <v>0</v>
      </c>
      <c r="D1125" s="4">
        <v>0</v>
      </c>
      <c r="E1125" s="4">
        <v>0</v>
      </c>
      <c r="F1125" s="4">
        <v>0</v>
      </c>
      <c r="G1125" s="4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</row>
    <row r="1126" spans="1:14">
      <c r="A1126" s="3">
        <v>811862</v>
      </c>
      <c r="B1126" s="3">
        <v>149872</v>
      </c>
      <c r="C1126" s="4">
        <v>77</v>
      </c>
      <c r="D1126" s="4">
        <v>35</v>
      </c>
      <c r="E1126" s="4">
        <v>126</v>
      </c>
      <c r="F1126" s="4">
        <v>160</v>
      </c>
      <c r="G1126" s="4">
        <v>181.75</v>
      </c>
      <c r="H1126" s="4">
        <v>150.5</v>
      </c>
      <c r="I1126" s="4">
        <v>69.400000000000006</v>
      </c>
      <c r="J1126" s="4">
        <v>133.25</v>
      </c>
      <c r="K1126" s="4">
        <v>328</v>
      </c>
      <c r="L1126" s="4">
        <v>240.5</v>
      </c>
      <c r="M1126" s="4">
        <v>242.25</v>
      </c>
      <c r="N1126" s="4">
        <v>244</v>
      </c>
    </row>
    <row r="1127" spans="1:14">
      <c r="A1127" s="3">
        <v>811863</v>
      </c>
      <c r="B1127" s="3">
        <v>174631</v>
      </c>
      <c r="C1127" s="4">
        <v>124.5</v>
      </c>
      <c r="D1127" s="4">
        <v>161.5</v>
      </c>
      <c r="E1127" s="4">
        <v>121.4</v>
      </c>
      <c r="F1127" s="4">
        <v>112.25</v>
      </c>
      <c r="G1127" s="4">
        <v>133</v>
      </c>
      <c r="H1127" s="4">
        <v>66</v>
      </c>
      <c r="I1127" s="4">
        <v>65</v>
      </c>
      <c r="J1127" s="4">
        <v>120.25</v>
      </c>
      <c r="K1127" s="4">
        <v>56</v>
      </c>
      <c r="L1127" s="4">
        <v>230.5</v>
      </c>
      <c r="M1127" s="4">
        <v>50</v>
      </c>
      <c r="N1127" s="4">
        <v>25</v>
      </c>
    </row>
    <row r="1128" spans="1:14">
      <c r="A1128" s="3">
        <v>811864</v>
      </c>
      <c r="B1128" s="3">
        <v>178062</v>
      </c>
      <c r="C1128" s="4">
        <v>55.5</v>
      </c>
      <c r="D1128" s="4">
        <v>27.5</v>
      </c>
      <c r="E1128" s="4">
        <v>52</v>
      </c>
      <c r="F1128" s="4">
        <v>23</v>
      </c>
      <c r="G1128" s="4">
        <v>39.5</v>
      </c>
      <c r="H1128" s="4">
        <v>30</v>
      </c>
      <c r="I1128" s="4">
        <v>15</v>
      </c>
      <c r="J1128" s="4">
        <v>10</v>
      </c>
      <c r="K1128" s="4">
        <v>25.5</v>
      </c>
      <c r="L1128" s="4">
        <v>17</v>
      </c>
      <c r="M1128" s="4">
        <v>42</v>
      </c>
      <c r="N1128" s="4">
        <v>64.5</v>
      </c>
    </row>
    <row r="1129" spans="1:14">
      <c r="A1129" s="3">
        <v>811868</v>
      </c>
      <c r="B1129" s="3">
        <v>206066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20</v>
      </c>
      <c r="L1129" s="4">
        <v>0</v>
      </c>
      <c r="M1129" s="4">
        <v>0</v>
      </c>
      <c r="N1129" s="4">
        <v>0</v>
      </c>
    </row>
    <row r="1130" spans="1:14">
      <c r="A1130" s="3">
        <v>811869</v>
      </c>
      <c r="B1130" s="3">
        <v>175049</v>
      </c>
      <c r="C1130" s="4">
        <v>5</v>
      </c>
      <c r="D1130" s="4">
        <v>5</v>
      </c>
      <c r="E1130" s="4">
        <v>10</v>
      </c>
      <c r="F1130" s="4">
        <v>5</v>
      </c>
      <c r="G1130" s="4">
        <v>11</v>
      </c>
      <c r="H1130" s="4">
        <v>6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</row>
    <row r="1131" spans="1:14">
      <c r="A1131" s="3">
        <v>811870</v>
      </c>
      <c r="B1131" s="3">
        <v>206219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10</v>
      </c>
      <c r="M1131" s="4">
        <v>23</v>
      </c>
      <c r="N1131" s="4">
        <v>0</v>
      </c>
    </row>
    <row r="1132" spans="1:14">
      <c r="A1132" s="3">
        <v>811871</v>
      </c>
      <c r="B1132" s="3">
        <v>206219</v>
      </c>
      <c r="C1132" s="4">
        <v>81.25</v>
      </c>
      <c r="D1132" s="4">
        <v>68.5</v>
      </c>
      <c r="E1132" s="4">
        <v>151.5</v>
      </c>
      <c r="F1132" s="4">
        <v>87</v>
      </c>
      <c r="G1132" s="4">
        <v>110</v>
      </c>
      <c r="H1132" s="4">
        <v>142.5</v>
      </c>
      <c r="I1132" s="4">
        <v>68</v>
      </c>
      <c r="J1132" s="4">
        <v>65</v>
      </c>
      <c r="K1132" s="4">
        <v>159.75</v>
      </c>
      <c r="L1132" s="4">
        <v>142.1</v>
      </c>
      <c r="M1132" s="4">
        <v>118.35</v>
      </c>
      <c r="N1132" s="4">
        <v>90</v>
      </c>
    </row>
    <row r="1133" spans="1:14">
      <c r="A1133" s="3">
        <v>811872</v>
      </c>
      <c r="B1133" s="3">
        <v>146968</v>
      </c>
      <c r="C1133" s="4">
        <v>23</v>
      </c>
      <c r="D1133" s="4">
        <v>20</v>
      </c>
      <c r="E1133" s="4">
        <v>10</v>
      </c>
      <c r="F1133" s="4">
        <v>35</v>
      </c>
      <c r="G1133" s="4">
        <v>28.95</v>
      </c>
      <c r="H1133" s="4">
        <v>29</v>
      </c>
      <c r="I1133" s="4">
        <v>44.5</v>
      </c>
      <c r="J1133" s="4">
        <v>20</v>
      </c>
      <c r="K1133" s="4">
        <v>42.5</v>
      </c>
      <c r="L1133" s="4">
        <v>35</v>
      </c>
      <c r="M1133" s="4">
        <v>48</v>
      </c>
      <c r="N1133" s="4">
        <v>36</v>
      </c>
    </row>
    <row r="1134" spans="1:14">
      <c r="A1134" s="3">
        <v>811891</v>
      </c>
      <c r="B1134" s="3">
        <v>143114</v>
      </c>
      <c r="C1134" s="4">
        <v>0</v>
      </c>
      <c r="D1134" s="4">
        <v>0</v>
      </c>
      <c r="E1134" s="4">
        <v>0</v>
      </c>
      <c r="F1134" s="4">
        <v>0</v>
      </c>
      <c r="G1134" s="4">
        <v>7</v>
      </c>
      <c r="H1134" s="4">
        <v>7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</row>
    <row r="1135" spans="1:14">
      <c r="A1135" s="3">
        <v>811892</v>
      </c>
      <c r="B1135" s="3">
        <v>178150</v>
      </c>
      <c r="C1135" s="4">
        <v>91.5</v>
      </c>
      <c r="D1135" s="4">
        <v>70</v>
      </c>
      <c r="E1135" s="4">
        <v>52.5</v>
      </c>
      <c r="F1135" s="4">
        <v>70</v>
      </c>
      <c r="G1135" s="4">
        <v>0</v>
      </c>
      <c r="H1135" s="4">
        <v>18</v>
      </c>
      <c r="I1135" s="4">
        <v>0</v>
      </c>
      <c r="J1135" s="4">
        <v>20</v>
      </c>
      <c r="K1135" s="4">
        <v>56</v>
      </c>
      <c r="L1135" s="4">
        <v>30</v>
      </c>
      <c r="M1135" s="4">
        <v>55</v>
      </c>
      <c r="N1135" s="4">
        <v>10</v>
      </c>
    </row>
    <row r="1136" spans="1:14">
      <c r="A1136" s="3">
        <v>811896</v>
      </c>
      <c r="B1136" s="3">
        <v>205840</v>
      </c>
      <c r="C1136" s="4">
        <v>20</v>
      </c>
      <c r="D1136" s="4">
        <v>10</v>
      </c>
      <c r="E1136" s="4">
        <v>50</v>
      </c>
      <c r="F1136" s="4">
        <v>28</v>
      </c>
      <c r="G1136" s="4">
        <v>0</v>
      </c>
      <c r="H1136" s="4">
        <v>20</v>
      </c>
      <c r="I1136" s="4">
        <v>15</v>
      </c>
      <c r="J1136" s="4">
        <v>0</v>
      </c>
      <c r="K1136" s="4">
        <v>14</v>
      </c>
      <c r="L1136" s="4">
        <v>0</v>
      </c>
      <c r="M1136" s="4">
        <v>0</v>
      </c>
      <c r="N1136" s="4">
        <v>0</v>
      </c>
    </row>
    <row r="1137" spans="1:14">
      <c r="A1137" s="3">
        <v>811897</v>
      </c>
      <c r="B1137" s="3">
        <v>173611</v>
      </c>
      <c r="C1137" s="4">
        <v>10</v>
      </c>
      <c r="D1137" s="4">
        <v>0</v>
      </c>
      <c r="E1137" s="4">
        <v>35</v>
      </c>
      <c r="F1137" s="4">
        <v>20</v>
      </c>
      <c r="G1137" s="4">
        <v>0</v>
      </c>
      <c r="H1137" s="4">
        <v>40</v>
      </c>
      <c r="I1137" s="4">
        <v>0</v>
      </c>
      <c r="J1137" s="4">
        <v>20</v>
      </c>
      <c r="K1137" s="4">
        <v>30</v>
      </c>
      <c r="L1137" s="4">
        <v>19.45</v>
      </c>
      <c r="M1137" s="4">
        <v>40</v>
      </c>
      <c r="N1137" s="4">
        <v>30</v>
      </c>
    </row>
    <row r="1138" spans="1:14">
      <c r="A1138" s="3">
        <v>811910</v>
      </c>
      <c r="B1138" s="3">
        <v>179877</v>
      </c>
      <c r="C1138" s="4">
        <v>28</v>
      </c>
      <c r="D1138" s="4">
        <v>12</v>
      </c>
      <c r="E1138" s="4">
        <v>0</v>
      </c>
      <c r="F1138" s="4">
        <v>10</v>
      </c>
      <c r="G1138" s="4">
        <v>12</v>
      </c>
      <c r="H1138" s="4">
        <v>7.5</v>
      </c>
      <c r="I1138" s="4">
        <v>30</v>
      </c>
      <c r="J1138" s="4">
        <v>10</v>
      </c>
      <c r="K1138" s="4">
        <v>39.75</v>
      </c>
      <c r="L1138" s="4">
        <v>7.5</v>
      </c>
      <c r="M1138" s="4">
        <v>3.05</v>
      </c>
      <c r="N1138" s="4">
        <v>35</v>
      </c>
    </row>
    <row r="1139" spans="1:14">
      <c r="A1139" s="3">
        <v>811913</v>
      </c>
      <c r="B1139" s="3">
        <v>178511</v>
      </c>
      <c r="C1139" s="4">
        <v>5</v>
      </c>
      <c r="D1139" s="4">
        <v>5</v>
      </c>
      <c r="E1139" s="4">
        <v>0</v>
      </c>
      <c r="F1139" s="4">
        <v>10</v>
      </c>
      <c r="G1139" s="4">
        <v>0</v>
      </c>
      <c r="H1139" s="4">
        <v>0</v>
      </c>
      <c r="I1139" s="4">
        <v>0</v>
      </c>
      <c r="J1139" s="4">
        <v>0</v>
      </c>
      <c r="K1139" s="4">
        <v>11</v>
      </c>
      <c r="L1139" s="4">
        <v>9</v>
      </c>
      <c r="M1139" s="4">
        <v>6</v>
      </c>
      <c r="N1139" s="4">
        <v>10</v>
      </c>
    </row>
    <row r="1140" spans="1:14">
      <c r="A1140" s="3">
        <v>811918</v>
      </c>
      <c r="B1140" s="3">
        <v>171839</v>
      </c>
      <c r="C1140" s="4">
        <v>10</v>
      </c>
      <c r="D1140" s="4">
        <v>27.5</v>
      </c>
      <c r="E1140" s="4">
        <v>57</v>
      </c>
      <c r="F1140" s="4">
        <v>29.5</v>
      </c>
      <c r="G1140" s="4">
        <v>4.5</v>
      </c>
      <c r="H1140" s="4">
        <v>50</v>
      </c>
      <c r="I1140" s="4">
        <v>40</v>
      </c>
      <c r="J1140" s="4">
        <v>0</v>
      </c>
      <c r="K1140" s="4">
        <v>30</v>
      </c>
      <c r="L1140" s="4">
        <v>30</v>
      </c>
      <c r="M1140" s="4">
        <v>0</v>
      </c>
      <c r="N1140" s="4">
        <v>0</v>
      </c>
    </row>
    <row r="1141" spans="1:14">
      <c r="A1141" s="3">
        <v>811921</v>
      </c>
      <c r="B1141" s="3">
        <v>177300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10</v>
      </c>
      <c r="L1141" s="4">
        <v>0</v>
      </c>
      <c r="M1141" s="4">
        <v>0</v>
      </c>
      <c r="N1141" s="4">
        <v>0</v>
      </c>
    </row>
    <row r="1142" spans="1:14">
      <c r="A1142" s="3">
        <v>811921</v>
      </c>
      <c r="B1142" s="3">
        <v>208156</v>
      </c>
      <c r="C1142" s="4">
        <v>34.5</v>
      </c>
      <c r="D1142" s="4">
        <v>35</v>
      </c>
      <c r="E1142" s="4">
        <v>51.5</v>
      </c>
      <c r="F1142" s="4">
        <v>46</v>
      </c>
      <c r="G1142" s="4">
        <v>30.5</v>
      </c>
      <c r="H1142" s="4">
        <v>45</v>
      </c>
      <c r="I1142" s="4">
        <v>10</v>
      </c>
      <c r="J1142" s="4">
        <v>8.4499999999999993</v>
      </c>
      <c r="K1142" s="4">
        <v>53.5</v>
      </c>
      <c r="L1142" s="4">
        <v>0</v>
      </c>
      <c r="M1142" s="4">
        <v>0</v>
      </c>
      <c r="N1142" s="4">
        <v>3</v>
      </c>
    </row>
    <row r="1143" spans="1:14">
      <c r="A1143" s="3">
        <v>811922</v>
      </c>
      <c r="B1143" s="3">
        <v>176693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15</v>
      </c>
      <c r="N1143" s="4">
        <v>0</v>
      </c>
    </row>
    <row r="1144" spans="1:14">
      <c r="A1144" s="3">
        <v>811922</v>
      </c>
      <c r="B1144" s="3">
        <v>177787</v>
      </c>
      <c r="C1144" s="4">
        <v>12</v>
      </c>
      <c r="D1144" s="4">
        <v>24</v>
      </c>
      <c r="E1144" s="4">
        <v>57</v>
      </c>
      <c r="F1144" s="4">
        <v>15</v>
      </c>
      <c r="G1144" s="4">
        <v>15</v>
      </c>
      <c r="H1144" s="4">
        <v>15</v>
      </c>
      <c r="I1144" s="4">
        <v>0</v>
      </c>
      <c r="J1144" s="4">
        <v>25</v>
      </c>
      <c r="K1144" s="4">
        <v>40</v>
      </c>
      <c r="L1144" s="4">
        <v>45</v>
      </c>
      <c r="M1144" s="4">
        <v>22.5</v>
      </c>
      <c r="N1144" s="4">
        <v>50</v>
      </c>
    </row>
    <row r="1145" spans="1:14">
      <c r="A1145" s="3">
        <v>811924</v>
      </c>
      <c r="B1145" s="3">
        <v>170363</v>
      </c>
      <c r="C1145" s="4">
        <v>45</v>
      </c>
      <c r="D1145" s="4">
        <v>75</v>
      </c>
      <c r="E1145" s="4">
        <v>257</v>
      </c>
      <c r="F1145" s="4">
        <v>21</v>
      </c>
      <c r="G1145" s="4">
        <v>60</v>
      </c>
      <c r="H1145" s="4">
        <v>0</v>
      </c>
      <c r="I1145" s="4">
        <v>60</v>
      </c>
      <c r="J1145" s="4">
        <v>20</v>
      </c>
      <c r="K1145" s="4">
        <v>152</v>
      </c>
      <c r="L1145" s="4">
        <v>97</v>
      </c>
      <c r="M1145" s="4">
        <v>35</v>
      </c>
      <c r="N1145" s="4">
        <v>134</v>
      </c>
    </row>
    <row r="1146" spans="1:14">
      <c r="A1146" s="3">
        <v>811944</v>
      </c>
      <c r="B1146" s="3">
        <v>179894</v>
      </c>
      <c r="C1146" s="4">
        <v>94.5</v>
      </c>
      <c r="D1146" s="4">
        <v>72.5</v>
      </c>
      <c r="E1146" s="4">
        <v>95</v>
      </c>
      <c r="F1146" s="4">
        <v>60</v>
      </c>
      <c r="G1146" s="4">
        <v>37.5</v>
      </c>
      <c r="H1146" s="4">
        <v>13.5</v>
      </c>
      <c r="I1146" s="4">
        <v>33.5</v>
      </c>
      <c r="J1146" s="4">
        <v>25</v>
      </c>
      <c r="K1146" s="4">
        <v>52.5</v>
      </c>
      <c r="L1146" s="4">
        <v>42</v>
      </c>
      <c r="M1146" s="4">
        <v>40</v>
      </c>
      <c r="N1146" s="4">
        <v>55</v>
      </c>
    </row>
    <row r="1147" spans="1:14">
      <c r="A1147" s="3">
        <v>811996</v>
      </c>
      <c r="B1147" s="3">
        <v>178695</v>
      </c>
      <c r="C1147" s="4">
        <v>50</v>
      </c>
      <c r="D1147" s="4">
        <v>30</v>
      </c>
      <c r="E1147" s="4">
        <v>49.5</v>
      </c>
      <c r="F1147" s="4">
        <v>30</v>
      </c>
      <c r="G1147" s="4">
        <v>10</v>
      </c>
      <c r="H1147" s="4">
        <v>20</v>
      </c>
      <c r="I1147" s="4">
        <v>10</v>
      </c>
      <c r="J1147" s="4">
        <v>10</v>
      </c>
      <c r="K1147" s="4">
        <v>10</v>
      </c>
      <c r="L1147" s="4">
        <v>50</v>
      </c>
      <c r="M1147" s="4">
        <v>32.5</v>
      </c>
      <c r="N1147" s="4">
        <v>89.25</v>
      </c>
    </row>
    <row r="1148" spans="1:14">
      <c r="A1148" s="3">
        <v>811998</v>
      </c>
      <c r="B1148" s="3">
        <v>119028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10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</row>
    <row r="1149" spans="1:14">
      <c r="A1149" s="3">
        <v>812000</v>
      </c>
      <c r="B1149" s="3">
        <v>179550</v>
      </c>
      <c r="C1149" s="4">
        <v>0</v>
      </c>
      <c r="D1149" s="4">
        <v>0</v>
      </c>
      <c r="E1149" s="4">
        <v>5</v>
      </c>
      <c r="F1149" s="4">
        <v>0</v>
      </c>
      <c r="G1149" s="4">
        <v>0</v>
      </c>
      <c r="H1149" s="4">
        <v>7.3</v>
      </c>
      <c r="I1149" s="4">
        <v>15</v>
      </c>
      <c r="J1149" s="4">
        <v>0</v>
      </c>
      <c r="K1149" s="4">
        <v>5</v>
      </c>
      <c r="L1149" s="4">
        <v>25</v>
      </c>
      <c r="M1149" s="4">
        <v>0</v>
      </c>
      <c r="N1149" s="4">
        <v>15</v>
      </c>
    </row>
    <row r="1150" spans="1:14">
      <c r="A1150" s="3">
        <v>812003</v>
      </c>
      <c r="B1150" s="3">
        <v>119028</v>
      </c>
      <c r="C1150" s="4">
        <v>0</v>
      </c>
      <c r="D1150" s="4">
        <v>0</v>
      </c>
      <c r="E1150" s="4">
        <v>0</v>
      </c>
      <c r="F1150" s="4">
        <v>11</v>
      </c>
      <c r="G1150" s="4">
        <v>27</v>
      </c>
      <c r="H1150" s="4">
        <v>31</v>
      </c>
      <c r="I1150" s="4">
        <v>31</v>
      </c>
      <c r="J1150" s="4">
        <v>0</v>
      </c>
      <c r="K1150" s="4">
        <v>15</v>
      </c>
      <c r="L1150" s="4">
        <v>0</v>
      </c>
      <c r="M1150" s="4">
        <v>31</v>
      </c>
      <c r="N1150" s="4">
        <v>0</v>
      </c>
    </row>
    <row r="1151" spans="1:14">
      <c r="A1151" s="3">
        <v>812005</v>
      </c>
      <c r="B1151" s="3">
        <v>202427</v>
      </c>
      <c r="C1151" s="4">
        <v>31</v>
      </c>
      <c r="D1151" s="4">
        <v>80</v>
      </c>
      <c r="E1151" s="4">
        <v>84</v>
      </c>
      <c r="F1151" s="4">
        <v>90</v>
      </c>
      <c r="G1151" s="4">
        <v>82.5</v>
      </c>
      <c r="H1151" s="4">
        <v>85.5</v>
      </c>
      <c r="I1151" s="4">
        <v>20</v>
      </c>
      <c r="J1151" s="4">
        <v>55</v>
      </c>
      <c r="K1151" s="4">
        <v>89</v>
      </c>
      <c r="L1151" s="4">
        <v>65</v>
      </c>
      <c r="M1151" s="4">
        <v>67.5</v>
      </c>
      <c r="N1151" s="4">
        <v>80</v>
      </c>
    </row>
    <row r="1152" spans="1:14">
      <c r="A1152" s="3">
        <v>812043</v>
      </c>
      <c r="B1152" s="3">
        <v>144243</v>
      </c>
      <c r="C1152" s="4">
        <v>0</v>
      </c>
      <c r="D1152" s="4">
        <v>40</v>
      </c>
      <c r="E1152" s="4">
        <v>10</v>
      </c>
      <c r="F1152" s="4">
        <v>27.5</v>
      </c>
      <c r="G1152" s="4">
        <v>7.5</v>
      </c>
      <c r="H1152" s="4">
        <v>20</v>
      </c>
      <c r="I1152" s="4">
        <v>15</v>
      </c>
      <c r="J1152" s="4">
        <v>8</v>
      </c>
      <c r="K1152" s="4">
        <v>0</v>
      </c>
      <c r="L1152" s="4">
        <v>0</v>
      </c>
      <c r="M1152" s="4">
        <v>2.5</v>
      </c>
      <c r="N1152" s="4">
        <v>0</v>
      </c>
    </row>
    <row r="1153" spans="1:14">
      <c r="A1153" s="3">
        <v>812047</v>
      </c>
      <c r="B1153" s="3">
        <v>201838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50</v>
      </c>
    </row>
    <row r="1154" spans="1:14">
      <c r="A1154" s="3">
        <v>812049</v>
      </c>
      <c r="B1154" s="3">
        <v>170392</v>
      </c>
      <c r="C1154" s="4">
        <v>165</v>
      </c>
      <c r="D1154" s="4">
        <v>119.5</v>
      </c>
      <c r="E1154" s="4">
        <v>234.1</v>
      </c>
      <c r="F1154" s="4">
        <v>181</v>
      </c>
      <c r="G1154" s="4">
        <v>105.25</v>
      </c>
      <c r="H1154" s="4">
        <v>45</v>
      </c>
      <c r="I1154" s="4">
        <v>15</v>
      </c>
      <c r="J1154" s="4">
        <v>32</v>
      </c>
      <c r="K1154" s="4">
        <v>211</v>
      </c>
      <c r="L1154" s="4">
        <v>160.5</v>
      </c>
      <c r="M1154" s="4">
        <v>199</v>
      </c>
      <c r="N1154" s="4">
        <v>156</v>
      </c>
    </row>
    <row r="1155" spans="1:14">
      <c r="A1155" s="3">
        <v>812052</v>
      </c>
      <c r="B1155" s="3">
        <v>119044</v>
      </c>
      <c r="C1155" s="4">
        <v>0</v>
      </c>
      <c r="D1155" s="4">
        <v>20</v>
      </c>
      <c r="E1155" s="4">
        <v>75</v>
      </c>
      <c r="F1155" s="4">
        <v>35</v>
      </c>
      <c r="G1155" s="4">
        <v>2.5</v>
      </c>
      <c r="H1155" s="4">
        <v>0</v>
      </c>
      <c r="I1155" s="4">
        <v>25</v>
      </c>
      <c r="J1155" s="4">
        <v>30</v>
      </c>
      <c r="K1155" s="4">
        <v>0</v>
      </c>
      <c r="L1155" s="4">
        <v>0</v>
      </c>
      <c r="M1155" s="4">
        <v>35</v>
      </c>
      <c r="N1155" s="4">
        <v>20</v>
      </c>
    </row>
    <row r="1156" spans="1:14">
      <c r="A1156" s="3">
        <v>812056</v>
      </c>
      <c r="B1156" s="3">
        <v>175288</v>
      </c>
      <c r="C1156" s="4">
        <v>20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</row>
    <row r="1157" spans="1:14">
      <c r="A1157" s="3">
        <v>812059</v>
      </c>
      <c r="B1157" s="3">
        <v>172193</v>
      </c>
      <c r="C1157" s="4">
        <v>45</v>
      </c>
      <c r="D1157" s="4">
        <v>80</v>
      </c>
      <c r="E1157" s="4">
        <v>30</v>
      </c>
      <c r="F1157" s="4">
        <v>44.5</v>
      </c>
      <c r="G1157" s="4">
        <v>30</v>
      </c>
      <c r="H1157" s="4">
        <v>39</v>
      </c>
      <c r="I1157" s="4">
        <v>75</v>
      </c>
      <c r="J1157" s="4">
        <v>0</v>
      </c>
      <c r="K1157" s="4">
        <v>46</v>
      </c>
      <c r="L1157" s="4">
        <v>50</v>
      </c>
      <c r="M1157" s="4">
        <v>15</v>
      </c>
      <c r="N1157" s="4">
        <v>150</v>
      </c>
    </row>
    <row r="1158" spans="1:14">
      <c r="A1158" s="3">
        <v>812060</v>
      </c>
      <c r="B1158" s="3">
        <v>179908</v>
      </c>
      <c r="C1158" s="4">
        <v>10</v>
      </c>
      <c r="D1158" s="4">
        <v>20</v>
      </c>
      <c r="E1158" s="4">
        <v>76</v>
      </c>
      <c r="F1158" s="4">
        <v>35</v>
      </c>
      <c r="G1158" s="4">
        <v>12.5</v>
      </c>
      <c r="H1158" s="4">
        <v>25</v>
      </c>
      <c r="I1158" s="4">
        <v>20</v>
      </c>
      <c r="J1158" s="4">
        <v>0</v>
      </c>
      <c r="K1158" s="4">
        <v>15</v>
      </c>
      <c r="L1158" s="4">
        <v>0</v>
      </c>
      <c r="M1158" s="4">
        <v>15</v>
      </c>
      <c r="N1158" s="4">
        <v>70</v>
      </c>
    </row>
    <row r="1159" spans="1:14">
      <c r="A1159" s="3">
        <v>812064</v>
      </c>
      <c r="B1159" s="3">
        <v>177426</v>
      </c>
      <c r="C1159" s="4">
        <v>0</v>
      </c>
      <c r="D1159" s="4">
        <v>5</v>
      </c>
      <c r="E1159" s="4">
        <v>58</v>
      </c>
      <c r="F1159" s="4">
        <v>7.5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12.5</v>
      </c>
    </row>
    <row r="1160" spans="1:14">
      <c r="A1160" s="3">
        <v>812065</v>
      </c>
      <c r="B1160" s="3">
        <v>179908</v>
      </c>
      <c r="C1160" s="4">
        <v>35</v>
      </c>
      <c r="D1160" s="4">
        <v>0</v>
      </c>
      <c r="E1160" s="4">
        <v>0</v>
      </c>
      <c r="F1160" s="4">
        <v>35</v>
      </c>
      <c r="G1160" s="4">
        <v>0</v>
      </c>
      <c r="H1160" s="4">
        <v>22</v>
      </c>
      <c r="I1160" s="4">
        <v>0</v>
      </c>
      <c r="J1160" s="4">
        <v>0</v>
      </c>
      <c r="K1160" s="4">
        <v>30</v>
      </c>
      <c r="L1160" s="4">
        <v>0</v>
      </c>
      <c r="M1160" s="4">
        <v>0</v>
      </c>
      <c r="N1160" s="4">
        <v>0</v>
      </c>
    </row>
    <row r="1161" spans="1:14">
      <c r="A1161" s="3">
        <v>812066</v>
      </c>
      <c r="B1161" s="3">
        <v>170149</v>
      </c>
      <c r="C1161" s="4">
        <v>0</v>
      </c>
      <c r="D1161" s="4">
        <v>67</v>
      </c>
      <c r="E1161" s="4">
        <v>77</v>
      </c>
      <c r="F1161" s="4">
        <v>129</v>
      </c>
      <c r="G1161" s="4">
        <v>20</v>
      </c>
      <c r="H1161" s="4">
        <v>67.5</v>
      </c>
      <c r="I1161" s="4">
        <v>65</v>
      </c>
      <c r="J1161" s="4">
        <v>0</v>
      </c>
      <c r="K1161" s="4">
        <v>70</v>
      </c>
      <c r="L1161" s="4">
        <v>20</v>
      </c>
      <c r="M1161" s="4">
        <v>125</v>
      </c>
      <c r="N1161" s="4">
        <v>76.5</v>
      </c>
    </row>
    <row r="1162" spans="1:14">
      <c r="A1162" s="3">
        <v>812066</v>
      </c>
      <c r="B1162" s="3">
        <v>170204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15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>
      <c r="A1163" s="3">
        <v>812067</v>
      </c>
      <c r="B1163" s="3">
        <v>119026</v>
      </c>
      <c r="C1163" s="4">
        <v>144.5</v>
      </c>
      <c r="D1163" s="4">
        <v>70</v>
      </c>
      <c r="E1163" s="4">
        <v>104.1</v>
      </c>
      <c r="F1163" s="4">
        <v>93.25</v>
      </c>
      <c r="G1163" s="4">
        <v>110</v>
      </c>
      <c r="H1163" s="4">
        <v>155.05000000000001</v>
      </c>
      <c r="I1163" s="4">
        <v>176.5</v>
      </c>
      <c r="J1163" s="4">
        <v>100</v>
      </c>
      <c r="K1163" s="4">
        <v>100</v>
      </c>
      <c r="L1163" s="4">
        <v>72.5</v>
      </c>
      <c r="M1163" s="4">
        <v>137.75</v>
      </c>
      <c r="N1163" s="4">
        <v>159</v>
      </c>
    </row>
    <row r="1164" spans="1:14">
      <c r="A1164" s="3">
        <v>812067</v>
      </c>
      <c r="B1164" s="3">
        <v>141115</v>
      </c>
      <c r="C1164" s="4">
        <v>0</v>
      </c>
      <c r="D1164" s="4">
        <v>0</v>
      </c>
      <c r="E1164" s="4">
        <v>10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>
      <c r="A1165" s="3">
        <v>812068</v>
      </c>
      <c r="B1165" s="3">
        <v>140881</v>
      </c>
      <c r="C1165" s="4">
        <v>105</v>
      </c>
      <c r="D1165" s="4">
        <v>25</v>
      </c>
      <c r="E1165" s="4">
        <v>0</v>
      </c>
      <c r="F1165" s="4">
        <v>40</v>
      </c>
      <c r="G1165" s="4">
        <v>35</v>
      </c>
      <c r="H1165" s="4">
        <v>50</v>
      </c>
      <c r="I1165" s="4">
        <v>0</v>
      </c>
      <c r="J1165" s="4">
        <v>35</v>
      </c>
      <c r="K1165" s="4">
        <v>30</v>
      </c>
      <c r="L1165" s="4">
        <v>0</v>
      </c>
      <c r="M1165" s="4">
        <v>0</v>
      </c>
      <c r="N1165" s="4">
        <v>0</v>
      </c>
    </row>
    <row r="1166" spans="1:14">
      <c r="A1166" s="3">
        <v>812069</v>
      </c>
      <c r="B1166" s="3">
        <v>202913</v>
      </c>
      <c r="C1166" s="4">
        <v>4.5</v>
      </c>
      <c r="D1166" s="4">
        <v>15</v>
      </c>
      <c r="E1166" s="4">
        <v>46.5</v>
      </c>
      <c r="F1166" s="4">
        <v>2</v>
      </c>
      <c r="G1166" s="4">
        <v>22.5</v>
      </c>
      <c r="H1166" s="4">
        <v>15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16.649999999999999</v>
      </c>
    </row>
    <row r="1167" spans="1:14">
      <c r="A1167" s="3">
        <v>812070</v>
      </c>
      <c r="B1167" s="3">
        <v>202913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30</v>
      </c>
      <c r="L1167" s="4">
        <v>15</v>
      </c>
      <c r="M1167" s="4">
        <v>20</v>
      </c>
      <c r="N1167" s="4">
        <v>0</v>
      </c>
    </row>
    <row r="1168" spans="1:14">
      <c r="A1168" s="3">
        <v>812071</v>
      </c>
      <c r="B1168" s="3">
        <v>179911</v>
      </c>
      <c r="C1168" s="4">
        <v>57.5</v>
      </c>
      <c r="D1168" s="4">
        <v>84.25</v>
      </c>
      <c r="E1168" s="4">
        <v>89.5</v>
      </c>
      <c r="F1168" s="4">
        <v>46.25</v>
      </c>
      <c r="G1168" s="4">
        <v>68</v>
      </c>
      <c r="H1168" s="4">
        <v>65.5</v>
      </c>
      <c r="I1168" s="4">
        <v>80</v>
      </c>
      <c r="J1168" s="4">
        <v>61</v>
      </c>
      <c r="K1168" s="4">
        <v>45</v>
      </c>
      <c r="L1168" s="4">
        <v>49.35</v>
      </c>
      <c r="M1168" s="4">
        <v>7.9</v>
      </c>
      <c r="N1168" s="4">
        <v>70.5</v>
      </c>
    </row>
    <row r="1169" spans="1:14">
      <c r="A1169" s="3">
        <v>812072</v>
      </c>
      <c r="B1169" s="3">
        <v>144868</v>
      </c>
      <c r="C1169" s="4">
        <v>5</v>
      </c>
      <c r="D1169" s="4">
        <v>2.5</v>
      </c>
      <c r="E1169" s="4">
        <v>0</v>
      </c>
      <c r="F1169" s="4">
        <v>5</v>
      </c>
      <c r="G1169" s="4">
        <v>15</v>
      </c>
      <c r="H1169" s="4">
        <v>0</v>
      </c>
      <c r="I1169" s="4">
        <v>0</v>
      </c>
      <c r="J1169" s="4">
        <v>2.5</v>
      </c>
      <c r="K1169" s="4">
        <v>10</v>
      </c>
      <c r="L1169" s="4">
        <v>11.5</v>
      </c>
      <c r="M1169" s="4">
        <v>0</v>
      </c>
      <c r="N1169" s="4">
        <v>0</v>
      </c>
    </row>
    <row r="1170" spans="1:14">
      <c r="A1170" s="3">
        <v>812076</v>
      </c>
      <c r="B1170" s="3">
        <v>178234</v>
      </c>
      <c r="C1170" s="4">
        <v>15</v>
      </c>
      <c r="D1170" s="4">
        <v>15</v>
      </c>
      <c r="E1170" s="4">
        <v>40</v>
      </c>
      <c r="F1170" s="4">
        <v>60</v>
      </c>
      <c r="G1170" s="4">
        <v>15</v>
      </c>
      <c r="H1170" s="4">
        <v>37.5</v>
      </c>
      <c r="I1170" s="4">
        <v>103</v>
      </c>
      <c r="J1170" s="4">
        <v>0</v>
      </c>
      <c r="K1170" s="4">
        <v>41</v>
      </c>
      <c r="L1170" s="4">
        <v>34.5</v>
      </c>
      <c r="M1170" s="4">
        <v>40.200000000000003</v>
      </c>
      <c r="N1170" s="4">
        <v>51</v>
      </c>
    </row>
    <row r="1171" spans="1:14">
      <c r="A1171" s="3">
        <v>812077</v>
      </c>
      <c r="B1171" s="3">
        <v>202452</v>
      </c>
      <c r="C1171" s="4">
        <v>40</v>
      </c>
      <c r="D1171" s="4">
        <v>10</v>
      </c>
      <c r="E1171" s="4">
        <v>37</v>
      </c>
      <c r="F1171" s="4">
        <v>17</v>
      </c>
      <c r="G1171" s="4">
        <v>44.25</v>
      </c>
      <c r="H1171" s="4">
        <v>15</v>
      </c>
      <c r="I1171" s="4">
        <v>16.25</v>
      </c>
      <c r="J1171" s="4">
        <v>27.5</v>
      </c>
      <c r="K1171" s="4">
        <v>34</v>
      </c>
      <c r="L1171" s="4">
        <v>17.5</v>
      </c>
      <c r="M1171" s="4">
        <v>42.5</v>
      </c>
      <c r="N1171" s="4">
        <v>35.5</v>
      </c>
    </row>
    <row r="1172" spans="1:14">
      <c r="A1172" s="3">
        <v>812096</v>
      </c>
      <c r="B1172" s="3">
        <v>173224</v>
      </c>
      <c r="C1172" s="4">
        <v>120</v>
      </c>
      <c r="D1172" s="4">
        <v>110</v>
      </c>
      <c r="E1172" s="4">
        <v>104.5</v>
      </c>
      <c r="F1172" s="4">
        <v>101</v>
      </c>
      <c r="G1172" s="4">
        <v>87.5</v>
      </c>
      <c r="H1172" s="4">
        <v>32.5</v>
      </c>
      <c r="I1172" s="4">
        <v>80</v>
      </c>
      <c r="J1172" s="4">
        <v>0</v>
      </c>
      <c r="K1172" s="4">
        <v>57.5</v>
      </c>
      <c r="L1172" s="4">
        <v>41</v>
      </c>
      <c r="M1172" s="4">
        <v>75</v>
      </c>
      <c r="N1172" s="4">
        <v>130</v>
      </c>
    </row>
    <row r="1173" spans="1:14">
      <c r="A1173" s="3">
        <v>812097</v>
      </c>
      <c r="B1173" s="3">
        <v>177379</v>
      </c>
      <c r="C1173" s="4">
        <v>0</v>
      </c>
      <c r="D1173" s="4">
        <v>27</v>
      </c>
      <c r="E1173" s="4">
        <v>50</v>
      </c>
      <c r="F1173" s="4">
        <v>60</v>
      </c>
      <c r="G1173" s="4">
        <v>75</v>
      </c>
      <c r="H1173" s="4">
        <v>50</v>
      </c>
      <c r="I1173" s="4">
        <v>0</v>
      </c>
      <c r="J1173" s="4">
        <v>25</v>
      </c>
      <c r="K1173" s="4">
        <v>20</v>
      </c>
      <c r="L1173" s="4">
        <v>15</v>
      </c>
      <c r="M1173" s="4">
        <v>45</v>
      </c>
      <c r="N1173" s="4">
        <v>20</v>
      </c>
    </row>
    <row r="1174" spans="1:14">
      <c r="A1174" s="3">
        <v>812099</v>
      </c>
      <c r="B1174" s="3">
        <v>144243</v>
      </c>
      <c r="C1174" s="4">
        <v>52.5</v>
      </c>
      <c r="D1174" s="4">
        <v>48</v>
      </c>
      <c r="E1174" s="4">
        <v>39</v>
      </c>
      <c r="F1174" s="4">
        <v>30</v>
      </c>
      <c r="G1174" s="4">
        <v>12.5</v>
      </c>
      <c r="H1174" s="4">
        <v>55</v>
      </c>
      <c r="I1174" s="4">
        <v>15</v>
      </c>
      <c r="J1174" s="4">
        <v>10</v>
      </c>
      <c r="K1174" s="4">
        <v>32.5</v>
      </c>
      <c r="L1174" s="4">
        <v>46</v>
      </c>
      <c r="M1174" s="4">
        <v>25.5</v>
      </c>
      <c r="N1174" s="4">
        <v>55</v>
      </c>
    </row>
    <row r="1175" spans="1:14">
      <c r="A1175" s="3">
        <v>812100</v>
      </c>
      <c r="B1175" s="3">
        <v>178234</v>
      </c>
      <c r="C1175" s="4">
        <v>0</v>
      </c>
      <c r="D1175" s="4">
        <v>10</v>
      </c>
      <c r="E1175" s="4">
        <v>0</v>
      </c>
      <c r="F1175" s="4">
        <v>10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</row>
    <row r="1176" spans="1:14">
      <c r="A1176" s="3">
        <v>812100</v>
      </c>
      <c r="B1176" s="3">
        <v>203236</v>
      </c>
      <c r="C1176" s="4">
        <v>37.5</v>
      </c>
      <c r="D1176" s="4">
        <v>54</v>
      </c>
      <c r="E1176" s="4">
        <v>60</v>
      </c>
      <c r="F1176" s="4">
        <v>0</v>
      </c>
      <c r="G1176" s="4">
        <v>30</v>
      </c>
      <c r="H1176" s="4">
        <v>15</v>
      </c>
      <c r="I1176" s="4">
        <v>37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</row>
    <row r="1177" spans="1:14">
      <c r="A1177" s="3">
        <v>812102</v>
      </c>
      <c r="B1177" s="3">
        <v>145639</v>
      </c>
      <c r="C1177" s="4">
        <v>10</v>
      </c>
      <c r="D1177" s="4">
        <v>10.5</v>
      </c>
      <c r="E1177" s="4">
        <v>27.75</v>
      </c>
      <c r="F1177" s="4">
        <v>12</v>
      </c>
      <c r="G1177" s="4">
        <v>21</v>
      </c>
      <c r="H1177" s="4">
        <v>19</v>
      </c>
      <c r="I1177" s="4">
        <v>15.5</v>
      </c>
      <c r="J1177" s="4">
        <v>10</v>
      </c>
      <c r="K1177" s="4">
        <v>38.5</v>
      </c>
      <c r="L1177" s="4">
        <v>0</v>
      </c>
      <c r="M1177" s="4">
        <v>14.5</v>
      </c>
      <c r="N1177" s="4">
        <v>42.5</v>
      </c>
    </row>
    <row r="1178" spans="1:14">
      <c r="A1178" s="3">
        <v>812109</v>
      </c>
      <c r="B1178" s="3">
        <v>171924</v>
      </c>
      <c r="C1178" s="4">
        <v>41.5</v>
      </c>
      <c r="D1178" s="4">
        <v>42</v>
      </c>
      <c r="E1178" s="4">
        <v>42</v>
      </c>
      <c r="F1178" s="4">
        <v>51</v>
      </c>
      <c r="G1178" s="4">
        <v>20</v>
      </c>
      <c r="H1178" s="4">
        <v>75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108.95</v>
      </c>
    </row>
    <row r="1179" spans="1:14">
      <c r="A1179" s="3">
        <v>812110</v>
      </c>
      <c r="B1179" s="3">
        <v>119038</v>
      </c>
      <c r="C1179" s="4">
        <v>45</v>
      </c>
      <c r="D1179" s="4">
        <v>0</v>
      </c>
      <c r="E1179" s="4">
        <v>41</v>
      </c>
      <c r="F1179" s="4">
        <v>30</v>
      </c>
      <c r="G1179" s="4">
        <v>50</v>
      </c>
      <c r="H1179" s="4">
        <v>30</v>
      </c>
      <c r="I1179" s="4">
        <v>20</v>
      </c>
      <c r="J1179" s="4">
        <v>15</v>
      </c>
      <c r="K1179" s="4">
        <v>25</v>
      </c>
      <c r="L1179" s="4">
        <v>0</v>
      </c>
      <c r="M1179" s="4">
        <v>10</v>
      </c>
      <c r="N1179" s="4">
        <v>0</v>
      </c>
    </row>
    <row r="1180" spans="1:14">
      <c r="A1180" s="3">
        <v>812134</v>
      </c>
      <c r="B1180" s="3">
        <v>170146</v>
      </c>
      <c r="C1180" s="4">
        <v>104</v>
      </c>
      <c r="D1180" s="4">
        <v>129.5</v>
      </c>
      <c r="E1180" s="4">
        <v>110</v>
      </c>
      <c r="F1180" s="4">
        <v>92</v>
      </c>
      <c r="G1180" s="4">
        <v>5</v>
      </c>
      <c r="H1180" s="4">
        <v>55</v>
      </c>
      <c r="I1180" s="4">
        <v>122</v>
      </c>
      <c r="J1180" s="4">
        <v>0</v>
      </c>
      <c r="K1180" s="4">
        <v>137</v>
      </c>
      <c r="L1180" s="4">
        <v>58</v>
      </c>
      <c r="M1180" s="4">
        <v>77</v>
      </c>
      <c r="N1180" s="4">
        <v>15</v>
      </c>
    </row>
    <row r="1181" spans="1:14">
      <c r="A1181" s="3">
        <v>812142</v>
      </c>
      <c r="B1181" s="3">
        <v>174445</v>
      </c>
      <c r="C1181" s="4">
        <v>14.5</v>
      </c>
      <c r="D1181" s="4">
        <v>15</v>
      </c>
      <c r="E1181" s="4">
        <v>20.5</v>
      </c>
      <c r="F1181" s="4">
        <v>38</v>
      </c>
      <c r="G1181" s="4">
        <v>15</v>
      </c>
      <c r="H1181" s="4">
        <v>19</v>
      </c>
      <c r="I1181" s="4">
        <v>10</v>
      </c>
      <c r="J1181" s="4">
        <v>5</v>
      </c>
      <c r="K1181" s="4">
        <v>22.5</v>
      </c>
      <c r="L1181" s="4">
        <v>25</v>
      </c>
      <c r="M1181" s="4">
        <v>29</v>
      </c>
      <c r="N1181" s="4">
        <v>7.5</v>
      </c>
    </row>
    <row r="1182" spans="1:14">
      <c r="A1182" s="3">
        <v>812160</v>
      </c>
      <c r="B1182" s="3">
        <v>203154</v>
      </c>
      <c r="C1182" s="4">
        <v>81</v>
      </c>
      <c r="D1182" s="4">
        <v>52.35</v>
      </c>
      <c r="E1182" s="4">
        <v>242.55</v>
      </c>
      <c r="F1182" s="4">
        <v>133.5</v>
      </c>
      <c r="G1182" s="4">
        <v>8.25</v>
      </c>
      <c r="H1182" s="4">
        <v>101</v>
      </c>
      <c r="I1182" s="4">
        <v>50.5</v>
      </c>
      <c r="J1182" s="4">
        <v>90.5</v>
      </c>
      <c r="K1182" s="4">
        <v>150.75</v>
      </c>
      <c r="L1182" s="4">
        <v>153.5</v>
      </c>
      <c r="M1182" s="4">
        <v>181</v>
      </c>
      <c r="N1182" s="4">
        <v>192.25</v>
      </c>
    </row>
    <row r="1183" spans="1:14">
      <c r="A1183" s="3">
        <v>812161</v>
      </c>
      <c r="B1183" s="3">
        <v>145639</v>
      </c>
      <c r="C1183" s="4">
        <v>68</v>
      </c>
      <c r="D1183" s="4">
        <v>50</v>
      </c>
      <c r="E1183" s="4">
        <v>114.5</v>
      </c>
      <c r="F1183" s="4">
        <v>93.5</v>
      </c>
      <c r="G1183" s="4">
        <v>127.75</v>
      </c>
      <c r="H1183" s="4">
        <v>110.5</v>
      </c>
      <c r="I1183" s="4">
        <v>82.5</v>
      </c>
      <c r="J1183" s="4">
        <v>34.5</v>
      </c>
      <c r="K1183" s="4">
        <v>106</v>
      </c>
      <c r="L1183" s="4">
        <v>80.75</v>
      </c>
      <c r="M1183" s="4">
        <v>100.25</v>
      </c>
      <c r="N1183" s="4">
        <v>167</v>
      </c>
    </row>
    <row r="1184" spans="1:14">
      <c r="A1184" s="3">
        <v>812175</v>
      </c>
      <c r="B1184" s="3">
        <v>141115</v>
      </c>
      <c r="C1184" s="4">
        <v>10</v>
      </c>
      <c r="D1184" s="4">
        <v>0</v>
      </c>
      <c r="E1184" s="4">
        <v>0</v>
      </c>
      <c r="F1184" s="4">
        <v>22.5</v>
      </c>
      <c r="G1184" s="4">
        <v>35</v>
      </c>
      <c r="H1184" s="4">
        <v>35</v>
      </c>
      <c r="I1184" s="4">
        <v>40</v>
      </c>
      <c r="J1184" s="4">
        <v>27.5</v>
      </c>
      <c r="K1184" s="4">
        <v>32.5</v>
      </c>
      <c r="L1184" s="4">
        <v>0</v>
      </c>
      <c r="M1184" s="4">
        <v>21</v>
      </c>
      <c r="N1184" s="4">
        <v>0</v>
      </c>
    </row>
    <row r="1185" spans="1:14">
      <c r="A1185" s="3">
        <v>812176</v>
      </c>
      <c r="B1185" s="3">
        <v>170059</v>
      </c>
      <c r="C1185" s="4">
        <v>10</v>
      </c>
      <c r="D1185" s="4">
        <v>0</v>
      </c>
      <c r="E1185" s="4">
        <v>25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</row>
    <row r="1186" spans="1:14">
      <c r="A1186" s="3">
        <v>812176</v>
      </c>
      <c r="B1186" s="3">
        <v>179560</v>
      </c>
      <c r="C1186" s="4">
        <v>25</v>
      </c>
      <c r="D1186" s="4">
        <v>45</v>
      </c>
      <c r="E1186" s="4">
        <v>25</v>
      </c>
      <c r="F1186" s="4">
        <v>55</v>
      </c>
      <c r="G1186" s="4">
        <v>45.5</v>
      </c>
      <c r="H1186" s="4">
        <v>40</v>
      </c>
      <c r="I1186" s="4">
        <v>40</v>
      </c>
      <c r="J1186" s="4">
        <v>20</v>
      </c>
      <c r="K1186" s="4">
        <v>45</v>
      </c>
      <c r="L1186" s="4">
        <v>35</v>
      </c>
      <c r="M1186" s="4">
        <v>25</v>
      </c>
      <c r="N1186" s="4">
        <v>15</v>
      </c>
    </row>
    <row r="1187" spans="1:14">
      <c r="A1187" s="3">
        <v>812177</v>
      </c>
      <c r="B1187" s="3">
        <v>140967</v>
      </c>
      <c r="C1187" s="4">
        <v>25</v>
      </c>
      <c r="D1187" s="4">
        <v>25</v>
      </c>
      <c r="E1187" s="4">
        <v>0</v>
      </c>
      <c r="F1187" s="4">
        <v>17.5</v>
      </c>
      <c r="G1187" s="4">
        <v>35</v>
      </c>
      <c r="H1187" s="4">
        <v>0</v>
      </c>
      <c r="I1187" s="4">
        <v>0</v>
      </c>
      <c r="J1187" s="4">
        <v>0</v>
      </c>
      <c r="K1187" s="4">
        <v>15</v>
      </c>
      <c r="L1187" s="4">
        <v>0</v>
      </c>
      <c r="M1187" s="4">
        <v>51</v>
      </c>
      <c r="N1187" s="4">
        <v>131</v>
      </c>
    </row>
    <row r="1188" spans="1:14">
      <c r="A1188" s="3">
        <v>812178</v>
      </c>
      <c r="B1188" s="3">
        <v>179928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10</v>
      </c>
      <c r="K1188" s="4">
        <v>0</v>
      </c>
      <c r="L1188" s="4">
        <v>0</v>
      </c>
      <c r="M1188" s="4">
        <v>0</v>
      </c>
      <c r="N1188" s="4">
        <v>0</v>
      </c>
    </row>
    <row r="1189" spans="1:14">
      <c r="A1189" s="3">
        <v>812178</v>
      </c>
      <c r="B1189" s="3">
        <v>201280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50</v>
      </c>
      <c r="N1189" s="4">
        <v>104</v>
      </c>
    </row>
    <row r="1190" spans="1:14">
      <c r="A1190" s="3">
        <v>812195</v>
      </c>
      <c r="B1190" s="3">
        <v>141905</v>
      </c>
      <c r="C1190" s="4">
        <v>10</v>
      </c>
      <c r="D1190" s="4">
        <v>10</v>
      </c>
      <c r="E1190" s="4">
        <v>24.5</v>
      </c>
      <c r="F1190" s="4">
        <v>22</v>
      </c>
      <c r="G1190" s="4">
        <v>8</v>
      </c>
      <c r="H1190" s="4">
        <v>15.75</v>
      </c>
      <c r="I1190" s="4">
        <v>2.5</v>
      </c>
      <c r="J1190" s="4">
        <v>10</v>
      </c>
      <c r="K1190" s="4">
        <v>10</v>
      </c>
      <c r="L1190" s="4">
        <v>18.5</v>
      </c>
      <c r="M1190" s="4">
        <v>11.5</v>
      </c>
      <c r="N1190" s="4">
        <v>18</v>
      </c>
    </row>
    <row r="1191" spans="1:14">
      <c r="A1191" s="3">
        <v>812196</v>
      </c>
      <c r="B1191" s="3">
        <v>174445</v>
      </c>
      <c r="C1191" s="4">
        <v>0</v>
      </c>
      <c r="D1191" s="4">
        <v>15</v>
      </c>
      <c r="E1191" s="4">
        <v>20</v>
      </c>
      <c r="F1191" s="4">
        <v>42.5</v>
      </c>
      <c r="G1191" s="4">
        <v>20</v>
      </c>
      <c r="H1191" s="4">
        <v>19</v>
      </c>
      <c r="I1191" s="4">
        <v>27</v>
      </c>
      <c r="J1191" s="4">
        <v>15</v>
      </c>
      <c r="K1191" s="4">
        <v>30</v>
      </c>
      <c r="L1191" s="4">
        <v>0</v>
      </c>
      <c r="M1191" s="4">
        <v>10</v>
      </c>
      <c r="N1191" s="4">
        <v>15.25</v>
      </c>
    </row>
    <row r="1192" spans="1:14">
      <c r="A1192" s="3">
        <v>812218</v>
      </c>
      <c r="B1192" s="3">
        <v>119026</v>
      </c>
      <c r="C1192" s="4">
        <v>50</v>
      </c>
      <c r="D1192" s="4">
        <v>0</v>
      </c>
      <c r="E1192" s="4">
        <v>5</v>
      </c>
      <c r="F1192" s="4">
        <v>62.5</v>
      </c>
      <c r="G1192" s="4">
        <v>20</v>
      </c>
      <c r="H1192" s="4">
        <v>15</v>
      </c>
      <c r="I1192" s="4">
        <v>10</v>
      </c>
      <c r="J1192" s="4">
        <v>20</v>
      </c>
      <c r="K1192" s="4">
        <v>22.5</v>
      </c>
      <c r="L1192" s="4">
        <v>55</v>
      </c>
      <c r="M1192" s="4">
        <v>0</v>
      </c>
      <c r="N1192" s="4">
        <v>32.5</v>
      </c>
    </row>
    <row r="1193" spans="1:14">
      <c r="A1193" s="3">
        <v>812236</v>
      </c>
      <c r="B1193" s="3">
        <v>179486</v>
      </c>
      <c r="C1193" s="4">
        <v>20</v>
      </c>
      <c r="D1193" s="4">
        <v>40</v>
      </c>
      <c r="E1193" s="4">
        <v>25</v>
      </c>
      <c r="F1193" s="4">
        <v>20</v>
      </c>
      <c r="G1193" s="4">
        <v>30</v>
      </c>
      <c r="H1193" s="4">
        <v>45</v>
      </c>
      <c r="I1193" s="4">
        <v>0</v>
      </c>
      <c r="J1193" s="4">
        <v>0</v>
      </c>
      <c r="K1193" s="4">
        <v>30.2</v>
      </c>
      <c r="L1193" s="4">
        <v>10</v>
      </c>
      <c r="M1193" s="4">
        <v>10</v>
      </c>
      <c r="N1193" s="4">
        <v>6.75</v>
      </c>
    </row>
    <row r="1194" spans="1:14">
      <c r="A1194" s="3">
        <v>812237</v>
      </c>
      <c r="B1194" s="3">
        <v>174445</v>
      </c>
      <c r="C1194" s="4">
        <v>15.6</v>
      </c>
      <c r="D1194" s="4">
        <v>23.75</v>
      </c>
      <c r="E1194" s="4">
        <v>27.5</v>
      </c>
      <c r="F1194" s="4">
        <v>40</v>
      </c>
      <c r="G1194" s="4">
        <v>20.5</v>
      </c>
      <c r="H1194" s="4">
        <v>74.5</v>
      </c>
      <c r="I1194" s="4">
        <v>10</v>
      </c>
      <c r="J1194" s="4">
        <v>37.5</v>
      </c>
      <c r="K1194" s="4">
        <v>142.5</v>
      </c>
      <c r="L1194" s="4">
        <v>35</v>
      </c>
      <c r="M1194" s="4">
        <v>30.5</v>
      </c>
      <c r="N1194" s="4">
        <v>42.5</v>
      </c>
    </row>
    <row r="1195" spans="1:14">
      <c r="A1195" s="3">
        <v>812265</v>
      </c>
      <c r="B1195" s="3">
        <v>141115</v>
      </c>
      <c r="C1195" s="4">
        <v>0</v>
      </c>
      <c r="D1195" s="4">
        <v>0</v>
      </c>
      <c r="E1195" s="4">
        <v>0</v>
      </c>
      <c r="F1195" s="4">
        <v>10</v>
      </c>
      <c r="G1195" s="4">
        <v>35</v>
      </c>
      <c r="H1195" s="4">
        <v>0</v>
      </c>
      <c r="I1195" s="4">
        <v>0</v>
      </c>
      <c r="J1195" s="4">
        <v>0</v>
      </c>
      <c r="K1195" s="4">
        <v>0</v>
      </c>
      <c r="L1195" s="4">
        <v>193.55</v>
      </c>
      <c r="M1195" s="4">
        <v>139.25</v>
      </c>
      <c r="N1195" s="4">
        <v>171.75</v>
      </c>
    </row>
    <row r="1196" spans="1:14">
      <c r="A1196" s="3">
        <v>812266</v>
      </c>
      <c r="B1196" s="3">
        <v>140859</v>
      </c>
      <c r="C1196" s="4">
        <v>22</v>
      </c>
      <c r="D1196" s="4">
        <v>30</v>
      </c>
      <c r="E1196" s="4">
        <v>50</v>
      </c>
      <c r="F1196" s="4">
        <v>81</v>
      </c>
      <c r="G1196" s="4">
        <v>61</v>
      </c>
      <c r="H1196" s="4">
        <v>0</v>
      </c>
      <c r="I1196" s="4">
        <v>0</v>
      </c>
      <c r="J1196" s="4">
        <v>0</v>
      </c>
      <c r="K1196" s="4">
        <v>20</v>
      </c>
      <c r="L1196" s="4">
        <v>0</v>
      </c>
      <c r="M1196" s="4">
        <v>10</v>
      </c>
      <c r="N1196" s="4">
        <v>10</v>
      </c>
    </row>
    <row r="1197" spans="1:14">
      <c r="A1197" s="3">
        <v>812267</v>
      </c>
      <c r="B1197" s="3">
        <v>172084</v>
      </c>
      <c r="C1197" s="4">
        <v>135</v>
      </c>
      <c r="D1197" s="4">
        <v>108</v>
      </c>
      <c r="E1197" s="4">
        <v>117</v>
      </c>
      <c r="F1197" s="4">
        <v>132.5</v>
      </c>
      <c r="G1197" s="4">
        <v>65</v>
      </c>
      <c r="H1197" s="4">
        <v>106</v>
      </c>
      <c r="I1197" s="4">
        <v>60</v>
      </c>
      <c r="J1197" s="4">
        <v>50</v>
      </c>
      <c r="K1197" s="4">
        <v>132.5</v>
      </c>
      <c r="L1197" s="4">
        <v>145</v>
      </c>
      <c r="M1197" s="4">
        <v>88.5</v>
      </c>
      <c r="N1197" s="4">
        <v>102</v>
      </c>
    </row>
    <row r="1198" spans="1:14">
      <c r="A1198" s="3">
        <v>812267</v>
      </c>
      <c r="B1198" s="3">
        <v>203330</v>
      </c>
      <c r="C1198" s="4">
        <v>35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</row>
    <row r="1199" spans="1:14">
      <c r="A1199" s="3">
        <v>812282</v>
      </c>
      <c r="B1199" s="3">
        <v>174166</v>
      </c>
      <c r="C1199" s="4">
        <v>117.6</v>
      </c>
      <c r="D1199" s="4">
        <v>40</v>
      </c>
      <c r="E1199" s="4">
        <v>133.75</v>
      </c>
      <c r="F1199" s="4">
        <v>93.4</v>
      </c>
      <c r="G1199" s="4">
        <v>70.5</v>
      </c>
      <c r="H1199" s="4">
        <v>94.95</v>
      </c>
      <c r="I1199" s="4">
        <v>117</v>
      </c>
      <c r="J1199" s="4">
        <v>80</v>
      </c>
      <c r="K1199" s="4">
        <v>85</v>
      </c>
      <c r="L1199" s="4">
        <v>15</v>
      </c>
      <c r="M1199" s="4">
        <v>39.450000000000003</v>
      </c>
      <c r="N1199" s="4">
        <v>50</v>
      </c>
    </row>
    <row r="1200" spans="1:14">
      <c r="A1200" s="3">
        <v>812289</v>
      </c>
      <c r="B1200" s="3">
        <v>179560</v>
      </c>
      <c r="C1200" s="4">
        <v>73</v>
      </c>
      <c r="D1200" s="4">
        <v>30</v>
      </c>
      <c r="E1200" s="4">
        <v>25</v>
      </c>
      <c r="F1200" s="4">
        <v>60</v>
      </c>
      <c r="G1200" s="4">
        <v>62.5</v>
      </c>
      <c r="H1200" s="4">
        <v>72.5</v>
      </c>
      <c r="I1200" s="4">
        <v>63.5</v>
      </c>
      <c r="J1200" s="4">
        <v>35</v>
      </c>
      <c r="K1200" s="4">
        <v>108.5</v>
      </c>
      <c r="L1200" s="4">
        <v>78.5</v>
      </c>
      <c r="M1200" s="4">
        <v>112.5</v>
      </c>
      <c r="N1200" s="4">
        <v>186</v>
      </c>
    </row>
    <row r="1201" spans="1:14">
      <c r="A1201" s="3">
        <v>812291</v>
      </c>
      <c r="B1201" s="3">
        <v>149765</v>
      </c>
      <c r="C1201" s="4">
        <v>45</v>
      </c>
      <c r="D1201" s="4">
        <v>20</v>
      </c>
      <c r="E1201" s="4">
        <v>30</v>
      </c>
      <c r="F1201" s="4">
        <v>0</v>
      </c>
      <c r="G1201" s="4">
        <v>30</v>
      </c>
      <c r="H1201" s="4">
        <v>30</v>
      </c>
      <c r="I1201" s="4">
        <v>10</v>
      </c>
      <c r="J1201" s="4">
        <v>30</v>
      </c>
      <c r="K1201" s="4">
        <v>40</v>
      </c>
      <c r="L1201" s="4">
        <v>20</v>
      </c>
      <c r="M1201" s="4">
        <v>30</v>
      </c>
      <c r="N1201" s="4">
        <v>10</v>
      </c>
    </row>
    <row r="1202" spans="1:14">
      <c r="A1202" s="3">
        <v>812299</v>
      </c>
      <c r="B1202" s="3">
        <v>143531</v>
      </c>
      <c r="C1202" s="4">
        <v>20</v>
      </c>
      <c r="D1202" s="4">
        <v>0</v>
      </c>
      <c r="E1202" s="4">
        <v>49</v>
      </c>
      <c r="F1202" s="4">
        <v>21</v>
      </c>
      <c r="G1202" s="4">
        <v>26.5</v>
      </c>
      <c r="H1202" s="4">
        <v>0</v>
      </c>
      <c r="I1202" s="4">
        <v>0</v>
      </c>
      <c r="J1202" s="4">
        <v>20</v>
      </c>
      <c r="K1202" s="4">
        <v>30</v>
      </c>
      <c r="L1202" s="4">
        <v>0</v>
      </c>
      <c r="M1202" s="4">
        <v>54.5</v>
      </c>
      <c r="N1202" s="4">
        <v>0</v>
      </c>
    </row>
    <row r="1203" spans="1:14">
      <c r="A1203" s="3">
        <v>812300</v>
      </c>
      <c r="B1203" s="3">
        <v>149765</v>
      </c>
      <c r="C1203" s="4">
        <v>60</v>
      </c>
      <c r="D1203" s="4">
        <v>20</v>
      </c>
      <c r="E1203" s="4">
        <v>50</v>
      </c>
      <c r="F1203" s="4">
        <v>0</v>
      </c>
      <c r="G1203" s="4">
        <v>60</v>
      </c>
      <c r="H1203" s="4">
        <v>40</v>
      </c>
      <c r="I1203" s="4">
        <v>98</v>
      </c>
      <c r="J1203" s="4">
        <v>20</v>
      </c>
      <c r="K1203" s="4">
        <v>50</v>
      </c>
      <c r="L1203" s="4">
        <v>48</v>
      </c>
      <c r="M1203" s="4">
        <v>30</v>
      </c>
      <c r="N1203" s="4">
        <v>125</v>
      </c>
    </row>
    <row r="1204" spans="1:14">
      <c r="A1204" s="3">
        <v>812301</v>
      </c>
      <c r="B1204" s="3">
        <v>119208</v>
      </c>
      <c r="C1204" s="4">
        <v>102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</row>
    <row r="1205" spans="1:14">
      <c r="A1205" s="3">
        <v>812317</v>
      </c>
      <c r="B1205" s="3">
        <v>174756</v>
      </c>
      <c r="C1205" s="4">
        <v>10</v>
      </c>
      <c r="D1205" s="4">
        <v>25</v>
      </c>
      <c r="E1205" s="4">
        <v>45</v>
      </c>
      <c r="F1205" s="4">
        <v>73.5</v>
      </c>
      <c r="G1205" s="4">
        <v>30</v>
      </c>
      <c r="H1205" s="4">
        <v>27</v>
      </c>
      <c r="I1205" s="4">
        <v>37.5</v>
      </c>
      <c r="J1205" s="4">
        <v>40</v>
      </c>
      <c r="K1205" s="4">
        <v>52</v>
      </c>
      <c r="L1205" s="4">
        <v>77.5</v>
      </c>
      <c r="M1205" s="4">
        <v>72</v>
      </c>
      <c r="N1205" s="4">
        <v>54.25</v>
      </c>
    </row>
    <row r="1206" spans="1:14">
      <c r="A1206" s="3">
        <v>812320</v>
      </c>
      <c r="B1206" s="3">
        <v>172084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50</v>
      </c>
      <c r="L1206" s="4">
        <v>85</v>
      </c>
      <c r="M1206" s="4">
        <v>94</v>
      </c>
      <c r="N1206" s="4">
        <v>45</v>
      </c>
    </row>
    <row r="1207" spans="1:14">
      <c r="A1207" s="3">
        <v>812333</v>
      </c>
      <c r="B1207" s="3">
        <v>171662</v>
      </c>
      <c r="C1207" s="4">
        <v>0</v>
      </c>
      <c r="D1207" s="4">
        <v>0</v>
      </c>
      <c r="E1207" s="4">
        <v>5</v>
      </c>
      <c r="F1207" s="4">
        <v>7.5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 spans="1:14">
      <c r="A1208" s="3">
        <v>812336</v>
      </c>
      <c r="B1208" s="3">
        <v>178109</v>
      </c>
      <c r="C1208" s="4">
        <v>52.5</v>
      </c>
      <c r="D1208" s="4">
        <v>75.5</v>
      </c>
      <c r="E1208" s="4">
        <v>77.5</v>
      </c>
      <c r="F1208" s="4">
        <v>32.5</v>
      </c>
      <c r="G1208" s="4">
        <v>55</v>
      </c>
      <c r="H1208" s="4">
        <v>56.5</v>
      </c>
      <c r="I1208" s="4">
        <v>20</v>
      </c>
      <c r="J1208" s="4">
        <v>41</v>
      </c>
      <c r="K1208" s="4">
        <v>10</v>
      </c>
      <c r="L1208" s="4">
        <v>55</v>
      </c>
      <c r="M1208" s="4">
        <v>41.5</v>
      </c>
      <c r="N1208" s="4">
        <v>0</v>
      </c>
    </row>
    <row r="1209" spans="1:14">
      <c r="A1209" s="3">
        <v>812344</v>
      </c>
      <c r="B1209" s="3">
        <v>202635</v>
      </c>
      <c r="C1209" s="4">
        <v>0</v>
      </c>
      <c r="D1209" s="4">
        <v>0</v>
      </c>
      <c r="E1209" s="4">
        <v>0</v>
      </c>
      <c r="F1209" s="4">
        <v>28.5</v>
      </c>
      <c r="G1209" s="4">
        <v>20</v>
      </c>
      <c r="H1209" s="4">
        <v>0</v>
      </c>
      <c r="I1209" s="4">
        <v>6</v>
      </c>
      <c r="J1209" s="4">
        <v>30</v>
      </c>
      <c r="K1209" s="4">
        <v>20</v>
      </c>
      <c r="L1209" s="4">
        <v>6</v>
      </c>
      <c r="M1209" s="4">
        <v>0</v>
      </c>
      <c r="N1209" s="4">
        <v>21</v>
      </c>
    </row>
    <row r="1210" spans="1:14">
      <c r="A1210" s="3">
        <v>812346</v>
      </c>
      <c r="B1210" s="3">
        <v>173100</v>
      </c>
      <c r="C1210" s="4">
        <v>50</v>
      </c>
      <c r="D1210" s="4">
        <v>0</v>
      </c>
      <c r="E1210" s="4">
        <v>0</v>
      </c>
      <c r="F1210" s="4">
        <v>55</v>
      </c>
      <c r="G1210" s="4">
        <v>0</v>
      </c>
      <c r="H1210" s="4">
        <v>0</v>
      </c>
      <c r="I1210" s="4">
        <v>35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</row>
    <row r="1211" spans="1:14">
      <c r="A1211" s="3">
        <v>812360</v>
      </c>
      <c r="B1211" s="3">
        <v>173224</v>
      </c>
      <c r="C1211" s="4">
        <v>20</v>
      </c>
      <c r="D1211" s="4">
        <v>45</v>
      </c>
      <c r="E1211" s="4">
        <v>60</v>
      </c>
      <c r="F1211" s="4">
        <v>40</v>
      </c>
      <c r="G1211" s="4">
        <v>27.5</v>
      </c>
      <c r="H1211" s="4">
        <v>0</v>
      </c>
      <c r="I1211" s="4">
        <v>40</v>
      </c>
      <c r="J1211" s="4">
        <v>15</v>
      </c>
      <c r="K1211" s="4">
        <v>25</v>
      </c>
      <c r="L1211" s="4">
        <v>30</v>
      </c>
      <c r="M1211" s="4">
        <v>10</v>
      </c>
      <c r="N1211" s="4">
        <v>7.5</v>
      </c>
    </row>
    <row r="1212" spans="1:14">
      <c r="A1212" s="3">
        <v>812362</v>
      </c>
      <c r="B1212" s="3">
        <v>173224</v>
      </c>
      <c r="C1212" s="4">
        <v>35</v>
      </c>
      <c r="D1212" s="4">
        <v>30</v>
      </c>
      <c r="E1212" s="4">
        <v>40</v>
      </c>
      <c r="F1212" s="4">
        <v>26</v>
      </c>
      <c r="G1212" s="4">
        <v>37.5</v>
      </c>
      <c r="H1212" s="4">
        <v>20</v>
      </c>
      <c r="I1212" s="4">
        <v>30</v>
      </c>
      <c r="J1212" s="4">
        <v>30</v>
      </c>
      <c r="K1212" s="4">
        <v>12.5</v>
      </c>
      <c r="L1212" s="4">
        <v>12.5</v>
      </c>
      <c r="M1212" s="4">
        <v>30</v>
      </c>
      <c r="N1212" s="4">
        <v>31</v>
      </c>
    </row>
    <row r="1213" spans="1:14">
      <c r="A1213" s="3">
        <v>812372</v>
      </c>
      <c r="B1213" s="3">
        <v>202849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32</v>
      </c>
      <c r="J1213" s="4">
        <v>61</v>
      </c>
      <c r="K1213" s="4">
        <v>32</v>
      </c>
      <c r="L1213" s="4">
        <v>13</v>
      </c>
      <c r="M1213" s="4">
        <v>32</v>
      </c>
      <c r="N1213" s="4">
        <v>82</v>
      </c>
    </row>
    <row r="1214" spans="1:14">
      <c r="A1214" s="3">
        <v>812382</v>
      </c>
      <c r="B1214" s="3">
        <v>179893</v>
      </c>
      <c r="C1214" s="4">
        <v>81</v>
      </c>
      <c r="D1214" s="4">
        <v>112</v>
      </c>
      <c r="E1214" s="4">
        <v>98.5</v>
      </c>
      <c r="F1214" s="4">
        <v>93.5</v>
      </c>
      <c r="G1214" s="4">
        <v>51.5</v>
      </c>
      <c r="H1214" s="4">
        <v>59</v>
      </c>
      <c r="I1214" s="4">
        <v>15</v>
      </c>
      <c r="J1214" s="4">
        <v>90</v>
      </c>
      <c r="K1214" s="4">
        <v>119</v>
      </c>
      <c r="L1214" s="4">
        <v>25</v>
      </c>
      <c r="M1214" s="4">
        <v>48</v>
      </c>
      <c r="N1214" s="4">
        <v>115</v>
      </c>
    </row>
    <row r="1215" spans="1:14">
      <c r="A1215" s="3">
        <v>812384</v>
      </c>
      <c r="B1215" s="3">
        <v>178237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31.5</v>
      </c>
    </row>
    <row r="1216" spans="1:14">
      <c r="A1216" s="3">
        <v>812384</v>
      </c>
      <c r="B1216" s="3">
        <v>178298</v>
      </c>
      <c r="C1216" s="4">
        <v>206</v>
      </c>
      <c r="D1216" s="4">
        <v>238.5</v>
      </c>
      <c r="E1216" s="4">
        <v>201.5</v>
      </c>
      <c r="F1216" s="4">
        <v>235</v>
      </c>
      <c r="G1216" s="4">
        <v>147</v>
      </c>
      <c r="H1216" s="4">
        <v>247.25</v>
      </c>
      <c r="I1216" s="4">
        <v>190</v>
      </c>
      <c r="J1216" s="4">
        <v>184</v>
      </c>
      <c r="K1216" s="4">
        <v>204.5</v>
      </c>
      <c r="L1216" s="4">
        <v>224</v>
      </c>
      <c r="M1216" s="4">
        <v>120</v>
      </c>
      <c r="N1216" s="4">
        <v>225</v>
      </c>
    </row>
    <row r="1217" spans="1:14">
      <c r="A1217" s="3">
        <v>812389</v>
      </c>
      <c r="B1217" s="3">
        <v>176693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20</v>
      </c>
      <c r="N1217" s="4">
        <v>0</v>
      </c>
    </row>
    <row r="1218" spans="1:14">
      <c r="A1218" s="3">
        <v>812389</v>
      </c>
      <c r="B1218" s="3">
        <v>177787</v>
      </c>
      <c r="C1218" s="4">
        <v>0</v>
      </c>
      <c r="D1218" s="4">
        <v>0</v>
      </c>
      <c r="E1218" s="4">
        <v>12</v>
      </c>
      <c r="F1218" s="4">
        <v>15</v>
      </c>
      <c r="G1218" s="4">
        <v>13</v>
      </c>
      <c r="H1218" s="4">
        <v>15</v>
      </c>
      <c r="I1218" s="4">
        <v>32</v>
      </c>
      <c r="J1218" s="4">
        <v>28</v>
      </c>
      <c r="K1218" s="4">
        <v>73</v>
      </c>
      <c r="L1218" s="4">
        <v>60</v>
      </c>
      <c r="M1218" s="4">
        <v>50</v>
      </c>
      <c r="N1218" s="4">
        <v>80</v>
      </c>
    </row>
    <row r="1219" spans="1:14">
      <c r="A1219" s="3">
        <v>812389</v>
      </c>
      <c r="B1219" s="3">
        <v>208055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15</v>
      </c>
      <c r="M1219" s="4">
        <v>0</v>
      </c>
      <c r="N1219" s="4">
        <v>0</v>
      </c>
    </row>
    <row r="1220" spans="1:14">
      <c r="A1220" s="3">
        <v>812391</v>
      </c>
      <c r="B1220" s="3">
        <v>149765</v>
      </c>
      <c r="C1220" s="4">
        <v>45</v>
      </c>
      <c r="D1220" s="4">
        <v>5</v>
      </c>
      <c r="E1220" s="4">
        <v>12</v>
      </c>
      <c r="F1220" s="4">
        <v>0</v>
      </c>
      <c r="G1220" s="4">
        <v>10</v>
      </c>
      <c r="H1220" s="4">
        <v>0</v>
      </c>
      <c r="I1220" s="4">
        <v>2.0499999999999998</v>
      </c>
      <c r="J1220" s="4">
        <v>10</v>
      </c>
      <c r="K1220" s="4">
        <v>0</v>
      </c>
      <c r="L1220" s="4">
        <v>0</v>
      </c>
      <c r="M1220" s="4">
        <v>20</v>
      </c>
      <c r="N1220" s="4">
        <v>10</v>
      </c>
    </row>
    <row r="1221" spans="1:14">
      <c r="A1221" s="3">
        <v>812392</v>
      </c>
      <c r="B1221" s="3">
        <v>178237</v>
      </c>
      <c r="C1221" s="4">
        <v>12</v>
      </c>
      <c r="D1221" s="4">
        <v>15</v>
      </c>
      <c r="E1221" s="4">
        <v>29</v>
      </c>
      <c r="F1221" s="4">
        <v>35</v>
      </c>
      <c r="G1221" s="4">
        <v>20</v>
      </c>
      <c r="H1221" s="4">
        <v>34</v>
      </c>
      <c r="I1221" s="4">
        <v>0</v>
      </c>
      <c r="J1221" s="4">
        <v>10</v>
      </c>
      <c r="K1221" s="4">
        <v>42</v>
      </c>
      <c r="L1221" s="4">
        <v>0</v>
      </c>
      <c r="M1221" s="4">
        <v>12.5</v>
      </c>
      <c r="N1221" s="4">
        <v>73</v>
      </c>
    </row>
    <row r="1222" spans="1:14">
      <c r="A1222" s="3">
        <v>812393</v>
      </c>
      <c r="B1222" s="3">
        <v>176693</v>
      </c>
      <c r="C1222" s="4">
        <v>0</v>
      </c>
      <c r="D1222" s="4">
        <v>0</v>
      </c>
      <c r="E1222" s="4">
        <v>0</v>
      </c>
      <c r="F1222" s="4">
        <v>10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</row>
    <row r="1223" spans="1:14">
      <c r="A1223" s="3">
        <v>812395</v>
      </c>
      <c r="B1223" s="3">
        <v>174166</v>
      </c>
      <c r="C1223" s="4">
        <v>0</v>
      </c>
      <c r="D1223" s="4">
        <v>0</v>
      </c>
      <c r="E1223" s="4">
        <v>15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10</v>
      </c>
      <c r="M1223" s="4">
        <v>5</v>
      </c>
      <c r="N1223" s="4">
        <v>25</v>
      </c>
    </row>
    <row r="1224" spans="1:14">
      <c r="A1224" s="3">
        <v>812396</v>
      </c>
      <c r="B1224" s="3">
        <v>208156</v>
      </c>
      <c r="C1224" s="4">
        <v>0</v>
      </c>
      <c r="D1224" s="4">
        <v>12</v>
      </c>
      <c r="E1224" s="4">
        <v>0</v>
      </c>
      <c r="F1224" s="4">
        <v>2</v>
      </c>
      <c r="G1224" s="4">
        <v>0</v>
      </c>
      <c r="H1224" s="4">
        <v>0</v>
      </c>
      <c r="I1224" s="4">
        <v>0</v>
      </c>
      <c r="J1224" s="4">
        <v>0</v>
      </c>
      <c r="K1224" s="4">
        <v>10</v>
      </c>
      <c r="L1224" s="4">
        <v>13</v>
      </c>
      <c r="M1224" s="4">
        <v>0</v>
      </c>
      <c r="N1224" s="4">
        <v>7.5</v>
      </c>
    </row>
    <row r="1225" spans="1:14">
      <c r="A1225" s="3">
        <v>812404</v>
      </c>
      <c r="B1225" s="3">
        <v>179894</v>
      </c>
      <c r="C1225" s="4">
        <v>42</v>
      </c>
      <c r="D1225" s="4">
        <v>72</v>
      </c>
      <c r="E1225" s="4">
        <v>62.5</v>
      </c>
      <c r="F1225" s="4">
        <v>50</v>
      </c>
      <c r="G1225" s="4">
        <v>50</v>
      </c>
      <c r="H1225" s="4">
        <v>60</v>
      </c>
      <c r="I1225" s="4">
        <v>33.5</v>
      </c>
      <c r="J1225" s="4">
        <v>25</v>
      </c>
      <c r="K1225" s="4">
        <v>37.5</v>
      </c>
      <c r="L1225" s="4">
        <v>20</v>
      </c>
      <c r="M1225" s="4">
        <v>5</v>
      </c>
      <c r="N1225" s="4">
        <v>27.5</v>
      </c>
    </row>
    <row r="1226" spans="1:14">
      <c r="A1226" s="3">
        <v>812407</v>
      </c>
      <c r="B1226" s="3">
        <v>178237</v>
      </c>
      <c r="C1226" s="4">
        <v>0</v>
      </c>
      <c r="D1226" s="4">
        <v>0</v>
      </c>
      <c r="E1226" s="4">
        <v>10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</row>
    <row r="1227" spans="1:14">
      <c r="A1227" s="3">
        <v>812409</v>
      </c>
      <c r="B1227" s="3">
        <v>202225</v>
      </c>
      <c r="C1227" s="4">
        <v>72.5</v>
      </c>
      <c r="D1227" s="4">
        <v>52</v>
      </c>
      <c r="E1227" s="4">
        <v>13.5</v>
      </c>
      <c r="F1227" s="4">
        <v>35</v>
      </c>
      <c r="G1227" s="4">
        <v>15</v>
      </c>
      <c r="H1227" s="4">
        <v>15</v>
      </c>
      <c r="I1227" s="4">
        <v>0</v>
      </c>
      <c r="J1227" s="4">
        <v>25</v>
      </c>
      <c r="K1227" s="4">
        <v>25</v>
      </c>
      <c r="L1227" s="4">
        <v>25</v>
      </c>
      <c r="M1227" s="4">
        <v>45</v>
      </c>
      <c r="N1227" s="4">
        <v>97</v>
      </c>
    </row>
    <row r="1228" spans="1:14">
      <c r="A1228" s="3">
        <v>812425</v>
      </c>
      <c r="B1228" s="3">
        <v>146909</v>
      </c>
      <c r="C1228" s="4">
        <v>129.44999999999999</v>
      </c>
      <c r="D1228" s="4">
        <v>35</v>
      </c>
      <c r="E1228" s="4">
        <v>170.5</v>
      </c>
      <c r="F1228" s="4">
        <v>186</v>
      </c>
      <c r="G1228" s="4">
        <v>190</v>
      </c>
      <c r="H1228" s="4">
        <v>110.5</v>
      </c>
      <c r="I1228" s="4">
        <v>51.25</v>
      </c>
      <c r="J1228" s="4">
        <v>92.5</v>
      </c>
      <c r="K1228" s="4">
        <v>116.5</v>
      </c>
      <c r="L1228" s="4">
        <v>72.5</v>
      </c>
      <c r="M1228" s="4">
        <v>117.25</v>
      </c>
      <c r="N1228" s="4">
        <v>158</v>
      </c>
    </row>
    <row r="1229" spans="1:14">
      <c r="A1229" s="3">
        <v>812426</v>
      </c>
      <c r="B1229" s="3">
        <v>178109</v>
      </c>
      <c r="C1229" s="4">
        <v>47.5</v>
      </c>
      <c r="D1229" s="4">
        <v>0</v>
      </c>
      <c r="E1229" s="4">
        <v>35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50</v>
      </c>
    </row>
    <row r="1230" spans="1:14">
      <c r="A1230" s="3">
        <v>812428</v>
      </c>
      <c r="B1230" s="3">
        <v>176279</v>
      </c>
      <c r="C1230" s="4">
        <v>30.25</v>
      </c>
      <c r="D1230" s="4">
        <v>14.3</v>
      </c>
      <c r="E1230" s="4">
        <v>32.450000000000003</v>
      </c>
      <c r="F1230" s="4">
        <v>17.5</v>
      </c>
      <c r="G1230" s="4">
        <v>20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</row>
    <row r="1231" spans="1:14">
      <c r="A1231" s="3">
        <v>812433</v>
      </c>
      <c r="B1231" s="3">
        <v>208156</v>
      </c>
      <c r="C1231" s="4">
        <v>0</v>
      </c>
      <c r="D1231" s="4">
        <v>0</v>
      </c>
      <c r="E1231" s="4">
        <v>0</v>
      </c>
      <c r="F1231" s="4">
        <v>25.5</v>
      </c>
      <c r="G1231" s="4">
        <v>0</v>
      </c>
      <c r="H1231" s="4">
        <v>0</v>
      </c>
      <c r="I1231" s="4">
        <v>0</v>
      </c>
      <c r="J1231" s="4">
        <v>15.5</v>
      </c>
      <c r="K1231" s="4">
        <v>0</v>
      </c>
      <c r="L1231" s="4">
        <v>24</v>
      </c>
      <c r="M1231" s="4">
        <v>10</v>
      </c>
      <c r="N1231" s="4">
        <v>50</v>
      </c>
    </row>
    <row r="1232" spans="1:14">
      <c r="A1232" s="3">
        <v>812450</v>
      </c>
      <c r="B1232" s="3">
        <v>140851</v>
      </c>
      <c r="C1232" s="4">
        <v>45</v>
      </c>
      <c r="D1232" s="4">
        <v>0</v>
      </c>
      <c r="E1232" s="4">
        <v>45</v>
      </c>
      <c r="F1232" s="4">
        <v>62.5</v>
      </c>
      <c r="G1232" s="4">
        <v>10</v>
      </c>
      <c r="H1232" s="4">
        <v>40</v>
      </c>
      <c r="I1232" s="4">
        <v>25</v>
      </c>
      <c r="J1232" s="4">
        <v>10</v>
      </c>
      <c r="K1232" s="4">
        <v>25</v>
      </c>
      <c r="L1232" s="4">
        <v>40</v>
      </c>
      <c r="M1232" s="4">
        <v>40</v>
      </c>
      <c r="N1232" s="4">
        <v>50</v>
      </c>
    </row>
    <row r="1233" spans="1:14">
      <c r="A1233" s="3">
        <v>812451</v>
      </c>
      <c r="B1233" s="3">
        <v>140858</v>
      </c>
      <c r="C1233" s="4">
        <v>20</v>
      </c>
      <c r="D1233" s="4">
        <v>10</v>
      </c>
      <c r="E1233" s="4">
        <v>45</v>
      </c>
      <c r="F1233" s="4">
        <v>50</v>
      </c>
      <c r="G1233" s="4">
        <v>45</v>
      </c>
      <c r="H1233" s="4">
        <v>38.5</v>
      </c>
      <c r="I1233" s="4">
        <v>45</v>
      </c>
      <c r="J1233" s="4">
        <v>40</v>
      </c>
      <c r="K1233" s="4">
        <v>20</v>
      </c>
      <c r="L1233" s="4">
        <v>0</v>
      </c>
      <c r="M1233" s="4">
        <v>0</v>
      </c>
      <c r="N1233" s="4">
        <v>30</v>
      </c>
    </row>
    <row r="1234" spans="1:14">
      <c r="A1234" s="3">
        <v>812461</v>
      </c>
      <c r="B1234" s="3">
        <v>179893</v>
      </c>
      <c r="C1234" s="4">
        <v>0</v>
      </c>
      <c r="D1234" s="4">
        <v>10</v>
      </c>
      <c r="E1234" s="4">
        <v>10</v>
      </c>
      <c r="F1234" s="4">
        <v>46</v>
      </c>
      <c r="G1234" s="4">
        <v>20</v>
      </c>
      <c r="H1234" s="4">
        <v>15</v>
      </c>
      <c r="I1234" s="4">
        <v>15</v>
      </c>
      <c r="J1234" s="4">
        <v>20</v>
      </c>
      <c r="K1234" s="4">
        <v>49</v>
      </c>
      <c r="L1234" s="4">
        <v>0</v>
      </c>
      <c r="M1234" s="4">
        <v>30</v>
      </c>
      <c r="N1234" s="4">
        <v>30</v>
      </c>
    </row>
    <row r="1235" spans="1:14">
      <c r="A1235" s="3">
        <v>812469</v>
      </c>
      <c r="B1235" s="3">
        <v>201065</v>
      </c>
      <c r="C1235" s="4">
        <v>20</v>
      </c>
      <c r="D1235" s="4">
        <v>39.5</v>
      </c>
      <c r="E1235" s="4">
        <v>60</v>
      </c>
      <c r="F1235" s="4">
        <v>37.5</v>
      </c>
      <c r="G1235" s="4">
        <v>43</v>
      </c>
      <c r="H1235" s="4">
        <v>37</v>
      </c>
      <c r="I1235" s="4">
        <v>0</v>
      </c>
      <c r="J1235" s="4">
        <v>0</v>
      </c>
      <c r="K1235" s="4">
        <v>0</v>
      </c>
      <c r="L1235" s="4">
        <v>0</v>
      </c>
      <c r="M1235" s="4">
        <v>10</v>
      </c>
      <c r="N1235" s="4">
        <v>0</v>
      </c>
    </row>
    <row r="1236" spans="1:14">
      <c r="A1236" s="3">
        <v>812472</v>
      </c>
      <c r="B1236" s="3">
        <v>170115</v>
      </c>
      <c r="C1236" s="4">
        <v>0</v>
      </c>
      <c r="D1236" s="4">
        <v>0</v>
      </c>
      <c r="E1236" s="4">
        <v>0</v>
      </c>
      <c r="F1236" s="4">
        <v>0</v>
      </c>
      <c r="G1236" s="4">
        <v>20</v>
      </c>
      <c r="H1236" s="4">
        <v>0</v>
      </c>
      <c r="I1236" s="4">
        <v>20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</row>
    <row r="1237" spans="1:14">
      <c r="A1237" s="3">
        <v>812474</v>
      </c>
      <c r="B1237" s="3">
        <v>178234</v>
      </c>
      <c r="C1237" s="4">
        <v>35</v>
      </c>
      <c r="D1237" s="4">
        <v>30</v>
      </c>
      <c r="E1237" s="4">
        <v>93</v>
      </c>
      <c r="F1237" s="4">
        <v>100.5</v>
      </c>
      <c r="G1237" s="4">
        <v>65</v>
      </c>
      <c r="H1237" s="4">
        <v>48.5</v>
      </c>
      <c r="I1237" s="4">
        <v>54</v>
      </c>
      <c r="J1237" s="4">
        <v>31</v>
      </c>
      <c r="K1237" s="4">
        <v>0</v>
      </c>
      <c r="L1237" s="4">
        <v>0</v>
      </c>
      <c r="M1237" s="4">
        <v>16</v>
      </c>
      <c r="N1237" s="4">
        <v>13</v>
      </c>
    </row>
    <row r="1238" spans="1:14">
      <c r="A1238" s="3">
        <v>812483</v>
      </c>
      <c r="B1238" s="3">
        <v>174166</v>
      </c>
      <c r="C1238" s="4">
        <v>0</v>
      </c>
      <c r="D1238" s="4">
        <v>10</v>
      </c>
      <c r="E1238" s="4">
        <v>0</v>
      </c>
      <c r="F1238" s="4">
        <v>25</v>
      </c>
      <c r="G1238" s="4">
        <v>30</v>
      </c>
      <c r="H1238" s="4">
        <v>20</v>
      </c>
      <c r="I1238" s="4">
        <v>20</v>
      </c>
      <c r="J1238" s="4">
        <v>20</v>
      </c>
      <c r="K1238" s="4">
        <v>0</v>
      </c>
      <c r="L1238" s="4">
        <v>0</v>
      </c>
      <c r="M1238" s="4">
        <v>15</v>
      </c>
      <c r="N1238" s="4">
        <v>40.700000000000003</v>
      </c>
    </row>
    <row r="1239" spans="1:14">
      <c r="A1239" s="3">
        <v>812505</v>
      </c>
      <c r="B1239" s="3">
        <v>146861</v>
      </c>
      <c r="C1239" s="4">
        <v>70</v>
      </c>
      <c r="D1239" s="4">
        <v>75</v>
      </c>
      <c r="E1239" s="4">
        <v>110</v>
      </c>
      <c r="F1239" s="4">
        <v>80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</row>
    <row r="1240" spans="1:14">
      <c r="A1240" s="3">
        <v>812507</v>
      </c>
      <c r="B1240" s="3">
        <v>144447</v>
      </c>
      <c r="C1240" s="4">
        <v>0</v>
      </c>
      <c r="D1240" s="4">
        <v>0</v>
      </c>
      <c r="E1240" s="4">
        <v>10</v>
      </c>
      <c r="F1240" s="4">
        <v>15</v>
      </c>
      <c r="G1240" s="4">
        <v>20</v>
      </c>
      <c r="H1240" s="4">
        <v>0</v>
      </c>
      <c r="I1240" s="4">
        <v>0</v>
      </c>
      <c r="J1240" s="4">
        <v>10</v>
      </c>
      <c r="K1240" s="4">
        <v>10</v>
      </c>
      <c r="L1240" s="4">
        <v>0</v>
      </c>
      <c r="M1240" s="4">
        <v>5</v>
      </c>
      <c r="N1240" s="4">
        <v>40</v>
      </c>
    </row>
    <row r="1241" spans="1:14">
      <c r="A1241" s="3">
        <v>812535</v>
      </c>
      <c r="B1241" s="3">
        <v>149885</v>
      </c>
      <c r="C1241" s="4">
        <v>20</v>
      </c>
      <c r="D1241" s="4">
        <v>43</v>
      </c>
      <c r="E1241" s="4">
        <v>47</v>
      </c>
      <c r="F1241" s="4">
        <v>40</v>
      </c>
      <c r="G1241" s="4">
        <v>50.5</v>
      </c>
      <c r="H1241" s="4">
        <v>20</v>
      </c>
      <c r="I1241" s="4">
        <v>40</v>
      </c>
      <c r="J1241" s="4">
        <v>65</v>
      </c>
      <c r="K1241" s="4">
        <v>27.5</v>
      </c>
      <c r="L1241" s="4">
        <v>30</v>
      </c>
      <c r="M1241" s="4">
        <v>7.5</v>
      </c>
      <c r="N1241" s="4">
        <v>32.5</v>
      </c>
    </row>
    <row r="1242" spans="1:14">
      <c r="A1242" s="3">
        <v>812536</v>
      </c>
      <c r="B1242" s="3">
        <v>119212</v>
      </c>
      <c r="C1242" s="4">
        <v>133.55000000000001</v>
      </c>
      <c r="D1242" s="4">
        <v>149</v>
      </c>
      <c r="E1242" s="4">
        <v>137</v>
      </c>
      <c r="F1242" s="4">
        <v>135</v>
      </c>
      <c r="G1242" s="4">
        <v>50</v>
      </c>
      <c r="H1242" s="4">
        <v>131.5</v>
      </c>
      <c r="I1242" s="4">
        <v>86</v>
      </c>
      <c r="J1242" s="4">
        <v>104</v>
      </c>
      <c r="K1242" s="4">
        <v>121.25</v>
      </c>
      <c r="L1242" s="4">
        <v>35</v>
      </c>
      <c r="M1242" s="4">
        <v>52.5</v>
      </c>
      <c r="N1242" s="4">
        <v>65</v>
      </c>
    </row>
    <row r="1243" spans="1:14">
      <c r="A1243" s="3">
        <v>812537</v>
      </c>
      <c r="B1243" s="3">
        <v>144343</v>
      </c>
      <c r="C1243" s="4">
        <v>0</v>
      </c>
      <c r="D1243" s="4">
        <v>7.5</v>
      </c>
      <c r="E1243" s="4">
        <v>20</v>
      </c>
      <c r="F1243" s="4">
        <v>7.5</v>
      </c>
      <c r="G1243" s="4">
        <v>24</v>
      </c>
      <c r="H1243" s="4">
        <v>15</v>
      </c>
      <c r="I1243" s="4">
        <v>30</v>
      </c>
      <c r="J1243" s="4">
        <v>15</v>
      </c>
      <c r="K1243" s="4">
        <v>7.5</v>
      </c>
      <c r="L1243" s="4">
        <v>15</v>
      </c>
      <c r="M1243" s="4">
        <v>0</v>
      </c>
      <c r="N1243" s="4">
        <v>0</v>
      </c>
    </row>
    <row r="1244" spans="1:14">
      <c r="A1244" s="3">
        <v>812545</v>
      </c>
      <c r="B1244" s="3">
        <v>170392</v>
      </c>
      <c r="C1244" s="4">
        <v>10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</row>
    <row r="1245" spans="1:14">
      <c r="A1245" s="3">
        <v>812545</v>
      </c>
      <c r="B1245" s="3">
        <v>177727</v>
      </c>
      <c r="C1245" s="4">
        <v>43</v>
      </c>
      <c r="D1245" s="4">
        <v>40</v>
      </c>
      <c r="E1245" s="4">
        <v>10</v>
      </c>
      <c r="F1245" s="4">
        <v>80</v>
      </c>
      <c r="G1245" s="4">
        <v>121</v>
      </c>
      <c r="H1245" s="4">
        <v>76.5</v>
      </c>
      <c r="I1245" s="4">
        <v>68.5</v>
      </c>
      <c r="J1245" s="4">
        <v>8</v>
      </c>
      <c r="K1245" s="4">
        <v>36</v>
      </c>
      <c r="L1245" s="4">
        <v>77</v>
      </c>
      <c r="M1245" s="4">
        <v>69</v>
      </c>
      <c r="N1245" s="4">
        <v>85</v>
      </c>
    </row>
    <row r="1246" spans="1:14">
      <c r="A1246" s="3">
        <v>812545</v>
      </c>
      <c r="B1246" s="3">
        <v>204375</v>
      </c>
      <c r="C1246" s="4">
        <v>0</v>
      </c>
      <c r="D1246" s="4">
        <v>4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</row>
    <row r="1247" spans="1:14">
      <c r="A1247" s="3">
        <v>812546</v>
      </c>
      <c r="B1247" s="3">
        <v>176388</v>
      </c>
      <c r="C1247" s="4">
        <v>25</v>
      </c>
      <c r="D1247" s="4">
        <v>5</v>
      </c>
      <c r="E1247" s="4">
        <v>15</v>
      </c>
      <c r="F1247" s="4">
        <v>15</v>
      </c>
      <c r="G1247" s="4">
        <v>20</v>
      </c>
      <c r="H1247" s="4">
        <v>22.5</v>
      </c>
      <c r="I1247" s="4">
        <v>15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</row>
    <row r="1248" spans="1:14">
      <c r="A1248" s="3">
        <v>812548</v>
      </c>
      <c r="B1248" s="3">
        <v>172855</v>
      </c>
      <c r="C1248" s="4">
        <v>31</v>
      </c>
      <c r="D1248" s="4">
        <v>25</v>
      </c>
      <c r="E1248" s="4">
        <v>50</v>
      </c>
      <c r="F1248" s="4">
        <v>30</v>
      </c>
      <c r="G1248" s="4">
        <v>30</v>
      </c>
      <c r="H1248" s="4">
        <v>20</v>
      </c>
      <c r="I1248" s="4">
        <v>50</v>
      </c>
      <c r="J1248" s="4">
        <v>21</v>
      </c>
      <c r="K1248" s="4">
        <v>36</v>
      </c>
      <c r="L1248" s="4">
        <v>50</v>
      </c>
      <c r="M1248" s="4">
        <v>30</v>
      </c>
      <c r="N1248" s="4">
        <v>90</v>
      </c>
    </row>
    <row r="1249" spans="1:14">
      <c r="A1249" s="3">
        <v>812551</v>
      </c>
      <c r="B1249" s="3">
        <v>119177</v>
      </c>
      <c r="C1249" s="4">
        <v>0</v>
      </c>
      <c r="D1249" s="4">
        <v>0</v>
      </c>
      <c r="E1249" s="4">
        <v>0</v>
      </c>
      <c r="F1249" s="4">
        <v>23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</row>
    <row r="1250" spans="1:14">
      <c r="A1250" s="3">
        <v>812551</v>
      </c>
      <c r="B1250" s="3">
        <v>203137</v>
      </c>
      <c r="C1250" s="4">
        <v>124.5</v>
      </c>
      <c r="D1250" s="4">
        <v>113</v>
      </c>
      <c r="E1250" s="4">
        <v>92</v>
      </c>
      <c r="F1250" s="4">
        <v>0</v>
      </c>
      <c r="G1250" s="4">
        <v>0</v>
      </c>
      <c r="H1250" s="4">
        <v>45</v>
      </c>
      <c r="I1250" s="4">
        <v>65</v>
      </c>
      <c r="J1250" s="4">
        <v>70</v>
      </c>
      <c r="K1250" s="4">
        <v>45</v>
      </c>
      <c r="L1250" s="4">
        <v>40</v>
      </c>
      <c r="M1250" s="4">
        <v>0</v>
      </c>
      <c r="N1250" s="4">
        <v>45</v>
      </c>
    </row>
    <row r="1251" spans="1:14">
      <c r="A1251" s="3">
        <v>812552</v>
      </c>
      <c r="B1251" s="3">
        <v>170775</v>
      </c>
      <c r="C1251" s="4">
        <v>0</v>
      </c>
      <c r="D1251" s="4">
        <v>0</v>
      </c>
      <c r="E1251" s="4">
        <v>0</v>
      </c>
      <c r="F1251" s="4">
        <v>10</v>
      </c>
      <c r="G1251" s="4">
        <v>15</v>
      </c>
      <c r="H1251" s="4">
        <v>0</v>
      </c>
      <c r="I1251" s="4">
        <v>40</v>
      </c>
      <c r="J1251" s="4">
        <v>68</v>
      </c>
      <c r="K1251" s="4">
        <v>50</v>
      </c>
      <c r="L1251" s="4">
        <v>25</v>
      </c>
      <c r="M1251" s="4">
        <v>82</v>
      </c>
      <c r="N1251" s="4">
        <v>55</v>
      </c>
    </row>
    <row r="1252" spans="1:14">
      <c r="A1252" s="3">
        <v>812561</v>
      </c>
      <c r="B1252" s="3">
        <v>179877</v>
      </c>
      <c r="C1252" s="4">
        <v>36.5</v>
      </c>
      <c r="D1252" s="4">
        <v>42</v>
      </c>
      <c r="E1252" s="4">
        <v>50</v>
      </c>
      <c r="F1252" s="4">
        <v>62.5</v>
      </c>
      <c r="G1252" s="4">
        <v>37.5</v>
      </c>
      <c r="H1252" s="4">
        <v>50</v>
      </c>
      <c r="I1252" s="4">
        <v>35</v>
      </c>
      <c r="J1252" s="4">
        <v>34</v>
      </c>
      <c r="K1252" s="4">
        <v>70</v>
      </c>
      <c r="L1252" s="4">
        <v>65</v>
      </c>
      <c r="M1252" s="4">
        <v>47.5</v>
      </c>
      <c r="N1252" s="4">
        <v>132.25</v>
      </c>
    </row>
    <row r="1253" spans="1:14">
      <c r="A1253" s="3">
        <v>812562</v>
      </c>
      <c r="B1253" s="3">
        <v>178237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20</v>
      </c>
      <c r="L1253" s="4">
        <v>39.5</v>
      </c>
      <c r="M1253" s="4">
        <v>20.5</v>
      </c>
      <c r="N1253" s="4">
        <v>17.5</v>
      </c>
    </row>
    <row r="1254" spans="1:14">
      <c r="A1254" s="3">
        <v>812563</v>
      </c>
      <c r="B1254" s="3">
        <v>141556</v>
      </c>
      <c r="C1254" s="4">
        <v>43.5</v>
      </c>
      <c r="D1254" s="4">
        <v>59.5</v>
      </c>
      <c r="E1254" s="4">
        <v>57</v>
      </c>
      <c r="F1254" s="4">
        <v>31.5</v>
      </c>
      <c r="G1254" s="4">
        <v>55</v>
      </c>
      <c r="H1254" s="4">
        <v>17.5</v>
      </c>
      <c r="I1254" s="4">
        <v>25</v>
      </c>
      <c r="J1254" s="4">
        <v>0</v>
      </c>
      <c r="K1254" s="4">
        <v>41.5</v>
      </c>
      <c r="L1254" s="4">
        <v>63</v>
      </c>
      <c r="M1254" s="4">
        <v>60</v>
      </c>
      <c r="N1254" s="4">
        <v>50</v>
      </c>
    </row>
    <row r="1255" spans="1:14">
      <c r="A1255" s="3">
        <v>812563</v>
      </c>
      <c r="B1255" s="3">
        <v>178237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11</v>
      </c>
    </row>
    <row r="1256" spans="1:14">
      <c r="A1256" s="3">
        <v>812564</v>
      </c>
      <c r="B1256" s="3">
        <v>141556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15</v>
      </c>
      <c r="L1256" s="4">
        <v>41.5</v>
      </c>
      <c r="M1256" s="4">
        <v>65</v>
      </c>
      <c r="N1256" s="4">
        <v>70</v>
      </c>
    </row>
    <row r="1257" spans="1:14">
      <c r="A1257" s="3">
        <v>812565</v>
      </c>
      <c r="B1257" s="3">
        <v>170392</v>
      </c>
      <c r="C1257" s="4">
        <v>10</v>
      </c>
      <c r="D1257" s="4">
        <v>20</v>
      </c>
      <c r="E1257" s="4">
        <v>15</v>
      </c>
      <c r="F1257" s="4">
        <v>40</v>
      </c>
      <c r="G1257" s="4">
        <v>20</v>
      </c>
      <c r="H1257" s="4">
        <v>0</v>
      </c>
      <c r="I1257" s="4">
        <v>0</v>
      </c>
      <c r="J1257" s="4">
        <v>0</v>
      </c>
      <c r="K1257" s="4">
        <v>20</v>
      </c>
      <c r="L1257" s="4">
        <v>0</v>
      </c>
      <c r="M1257" s="4">
        <v>0</v>
      </c>
      <c r="N1257" s="4">
        <v>0</v>
      </c>
    </row>
    <row r="1258" spans="1:14">
      <c r="A1258" s="3">
        <v>812569</v>
      </c>
      <c r="B1258" s="3">
        <v>119029</v>
      </c>
      <c r="C1258" s="4">
        <v>167</v>
      </c>
      <c r="D1258" s="4">
        <v>80</v>
      </c>
      <c r="E1258" s="4">
        <v>155</v>
      </c>
      <c r="F1258" s="4">
        <v>111</v>
      </c>
      <c r="G1258" s="4">
        <v>90</v>
      </c>
      <c r="H1258" s="4">
        <v>184.5</v>
      </c>
      <c r="I1258" s="4">
        <v>94.5</v>
      </c>
      <c r="J1258" s="4">
        <v>63.9</v>
      </c>
      <c r="K1258" s="4">
        <v>151</v>
      </c>
      <c r="L1258" s="4">
        <v>133.5</v>
      </c>
      <c r="M1258" s="4">
        <v>117</v>
      </c>
      <c r="N1258" s="4">
        <v>46.5</v>
      </c>
    </row>
    <row r="1259" spans="1:14">
      <c r="A1259" s="3">
        <v>812570</v>
      </c>
      <c r="B1259" s="3">
        <v>208638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10</v>
      </c>
      <c r="L1259" s="4">
        <v>0</v>
      </c>
      <c r="M1259" s="4">
        <v>0</v>
      </c>
      <c r="N1259" s="4">
        <v>0</v>
      </c>
    </row>
    <row r="1260" spans="1:14">
      <c r="A1260" s="3">
        <v>812571</v>
      </c>
      <c r="B1260" s="3">
        <v>173750</v>
      </c>
      <c r="C1260" s="4">
        <v>17.5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</row>
    <row r="1261" spans="1:14">
      <c r="A1261" s="3">
        <v>812572</v>
      </c>
      <c r="B1261" s="3">
        <v>202428</v>
      </c>
      <c r="C1261" s="4">
        <v>0</v>
      </c>
      <c r="D1261" s="4">
        <v>20</v>
      </c>
      <c r="E1261" s="4">
        <v>27.5</v>
      </c>
      <c r="F1261" s="4">
        <v>17</v>
      </c>
      <c r="G1261" s="4">
        <v>34.1</v>
      </c>
      <c r="H1261" s="4">
        <v>52.85</v>
      </c>
      <c r="I1261" s="4">
        <v>17.5</v>
      </c>
      <c r="J1261" s="4">
        <v>35</v>
      </c>
      <c r="K1261" s="4">
        <v>61.5</v>
      </c>
      <c r="L1261" s="4">
        <v>9</v>
      </c>
      <c r="M1261" s="4">
        <v>0</v>
      </c>
      <c r="N1261" s="4">
        <v>0</v>
      </c>
    </row>
    <row r="1262" spans="1:14">
      <c r="A1262" s="3">
        <v>812615</v>
      </c>
      <c r="B1262" s="3">
        <v>177069</v>
      </c>
      <c r="C1262" s="4">
        <v>45</v>
      </c>
      <c r="D1262" s="4">
        <v>105</v>
      </c>
      <c r="E1262" s="4">
        <v>55</v>
      </c>
      <c r="F1262" s="4">
        <v>45</v>
      </c>
      <c r="G1262" s="4">
        <v>70</v>
      </c>
      <c r="H1262" s="4">
        <v>25</v>
      </c>
      <c r="I1262" s="4">
        <v>30</v>
      </c>
      <c r="J1262" s="4">
        <v>15</v>
      </c>
      <c r="K1262" s="4">
        <v>85</v>
      </c>
      <c r="L1262" s="4">
        <v>70</v>
      </c>
      <c r="M1262" s="4">
        <v>95</v>
      </c>
      <c r="N1262" s="4">
        <v>166</v>
      </c>
    </row>
    <row r="1263" spans="1:14">
      <c r="A1263" s="3">
        <v>812616</v>
      </c>
      <c r="B1263" s="3">
        <v>202428</v>
      </c>
      <c r="C1263" s="4">
        <v>50.75</v>
      </c>
      <c r="D1263" s="4">
        <v>20</v>
      </c>
      <c r="E1263" s="4">
        <v>182.5</v>
      </c>
      <c r="F1263" s="4">
        <v>52.25</v>
      </c>
      <c r="G1263" s="4">
        <v>63</v>
      </c>
      <c r="H1263" s="4">
        <v>71.650000000000006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</row>
    <row r="1264" spans="1:14">
      <c r="A1264" s="3">
        <v>812616</v>
      </c>
      <c r="B1264" s="3">
        <v>207977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5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</row>
    <row r="1265" spans="1:14">
      <c r="A1265" s="3">
        <v>812617</v>
      </c>
      <c r="B1265" s="3">
        <v>173298</v>
      </c>
      <c r="C1265" s="4">
        <v>20</v>
      </c>
      <c r="D1265" s="4">
        <v>70</v>
      </c>
      <c r="E1265" s="4">
        <v>40</v>
      </c>
      <c r="F1265" s="4">
        <v>30</v>
      </c>
      <c r="G1265" s="4">
        <v>20</v>
      </c>
      <c r="H1265" s="4">
        <v>40</v>
      </c>
      <c r="I1265" s="4">
        <v>0</v>
      </c>
      <c r="J1265" s="4">
        <v>0</v>
      </c>
      <c r="K1265" s="4">
        <v>40</v>
      </c>
      <c r="L1265" s="4">
        <v>61</v>
      </c>
      <c r="M1265" s="4">
        <v>55</v>
      </c>
      <c r="N1265" s="4">
        <v>90.55</v>
      </c>
    </row>
    <row r="1266" spans="1:14">
      <c r="A1266" s="3">
        <v>812624</v>
      </c>
      <c r="B1266" s="3">
        <v>176833</v>
      </c>
      <c r="C1266" s="4">
        <v>70</v>
      </c>
      <c r="D1266" s="4">
        <v>105</v>
      </c>
      <c r="E1266" s="4">
        <v>60</v>
      </c>
      <c r="F1266" s="4">
        <v>0</v>
      </c>
      <c r="G1266" s="4">
        <v>35</v>
      </c>
      <c r="H1266" s="4">
        <v>35</v>
      </c>
      <c r="I1266" s="4">
        <v>71</v>
      </c>
      <c r="J1266" s="4">
        <v>0</v>
      </c>
      <c r="K1266" s="4">
        <v>65</v>
      </c>
      <c r="L1266" s="4">
        <v>40</v>
      </c>
      <c r="M1266" s="4">
        <v>20</v>
      </c>
      <c r="N1266" s="4">
        <v>99</v>
      </c>
    </row>
    <row r="1267" spans="1:14">
      <c r="A1267" s="3">
        <v>812625</v>
      </c>
      <c r="B1267" s="3">
        <v>179868</v>
      </c>
      <c r="C1267" s="4">
        <v>35</v>
      </c>
      <c r="D1267" s="4">
        <v>44</v>
      </c>
      <c r="E1267" s="4">
        <v>40</v>
      </c>
      <c r="F1267" s="4">
        <v>0</v>
      </c>
      <c r="G1267" s="4">
        <v>0</v>
      </c>
      <c r="H1267" s="4">
        <v>65</v>
      </c>
      <c r="I1267" s="4">
        <v>0</v>
      </c>
      <c r="J1267" s="4">
        <v>0</v>
      </c>
      <c r="K1267" s="4">
        <v>0</v>
      </c>
      <c r="L1267" s="4">
        <v>40</v>
      </c>
      <c r="M1267" s="4">
        <v>80</v>
      </c>
      <c r="N1267" s="4">
        <v>25</v>
      </c>
    </row>
    <row r="1268" spans="1:14">
      <c r="A1268" s="3">
        <v>812626</v>
      </c>
      <c r="B1268" s="3">
        <v>176833</v>
      </c>
      <c r="C1268" s="4">
        <v>10</v>
      </c>
      <c r="D1268" s="4">
        <v>0</v>
      </c>
      <c r="E1268" s="4">
        <v>0</v>
      </c>
      <c r="F1268" s="4">
        <v>20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10</v>
      </c>
      <c r="M1268" s="4">
        <v>0</v>
      </c>
      <c r="N1268" s="4">
        <v>5</v>
      </c>
    </row>
    <row r="1269" spans="1:14">
      <c r="A1269" s="3">
        <v>812627</v>
      </c>
      <c r="B1269" s="3">
        <v>174316</v>
      </c>
      <c r="C1269" s="4">
        <v>25</v>
      </c>
      <c r="D1269" s="4">
        <v>45</v>
      </c>
      <c r="E1269" s="4">
        <v>37</v>
      </c>
      <c r="F1269" s="4">
        <v>0</v>
      </c>
      <c r="G1269" s="4">
        <v>15</v>
      </c>
      <c r="H1269" s="4">
        <v>20</v>
      </c>
      <c r="I1269" s="4">
        <v>0</v>
      </c>
      <c r="J1269" s="4">
        <v>10</v>
      </c>
      <c r="K1269" s="4">
        <v>15</v>
      </c>
      <c r="L1269" s="4">
        <v>10</v>
      </c>
      <c r="M1269" s="4">
        <v>31</v>
      </c>
      <c r="N1269" s="4">
        <v>0</v>
      </c>
    </row>
    <row r="1270" spans="1:14">
      <c r="A1270" s="3">
        <v>812630</v>
      </c>
      <c r="B1270" s="3">
        <v>205370</v>
      </c>
      <c r="C1270" s="4">
        <v>63</v>
      </c>
      <c r="D1270" s="4">
        <v>60</v>
      </c>
      <c r="E1270" s="4">
        <v>16.5</v>
      </c>
      <c r="F1270" s="4">
        <v>20</v>
      </c>
      <c r="G1270" s="4">
        <v>51</v>
      </c>
      <c r="H1270" s="4">
        <v>14</v>
      </c>
      <c r="I1270" s="4">
        <v>15</v>
      </c>
      <c r="J1270" s="4">
        <v>10</v>
      </c>
      <c r="K1270" s="4">
        <v>1</v>
      </c>
      <c r="L1270" s="4">
        <v>35</v>
      </c>
      <c r="M1270" s="4">
        <v>21</v>
      </c>
      <c r="N1270" s="4">
        <v>98.75</v>
      </c>
    </row>
    <row r="1271" spans="1:14">
      <c r="A1271" s="3">
        <v>812634</v>
      </c>
      <c r="B1271" s="3">
        <v>174357</v>
      </c>
      <c r="C1271" s="4">
        <v>0</v>
      </c>
      <c r="D1271" s="4">
        <v>0</v>
      </c>
      <c r="E1271" s="4">
        <v>0</v>
      </c>
      <c r="F1271" s="4">
        <v>0</v>
      </c>
      <c r="G1271" s="4">
        <v>102.5</v>
      </c>
      <c r="H1271" s="4">
        <v>310</v>
      </c>
      <c r="I1271" s="4">
        <v>0</v>
      </c>
      <c r="J1271" s="4">
        <v>25</v>
      </c>
      <c r="K1271" s="4">
        <v>77.5</v>
      </c>
      <c r="L1271" s="4">
        <v>115</v>
      </c>
      <c r="M1271" s="4">
        <v>0</v>
      </c>
      <c r="N1271" s="4">
        <v>0</v>
      </c>
    </row>
    <row r="1272" spans="1:14">
      <c r="A1272" s="3">
        <v>812654</v>
      </c>
      <c r="B1272" s="3">
        <v>172299</v>
      </c>
      <c r="C1272" s="4">
        <v>73</v>
      </c>
      <c r="D1272" s="4">
        <v>89</v>
      </c>
      <c r="E1272" s="4">
        <v>61.5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</row>
    <row r="1273" spans="1:14">
      <c r="A1273" s="3">
        <v>812658</v>
      </c>
      <c r="B1273" s="3">
        <v>119071</v>
      </c>
      <c r="C1273" s="4">
        <v>31</v>
      </c>
      <c r="D1273" s="4">
        <v>30</v>
      </c>
      <c r="E1273" s="4">
        <v>0</v>
      </c>
      <c r="F1273" s="4">
        <v>15</v>
      </c>
      <c r="G1273" s="4">
        <v>22.5</v>
      </c>
      <c r="H1273" s="4">
        <v>0</v>
      </c>
      <c r="I1273" s="4">
        <v>10</v>
      </c>
      <c r="J1273" s="4">
        <v>0</v>
      </c>
      <c r="K1273" s="4">
        <v>10</v>
      </c>
      <c r="L1273" s="4">
        <v>0</v>
      </c>
      <c r="M1273" s="4">
        <v>0</v>
      </c>
      <c r="N1273" s="4">
        <v>0</v>
      </c>
    </row>
    <row r="1274" spans="1:14">
      <c r="A1274" s="3">
        <v>812663</v>
      </c>
      <c r="B1274" s="3">
        <v>175340</v>
      </c>
      <c r="C1274" s="4">
        <v>1.3</v>
      </c>
      <c r="D1274" s="4">
        <v>0</v>
      </c>
      <c r="E1274" s="4">
        <v>0</v>
      </c>
      <c r="F1274" s="4">
        <v>21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</row>
    <row r="1275" spans="1:14">
      <c r="A1275" s="3">
        <v>812664</v>
      </c>
      <c r="B1275" s="3">
        <v>179928</v>
      </c>
      <c r="C1275" s="4">
        <v>89.5</v>
      </c>
      <c r="D1275" s="4">
        <v>61</v>
      </c>
      <c r="E1275" s="4">
        <v>66</v>
      </c>
      <c r="F1275" s="4">
        <v>38</v>
      </c>
      <c r="G1275" s="4">
        <v>56.75</v>
      </c>
      <c r="H1275" s="4">
        <v>10</v>
      </c>
      <c r="I1275" s="4">
        <v>0</v>
      </c>
      <c r="J1275" s="4">
        <v>0</v>
      </c>
      <c r="K1275" s="4">
        <v>21</v>
      </c>
      <c r="L1275" s="4">
        <v>35.5</v>
      </c>
      <c r="M1275" s="4">
        <v>26</v>
      </c>
      <c r="N1275" s="4">
        <v>15</v>
      </c>
    </row>
    <row r="1276" spans="1:14">
      <c r="A1276" s="3">
        <v>812665</v>
      </c>
      <c r="B1276" s="3">
        <v>205949</v>
      </c>
      <c r="C1276" s="4">
        <v>20</v>
      </c>
      <c r="D1276" s="4">
        <v>10</v>
      </c>
      <c r="E1276" s="4">
        <v>312</v>
      </c>
      <c r="F1276" s="4">
        <v>3</v>
      </c>
      <c r="G1276" s="4">
        <v>33</v>
      </c>
      <c r="H1276" s="4">
        <v>1</v>
      </c>
      <c r="I1276" s="4">
        <v>135</v>
      </c>
      <c r="J1276" s="4">
        <v>0</v>
      </c>
      <c r="K1276" s="4">
        <v>55</v>
      </c>
      <c r="L1276" s="4">
        <v>0</v>
      </c>
      <c r="M1276" s="4">
        <v>0</v>
      </c>
      <c r="N1276" s="4">
        <v>31</v>
      </c>
    </row>
    <row r="1277" spans="1:14">
      <c r="A1277" s="3">
        <v>812666</v>
      </c>
      <c r="B1277" s="3">
        <v>179928</v>
      </c>
      <c r="C1277" s="4">
        <v>110.5</v>
      </c>
      <c r="D1277" s="4">
        <v>50</v>
      </c>
      <c r="E1277" s="4">
        <v>65.5</v>
      </c>
      <c r="F1277" s="4">
        <v>71.849999999999994</v>
      </c>
      <c r="G1277" s="4">
        <v>104</v>
      </c>
      <c r="H1277" s="4">
        <v>60</v>
      </c>
      <c r="I1277" s="4">
        <v>38</v>
      </c>
      <c r="J1277" s="4">
        <v>52</v>
      </c>
      <c r="K1277" s="4">
        <v>41</v>
      </c>
      <c r="L1277" s="4">
        <v>66.5</v>
      </c>
      <c r="M1277" s="4">
        <v>134</v>
      </c>
      <c r="N1277" s="4">
        <v>199.5</v>
      </c>
    </row>
    <row r="1278" spans="1:14">
      <c r="A1278" s="3">
        <v>812667</v>
      </c>
      <c r="B1278" s="3">
        <v>201280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103</v>
      </c>
      <c r="L1278" s="4">
        <v>153</v>
      </c>
      <c r="M1278" s="4">
        <v>101</v>
      </c>
      <c r="N1278" s="4">
        <v>101</v>
      </c>
    </row>
    <row r="1279" spans="1:14">
      <c r="A1279" s="3">
        <v>812668</v>
      </c>
      <c r="B1279" s="3">
        <v>201280</v>
      </c>
      <c r="C1279" s="4">
        <v>30</v>
      </c>
      <c r="D1279" s="4">
        <v>15</v>
      </c>
      <c r="E1279" s="4">
        <v>15</v>
      </c>
      <c r="F1279" s="4">
        <v>21</v>
      </c>
      <c r="G1279" s="4">
        <v>43.5</v>
      </c>
      <c r="H1279" s="4">
        <v>15.5</v>
      </c>
      <c r="I1279" s="4">
        <v>20</v>
      </c>
      <c r="J1279" s="4">
        <v>20</v>
      </c>
      <c r="K1279" s="4">
        <v>42.5</v>
      </c>
      <c r="L1279" s="4">
        <v>43</v>
      </c>
      <c r="M1279" s="4">
        <v>41</v>
      </c>
      <c r="N1279" s="4">
        <v>100</v>
      </c>
    </row>
    <row r="1280" spans="1:14">
      <c r="A1280" s="3">
        <v>812684</v>
      </c>
      <c r="B1280" s="3">
        <v>170363</v>
      </c>
      <c r="C1280" s="4">
        <v>0</v>
      </c>
      <c r="D1280" s="4">
        <v>15</v>
      </c>
      <c r="E1280" s="4">
        <v>20</v>
      </c>
      <c r="F1280" s="4">
        <v>0</v>
      </c>
      <c r="G1280" s="4">
        <v>15</v>
      </c>
      <c r="H1280" s="4">
        <v>0</v>
      </c>
      <c r="I1280" s="4">
        <v>0</v>
      </c>
      <c r="J1280" s="4">
        <v>0</v>
      </c>
      <c r="K1280" s="4">
        <v>10</v>
      </c>
      <c r="L1280" s="4">
        <v>15</v>
      </c>
      <c r="M1280" s="4">
        <v>17.5</v>
      </c>
      <c r="N1280" s="4">
        <v>17</v>
      </c>
    </row>
    <row r="1281" spans="1:14">
      <c r="A1281" s="3">
        <v>812687</v>
      </c>
      <c r="B1281" s="3">
        <v>202142</v>
      </c>
      <c r="C1281" s="4">
        <v>0</v>
      </c>
      <c r="D1281" s="4">
        <v>35</v>
      </c>
      <c r="E1281" s="4">
        <v>122.5</v>
      </c>
      <c r="F1281" s="4">
        <v>90</v>
      </c>
      <c r="G1281" s="4">
        <v>20</v>
      </c>
      <c r="H1281" s="4">
        <v>25</v>
      </c>
      <c r="I1281" s="4">
        <v>40</v>
      </c>
      <c r="J1281" s="4">
        <v>69.5</v>
      </c>
      <c r="K1281" s="4">
        <v>30</v>
      </c>
      <c r="L1281" s="4">
        <v>5</v>
      </c>
      <c r="M1281" s="4">
        <v>29.5</v>
      </c>
      <c r="N1281" s="4">
        <v>140</v>
      </c>
    </row>
    <row r="1282" spans="1:14">
      <c r="A1282" s="3">
        <v>812688</v>
      </c>
      <c r="B1282" s="3">
        <v>119042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5</v>
      </c>
      <c r="N1282" s="4">
        <v>0</v>
      </c>
    </row>
    <row r="1283" spans="1:14">
      <c r="A1283" s="3">
        <v>812700</v>
      </c>
      <c r="B1283" s="3">
        <v>119117</v>
      </c>
      <c r="C1283" s="4">
        <v>40</v>
      </c>
      <c r="D1283" s="4">
        <v>10</v>
      </c>
      <c r="E1283" s="4">
        <v>40</v>
      </c>
      <c r="F1283" s="4">
        <v>80</v>
      </c>
      <c r="G1283" s="4">
        <v>155</v>
      </c>
      <c r="H1283" s="4">
        <v>71</v>
      </c>
      <c r="I1283" s="4">
        <v>30</v>
      </c>
      <c r="J1283" s="4">
        <v>30</v>
      </c>
      <c r="K1283" s="4">
        <v>0</v>
      </c>
      <c r="L1283" s="4">
        <v>0</v>
      </c>
      <c r="M1283" s="4">
        <v>0</v>
      </c>
      <c r="N1283" s="4">
        <v>0</v>
      </c>
    </row>
    <row r="1284" spans="1:14">
      <c r="A1284" s="3">
        <v>812701</v>
      </c>
      <c r="B1284" s="3">
        <v>202941</v>
      </c>
      <c r="C1284" s="4">
        <v>52.5</v>
      </c>
      <c r="D1284" s="4">
        <v>77.5</v>
      </c>
      <c r="E1284" s="4">
        <v>78</v>
      </c>
      <c r="F1284" s="4">
        <v>85</v>
      </c>
      <c r="G1284" s="4">
        <v>40.5</v>
      </c>
      <c r="H1284" s="4">
        <v>7.5</v>
      </c>
      <c r="I1284" s="4">
        <v>0</v>
      </c>
      <c r="J1284" s="4">
        <v>45</v>
      </c>
      <c r="K1284" s="4">
        <v>25</v>
      </c>
      <c r="L1284" s="4">
        <v>26.5</v>
      </c>
      <c r="M1284" s="4">
        <v>20</v>
      </c>
      <c r="N1284" s="4">
        <v>41</v>
      </c>
    </row>
    <row r="1285" spans="1:14">
      <c r="A1285" s="3">
        <v>812703</v>
      </c>
      <c r="B1285" s="3">
        <v>177202</v>
      </c>
      <c r="C1285" s="4">
        <v>20</v>
      </c>
      <c r="D1285" s="4">
        <v>20</v>
      </c>
      <c r="E1285" s="4">
        <v>0</v>
      </c>
      <c r="F1285" s="4">
        <v>0</v>
      </c>
      <c r="G1285" s="4">
        <v>12.95</v>
      </c>
      <c r="H1285" s="4">
        <v>1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</row>
    <row r="1286" spans="1:14">
      <c r="A1286" s="3">
        <v>812705</v>
      </c>
      <c r="B1286" s="3">
        <v>142269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15</v>
      </c>
    </row>
    <row r="1287" spans="1:14">
      <c r="A1287" s="3">
        <v>812706</v>
      </c>
      <c r="B1287" s="3">
        <v>170248</v>
      </c>
      <c r="C1287" s="4">
        <v>13</v>
      </c>
      <c r="D1287" s="4">
        <v>0</v>
      </c>
      <c r="E1287" s="4">
        <v>10</v>
      </c>
      <c r="F1287" s="4">
        <v>10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 spans="1:14">
      <c r="A1288" s="3">
        <v>812712</v>
      </c>
      <c r="B1288" s="3">
        <v>202913</v>
      </c>
      <c r="C1288" s="4">
        <v>17.5</v>
      </c>
      <c r="D1288" s="4">
        <v>60</v>
      </c>
      <c r="E1288" s="4">
        <v>115</v>
      </c>
      <c r="F1288" s="4">
        <v>1</v>
      </c>
      <c r="G1288" s="4">
        <v>39.5</v>
      </c>
      <c r="H1288" s="4">
        <v>47</v>
      </c>
      <c r="I1288" s="4">
        <v>15</v>
      </c>
      <c r="J1288" s="4">
        <v>29.75</v>
      </c>
      <c r="K1288" s="4">
        <v>160.44999999999999</v>
      </c>
      <c r="L1288" s="4">
        <v>174</v>
      </c>
      <c r="M1288" s="4">
        <v>92</v>
      </c>
      <c r="N1288" s="4">
        <v>176.75</v>
      </c>
    </row>
    <row r="1289" spans="1:14">
      <c r="A1289" s="3">
        <v>812723</v>
      </c>
      <c r="B1289" s="3">
        <v>179163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105</v>
      </c>
      <c r="M1289" s="4">
        <v>32</v>
      </c>
      <c r="N1289" s="4">
        <v>42</v>
      </c>
    </row>
    <row r="1290" spans="1:14">
      <c r="A1290" s="3">
        <v>812723</v>
      </c>
      <c r="B1290" s="3">
        <v>179387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25</v>
      </c>
      <c r="N1290" s="4">
        <v>0</v>
      </c>
    </row>
    <row r="1291" spans="1:14">
      <c r="A1291" s="3">
        <v>812723</v>
      </c>
      <c r="B1291" s="3">
        <v>201841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34</v>
      </c>
      <c r="M1291" s="4">
        <v>0</v>
      </c>
      <c r="N1291" s="4">
        <v>0</v>
      </c>
    </row>
    <row r="1292" spans="1:14">
      <c r="A1292" s="3">
        <v>812723</v>
      </c>
      <c r="B1292" s="3">
        <v>202980</v>
      </c>
      <c r="C1292" s="4">
        <v>147</v>
      </c>
      <c r="D1292" s="4">
        <v>126</v>
      </c>
      <c r="E1292" s="4">
        <v>146.5</v>
      </c>
      <c r="F1292" s="4">
        <v>154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</row>
    <row r="1293" spans="1:14">
      <c r="A1293" s="3">
        <v>812723</v>
      </c>
      <c r="B1293" s="3">
        <v>207229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20</v>
      </c>
      <c r="M1293" s="4">
        <v>0</v>
      </c>
      <c r="N1293" s="4">
        <v>20</v>
      </c>
    </row>
    <row r="1294" spans="1:14">
      <c r="A1294" s="3">
        <v>812729</v>
      </c>
      <c r="B1294" s="3">
        <v>145394</v>
      </c>
      <c r="C1294" s="4">
        <v>11.5</v>
      </c>
      <c r="D1294" s="4">
        <v>30</v>
      </c>
      <c r="E1294" s="4">
        <v>39</v>
      </c>
      <c r="F1294" s="4">
        <v>7</v>
      </c>
      <c r="G1294" s="4">
        <v>1</v>
      </c>
      <c r="H1294" s="4">
        <v>0</v>
      </c>
      <c r="I1294" s="4">
        <v>0</v>
      </c>
      <c r="J1294" s="4">
        <v>0</v>
      </c>
      <c r="K1294" s="4">
        <v>0</v>
      </c>
      <c r="L1294" s="4">
        <v>20</v>
      </c>
      <c r="M1294" s="4">
        <v>0</v>
      </c>
      <c r="N1294" s="4">
        <v>0</v>
      </c>
    </row>
    <row r="1295" spans="1:14">
      <c r="A1295" s="3">
        <v>812730</v>
      </c>
      <c r="B1295" s="3">
        <v>119066</v>
      </c>
      <c r="C1295" s="4">
        <v>62.5</v>
      </c>
      <c r="D1295" s="4">
        <v>67.5</v>
      </c>
      <c r="E1295" s="4">
        <v>20</v>
      </c>
      <c r="F1295" s="4">
        <v>0</v>
      </c>
      <c r="G1295" s="4">
        <v>53</v>
      </c>
      <c r="H1295" s="4">
        <v>3</v>
      </c>
      <c r="I1295" s="4">
        <v>1</v>
      </c>
      <c r="J1295" s="4">
        <v>0</v>
      </c>
      <c r="K1295" s="4">
        <v>104</v>
      </c>
      <c r="L1295" s="4">
        <v>51</v>
      </c>
      <c r="M1295" s="4">
        <v>63</v>
      </c>
      <c r="N1295" s="4">
        <v>0</v>
      </c>
    </row>
    <row r="1296" spans="1:14">
      <c r="A1296" s="3">
        <v>812737</v>
      </c>
      <c r="B1296" s="3">
        <v>170614</v>
      </c>
      <c r="C1296" s="4">
        <v>90.25</v>
      </c>
      <c r="D1296" s="4">
        <v>40</v>
      </c>
      <c r="E1296" s="4">
        <v>90</v>
      </c>
      <c r="F1296" s="4">
        <v>125</v>
      </c>
      <c r="G1296" s="4">
        <v>35</v>
      </c>
      <c r="H1296" s="4">
        <v>40</v>
      </c>
      <c r="I1296" s="4">
        <v>105</v>
      </c>
      <c r="J1296" s="4">
        <v>11</v>
      </c>
      <c r="K1296" s="4">
        <v>30</v>
      </c>
      <c r="L1296" s="4">
        <v>0</v>
      </c>
      <c r="M1296" s="4">
        <v>40</v>
      </c>
      <c r="N1296" s="4">
        <v>25</v>
      </c>
    </row>
    <row r="1297" spans="1:14">
      <c r="A1297" s="3">
        <v>812738</v>
      </c>
      <c r="B1297" s="3">
        <v>171226</v>
      </c>
      <c r="C1297" s="4">
        <v>122.1</v>
      </c>
      <c r="D1297" s="4">
        <v>75</v>
      </c>
      <c r="E1297" s="4">
        <v>142</v>
      </c>
      <c r="F1297" s="4">
        <v>15</v>
      </c>
      <c r="G1297" s="4">
        <v>45</v>
      </c>
      <c r="H1297" s="4">
        <v>0</v>
      </c>
      <c r="I1297" s="4">
        <v>25</v>
      </c>
      <c r="J1297" s="4">
        <v>70</v>
      </c>
      <c r="K1297" s="4">
        <v>97</v>
      </c>
      <c r="L1297" s="4">
        <v>105</v>
      </c>
      <c r="M1297" s="4">
        <v>64</v>
      </c>
      <c r="N1297" s="4">
        <v>154</v>
      </c>
    </row>
    <row r="1298" spans="1:14">
      <c r="A1298" s="3">
        <v>812741</v>
      </c>
      <c r="B1298" s="3">
        <v>129599</v>
      </c>
      <c r="C1298" s="4">
        <v>41</v>
      </c>
      <c r="D1298" s="4">
        <v>40.5</v>
      </c>
      <c r="E1298" s="4">
        <v>41.5</v>
      </c>
      <c r="F1298" s="4">
        <v>0</v>
      </c>
      <c r="G1298" s="4">
        <v>22.25</v>
      </c>
      <c r="H1298" s="4">
        <v>42.5</v>
      </c>
      <c r="I1298" s="4">
        <v>45</v>
      </c>
      <c r="J1298" s="4">
        <v>10.5</v>
      </c>
      <c r="K1298" s="4">
        <v>30</v>
      </c>
      <c r="L1298" s="4">
        <v>13.5</v>
      </c>
      <c r="M1298" s="4">
        <v>20</v>
      </c>
      <c r="N1298" s="4">
        <v>0</v>
      </c>
    </row>
    <row r="1299" spans="1:14">
      <c r="A1299" s="3">
        <v>812743</v>
      </c>
      <c r="B1299" s="3">
        <v>202852</v>
      </c>
      <c r="C1299" s="4">
        <v>0</v>
      </c>
      <c r="D1299" s="4">
        <v>15</v>
      </c>
      <c r="E1299" s="4">
        <v>0</v>
      </c>
      <c r="F1299" s="4">
        <v>25</v>
      </c>
      <c r="G1299" s="4">
        <v>10</v>
      </c>
      <c r="H1299" s="4">
        <v>10</v>
      </c>
      <c r="I1299" s="4">
        <v>0</v>
      </c>
      <c r="J1299" s="4">
        <v>0</v>
      </c>
      <c r="K1299" s="4">
        <v>20</v>
      </c>
      <c r="L1299" s="4">
        <v>7.5</v>
      </c>
      <c r="M1299" s="4">
        <v>0</v>
      </c>
      <c r="N1299" s="4">
        <v>10</v>
      </c>
    </row>
    <row r="1300" spans="1:14">
      <c r="A1300" s="3">
        <v>812747</v>
      </c>
      <c r="B1300" s="3">
        <v>170392</v>
      </c>
      <c r="C1300" s="4">
        <v>40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</row>
    <row r="1301" spans="1:14">
      <c r="A1301" s="3">
        <v>812747</v>
      </c>
      <c r="B1301" s="3">
        <v>208032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26.2</v>
      </c>
      <c r="J1301" s="4">
        <v>9.75</v>
      </c>
      <c r="K1301" s="4">
        <v>10</v>
      </c>
      <c r="L1301" s="4">
        <v>0</v>
      </c>
      <c r="M1301" s="4">
        <v>0</v>
      </c>
      <c r="N1301" s="4">
        <v>0</v>
      </c>
    </row>
    <row r="1302" spans="1:14">
      <c r="A1302" s="3">
        <v>812751</v>
      </c>
      <c r="B1302" s="3">
        <v>178237</v>
      </c>
      <c r="C1302" s="4">
        <v>18.25</v>
      </c>
      <c r="D1302" s="4">
        <v>26</v>
      </c>
      <c r="E1302" s="4">
        <v>0</v>
      </c>
      <c r="F1302" s="4">
        <v>0</v>
      </c>
      <c r="G1302" s="4">
        <v>0</v>
      </c>
      <c r="H1302" s="4">
        <v>0</v>
      </c>
      <c r="I1302" s="4">
        <v>39</v>
      </c>
      <c r="J1302" s="4">
        <v>20</v>
      </c>
      <c r="K1302" s="4">
        <v>40.5</v>
      </c>
      <c r="L1302" s="4">
        <v>25.5</v>
      </c>
      <c r="M1302" s="4">
        <v>30</v>
      </c>
      <c r="N1302" s="4">
        <v>101</v>
      </c>
    </row>
    <row r="1303" spans="1:14">
      <c r="A1303" s="3">
        <v>812752</v>
      </c>
      <c r="B1303" s="3">
        <v>203649</v>
      </c>
      <c r="C1303" s="4">
        <v>50</v>
      </c>
      <c r="D1303" s="4">
        <v>20.5</v>
      </c>
      <c r="E1303" s="4">
        <v>12</v>
      </c>
      <c r="F1303" s="4">
        <v>34.5</v>
      </c>
      <c r="G1303" s="4">
        <v>12.5</v>
      </c>
      <c r="H1303" s="4">
        <v>7.5</v>
      </c>
      <c r="I1303" s="4">
        <v>7.5</v>
      </c>
      <c r="J1303" s="4">
        <v>12.5</v>
      </c>
      <c r="K1303" s="4">
        <v>2.5</v>
      </c>
      <c r="L1303" s="4">
        <v>17.5</v>
      </c>
      <c r="M1303" s="4">
        <v>10</v>
      </c>
      <c r="N1303" s="4">
        <v>5</v>
      </c>
    </row>
    <row r="1304" spans="1:14">
      <c r="A1304" s="3">
        <v>812755</v>
      </c>
      <c r="B1304" s="3">
        <v>203811</v>
      </c>
      <c r="C1304" s="4">
        <v>55</v>
      </c>
      <c r="D1304" s="4">
        <v>0</v>
      </c>
      <c r="E1304" s="4">
        <v>0</v>
      </c>
      <c r="F1304" s="4">
        <v>7</v>
      </c>
      <c r="G1304" s="4">
        <v>0</v>
      </c>
      <c r="H1304" s="4">
        <v>0</v>
      </c>
      <c r="I1304" s="4">
        <v>0</v>
      </c>
      <c r="J1304" s="4">
        <v>0</v>
      </c>
      <c r="K1304" s="4">
        <v>5</v>
      </c>
      <c r="L1304" s="4">
        <v>0</v>
      </c>
      <c r="M1304" s="4">
        <v>0</v>
      </c>
      <c r="N1304" s="4">
        <v>0</v>
      </c>
    </row>
    <row r="1305" spans="1:14">
      <c r="A1305" s="3">
        <v>812757</v>
      </c>
      <c r="B1305" s="3">
        <v>147110</v>
      </c>
      <c r="C1305" s="4">
        <v>30</v>
      </c>
      <c r="D1305" s="4">
        <v>35</v>
      </c>
      <c r="E1305" s="4">
        <v>30.5</v>
      </c>
      <c r="F1305" s="4">
        <v>22.5</v>
      </c>
      <c r="G1305" s="4">
        <v>5</v>
      </c>
      <c r="H1305" s="4">
        <v>5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</row>
    <row r="1306" spans="1:14">
      <c r="A1306" s="3">
        <v>812757</v>
      </c>
      <c r="B1306" s="3">
        <v>174756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7.5</v>
      </c>
      <c r="J1306" s="4">
        <v>0</v>
      </c>
      <c r="K1306" s="4">
        <v>25.5</v>
      </c>
      <c r="L1306" s="4">
        <v>35</v>
      </c>
      <c r="M1306" s="4">
        <v>30</v>
      </c>
      <c r="N1306" s="4">
        <v>30</v>
      </c>
    </row>
    <row r="1307" spans="1:14">
      <c r="A1307" s="3">
        <v>812759</v>
      </c>
      <c r="B1307" s="3">
        <v>119066</v>
      </c>
      <c r="C1307" s="4">
        <v>5</v>
      </c>
      <c r="D1307" s="4">
        <v>0</v>
      </c>
      <c r="E1307" s="4">
        <v>101.75</v>
      </c>
      <c r="F1307" s="4">
        <v>24.5</v>
      </c>
      <c r="G1307" s="4">
        <v>31</v>
      </c>
      <c r="H1307" s="4">
        <v>53</v>
      </c>
      <c r="I1307" s="4">
        <v>137</v>
      </c>
      <c r="J1307" s="4">
        <v>0</v>
      </c>
      <c r="K1307" s="4">
        <v>64.5</v>
      </c>
      <c r="L1307" s="4">
        <v>51</v>
      </c>
      <c r="M1307" s="4">
        <v>75</v>
      </c>
      <c r="N1307" s="4">
        <v>104.80000000000001</v>
      </c>
    </row>
    <row r="1308" spans="1:14">
      <c r="A1308" s="3">
        <v>812760</v>
      </c>
      <c r="B1308" s="3">
        <v>170846</v>
      </c>
      <c r="C1308" s="4">
        <v>60.5</v>
      </c>
      <c r="D1308" s="4">
        <v>32.25</v>
      </c>
      <c r="E1308" s="4">
        <v>31.5</v>
      </c>
      <c r="F1308" s="4">
        <v>17</v>
      </c>
      <c r="G1308" s="4">
        <v>52.25</v>
      </c>
      <c r="H1308" s="4">
        <v>56.25</v>
      </c>
      <c r="I1308" s="4">
        <v>12</v>
      </c>
      <c r="J1308" s="4">
        <v>10</v>
      </c>
      <c r="K1308" s="4">
        <v>28</v>
      </c>
      <c r="L1308" s="4">
        <v>28.5</v>
      </c>
      <c r="M1308" s="4">
        <v>53.5</v>
      </c>
      <c r="N1308" s="4">
        <v>58</v>
      </c>
    </row>
    <row r="1309" spans="1:14">
      <c r="A1309" s="3">
        <v>812760</v>
      </c>
      <c r="B1309" s="3">
        <v>172640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15</v>
      </c>
      <c r="L1309" s="4">
        <v>0</v>
      </c>
      <c r="M1309" s="4">
        <v>0</v>
      </c>
      <c r="N1309" s="4">
        <v>0</v>
      </c>
    </row>
    <row r="1310" spans="1:14">
      <c r="A1310" s="3">
        <v>812768</v>
      </c>
      <c r="B1310" s="3">
        <v>176773</v>
      </c>
      <c r="C1310" s="4">
        <v>17.5</v>
      </c>
      <c r="D1310" s="4">
        <v>25</v>
      </c>
      <c r="E1310" s="4">
        <v>28</v>
      </c>
      <c r="F1310" s="4">
        <v>17.5</v>
      </c>
      <c r="G1310" s="4">
        <v>30</v>
      </c>
      <c r="H1310" s="4">
        <v>7.5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</row>
    <row r="1311" spans="1:14">
      <c r="A1311" s="3">
        <v>812768</v>
      </c>
      <c r="B1311" s="3">
        <v>210075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26</v>
      </c>
      <c r="N1311" s="4">
        <v>77.25</v>
      </c>
    </row>
    <row r="1312" spans="1:14">
      <c r="A1312" s="3">
        <v>812776</v>
      </c>
      <c r="B1312" s="3">
        <v>178287</v>
      </c>
      <c r="C1312" s="4">
        <v>25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</row>
    <row r="1313" spans="1:14">
      <c r="A1313" s="3">
        <v>812778</v>
      </c>
      <c r="B1313" s="3">
        <v>179907</v>
      </c>
      <c r="C1313" s="4">
        <v>10</v>
      </c>
      <c r="D1313" s="4">
        <v>10</v>
      </c>
      <c r="E1313" s="4">
        <v>20</v>
      </c>
      <c r="F1313" s="4">
        <v>0</v>
      </c>
      <c r="G1313" s="4">
        <v>0</v>
      </c>
      <c r="H1313" s="4">
        <v>5</v>
      </c>
      <c r="I1313" s="4">
        <v>0</v>
      </c>
      <c r="J1313" s="4">
        <v>0</v>
      </c>
      <c r="K1313" s="4">
        <v>10</v>
      </c>
      <c r="L1313" s="4">
        <v>10</v>
      </c>
      <c r="M1313" s="4">
        <v>15</v>
      </c>
      <c r="N1313" s="4">
        <v>25</v>
      </c>
    </row>
    <row r="1314" spans="1:14">
      <c r="A1314" s="3">
        <v>812780</v>
      </c>
      <c r="B1314" s="3">
        <v>202225</v>
      </c>
      <c r="C1314" s="4">
        <v>87.5</v>
      </c>
      <c r="D1314" s="4">
        <v>75</v>
      </c>
      <c r="E1314" s="4">
        <v>40</v>
      </c>
      <c r="F1314" s="4">
        <v>24</v>
      </c>
      <c r="G1314" s="4">
        <v>20</v>
      </c>
      <c r="H1314" s="4">
        <v>15</v>
      </c>
      <c r="I1314" s="4">
        <v>0</v>
      </c>
      <c r="J1314" s="4">
        <v>25</v>
      </c>
      <c r="K1314" s="4">
        <v>0</v>
      </c>
      <c r="L1314" s="4">
        <v>0</v>
      </c>
      <c r="M1314" s="4">
        <v>0</v>
      </c>
      <c r="N1314" s="4">
        <v>0</v>
      </c>
    </row>
    <row r="1315" spans="1:14">
      <c r="A1315" s="3">
        <v>812792</v>
      </c>
      <c r="B1315" s="3">
        <v>201280</v>
      </c>
      <c r="C1315" s="4">
        <v>0</v>
      </c>
      <c r="D1315" s="4">
        <v>0</v>
      </c>
      <c r="E1315" s="4">
        <v>0</v>
      </c>
      <c r="F1315" s="4">
        <v>102</v>
      </c>
      <c r="G1315" s="4">
        <v>57</v>
      </c>
      <c r="H1315" s="4">
        <v>107</v>
      </c>
      <c r="I1315" s="4">
        <v>58</v>
      </c>
      <c r="J1315" s="4">
        <v>0</v>
      </c>
      <c r="K1315" s="4">
        <v>102.1</v>
      </c>
      <c r="L1315" s="4">
        <v>51</v>
      </c>
      <c r="M1315" s="4">
        <v>133</v>
      </c>
      <c r="N1315" s="4">
        <v>155</v>
      </c>
    </row>
    <row r="1316" spans="1:14">
      <c r="A1316" s="3">
        <v>812793</v>
      </c>
      <c r="B1316" s="3">
        <v>202452</v>
      </c>
      <c r="C1316" s="4">
        <v>17.5</v>
      </c>
      <c r="D1316" s="4">
        <v>43.5</v>
      </c>
      <c r="E1316" s="4">
        <v>39</v>
      </c>
      <c r="F1316" s="4">
        <v>17.5</v>
      </c>
      <c r="G1316" s="4">
        <v>11</v>
      </c>
      <c r="H1316" s="4">
        <v>35</v>
      </c>
      <c r="I1316" s="4">
        <v>15</v>
      </c>
      <c r="J1316" s="4">
        <v>13</v>
      </c>
      <c r="K1316" s="4">
        <v>24.5</v>
      </c>
      <c r="L1316" s="4">
        <v>42</v>
      </c>
      <c r="M1316" s="4">
        <v>25</v>
      </c>
      <c r="N1316" s="4">
        <v>37.5</v>
      </c>
    </row>
    <row r="1317" spans="1:14">
      <c r="A1317" s="3">
        <v>812794</v>
      </c>
      <c r="B1317" s="3">
        <v>202994</v>
      </c>
      <c r="C1317" s="4">
        <v>0</v>
      </c>
      <c r="D1317" s="4">
        <v>20</v>
      </c>
      <c r="E1317" s="4">
        <v>15</v>
      </c>
      <c r="F1317" s="4">
        <v>17.5</v>
      </c>
      <c r="G1317" s="4">
        <v>12</v>
      </c>
      <c r="H1317" s="4">
        <v>18</v>
      </c>
      <c r="I1317" s="4">
        <v>9</v>
      </c>
      <c r="J1317" s="4">
        <v>4</v>
      </c>
      <c r="K1317" s="4">
        <v>17.5</v>
      </c>
      <c r="L1317" s="4">
        <v>10</v>
      </c>
      <c r="M1317" s="4">
        <v>17.5</v>
      </c>
      <c r="N1317" s="4">
        <v>0</v>
      </c>
    </row>
    <row r="1318" spans="1:14">
      <c r="A1318" s="3">
        <v>812807</v>
      </c>
      <c r="B1318" s="3">
        <v>177104</v>
      </c>
      <c r="C1318" s="4">
        <v>10</v>
      </c>
      <c r="D1318" s="4">
        <v>0</v>
      </c>
      <c r="E1318" s="4">
        <v>0</v>
      </c>
      <c r="F1318" s="4">
        <v>12.5</v>
      </c>
      <c r="G1318" s="4">
        <v>12</v>
      </c>
      <c r="H1318" s="4">
        <v>0</v>
      </c>
      <c r="I1318" s="4">
        <v>0</v>
      </c>
      <c r="J1318" s="4">
        <v>0</v>
      </c>
      <c r="K1318" s="4">
        <v>10</v>
      </c>
      <c r="L1318" s="4">
        <v>0</v>
      </c>
      <c r="M1318" s="4">
        <v>0</v>
      </c>
      <c r="N1318" s="4">
        <v>0</v>
      </c>
    </row>
    <row r="1319" spans="1:14">
      <c r="A1319" s="3">
        <v>812808</v>
      </c>
      <c r="B1319" s="3">
        <v>172855</v>
      </c>
      <c r="C1319" s="4">
        <v>30</v>
      </c>
      <c r="D1319" s="4">
        <v>25</v>
      </c>
      <c r="E1319" s="4">
        <v>55</v>
      </c>
      <c r="F1319" s="4">
        <v>21</v>
      </c>
      <c r="G1319" s="4">
        <v>35</v>
      </c>
      <c r="H1319" s="4">
        <v>15</v>
      </c>
      <c r="I1319" s="4">
        <v>45</v>
      </c>
      <c r="J1319" s="4">
        <v>55</v>
      </c>
      <c r="K1319" s="4">
        <v>55</v>
      </c>
      <c r="L1319" s="4">
        <v>50</v>
      </c>
      <c r="M1319" s="4">
        <v>55</v>
      </c>
      <c r="N1319" s="4">
        <v>95</v>
      </c>
    </row>
    <row r="1320" spans="1:14">
      <c r="A1320" s="3">
        <v>812810</v>
      </c>
      <c r="B1320" s="3">
        <v>203236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51</v>
      </c>
    </row>
    <row r="1321" spans="1:14">
      <c r="A1321" s="3">
        <v>812811</v>
      </c>
      <c r="B1321" s="3">
        <v>178237</v>
      </c>
      <c r="C1321" s="4">
        <v>0</v>
      </c>
      <c r="D1321" s="4">
        <v>0</v>
      </c>
      <c r="E1321" s="4">
        <v>0</v>
      </c>
      <c r="F1321" s="4">
        <v>20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</row>
    <row r="1322" spans="1:14">
      <c r="A1322" s="3">
        <v>812812</v>
      </c>
      <c r="B1322" s="3">
        <v>202288</v>
      </c>
      <c r="C1322" s="4">
        <v>20</v>
      </c>
      <c r="D1322" s="4">
        <v>10</v>
      </c>
      <c r="E1322" s="4">
        <v>30</v>
      </c>
      <c r="F1322" s="4">
        <v>20</v>
      </c>
      <c r="G1322" s="4">
        <v>0</v>
      </c>
      <c r="H1322" s="4">
        <v>14</v>
      </c>
      <c r="I1322" s="4">
        <v>12.5</v>
      </c>
      <c r="J1322" s="4">
        <v>0</v>
      </c>
      <c r="K1322" s="4">
        <v>0</v>
      </c>
      <c r="L1322" s="4">
        <v>8</v>
      </c>
      <c r="M1322" s="4">
        <v>14.5</v>
      </c>
      <c r="N1322" s="4">
        <v>23.6</v>
      </c>
    </row>
    <row r="1323" spans="1:14">
      <c r="A1323" s="3">
        <v>812821</v>
      </c>
      <c r="B1323" s="3">
        <v>177104</v>
      </c>
      <c r="C1323" s="4">
        <v>10</v>
      </c>
      <c r="D1323" s="4">
        <v>20</v>
      </c>
      <c r="E1323" s="4">
        <v>19.5</v>
      </c>
      <c r="F1323" s="4">
        <v>22.5</v>
      </c>
      <c r="G1323" s="4">
        <v>16</v>
      </c>
      <c r="H1323" s="4">
        <v>20</v>
      </c>
      <c r="I1323" s="4">
        <v>7.5</v>
      </c>
      <c r="J1323" s="4">
        <v>0</v>
      </c>
      <c r="K1323" s="4">
        <v>30</v>
      </c>
      <c r="L1323" s="4">
        <v>0</v>
      </c>
      <c r="M1323" s="4">
        <v>44.5</v>
      </c>
      <c r="N1323" s="4">
        <v>1</v>
      </c>
    </row>
    <row r="1324" spans="1:14">
      <c r="A1324" s="3">
        <v>812823</v>
      </c>
      <c r="B1324" s="3">
        <v>142843</v>
      </c>
      <c r="C1324" s="4">
        <v>12.5</v>
      </c>
      <c r="D1324" s="4">
        <v>45.5</v>
      </c>
      <c r="E1324" s="4">
        <v>59</v>
      </c>
      <c r="F1324" s="4">
        <v>61.5</v>
      </c>
      <c r="G1324" s="4">
        <v>93.9</v>
      </c>
      <c r="H1324" s="4">
        <v>70</v>
      </c>
      <c r="I1324" s="4">
        <v>45</v>
      </c>
      <c r="J1324" s="4">
        <v>47</v>
      </c>
      <c r="K1324" s="4">
        <v>85</v>
      </c>
      <c r="L1324" s="4">
        <v>104.5</v>
      </c>
      <c r="M1324" s="4">
        <v>64</v>
      </c>
      <c r="N1324" s="4">
        <v>213.6</v>
      </c>
    </row>
    <row r="1325" spans="1:14">
      <c r="A1325" s="3">
        <v>812838</v>
      </c>
      <c r="B1325" s="3">
        <v>119031</v>
      </c>
      <c r="C1325" s="4">
        <v>64</v>
      </c>
      <c r="D1325" s="4">
        <v>85</v>
      </c>
      <c r="E1325" s="4">
        <v>145.5</v>
      </c>
      <c r="F1325" s="4">
        <v>123.85</v>
      </c>
      <c r="G1325" s="4">
        <v>87</v>
      </c>
      <c r="H1325" s="4">
        <v>125</v>
      </c>
      <c r="I1325" s="4">
        <v>125</v>
      </c>
      <c r="J1325" s="4">
        <v>80</v>
      </c>
      <c r="K1325" s="4">
        <v>62.5</v>
      </c>
      <c r="L1325" s="4">
        <v>90</v>
      </c>
      <c r="M1325" s="4">
        <v>62</v>
      </c>
      <c r="N1325" s="4">
        <v>158.20000000000002</v>
      </c>
    </row>
    <row r="1326" spans="1:14">
      <c r="A1326" s="3">
        <v>812838</v>
      </c>
      <c r="B1326" s="3">
        <v>179869</v>
      </c>
      <c r="C1326" s="4">
        <v>0</v>
      </c>
      <c r="D1326" s="4">
        <v>5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</row>
    <row r="1327" spans="1:14">
      <c r="A1327" s="3">
        <v>812842</v>
      </c>
      <c r="B1327" s="3">
        <v>171938</v>
      </c>
      <c r="C1327" s="4">
        <v>90</v>
      </c>
      <c r="D1327" s="4">
        <v>29.5</v>
      </c>
      <c r="E1327" s="4">
        <v>124</v>
      </c>
      <c r="F1327" s="4">
        <v>25</v>
      </c>
      <c r="G1327" s="4">
        <v>29</v>
      </c>
      <c r="H1327" s="4">
        <v>60</v>
      </c>
      <c r="I1327" s="4">
        <v>70</v>
      </c>
      <c r="J1327" s="4">
        <v>45</v>
      </c>
      <c r="K1327" s="4">
        <v>95</v>
      </c>
      <c r="L1327" s="4">
        <v>45</v>
      </c>
      <c r="M1327" s="4">
        <v>90</v>
      </c>
      <c r="N1327" s="4">
        <v>190</v>
      </c>
    </row>
    <row r="1328" spans="1:14">
      <c r="A1328" s="3">
        <v>812846</v>
      </c>
      <c r="B1328" s="3">
        <v>142512</v>
      </c>
      <c r="C1328" s="4">
        <v>79</v>
      </c>
      <c r="D1328" s="4">
        <v>10</v>
      </c>
      <c r="E1328" s="4">
        <v>0</v>
      </c>
      <c r="F1328" s="4">
        <v>107.65</v>
      </c>
      <c r="G1328" s="4">
        <v>57.5</v>
      </c>
      <c r="H1328" s="4">
        <v>31.5</v>
      </c>
      <c r="I1328" s="4">
        <v>12.5</v>
      </c>
      <c r="J1328" s="4">
        <v>0</v>
      </c>
      <c r="K1328" s="4">
        <v>0</v>
      </c>
      <c r="L1328" s="4">
        <v>0</v>
      </c>
      <c r="M1328" s="4">
        <v>0</v>
      </c>
      <c r="N1328" s="4">
        <v>20</v>
      </c>
    </row>
    <row r="1329" spans="1:14">
      <c r="A1329" s="3">
        <v>812848</v>
      </c>
      <c r="B1329" s="3">
        <v>147936</v>
      </c>
      <c r="C1329" s="4">
        <v>50</v>
      </c>
      <c r="D1329" s="4">
        <v>10</v>
      </c>
      <c r="E1329" s="4">
        <v>50</v>
      </c>
      <c r="F1329" s="4">
        <v>44</v>
      </c>
      <c r="G1329" s="4">
        <v>39.099999999999994</v>
      </c>
      <c r="H1329" s="4">
        <v>41</v>
      </c>
      <c r="I1329" s="4">
        <v>20</v>
      </c>
      <c r="J1329" s="4">
        <v>30</v>
      </c>
      <c r="K1329" s="4">
        <v>20</v>
      </c>
      <c r="L1329" s="4">
        <v>0</v>
      </c>
      <c r="M1329" s="4">
        <v>30</v>
      </c>
      <c r="N1329" s="4">
        <v>125.45</v>
      </c>
    </row>
    <row r="1330" spans="1:14">
      <c r="A1330" s="3">
        <v>812850</v>
      </c>
      <c r="B1330" s="3">
        <v>171662</v>
      </c>
      <c r="C1330" s="4">
        <v>100.75</v>
      </c>
      <c r="D1330" s="4">
        <v>96.5</v>
      </c>
      <c r="E1330" s="4">
        <v>123.45</v>
      </c>
      <c r="F1330" s="4">
        <v>110.75</v>
      </c>
      <c r="G1330" s="4">
        <v>87.75</v>
      </c>
      <c r="H1330" s="4">
        <v>97.5</v>
      </c>
      <c r="I1330" s="4">
        <v>72.5</v>
      </c>
      <c r="J1330" s="4">
        <v>51.75</v>
      </c>
      <c r="K1330" s="4">
        <v>140.5</v>
      </c>
      <c r="L1330" s="4">
        <v>134.25</v>
      </c>
      <c r="M1330" s="4">
        <v>69.5</v>
      </c>
      <c r="N1330" s="4">
        <v>134</v>
      </c>
    </row>
    <row r="1331" spans="1:14">
      <c r="A1331" s="3">
        <v>812852</v>
      </c>
      <c r="B1331" s="3">
        <v>202941</v>
      </c>
      <c r="C1331" s="4">
        <v>37.5</v>
      </c>
      <c r="D1331" s="4">
        <v>53</v>
      </c>
      <c r="E1331" s="4">
        <v>66</v>
      </c>
      <c r="F1331" s="4">
        <v>62</v>
      </c>
      <c r="G1331" s="4">
        <v>35</v>
      </c>
      <c r="H1331" s="4">
        <v>7.5</v>
      </c>
      <c r="I1331" s="4">
        <v>30</v>
      </c>
      <c r="J1331" s="4">
        <v>15</v>
      </c>
      <c r="K1331" s="4">
        <v>35</v>
      </c>
      <c r="L1331" s="4">
        <v>15</v>
      </c>
      <c r="M1331" s="4">
        <v>33</v>
      </c>
      <c r="N1331" s="4">
        <v>35</v>
      </c>
    </row>
    <row r="1332" spans="1:14">
      <c r="A1332" s="3">
        <v>812854</v>
      </c>
      <c r="B1332" s="3">
        <v>178109</v>
      </c>
      <c r="C1332" s="4">
        <v>65</v>
      </c>
      <c r="D1332" s="4">
        <v>30</v>
      </c>
      <c r="E1332" s="4">
        <v>22.5</v>
      </c>
      <c r="F1332" s="4">
        <v>30</v>
      </c>
      <c r="G1332" s="4">
        <v>50</v>
      </c>
      <c r="H1332" s="4">
        <v>40</v>
      </c>
      <c r="I1332" s="4">
        <v>50</v>
      </c>
      <c r="J1332" s="4">
        <v>35</v>
      </c>
      <c r="K1332" s="4">
        <v>42</v>
      </c>
      <c r="L1332" s="4">
        <v>0</v>
      </c>
      <c r="M1332" s="4">
        <v>55</v>
      </c>
      <c r="N1332" s="4">
        <v>0</v>
      </c>
    </row>
    <row r="1333" spans="1:14">
      <c r="A1333" s="3">
        <v>812856</v>
      </c>
      <c r="B1333" s="3">
        <v>172497</v>
      </c>
      <c r="C1333" s="4">
        <v>9</v>
      </c>
      <c r="D1333" s="4">
        <v>0</v>
      </c>
      <c r="E1333" s="4">
        <v>10</v>
      </c>
      <c r="F1333" s="4">
        <v>20</v>
      </c>
      <c r="G1333" s="4">
        <v>2.5</v>
      </c>
      <c r="H1333" s="4">
        <v>0</v>
      </c>
      <c r="I1333" s="4">
        <v>10</v>
      </c>
      <c r="J1333" s="4">
        <v>10</v>
      </c>
      <c r="K1333" s="4">
        <v>0</v>
      </c>
      <c r="L1333" s="4">
        <v>0</v>
      </c>
      <c r="M1333" s="4">
        <v>10</v>
      </c>
      <c r="N1333" s="4">
        <v>7.5</v>
      </c>
    </row>
    <row r="1334" spans="1:14">
      <c r="A1334" s="3">
        <v>812859</v>
      </c>
      <c r="B1334" s="3">
        <v>119034</v>
      </c>
      <c r="C1334" s="4">
        <v>25</v>
      </c>
      <c r="D1334" s="4">
        <v>57.5</v>
      </c>
      <c r="E1334" s="4">
        <v>15</v>
      </c>
      <c r="F1334" s="4">
        <v>40</v>
      </c>
      <c r="G1334" s="4">
        <v>10</v>
      </c>
      <c r="H1334" s="4">
        <v>10</v>
      </c>
      <c r="I1334" s="4">
        <v>27</v>
      </c>
      <c r="J1334" s="4">
        <v>0</v>
      </c>
      <c r="K1334" s="4">
        <v>50</v>
      </c>
      <c r="L1334" s="4">
        <v>45</v>
      </c>
      <c r="M1334" s="4">
        <v>0</v>
      </c>
      <c r="N1334" s="4">
        <v>122.5</v>
      </c>
    </row>
    <row r="1335" spans="1:14">
      <c r="A1335" s="3">
        <v>812860</v>
      </c>
      <c r="B1335" s="3">
        <v>202852</v>
      </c>
      <c r="C1335" s="4">
        <v>35</v>
      </c>
      <c r="D1335" s="4">
        <v>0</v>
      </c>
      <c r="E1335" s="4">
        <v>34</v>
      </c>
      <c r="F1335" s="4">
        <v>20</v>
      </c>
      <c r="G1335" s="4">
        <v>25</v>
      </c>
      <c r="H1335" s="4">
        <v>20</v>
      </c>
      <c r="I1335" s="4">
        <v>10</v>
      </c>
      <c r="J1335" s="4">
        <v>0</v>
      </c>
      <c r="K1335" s="4">
        <v>10</v>
      </c>
      <c r="L1335" s="4">
        <v>35</v>
      </c>
      <c r="M1335" s="4">
        <v>0</v>
      </c>
      <c r="N1335" s="4">
        <v>20</v>
      </c>
    </row>
    <row r="1336" spans="1:14">
      <c r="A1336" s="3">
        <v>812861</v>
      </c>
      <c r="B1336" s="3">
        <v>176833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20</v>
      </c>
      <c r="N1336" s="4">
        <v>0</v>
      </c>
    </row>
    <row r="1337" spans="1:14">
      <c r="A1337" s="3">
        <v>812863</v>
      </c>
      <c r="B1337" s="3">
        <v>145394</v>
      </c>
      <c r="C1337" s="4">
        <v>53</v>
      </c>
      <c r="D1337" s="4">
        <v>30</v>
      </c>
      <c r="E1337" s="4">
        <v>65</v>
      </c>
      <c r="F1337" s="4">
        <v>21.5</v>
      </c>
      <c r="G1337" s="4">
        <v>58.75</v>
      </c>
      <c r="H1337" s="4">
        <v>35</v>
      </c>
      <c r="I1337" s="4">
        <v>35</v>
      </c>
      <c r="J1337" s="4">
        <v>20</v>
      </c>
      <c r="K1337" s="4">
        <v>86.5</v>
      </c>
      <c r="L1337" s="4">
        <v>40</v>
      </c>
      <c r="M1337" s="4">
        <v>41.5</v>
      </c>
      <c r="N1337" s="4">
        <v>50</v>
      </c>
    </row>
    <row r="1338" spans="1:14">
      <c r="A1338" s="3">
        <v>812866</v>
      </c>
      <c r="B1338" s="3">
        <v>141674</v>
      </c>
      <c r="C1338" s="4">
        <v>8</v>
      </c>
      <c r="D1338" s="4">
        <v>0</v>
      </c>
      <c r="E1338" s="4">
        <v>8</v>
      </c>
      <c r="F1338" s="4">
        <v>0</v>
      </c>
      <c r="G1338" s="4">
        <v>0</v>
      </c>
      <c r="H1338" s="4">
        <v>22.5</v>
      </c>
      <c r="I1338" s="4">
        <v>22</v>
      </c>
      <c r="J1338" s="4">
        <v>20.5</v>
      </c>
      <c r="K1338" s="4">
        <v>22.5</v>
      </c>
      <c r="L1338" s="4">
        <v>36.5</v>
      </c>
      <c r="M1338" s="4">
        <v>37</v>
      </c>
      <c r="N1338" s="4">
        <v>95</v>
      </c>
    </row>
    <row r="1339" spans="1:14">
      <c r="A1339" s="3">
        <v>812869</v>
      </c>
      <c r="B1339" s="3">
        <v>202913</v>
      </c>
      <c r="C1339" s="4">
        <v>0</v>
      </c>
      <c r="D1339" s="4">
        <v>0</v>
      </c>
      <c r="E1339" s="4">
        <v>0</v>
      </c>
      <c r="F1339" s="4">
        <v>0</v>
      </c>
      <c r="G1339" s="4">
        <v>74</v>
      </c>
      <c r="H1339" s="4">
        <v>63</v>
      </c>
      <c r="I1339" s="4">
        <v>30</v>
      </c>
      <c r="J1339" s="4">
        <v>45</v>
      </c>
      <c r="K1339" s="4">
        <v>60</v>
      </c>
      <c r="L1339" s="4">
        <v>78.5</v>
      </c>
      <c r="M1339" s="4">
        <v>40</v>
      </c>
      <c r="N1339" s="4">
        <v>20</v>
      </c>
    </row>
    <row r="1340" spans="1:14">
      <c r="A1340" s="3">
        <v>812880</v>
      </c>
      <c r="B1340" s="3">
        <v>175856</v>
      </c>
      <c r="C1340" s="4">
        <v>0</v>
      </c>
      <c r="D1340" s="4">
        <v>5</v>
      </c>
      <c r="E1340" s="4">
        <v>25</v>
      </c>
      <c r="F1340" s="4">
        <v>14</v>
      </c>
      <c r="G1340" s="4">
        <v>10</v>
      </c>
      <c r="H1340" s="4">
        <v>0</v>
      </c>
      <c r="I1340" s="4">
        <v>20</v>
      </c>
      <c r="J1340" s="4">
        <v>21</v>
      </c>
      <c r="K1340" s="4">
        <v>33</v>
      </c>
      <c r="L1340" s="4">
        <v>52</v>
      </c>
      <c r="M1340" s="4">
        <v>25</v>
      </c>
      <c r="N1340" s="4">
        <v>21</v>
      </c>
    </row>
    <row r="1341" spans="1:14">
      <c r="A1341" s="3">
        <v>812883</v>
      </c>
      <c r="B1341" s="3">
        <v>149825</v>
      </c>
      <c r="C1341" s="4">
        <v>26</v>
      </c>
      <c r="D1341" s="4">
        <v>10</v>
      </c>
      <c r="E1341" s="4">
        <v>35</v>
      </c>
      <c r="F1341" s="4">
        <v>40</v>
      </c>
      <c r="G1341" s="4">
        <v>63.5</v>
      </c>
      <c r="H1341" s="4">
        <v>20</v>
      </c>
      <c r="I1341" s="4">
        <v>20</v>
      </c>
      <c r="J1341" s="4">
        <v>10</v>
      </c>
      <c r="K1341" s="4">
        <v>32.5</v>
      </c>
      <c r="L1341" s="4">
        <v>10</v>
      </c>
      <c r="M1341" s="4">
        <v>15</v>
      </c>
      <c r="N1341" s="4">
        <v>55</v>
      </c>
    </row>
    <row r="1342" spans="1:14">
      <c r="A1342" s="3">
        <v>812884</v>
      </c>
      <c r="B1342" s="3">
        <v>205620</v>
      </c>
      <c r="C1342" s="4">
        <v>200</v>
      </c>
      <c r="D1342" s="4">
        <v>42.5</v>
      </c>
      <c r="E1342" s="4">
        <v>30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</row>
    <row r="1343" spans="1:14">
      <c r="A1343" s="3">
        <v>812891</v>
      </c>
      <c r="B1343" s="3">
        <v>119212</v>
      </c>
      <c r="C1343" s="4">
        <v>59</v>
      </c>
      <c r="D1343" s="4">
        <v>10</v>
      </c>
      <c r="E1343" s="4">
        <v>88</v>
      </c>
      <c r="F1343" s="4">
        <v>129.30000000000001</v>
      </c>
      <c r="G1343" s="4">
        <v>72.75</v>
      </c>
      <c r="H1343" s="4">
        <v>35</v>
      </c>
      <c r="I1343" s="4">
        <v>47.5</v>
      </c>
      <c r="J1343" s="4">
        <v>22.5</v>
      </c>
      <c r="K1343" s="4">
        <v>58</v>
      </c>
      <c r="L1343" s="4">
        <v>32.75</v>
      </c>
      <c r="M1343" s="4">
        <v>34.5</v>
      </c>
      <c r="N1343" s="4">
        <v>23.5</v>
      </c>
    </row>
    <row r="1344" spans="1:14">
      <c r="A1344" s="3">
        <v>812893</v>
      </c>
      <c r="B1344" s="3">
        <v>170248</v>
      </c>
      <c r="C1344" s="4">
        <v>5</v>
      </c>
      <c r="D1344" s="4">
        <v>0</v>
      </c>
      <c r="E1344" s="4">
        <v>1</v>
      </c>
      <c r="F1344" s="4">
        <v>0</v>
      </c>
      <c r="G1344" s="4">
        <v>7</v>
      </c>
      <c r="H1344" s="4">
        <v>7.5</v>
      </c>
      <c r="I1344" s="4">
        <v>0</v>
      </c>
      <c r="J1344" s="4">
        <v>0</v>
      </c>
      <c r="K1344" s="4">
        <v>1</v>
      </c>
      <c r="L1344" s="4">
        <v>0</v>
      </c>
      <c r="M1344" s="4">
        <v>0</v>
      </c>
      <c r="N1344" s="4">
        <v>0</v>
      </c>
    </row>
    <row r="1345" spans="1:14">
      <c r="A1345" s="3">
        <v>812897</v>
      </c>
      <c r="B1345" s="3">
        <v>202329</v>
      </c>
      <c r="C1345" s="4">
        <v>27.5</v>
      </c>
      <c r="D1345" s="4">
        <v>37</v>
      </c>
      <c r="E1345" s="4">
        <v>34</v>
      </c>
      <c r="F1345" s="4">
        <v>58.5</v>
      </c>
      <c r="G1345" s="4">
        <v>41.5</v>
      </c>
      <c r="H1345" s="4">
        <v>42</v>
      </c>
      <c r="I1345" s="4">
        <v>30</v>
      </c>
      <c r="J1345" s="4">
        <v>30</v>
      </c>
      <c r="K1345" s="4">
        <v>50</v>
      </c>
      <c r="L1345" s="4">
        <v>105.5</v>
      </c>
      <c r="M1345" s="4">
        <v>105</v>
      </c>
      <c r="N1345" s="4">
        <v>135</v>
      </c>
    </row>
    <row r="1346" spans="1:14">
      <c r="A1346" s="3">
        <v>812899</v>
      </c>
      <c r="B1346" s="3">
        <v>202329</v>
      </c>
      <c r="C1346" s="4">
        <v>37.5</v>
      </c>
      <c r="D1346" s="4">
        <v>38</v>
      </c>
      <c r="E1346" s="4">
        <v>15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</row>
    <row r="1347" spans="1:14">
      <c r="A1347" s="3">
        <v>812900</v>
      </c>
      <c r="B1347" s="3">
        <v>171662</v>
      </c>
      <c r="C1347" s="4">
        <v>83.9</v>
      </c>
      <c r="D1347" s="4">
        <v>70</v>
      </c>
      <c r="E1347" s="4">
        <v>105</v>
      </c>
      <c r="F1347" s="4">
        <v>54.5</v>
      </c>
      <c r="G1347" s="4">
        <v>82.5</v>
      </c>
      <c r="H1347" s="4">
        <v>57.5</v>
      </c>
      <c r="I1347" s="4">
        <v>50</v>
      </c>
      <c r="J1347" s="4">
        <v>72</v>
      </c>
      <c r="K1347" s="4">
        <v>124.5</v>
      </c>
      <c r="L1347" s="4">
        <v>80</v>
      </c>
      <c r="M1347" s="4">
        <v>27.5</v>
      </c>
      <c r="N1347" s="4">
        <v>95.5</v>
      </c>
    </row>
    <row r="1348" spans="1:14">
      <c r="A1348" s="3">
        <v>812902</v>
      </c>
      <c r="B1348" s="3">
        <v>170248</v>
      </c>
      <c r="C1348" s="4">
        <v>1</v>
      </c>
      <c r="D1348" s="4">
        <v>15</v>
      </c>
      <c r="E1348" s="4">
        <v>0</v>
      </c>
      <c r="F1348" s="4">
        <v>10</v>
      </c>
      <c r="G1348" s="4">
        <v>12</v>
      </c>
      <c r="H1348" s="4">
        <v>7.5</v>
      </c>
      <c r="I1348" s="4">
        <v>0</v>
      </c>
      <c r="J1348" s="4">
        <v>0</v>
      </c>
      <c r="K1348" s="4">
        <v>1</v>
      </c>
      <c r="L1348" s="4">
        <v>2.5</v>
      </c>
      <c r="M1348" s="4">
        <v>13</v>
      </c>
      <c r="N1348" s="4">
        <v>15</v>
      </c>
    </row>
    <row r="1349" spans="1:14">
      <c r="A1349" s="3">
        <v>812903</v>
      </c>
      <c r="B1349" s="3">
        <v>203421</v>
      </c>
      <c r="C1349" s="4">
        <v>84</v>
      </c>
      <c r="D1349" s="4">
        <v>66.5</v>
      </c>
      <c r="E1349" s="4">
        <v>71.5</v>
      </c>
      <c r="F1349" s="4">
        <v>80.5</v>
      </c>
      <c r="G1349" s="4">
        <v>75.400000000000006</v>
      </c>
      <c r="H1349" s="4">
        <v>60</v>
      </c>
      <c r="I1349" s="4">
        <v>35</v>
      </c>
      <c r="J1349" s="4">
        <v>43</v>
      </c>
      <c r="K1349" s="4">
        <v>77</v>
      </c>
      <c r="L1349" s="4">
        <v>55</v>
      </c>
      <c r="M1349" s="4">
        <v>45</v>
      </c>
      <c r="N1349" s="4">
        <v>90</v>
      </c>
    </row>
    <row r="1350" spans="1:14">
      <c r="A1350" s="3">
        <v>812905</v>
      </c>
      <c r="B1350" s="3">
        <v>170248</v>
      </c>
      <c r="C1350" s="4">
        <v>5</v>
      </c>
      <c r="D1350" s="4">
        <v>10</v>
      </c>
      <c r="E1350" s="4">
        <v>7</v>
      </c>
      <c r="F1350" s="4">
        <v>10</v>
      </c>
      <c r="G1350" s="4">
        <v>12</v>
      </c>
      <c r="H1350" s="4">
        <v>7.5</v>
      </c>
      <c r="I1350" s="4">
        <v>20</v>
      </c>
      <c r="J1350" s="4">
        <v>5</v>
      </c>
      <c r="K1350" s="4">
        <v>0</v>
      </c>
      <c r="L1350" s="4">
        <v>24</v>
      </c>
      <c r="M1350" s="4">
        <v>10</v>
      </c>
      <c r="N1350" s="4">
        <v>10</v>
      </c>
    </row>
    <row r="1351" spans="1:14">
      <c r="A1351" s="3">
        <v>812909</v>
      </c>
      <c r="B1351" s="3">
        <v>203156</v>
      </c>
      <c r="C1351" s="4">
        <v>10</v>
      </c>
      <c r="D1351" s="4">
        <v>5</v>
      </c>
      <c r="E1351" s="4">
        <v>0</v>
      </c>
      <c r="F1351" s="4">
        <v>30</v>
      </c>
      <c r="G1351" s="4">
        <v>12.5</v>
      </c>
      <c r="H1351" s="4">
        <v>47.5</v>
      </c>
      <c r="I1351" s="4">
        <v>72.5</v>
      </c>
      <c r="J1351" s="4">
        <v>57</v>
      </c>
      <c r="K1351" s="4">
        <v>85</v>
      </c>
      <c r="L1351" s="4">
        <v>82.5</v>
      </c>
      <c r="M1351" s="4">
        <v>55</v>
      </c>
      <c r="N1351" s="4">
        <v>13</v>
      </c>
    </row>
    <row r="1352" spans="1:14">
      <c r="A1352" s="3">
        <v>812920</v>
      </c>
      <c r="B1352" s="3">
        <v>149885</v>
      </c>
      <c r="C1352" s="4">
        <v>0</v>
      </c>
      <c r="D1352" s="4">
        <v>10</v>
      </c>
      <c r="E1352" s="4">
        <v>15</v>
      </c>
      <c r="F1352" s="4">
        <v>35</v>
      </c>
      <c r="G1352" s="4">
        <v>0</v>
      </c>
      <c r="H1352" s="4">
        <v>12.5</v>
      </c>
      <c r="I1352" s="4">
        <v>7.5</v>
      </c>
      <c r="J1352" s="4">
        <v>7.5</v>
      </c>
      <c r="K1352" s="4">
        <v>0</v>
      </c>
      <c r="L1352" s="4">
        <v>12.5</v>
      </c>
      <c r="M1352" s="4">
        <v>7.5</v>
      </c>
      <c r="N1352" s="4">
        <v>2.5</v>
      </c>
    </row>
    <row r="1353" spans="1:14">
      <c r="A1353" s="3">
        <v>812944</v>
      </c>
      <c r="B1353" s="3">
        <v>177829</v>
      </c>
      <c r="C1353" s="4">
        <v>13</v>
      </c>
      <c r="D1353" s="4">
        <v>41</v>
      </c>
      <c r="E1353" s="4">
        <v>42</v>
      </c>
      <c r="F1353" s="4">
        <v>56.5</v>
      </c>
      <c r="G1353" s="4">
        <v>25.5</v>
      </c>
      <c r="H1353" s="4">
        <v>56</v>
      </c>
      <c r="I1353" s="4">
        <v>74</v>
      </c>
      <c r="J1353" s="4">
        <v>60.5</v>
      </c>
      <c r="K1353" s="4">
        <v>90</v>
      </c>
      <c r="L1353" s="4">
        <v>45</v>
      </c>
      <c r="M1353" s="4">
        <v>54</v>
      </c>
      <c r="N1353" s="4">
        <v>59</v>
      </c>
    </row>
    <row r="1354" spans="1:14">
      <c r="A1354" s="3">
        <v>812947</v>
      </c>
      <c r="B1354" s="3">
        <v>178226</v>
      </c>
      <c r="C1354" s="4">
        <v>27</v>
      </c>
      <c r="D1354" s="4">
        <v>35.5</v>
      </c>
      <c r="E1354" s="4">
        <v>40</v>
      </c>
      <c r="F1354" s="4">
        <v>80</v>
      </c>
      <c r="G1354" s="4">
        <v>80</v>
      </c>
      <c r="H1354" s="4">
        <v>22.5</v>
      </c>
      <c r="I1354" s="4">
        <v>80</v>
      </c>
      <c r="J1354" s="4">
        <v>10</v>
      </c>
      <c r="K1354" s="4">
        <v>60</v>
      </c>
      <c r="L1354" s="4">
        <v>80</v>
      </c>
      <c r="M1354" s="4">
        <v>60</v>
      </c>
      <c r="N1354" s="4">
        <v>50</v>
      </c>
    </row>
    <row r="1355" spans="1:14">
      <c r="A1355" s="3">
        <v>812949</v>
      </c>
      <c r="B1355" s="3">
        <v>204208</v>
      </c>
      <c r="C1355" s="4">
        <v>100</v>
      </c>
      <c r="D1355" s="4">
        <v>80.5</v>
      </c>
      <c r="E1355" s="4">
        <v>60</v>
      </c>
      <c r="F1355" s="4">
        <v>97.5</v>
      </c>
      <c r="G1355" s="4">
        <v>35</v>
      </c>
      <c r="H1355" s="4">
        <v>65</v>
      </c>
      <c r="I1355" s="4">
        <v>35</v>
      </c>
      <c r="J1355" s="4">
        <v>35</v>
      </c>
      <c r="K1355" s="4">
        <v>115</v>
      </c>
      <c r="L1355" s="4">
        <v>70</v>
      </c>
      <c r="M1355" s="4">
        <v>30</v>
      </c>
      <c r="N1355" s="4">
        <v>70</v>
      </c>
    </row>
    <row r="1356" spans="1:14">
      <c r="A1356" s="3">
        <v>812964</v>
      </c>
      <c r="B1356" s="3">
        <v>170132</v>
      </c>
      <c r="C1356" s="4">
        <v>0</v>
      </c>
      <c r="D1356" s="4">
        <v>0</v>
      </c>
      <c r="E1356" s="4">
        <v>21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 spans="1:14">
      <c r="A1357" s="3">
        <v>812964</v>
      </c>
      <c r="B1357" s="3">
        <v>170146</v>
      </c>
      <c r="C1357" s="4">
        <v>10</v>
      </c>
      <c r="D1357" s="4">
        <v>20</v>
      </c>
      <c r="E1357" s="4">
        <v>60</v>
      </c>
      <c r="F1357" s="4">
        <v>86</v>
      </c>
      <c r="G1357" s="4">
        <v>25</v>
      </c>
      <c r="H1357" s="4">
        <v>77</v>
      </c>
      <c r="I1357" s="4">
        <v>65</v>
      </c>
      <c r="J1357" s="4">
        <v>20</v>
      </c>
      <c r="K1357" s="4">
        <v>55</v>
      </c>
      <c r="L1357" s="4">
        <v>14</v>
      </c>
      <c r="M1357" s="4">
        <v>35</v>
      </c>
      <c r="N1357" s="4">
        <v>135</v>
      </c>
    </row>
    <row r="1358" spans="1:14">
      <c r="A1358" s="3">
        <v>812967</v>
      </c>
      <c r="B1358" s="3">
        <v>177829</v>
      </c>
      <c r="C1358" s="4">
        <v>58.5</v>
      </c>
      <c r="D1358" s="4">
        <v>62.5</v>
      </c>
      <c r="E1358" s="4">
        <v>81</v>
      </c>
      <c r="F1358" s="4">
        <v>106.5</v>
      </c>
      <c r="G1358" s="4">
        <v>72.5</v>
      </c>
      <c r="H1358" s="4">
        <v>97</v>
      </c>
      <c r="I1358" s="4">
        <v>26</v>
      </c>
      <c r="J1358" s="4">
        <v>41</v>
      </c>
      <c r="K1358" s="4">
        <v>58</v>
      </c>
      <c r="L1358" s="4">
        <v>85.5</v>
      </c>
      <c r="M1358" s="4">
        <v>84.5</v>
      </c>
      <c r="N1358" s="4">
        <v>133</v>
      </c>
    </row>
    <row r="1359" spans="1:14">
      <c r="A1359" s="3">
        <v>812969</v>
      </c>
      <c r="B1359" s="3">
        <v>140481</v>
      </c>
      <c r="C1359" s="4">
        <v>81.5</v>
      </c>
      <c r="D1359" s="4">
        <v>101.75</v>
      </c>
      <c r="E1359" s="4">
        <v>107</v>
      </c>
      <c r="F1359" s="4">
        <v>157</v>
      </c>
      <c r="G1359" s="4">
        <v>135</v>
      </c>
      <c r="H1359" s="4">
        <v>133.4</v>
      </c>
      <c r="I1359" s="4">
        <v>135.5</v>
      </c>
      <c r="J1359" s="4">
        <v>125</v>
      </c>
      <c r="K1359" s="4">
        <v>186</v>
      </c>
      <c r="L1359" s="4">
        <v>147</v>
      </c>
      <c r="M1359" s="4">
        <v>104</v>
      </c>
      <c r="N1359" s="4">
        <v>107</v>
      </c>
    </row>
    <row r="1360" spans="1:14">
      <c r="A1360" s="3">
        <v>812971</v>
      </c>
      <c r="B1360" s="3">
        <v>142353</v>
      </c>
      <c r="C1360" s="4">
        <v>45</v>
      </c>
      <c r="D1360" s="4">
        <v>35</v>
      </c>
      <c r="E1360" s="4">
        <v>25</v>
      </c>
      <c r="F1360" s="4">
        <v>0</v>
      </c>
      <c r="G1360" s="4">
        <v>35</v>
      </c>
      <c r="H1360" s="4">
        <v>22</v>
      </c>
      <c r="I1360" s="4">
        <v>0</v>
      </c>
      <c r="J1360" s="4">
        <v>15</v>
      </c>
      <c r="K1360" s="4">
        <v>40</v>
      </c>
      <c r="L1360" s="4">
        <v>130</v>
      </c>
      <c r="M1360" s="4">
        <v>51</v>
      </c>
      <c r="N1360" s="4">
        <v>159</v>
      </c>
    </row>
    <row r="1361" spans="1:14">
      <c r="A1361" s="3">
        <v>812976</v>
      </c>
      <c r="B1361" s="3">
        <v>119028</v>
      </c>
      <c r="C1361" s="4">
        <v>4</v>
      </c>
      <c r="D1361" s="4">
        <v>0</v>
      </c>
      <c r="E1361" s="4">
        <v>31</v>
      </c>
      <c r="F1361" s="4">
        <v>43</v>
      </c>
      <c r="G1361" s="4">
        <v>41</v>
      </c>
      <c r="H1361" s="4">
        <v>31</v>
      </c>
      <c r="I1361" s="4">
        <v>0</v>
      </c>
      <c r="J1361" s="4">
        <v>31</v>
      </c>
      <c r="K1361" s="4">
        <v>10</v>
      </c>
      <c r="L1361" s="4">
        <v>35</v>
      </c>
      <c r="M1361" s="4">
        <v>21</v>
      </c>
      <c r="N1361" s="4">
        <v>0</v>
      </c>
    </row>
    <row r="1362" spans="1:14">
      <c r="A1362" s="3">
        <v>812978</v>
      </c>
      <c r="B1362" s="3">
        <v>172906</v>
      </c>
      <c r="C1362" s="4">
        <v>0.85</v>
      </c>
      <c r="D1362" s="4">
        <v>15</v>
      </c>
      <c r="E1362" s="4">
        <v>52</v>
      </c>
      <c r="F1362" s="4">
        <v>21</v>
      </c>
      <c r="G1362" s="4">
        <v>72.5</v>
      </c>
      <c r="H1362" s="4">
        <v>15</v>
      </c>
      <c r="I1362" s="4">
        <v>0</v>
      </c>
      <c r="J1362" s="4">
        <v>0</v>
      </c>
      <c r="K1362" s="4">
        <v>27.5</v>
      </c>
      <c r="L1362" s="4">
        <v>0</v>
      </c>
      <c r="M1362" s="4">
        <v>20</v>
      </c>
      <c r="N1362" s="4">
        <v>50.5</v>
      </c>
    </row>
    <row r="1363" spans="1:14">
      <c r="A1363" s="3">
        <v>812983</v>
      </c>
      <c r="B1363" s="3">
        <v>119212</v>
      </c>
      <c r="C1363" s="4">
        <v>62.5</v>
      </c>
      <c r="D1363" s="4">
        <v>42</v>
      </c>
      <c r="E1363" s="4">
        <v>42.25</v>
      </c>
      <c r="F1363" s="4">
        <v>37.5</v>
      </c>
      <c r="G1363" s="4">
        <v>99.45</v>
      </c>
      <c r="H1363" s="4">
        <v>77.5</v>
      </c>
      <c r="I1363" s="4">
        <v>57</v>
      </c>
      <c r="J1363" s="4">
        <v>25</v>
      </c>
      <c r="K1363" s="4">
        <v>28</v>
      </c>
      <c r="L1363" s="4">
        <v>15</v>
      </c>
      <c r="M1363" s="4">
        <v>10</v>
      </c>
      <c r="N1363" s="4">
        <v>0</v>
      </c>
    </row>
    <row r="1364" spans="1:14">
      <c r="A1364" s="3">
        <v>812984</v>
      </c>
      <c r="B1364" s="3">
        <v>178230</v>
      </c>
      <c r="C1364" s="4">
        <v>88.5</v>
      </c>
      <c r="D1364" s="4">
        <v>58.5</v>
      </c>
      <c r="E1364" s="4">
        <v>115</v>
      </c>
      <c r="F1364" s="4">
        <v>73.5</v>
      </c>
      <c r="G1364" s="4">
        <v>40</v>
      </c>
      <c r="H1364" s="4">
        <v>30</v>
      </c>
      <c r="I1364" s="4">
        <v>39</v>
      </c>
      <c r="J1364" s="4">
        <v>43.5</v>
      </c>
      <c r="K1364" s="4">
        <v>30</v>
      </c>
      <c r="L1364" s="4">
        <v>45</v>
      </c>
      <c r="M1364" s="4">
        <v>15</v>
      </c>
      <c r="N1364" s="4">
        <v>65</v>
      </c>
    </row>
    <row r="1365" spans="1:14">
      <c r="A1365" s="3">
        <v>812985</v>
      </c>
      <c r="B1365" s="3">
        <v>173224</v>
      </c>
      <c r="C1365" s="4">
        <v>25</v>
      </c>
      <c r="D1365" s="4">
        <v>25</v>
      </c>
      <c r="E1365" s="4">
        <v>35</v>
      </c>
      <c r="F1365" s="4">
        <v>37.5</v>
      </c>
      <c r="G1365" s="4">
        <v>30</v>
      </c>
      <c r="H1365" s="4">
        <v>15</v>
      </c>
      <c r="I1365" s="4">
        <v>10</v>
      </c>
      <c r="J1365" s="4">
        <v>10</v>
      </c>
      <c r="K1365" s="4">
        <v>24</v>
      </c>
      <c r="L1365" s="4">
        <v>0</v>
      </c>
      <c r="M1365" s="4">
        <v>0</v>
      </c>
      <c r="N1365" s="4">
        <v>0</v>
      </c>
    </row>
    <row r="1366" spans="1:14">
      <c r="A1366" s="3">
        <v>812986</v>
      </c>
      <c r="B1366" s="3">
        <v>173224</v>
      </c>
      <c r="C1366" s="4">
        <v>25</v>
      </c>
      <c r="D1366" s="4">
        <v>25</v>
      </c>
      <c r="E1366" s="4">
        <v>35</v>
      </c>
      <c r="F1366" s="4">
        <v>52.5</v>
      </c>
      <c r="G1366" s="4">
        <v>37.5</v>
      </c>
      <c r="H1366" s="4">
        <v>10</v>
      </c>
      <c r="I1366" s="4">
        <v>0</v>
      </c>
      <c r="J1366" s="4">
        <v>42.5</v>
      </c>
      <c r="K1366" s="4">
        <v>20</v>
      </c>
      <c r="L1366" s="4">
        <v>0</v>
      </c>
      <c r="M1366" s="4">
        <v>10</v>
      </c>
      <c r="N1366" s="4">
        <v>55</v>
      </c>
    </row>
    <row r="1367" spans="1:14">
      <c r="A1367" s="3">
        <v>812990</v>
      </c>
      <c r="B1367" s="3">
        <v>119038</v>
      </c>
      <c r="C1367" s="4">
        <v>35</v>
      </c>
      <c r="D1367" s="4">
        <v>0</v>
      </c>
      <c r="E1367" s="4">
        <v>0</v>
      </c>
      <c r="F1367" s="4">
        <v>0</v>
      </c>
      <c r="G1367" s="4">
        <v>20</v>
      </c>
      <c r="H1367" s="4">
        <v>0</v>
      </c>
      <c r="I1367" s="4">
        <v>0</v>
      </c>
      <c r="J1367" s="4">
        <v>10</v>
      </c>
      <c r="K1367" s="4">
        <v>10</v>
      </c>
      <c r="L1367" s="4">
        <v>10</v>
      </c>
      <c r="M1367" s="4">
        <v>10</v>
      </c>
      <c r="N1367" s="4">
        <v>0</v>
      </c>
    </row>
    <row r="1368" spans="1:14">
      <c r="A1368" s="3">
        <v>812992</v>
      </c>
      <c r="B1368" s="3">
        <v>173224</v>
      </c>
      <c r="C1368" s="4">
        <v>100</v>
      </c>
      <c r="D1368" s="4">
        <v>95</v>
      </c>
      <c r="E1368" s="4">
        <v>114.5</v>
      </c>
      <c r="F1368" s="4">
        <v>101</v>
      </c>
      <c r="G1368" s="4">
        <v>70</v>
      </c>
      <c r="H1368" s="4">
        <v>47.5</v>
      </c>
      <c r="I1368" s="4">
        <v>60</v>
      </c>
      <c r="J1368" s="4">
        <v>45</v>
      </c>
      <c r="K1368" s="4">
        <v>147.5</v>
      </c>
      <c r="L1368" s="4">
        <v>68.5</v>
      </c>
      <c r="M1368" s="4">
        <v>75</v>
      </c>
      <c r="N1368" s="4">
        <v>106</v>
      </c>
    </row>
    <row r="1369" spans="1:14">
      <c r="A1369" s="3">
        <v>812994</v>
      </c>
      <c r="B1369" s="3">
        <v>173224</v>
      </c>
      <c r="C1369" s="4">
        <v>98.5</v>
      </c>
      <c r="D1369" s="4">
        <v>85</v>
      </c>
      <c r="E1369" s="4">
        <v>102.5</v>
      </c>
      <c r="F1369" s="4">
        <v>84.5</v>
      </c>
      <c r="G1369" s="4">
        <v>75</v>
      </c>
      <c r="H1369" s="4">
        <v>37.5</v>
      </c>
      <c r="I1369" s="4">
        <v>60</v>
      </c>
      <c r="J1369" s="4">
        <v>25</v>
      </c>
      <c r="K1369" s="4">
        <v>60</v>
      </c>
      <c r="L1369" s="4">
        <v>80</v>
      </c>
      <c r="M1369" s="4">
        <v>57.5</v>
      </c>
      <c r="N1369" s="4">
        <v>147.5</v>
      </c>
    </row>
    <row r="1370" spans="1:14">
      <c r="A1370" s="3">
        <v>812996</v>
      </c>
      <c r="B1370" s="3">
        <v>201280</v>
      </c>
      <c r="C1370" s="4">
        <v>72</v>
      </c>
      <c r="D1370" s="4">
        <v>0</v>
      </c>
      <c r="E1370" s="4">
        <v>31</v>
      </c>
      <c r="F1370" s="4">
        <v>26</v>
      </c>
      <c r="G1370" s="4">
        <v>2</v>
      </c>
      <c r="H1370" s="4">
        <v>14</v>
      </c>
      <c r="I1370" s="4">
        <v>7.5</v>
      </c>
      <c r="J1370" s="4">
        <v>5</v>
      </c>
      <c r="K1370" s="4">
        <v>35</v>
      </c>
      <c r="L1370" s="4">
        <v>86.5</v>
      </c>
      <c r="M1370" s="4">
        <v>53.9</v>
      </c>
      <c r="N1370" s="4">
        <v>100</v>
      </c>
    </row>
    <row r="1371" spans="1:14">
      <c r="A1371" s="3">
        <v>812999</v>
      </c>
      <c r="B1371" s="3">
        <v>148233</v>
      </c>
      <c r="C1371" s="4">
        <v>0</v>
      </c>
      <c r="D1371" s="4">
        <v>0</v>
      </c>
      <c r="E1371" s="4">
        <v>60</v>
      </c>
      <c r="F1371" s="4">
        <v>0</v>
      </c>
      <c r="G1371" s="4">
        <v>35</v>
      </c>
      <c r="H1371" s="4">
        <v>35</v>
      </c>
      <c r="I1371" s="4">
        <v>0</v>
      </c>
      <c r="J1371" s="4">
        <v>35</v>
      </c>
      <c r="K1371" s="4">
        <v>0</v>
      </c>
      <c r="L1371" s="4">
        <v>0</v>
      </c>
      <c r="M1371" s="4">
        <v>30</v>
      </c>
      <c r="N1371" s="4">
        <v>0</v>
      </c>
    </row>
    <row r="1372" spans="1:14">
      <c r="A1372" s="3">
        <v>813001</v>
      </c>
      <c r="B1372" s="3">
        <v>201280</v>
      </c>
      <c r="C1372" s="4">
        <v>45</v>
      </c>
      <c r="D1372" s="4">
        <v>0</v>
      </c>
      <c r="E1372" s="4">
        <v>84</v>
      </c>
      <c r="F1372" s="4">
        <v>89</v>
      </c>
      <c r="G1372" s="4">
        <v>22</v>
      </c>
      <c r="H1372" s="4">
        <v>1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</row>
    <row r="1373" spans="1:14">
      <c r="A1373" s="3">
        <v>813002</v>
      </c>
      <c r="B1373" s="3">
        <v>201280</v>
      </c>
      <c r="C1373" s="4">
        <v>376.7</v>
      </c>
      <c r="D1373" s="4">
        <v>0</v>
      </c>
      <c r="E1373" s="4">
        <v>0</v>
      </c>
      <c r="F1373" s="4">
        <v>113</v>
      </c>
      <c r="G1373" s="4">
        <v>156</v>
      </c>
      <c r="H1373" s="4">
        <v>157</v>
      </c>
      <c r="I1373" s="4">
        <v>305</v>
      </c>
      <c r="J1373" s="4">
        <v>45</v>
      </c>
      <c r="K1373" s="4">
        <v>205.9</v>
      </c>
      <c r="L1373" s="4">
        <v>192</v>
      </c>
      <c r="M1373" s="4">
        <v>152</v>
      </c>
      <c r="N1373" s="4">
        <v>103</v>
      </c>
    </row>
    <row r="1374" spans="1:14">
      <c r="A1374" s="3">
        <v>813003</v>
      </c>
      <c r="B1374" s="3">
        <v>177016</v>
      </c>
      <c r="C1374" s="4">
        <v>50</v>
      </c>
      <c r="D1374" s="4">
        <v>60</v>
      </c>
      <c r="E1374" s="4">
        <v>75</v>
      </c>
      <c r="F1374" s="4">
        <v>67.5</v>
      </c>
      <c r="G1374" s="4">
        <v>76</v>
      </c>
      <c r="H1374" s="4">
        <v>61</v>
      </c>
      <c r="I1374" s="4">
        <v>107</v>
      </c>
      <c r="J1374" s="4">
        <v>65</v>
      </c>
      <c r="K1374" s="4">
        <v>152</v>
      </c>
      <c r="L1374" s="4">
        <v>50</v>
      </c>
      <c r="M1374" s="4">
        <v>112.5</v>
      </c>
      <c r="N1374" s="4">
        <v>126</v>
      </c>
    </row>
    <row r="1375" spans="1:14">
      <c r="A1375" s="3">
        <v>813005</v>
      </c>
      <c r="B1375" s="3">
        <v>179486</v>
      </c>
      <c r="C1375" s="4">
        <v>10</v>
      </c>
      <c r="D1375" s="4">
        <v>30</v>
      </c>
      <c r="E1375" s="4">
        <v>0</v>
      </c>
      <c r="F1375" s="4">
        <v>37.5</v>
      </c>
      <c r="G1375" s="4">
        <v>30</v>
      </c>
      <c r="H1375" s="4">
        <v>50</v>
      </c>
      <c r="I1375" s="4">
        <v>0</v>
      </c>
      <c r="J1375" s="4">
        <v>10</v>
      </c>
      <c r="K1375" s="4">
        <v>42</v>
      </c>
      <c r="L1375" s="4">
        <v>30</v>
      </c>
      <c r="M1375" s="4">
        <v>20</v>
      </c>
      <c r="N1375" s="4">
        <v>10</v>
      </c>
    </row>
    <row r="1376" spans="1:14">
      <c r="A1376" s="3">
        <v>813006</v>
      </c>
      <c r="B1376" s="3">
        <v>178230</v>
      </c>
      <c r="C1376" s="4">
        <v>40</v>
      </c>
      <c r="D1376" s="4">
        <v>30.5</v>
      </c>
      <c r="E1376" s="4">
        <v>20</v>
      </c>
      <c r="F1376" s="4">
        <v>0</v>
      </c>
      <c r="G1376" s="4">
        <v>50</v>
      </c>
      <c r="H1376" s="4">
        <v>0</v>
      </c>
      <c r="I1376" s="4">
        <v>52</v>
      </c>
      <c r="J1376" s="4">
        <v>20</v>
      </c>
      <c r="K1376" s="4">
        <v>20</v>
      </c>
      <c r="L1376" s="4">
        <v>30</v>
      </c>
      <c r="M1376" s="4">
        <v>20</v>
      </c>
      <c r="N1376" s="4">
        <v>80</v>
      </c>
    </row>
    <row r="1377" spans="1:14">
      <c r="A1377" s="3">
        <v>813007</v>
      </c>
      <c r="B1377" s="3">
        <v>170617</v>
      </c>
      <c r="C1377" s="4">
        <v>15</v>
      </c>
      <c r="D1377" s="4">
        <v>45</v>
      </c>
      <c r="E1377" s="4">
        <v>0</v>
      </c>
      <c r="F1377" s="4">
        <v>64.75</v>
      </c>
      <c r="G1377" s="4">
        <v>139.75</v>
      </c>
      <c r="H1377" s="4">
        <v>53.85</v>
      </c>
      <c r="I1377" s="4">
        <v>34.5</v>
      </c>
      <c r="J1377" s="4">
        <v>20</v>
      </c>
      <c r="K1377" s="4">
        <v>62.5</v>
      </c>
      <c r="L1377" s="4">
        <v>52.5</v>
      </c>
      <c r="M1377" s="4">
        <v>40</v>
      </c>
      <c r="N1377" s="4">
        <v>77</v>
      </c>
    </row>
    <row r="1378" spans="1:14">
      <c r="A1378" s="3">
        <v>813008</v>
      </c>
      <c r="B1378" s="3">
        <v>145394</v>
      </c>
      <c r="C1378" s="4">
        <v>40</v>
      </c>
      <c r="D1378" s="4">
        <v>30</v>
      </c>
      <c r="E1378" s="4">
        <v>73.5</v>
      </c>
      <c r="F1378" s="4">
        <v>28.5</v>
      </c>
      <c r="G1378" s="4">
        <v>110</v>
      </c>
      <c r="H1378" s="4">
        <v>55</v>
      </c>
      <c r="I1378" s="4">
        <v>35</v>
      </c>
      <c r="J1378" s="4">
        <v>37.5</v>
      </c>
      <c r="K1378" s="4">
        <v>67</v>
      </c>
      <c r="L1378" s="4">
        <v>57.25</v>
      </c>
      <c r="M1378" s="4">
        <v>35</v>
      </c>
      <c r="N1378" s="4">
        <v>40</v>
      </c>
    </row>
    <row r="1379" spans="1:14">
      <c r="A1379" s="3">
        <v>813009</v>
      </c>
      <c r="B1379" s="3">
        <v>175856</v>
      </c>
      <c r="C1379" s="4">
        <v>20</v>
      </c>
      <c r="D1379" s="4">
        <v>30</v>
      </c>
      <c r="E1379" s="4">
        <v>20</v>
      </c>
      <c r="F1379" s="4">
        <v>20</v>
      </c>
      <c r="G1379" s="4">
        <v>10</v>
      </c>
      <c r="H1379" s="4">
        <v>39</v>
      </c>
      <c r="I1379" s="4">
        <v>0</v>
      </c>
      <c r="J1379" s="4">
        <v>21</v>
      </c>
      <c r="K1379" s="4">
        <v>45</v>
      </c>
      <c r="L1379" s="4">
        <v>45</v>
      </c>
      <c r="M1379" s="4">
        <v>40</v>
      </c>
      <c r="N1379" s="4">
        <v>61</v>
      </c>
    </row>
    <row r="1380" spans="1:14">
      <c r="A1380" s="3">
        <v>813010</v>
      </c>
      <c r="B1380" s="3">
        <v>145394</v>
      </c>
      <c r="C1380" s="4">
        <v>11.5</v>
      </c>
      <c r="D1380" s="4">
        <v>12</v>
      </c>
      <c r="E1380" s="4">
        <v>15</v>
      </c>
      <c r="F1380" s="4">
        <v>4.5</v>
      </c>
      <c r="G1380" s="4">
        <v>31</v>
      </c>
      <c r="H1380" s="4">
        <v>40</v>
      </c>
      <c r="I1380" s="4">
        <v>30</v>
      </c>
      <c r="J1380" s="4">
        <v>15</v>
      </c>
      <c r="K1380" s="4">
        <v>30</v>
      </c>
      <c r="L1380" s="4">
        <v>56.5</v>
      </c>
      <c r="M1380" s="4">
        <v>40</v>
      </c>
      <c r="N1380" s="4">
        <v>25</v>
      </c>
    </row>
    <row r="1381" spans="1:14">
      <c r="A1381" s="3">
        <v>813019</v>
      </c>
      <c r="B1381" s="3">
        <v>141115</v>
      </c>
      <c r="C1381" s="4">
        <v>73.5</v>
      </c>
      <c r="D1381" s="4">
        <v>45</v>
      </c>
      <c r="E1381" s="4">
        <v>179.4</v>
      </c>
      <c r="F1381" s="4">
        <v>99</v>
      </c>
      <c r="G1381" s="4">
        <v>35</v>
      </c>
      <c r="H1381" s="4">
        <v>35.5</v>
      </c>
      <c r="I1381" s="4">
        <v>65</v>
      </c>
      <c r="J1381" s="4">
        <v>40</v>
      </c>
      <c r="K1381" s="4">
        <v>52.5</v>
      </c>
      <c r="L1381" s="4">
        <v>0</v>
      </c>
      <c r="M1381" s="4">
        <v>30</v>
      </c>
      <c r="N1381" s="4">
        <v>0</v>
      </c>
    </row>
    <row r="1382" spans="1:14">
      <c r="A1382" s="3">
        <v>813020</v>
      </c>
      <c r="B1382" s="3">
        <v>177068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15</v>
      </c>
    </row>
    <row r="1383" spans="1:14">
      <c r="A1383" s="3">
        <v>813020</v>
      </c>
      <c r="B1383" s="3">
        <v>177662</v>
      </c>
      <c r="C1383" s="4">
        <v>47</v>
      </c>
      <c r="D1383" s="4">
        <v>56</v>
      </c>
      <c r="E1383" s="4">
        <v>51.5</v>
      </c>
      <c r="F1383" s="4">
        <v>52.5</v>
      </c>
      <c r="G1383" s="4">
        <v>53</v>
      </c>
      <c r="H1383" s="4">
        <v>47</v>
      </c>
      <c r="I1383" s="4">
        <v>17.5</v>
      </c>
      <c r="J1383" s="4">
        <v>26.5</v>
      </c>
      <c r="K1383" s="4">
        <v>38</v>
      </c>
      <c r="L1383" s="4">
        <v>52.5</v>
      </c>
      <c r="M1383" s="4">
        <v>25</v>
      </c>
      <c r="N1383" s="4">
        <v>30</v>
      </c>
    </row>
    <row r="1384" spans="1:14">
      <c r="A1384" s="3">
        <v>813021</v>
      </c>
      <c r="B1384" s="3">
        <v>170059</v>
      </c>
      <c r="C1384" s="4">
        <v>0</v>
      </c>
      <c r="D1384" s="4">
        <v>0</v>
      </c>
      <c r="E1384" s="4">
        <v>0</v>
      </c>
      <c r="F1384" s="4">
        <v>65</v>
      </c>
      <c r="G1384" s="4">
        <v>63</v>
      </c>
      <c r="H1384" s="4">
        <v>58</v>
      </c>
      <c r="I1384" s="4">
        <v>55</v>
      </c>
      <c r="J1384" s="4">
        <v>25</v>
      </c>
      <c r="K1384" s="4">
        <v>50</v>
      </c>
      <c r="L1384" s="4">
        <v>82.5</v>
      </c>
      <c r="M1384" s="4">
        <v>67</v>
      </c>
      <c r="N1384" s="4">
        <v>112.5</v>
      </c>
    </row>
    <row r="1385" spans="1:14">
      <c r="A1385" s="3">
        <v>813022</v>
      </c>
      <c r="B1385" s="3">
        <v>143113</v>
      </c>
      <c r="C1385" s="4">
        <v>22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</row>
    <row r="1386" spans="1:14">
      <c r="A1386" s="3">
        <v>813023</v>
      </c>
      <c r="B1386" s="3">
        <v>172193</v>
      </c>
      <c r="C1386" s="4">
        <v>0</v>
      </c>
      <c r="D1386" s="4">
        <v>0</v>
      </c>
      <c r="E1386" s="4">
        <v>0</v>
      </c>
      <c r="F1386" s="4">
        <v>3</v>
      </c>
      <c r="G1386" s="4">
        <v>3.5</v>
      </c>
      <c r="H1386" s="4">
        <v>3</v>
      </c>
      <c r="I1386" s="4">
        <v>0</v>
      </c>
      <c r="J1386" s="4">
        <v>0</v>
      </c>
      <c r="K1386" s="4">
        <v>18.700000000000003</v>
      </c>
      <c r="L1386" s="4">
        <v>0</v>
      </c>
      <c r="M1386" s="4">
        <v>0</v>
      </c>
      <c r="N1386" s="4">
        <v>0</v>
      </c>
    </row>
    <row r="1387" spans="1:14">
      <c r="A1387" s="3">
        <v>813031</v>
      </c>
      <c r="B1387" s="3">
        <v>170775</v>
      </c>
      <c r="C1387" s="4">
        <v>0</v>
      </c>
      <c r="D1387" s="4">
        <v>0</v>
      </c>
      <c r="E1387" s="4">
        <v>10</v>
      </c>
      <c r="F1387" s="4">
        <v>90</v>
      </c>
      <c r="G1387" s="4">
        <v>15</v>
      </c>
      <c r="H1387" s="4">
        <v>15</v>
      </c>
      <c r="I1387" s="4">
        <v>50</v>
      </c>
      <c r="J1387" s="4">
        <v>0</v>
      </c>
      <c r="K1387" s="4">
        <v>25</v>
      </c>
      <c r="L1387" s="4">
        <v>40</v>
      </c>
      <c r="M1387" s="4">
        <v>10</v>
      </c>
      <c r="N1387" s="4">
        <v>0</v>
      </c>
    </row>
    <row r="1388" spans="1:14">
      <c r="A1388" s="3">
        <v>813034</v>
      </c>
      <c r="B1388" s="3">
        <v>170775</v>
      </c>
      <c r="C1388" s="4">
        <v>0</v>
      </c>
      <c r="D1388" s="4">
        <v>0</v>
      </c>
      <c r="E1388" s="4">
        <v>25</v>
      </c>
      <c r="F1388" s="4">
        <v>0</v>
      </c>
      <c r="G1388" s="4">
        <v>0</v>
      </c>
      <c r="H1388" s="4">
        <v>15</v>
      </c>
      <c r="I1388" s="4">
        <v>0</v>
      </c>
      <c r="J1388" s="4">
        <v>20</v>
      </c>
      <c r="K1388" s="4">
        <v>43</v>
      </c>
      <c r="L1388" s="4">
        <v>0</v>
      </c>
      <c r="M1388" s="4">
        <v>0</v>
      </c>
      <c r="N1388" s="4">
        <v>53.5</v>
      </c>
    </row>
    <row r="1389" spans="1:14">
      <c r="A1389" s="3">
        <v>813036</v>
      </c>
      <c r="B1389" s="3">
        <v>149885</v>
      </c>
      <c r="C1389" s="4">
        <v>64.5</v>
      </c>
      <c r="D1389" s="4">
        <v>144.65</v>
      </c>
      <c r="E1389" s="4">
        <v>135</v>
      </c>
      <c r="F1389" s="4">
        <v>112.5</v>
      </c>
      <c r="G1389" s="4">
        <v>118.75</v>
      </c>
      <c r="H1389" s="4">
        <v>62</v>
      </c>
      <c r="I1389" s="4">
        <v>66.75</v>
      </c>
      <c r="J1389" s="4">
        <v>109.5</v>
      </c>
      <c r="K1389" s="4">
        <v>96.1</v>
      </c>
      <c r="L1389" s="4">
        <v>102.5</v>
      </c>
      <c r="M1389" s="4">
        <v>80.5</v>
      </c>
      <c r="N1389" s="4">
        <v>150.6</v>
      </c>
    </row>
    <row r="1390" spans="1:14">
      <c r="A1390" s="3">
        <v>813040</v>
      </c>
      <c r="B1390" s="3">
        <v>201091</v>
      </c>
      <c r="C1390" s="4">
        <v>10</v>
      </c>
      <c r="D1390" s="4">
        <v>20</v>
      </c>
      <c r="E1390" s="4">
        <v>17.5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>
      <c r="A1391" s="3">
        <v>813048</v>
      </c>
      <c r="B1391" s="3">
        <v>179908</v>
      </c>
      <c r="C1391" s="4">
        <v>0</v>
      </c>
      <c r="D1391" s="4">
        <v>10</v>
      </c>
      <c r="E1391" s="4">
        <v>0</v>
      </c>
      <c r="F1391" s="4">
        <v>0</v>
      </c>
      <c r="G1391" s="4">
        <v>0</v>
      </c>
      <c r="H1391" s="4">
        <v>30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10</v>
      </c>
    </row>
    <row r="1392" spans="1:14">
      <c r="A1392" s="3">
        <v>813050</v>
      </c>
      <c r="B1392" s="3">
        <v>177016</v>
      </c>
      <c r="C1392" s="4">
        <v>30</v>
      </c>
      <c r="D1392" s="4">
        <v>19</v>
      </c>
      <c r="E1392" s="4">
        <v>20</v>
      </c>
      <c r="F1392" s="4">
        <v>35</v>
      </c>
      <c r="G1392" s="4">
        <v>10</v>
      </c>
      <c r="H1392" s="4">
        <v>40</v>
      </c>
      <c r="I1392" s="4">
        <v>0</v>
      </c>
      <c r="J1392" s="4">
        <v>19</v>
      </c>
      <c r="K1392" s="4">
        <v>60</v>
      </c>
      <c r="L1392" s="4">
        <v>7.5</v>
      </c>
      <c r="M1392" s="4">
        <v>55</v>
      </c>
      <c r="N1392" s="4">
        <v>105</v>
      </c>
    </row>
    <row r="1393" spans="1:14">
      <c r="A1393" s="3">
        <v>813053</v>
      </c>
      <c r="B1393" s="3">
        <v>177069</v>
      </c>
      <c r="C1393" s="4">
        <v>0</v>
      </c>
      <c r="D1393" s="4">
        <v>25</v>
      </c>
      <c r="E1393" s="4">
        <v>55</v>
      </c>
      <c r="F1393" s="4">
        <v>0</v>
      </c>
      <c r="G1393" s="4">
        <v>0</v>
      </c>
      <c r="H1393" s="4">
        <v>30</v>
      </c>
      <c r="I1393" s="4">
        <v>0</v>
      </c>
      <c r="J1393" s="4">
        <v>0</v>
      </c>
      <c r="K1393" s="4">
        <v>0</v>
      </c>
      <c r="L1393" s="4">
        <v>35</v>
      </c>
      <c r="M1393" s="4">
        <v>35</v>
      </c>
      <c r="N1393" s="4">
        <v>0</v>
      </c>
    </row>
    <row r="1394" spans="1:14">
      <c r="A1394" s="3">
        <v>813054</v>
      </c>
      <c r="B1394" s="3">
        <v>170204</v>
      </c>
      <c r="C1394" s="4">
        <v>115.5</v>
      </c>
      <c r="D1394" s="4">
        <v>68</v>
      </c>
      <c r="E1394" s="4">
        <v>35</v>
      </c>
      <c r="F1394" s="4">
        <v>0</v>
      </c>
      <c r="G1394" s="4">
        <v>0</v>
      </c>
      <c r="H1394" s="4">
        <v>37.5</v>
      </c>
      <c r="I1394" s="4">
        <v>25</v>
      </c>
      <c r="J1394" s="4">
        <v>20</v>
      </c>
      <c r="K1394" s="4">
        <v>35</v>
      </c>
      <c r="L1394" s="4">
        <v>0</v>
      </c>
      <c r="M1394" s="4">
        <v>50</v>
      </c>
      <c r="N1394" s="4">
        <v>25.5</v>
      </c>
    </row>
    <row r="1395" spans="1:14">
      <c r="A1395" s="3">
        <v>813055</v>
      </c>
      <c r="B1395" s="3">
        <v>208156</v>
      </c>
      <c r="C1395" s="4">
        <v>0</v>
      </c>
      <c r="D1395" s="4">
        <v>0</v>
      </c>
      <c r="E1395" s="4">
        <v>10</v>
      </c>
      <c r="F1395" s="4">
        <v>2</v>
      </c>
      <c r="G1395" s="4">
        <v>0</v>
      </c>
      <c r="H1395" s="4">
        <v>0</v>
      </c>
      <c r="I1395" s="4">
        <v>10</v>
      </c>
      <c r="J1395" s="4">
        <v>10</v>
      </c>
      <c r="K1395" s="4">
        <v>0</v>
      </c>
      <c r="L1395" s="4">
        <v>0</v>
      </c>
      <c r="M1395" s="4">
        <v>0</v>
      </c>
      <c r="N1395" s="4">
        <v>3</v>
      </c>
    </row>
    <row r="1396" spans="1:14">
      <c r="A1396" s="3">
        <v>813056</v>
      </c>
      <c r="B1396" s="3">
        <v>141905</v>
      </c>
      <c r="C1396" s="4">
        <v>20</v>
      </c>
      <c r="D1396" s="4">
        <v>20</v>
      </c>
      <c r="E1396" s="4">
        <v>10</v>
      </c>
      <c r="F1396" s="4">
        <v>0</v>
      </c>
      <c r="G1396" s="4">
        <v>32.5</v>
      </c>
      <c r="H1396" s="4">
        <v>28.25</v>
      </c>
      <c r="I1396" s="4">
        <v>17.5</v>
      </c>
      <c r="J1396" s="4">
        <v>0</v>
      </c>
      <c r="K1396" s="4">
        <v>29</v>
      </c>
      <c r="L1396" s="4">
        <v>50</v>
      </c>
      <c r="M1396" s="4">
        <v>39.5</v>
      </c>
      <c r="N1396" s="4">
        <v>58.5</v>
      </c>
    </row>
    <row r="1397" spans="1:14">
      <c r="A1397" s="3">
        <v>813056</v>
      </c>
      <c r="B1397" s="3">
        <v>175856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10</v>
      </c>
      <c r="J1397" s="4">
        <v>10</v>
      </c>
      <c r="K1397" s="4">
        <v>0</v>
      </c>
      <c r="L1397" s="4">
        <v>0</v>
      </c>
      <c r="M1397" s="4">
        <v>0</v>
      </c>
      <c r="N1397" s="4">
        <v>0</v>
      </c>
    </row>
    <row r="1398" spans="1:14">
      <c r="A1398" s="3">
        <v>813060</v>
      </c>
      <c r="B1398" s="3">
        <v>174558</v>
      </c>
      <c r="C1398" s="4">
        <v>0</v>
      </c>
      <c r="D1398" s="4">
        <v>0</v>
      </c>
      <c r="E1398" s="4">
        <v>0</v>
      </c>
      <c r="F1398" s="4">
        <v>35</v>
      </c>
      <c r="G1398" s="4">
        <v>44.5</v>
      </c>
      <c r="H1398" s="4">
        <v>27.5</v>
      </c>
      <c r="I1398" s="4">
        <v>0</v>
      </c>
      <c r="J1398" s="4">
        <v>0</v>
      </c>
      <c r="K1398" s="4">
        <v>15</v>
      </c>
      <c r="L1398" s="4">
        <v>0</v>
      </c>
      <c r="M1398" s="4">
        <v>5</v>
      </c>
      <c r="N1398" s="4">
        <v>30</v>
      </c>
    </row>
    <row r="1399" spans="1:14">
      <c r="A1399" s="3">
        <v>813074</v>
      </c>
      <c r="B1399" s="3">
        <v>177957</v>
      </c>
      <c r="C1399" s="4">
        <v>5</v>
      </c>
      <c r="D1399" s="4">
        <v>0</v>
      </c>
      <c r="E1399" s="4">
        <v>33</v>
      </c>
      <c r="F1399" s="4">
        <v>22.5</v>
      </c>
      <c r="G1399" s="4">
        <v>17</v>
      </c>
      <c r="H1399" s="4">
        <v>31.5</v>
      </c>
      <c r="I1399" s="4">
        <v>5.65</v>
      </c>
      <c r="J1399" s="4">
        <v>21</v>
      </c>
      <c r="K1399" s="4">
        <v>29</v>
      </c>
      <c r="L1399" s="4">
        <v>21</v>
      </c>
      <c r="M1399" s="4">
        <v>14.25</v>
      </c>
      <c r="N1399" s="4">
        <v>25</v>
      </c>
    </row>
    <row r="1400" spans="1:14">
      <c r="A1400" s="3">
        <v>813096</v>
      </c>
      <c r="B1400" s="3">
        <v>119042</v>
      </c>
      <c r="C1400" s="4">
        <v>0</v>
      </c>
      <c r="D1400" s="4">
        <v>15</v>
      </c>
      <c r="E1400" s="4">
        <v>5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</row>
    <row r="1401" spans="1:14">
      <c r="A1401" s="3">
        <v>813099</v>
      </c>
      <c r="B1401" s="3">
        <v>173865</v>
      </c>
      <c r="C1401" s="4">
        <v>20</v>
      </c>
      <c r="D1401" s="4">
        <v>20</v>
      </c>
      <c r="E1401" s="4">
        <v>65</v>
      </c>
      <c r="F1401" s="4">
        <v>20</v>
      </c>
      <c r="G1401" s="4">
        <v>0</v>
      </c>
      <c r="H1401" s="4">
        <v>20</v>
      </c>
      <c r="I1401" s="4">
        <v>10</v>
      </c>
      <c r="J1401" s="4">
        <v>10</v>
      </c>
      <c r="K1401" s="4">
        <v>46.9</v>
      </c>
      <c r="L1401" s="4">
        <v>25</v>
      </c>
      <c r="M1401" s="4">
        <v>10</v>
      </c>
      <c r="N1401" s="4">
        <v>20</v>
      </c>
    </row>
    <row r="1402" spans="1:14">
      <c r="A1402" s="3">
        <v>813101</v>
      </c>
      <c r="B1402" s="3">
        <v>173865</v>
      </c>
      <c r="C1402" s="4">
        <v>0</v>
      </c>
      <c r="D1402" s="4">
        <v>0</v>
      </c>
      <c r="E1402" s="4">
        <v>0</v>
      </c>
      <c r="F1402" s="4">
        <v>25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20</v>
      </c>
      <c r="M1402" s="4">
        <v>0</v>
      </c>
      <c r="N1402" s="4">
        <v>0</v>
      </c>
    </row>
    <row r="1403" spans="1:14">
      <c r="A1403" s="3">
        <v>813105</v>
      </c>
      <c r="B1403" s="3">
        <v>202842</v>
      </c>
      <c r="C1403" s="4">
        <v>0</v>
      </c>
      <c r="D1403" s="4">
        <v>0</v>
      </c>
      <c r="E1403" s="4">
        <v>14</v>
      </c>
      <c r="F1403" s="4">
        <v>39.5</v>
      </c>
      <c r="G1403" s="4">
        <v>45</v>
      </c>
      <c r="H1403" s="4">
        <v>57.5</v>
      </c>
      <c r="I1403" s="4">
        <v>30</v>
      </c>
      <c r="J1403" s="4">
        <v>25</v>
      </c>
      <c r="K1403" s="4">
        <v>95</v>
      </c>
      <c r="L1403" s="4">
        <v>79.5</v>
      </c>
      <c r="M1403" s="4">
        <v>20</v>
      </c>
      <c r="N1403" s="4">
        <v>81.75</v>
      </c>
    </row>
    <row r="1404" spans="1:14">
      <c r="A1404" s="3">
        <v>813118</v>
      </c>
      <c r="B1404" s="3">
        <v>173865</v>
      </c>
      <c r="C1404" s="4">
        <v>20</v>
      </c>
      <c r="D1404" s="4">
        <v>0</v>
      </c>
      <c r="E1404" s="4">
        <v>18.5</v>
      </c>
      <c r="F1404" s="4">
        <v>25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</row>
    <row r="1405" spans="1:14">
      <c r="A1405" s="3">
        <v>813120</v>
      </c>
      <c r="B1405" s="3">
        <v>119042</v>
      </c>
      <c r="C1405" s="4">
        <v>10</v>
      </c>
      <c r="D1405" s="4">
        <v>0</v>
      </c>
      <c r="E1405" s="4">
        <v>10</v>
      </c>
      <c r="F1405" s="4">
        <v>25</v>
      </c>
      <c r="G1405" s="4">
        <v>10</v>
      </c>
      <c r="H1405" s="4">
        <v>20</v>
      </c>
      <c r="I1405" s="4">
        <v>7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</row>
    <row r="1406" spans="1:14">
      <c r="A1406" s="3">
        <v>813122</v>
      </c>
      <c r="B1406" s="3">
        <v>205183</v>
      </c>
      <c r="C1406" s="4">
        <v>0</v>
      </c>
      <c r="D1406" s="4">
        <v>0</v>
      </c>
      <c r="E1406" s="4">
        <v>0</v>
      </c>
      <c r="F1406" s="4">
        <v>20</v>
      </c>
      <c r="G1406" s="4">
        <v>27</v>
      </c>
      <c r="H1406" s="4">
        <v>10</v>
      </c>
      <c r="I1406" s="4">
        <v>15</v>
      </c>
      <c r="J1406" s="4">
        <v>62</v>
      </c>
      <c r="K1406" s="4">
        <v>0</v>
      </c>
      <c r="L1406" s="4">
        <v>0</v>
      </c>
      <c r="M1406" s="4">
        <v>0</v>
      </c>
      <c r="N1406" s="4">
        <v>0</v>
      </c>
    </row>
    <row r="1407" spans="1:14">
      <c r="A1407" s="3">
        <v>813122</v>
      </c>
      <c r="B1407" s="3">
        <v>211137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10</v>
      </c>
    </row>
    <row r="1408" spans="1:14">
      <c r="A1408" s="3">
        <v>813124</v>
      </c>
      <c r="B1408" s="3">
        <v>172640</v>
      </c>
      <c r="C1408" s="4">
        <v>137</v>
      </c>
      <c r="D1408" s="4">
        <v>0</v>
      </c>
      <c r="E1408" s="4">
        <v>0</v>
      </c>
      <c r="F1408" s="4">
        <v>0</v>
      </c>
      <c r="G1408" s="4">
        <v>0</v>
      </c>
      <c r="H1408" s="4">
        <v>10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</row>
    <row r="1409" spans="1:14">
      <c r="A1409" s="3">
        <v>813146</v>
      </c>
      <c r="B1409" s="3">
        <v>206066</v>
      </c>
      <c r="C1409" s="4">
        <v>120</v>
      </c>
      <c r="D1409" s="4">
        <v>29</v>
      </c>
      <c r="E1409" s="4">
        <v>48</v>
      </c>
      <c r="F1409" s="4">
        <v>145</v>
      </c>
      <c r="G1409" s="4">
        <v>142</v>
      </c>
      <c r="H1409" s="4">
        <v>200</v>
      </c>
      <c r="I1409" s="4">
        <v>30</v>
      </c>
      <c r="J1409" s="4">
        <v>10</v>
      </c>
      <c r="K1409" s="4">
        <v>175</v>
      </c>
      <c r="L1409" s="4">
        <v>101</v>
      </c>
      <c r="M1409" s="4">
        <v>118</v>
      </c>
      <c r="N1409" s="4">
        <v>15</v>
      </c>
    </row>
    <row r="1410" spans="1:14">
      <c r="A1410" s="3">
        <v>813147</v>
      </c>
      <c r="B1410" s="3">
        <v>204307</v>
      </c>
      <c r="C1410" s="4">
        <v>136.65</v>
      </c>
      <c r="D1410" s="4">
        <v>88</v>
      </c>
      <c r="E1410" s="4">
        <v>174.60000000000002</v>
      </c>
      <c r="F1410" s="4">
        <v>143.75</v>
      </c>
      <c r="G1410" s="4">
        <v>81</v>
      </c>
      <c r="H1410" s="4">
        <v>58.5</v>
      </c>
      <c r="I1410" s="4">
        <v>43</v>
      </c>
      <c r="J1410" s="4">
        <v>48.5</v>
      </c>
      <c r="K1410" s="4">
        <v>30</v>
      </c>
      <c r="L1410" s="4">
        <v>10</v>
      </c>
      <c r="M1410" s="4">
        <v>5</v>
      </c>
      <c r="N1410" s="4">
        <v>0</v>
      </c>
    </row>
    <row r="1411" spans="1:14">
      <c r="A1411" s="3">
        <v>813148</v>
      </c>
      <c r="B1411" s="3">
        <v>173310</v>
      </c>
      <c r="C1411" s="4">
        <v>60</v>
      </c>
      <c r="D1411" s="4">
        <v>15</v>
      </c>
      <c r="E1411" s="4">
        <v>58.75</v>
      </c>
      <c r="F1411" s="4">
        <v>54.7</v>
      </c>
      <c r="G1411" s="4">
        <v>52</v>
      </c>
      <c r="H1411" s="4">
        <v>22</v>
      </c>
      <c r="I1411" s="4">
        <v>20</v>
      </c>
      <c r="J1411" s="4">
        <v>30</v>
      </c>
      <c r="K1411" s="4">
        <v>56</v>
      </c>
      <c r="L1411" s="4">
        <v>45.5</v>
      </c>
      <c r="M1411" s="4">
        <v>53.5</v>
      </c>
      <c r="N1411" s="4">
        <v>61</v>
      </c>
    </row>
    <row r="1412" spans="1:14">
      <c r="A1412" s="3">
        <v>813149</v>
      </c>
      <c r="B1412" s="3">
        <v>149583</v>
      </c>
      <c r="C1412" s="4">
        <v>50.5</v>
      </c>
      <c r="D1412" s="4">
        <v>50</v>
      </c>
      <c r="E1412" s="4">
        <v>66</v>
      </c>
      <c r="F1412" s="4">
        <v>42</v>
      </c>
      <c r="G1412" s="4">
        <v>31.5</v>
      </c>
      <c r="H1412" s="4">
        <v>20</v>
      </c>
      <c r="I1412" s="4">
        <v>19</v>
      </c>
      <c r="J1412" s="4">
        <v>20</v>
      </c>
      <c r="K1412" s="4">
        <v>50</v>
      </c>
      <c r="L1412" s="4">
        <v>50</v>
      </c>
      <c r="M1412" s="4">
        <v>29</v>
      </c>
      <c r="N1412" s="4">
        <v>101</v>
      </c>
    </row>
    <row r="1413" spans="1:14">
      <c r="A1413" s="3">
        <v>813150</v>
      </c>
      <c r="B1413" s="3">
        <v>202225</v>
      </c>
      <c r="C1413" s="4">
        <v>30</v>
      </c>
      <c r="D1413" s="4">
        <v>55</v>
      </c>
      <c r="E1413" s="4">
        <v>60</v>
      </c>
      <c r="F1413" s="4">
        <v>35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</row>
    <row r="1414" spans="1:14">
      <c r="A1414" s="3">
        <v>813151</v>
      </c>
      <c r="B1414" s="3">
        <v>179892</v>
      </c>
      <c r="C1414" s="4">
        <v>0</v>
      </c>
      <c r="D1414" s="4">
        <v>0</v>
      </c>
      <c r="E1414" s="4">
        <v>0</v>
      </c>
      <c r="F1414" s="4">
        <v>51</v>
      </c>
      <c r="G1414" s="4">
        <v>0</v>
      </c>
      <c r="H1414" s="4">
        <v>51</v>
      </c>
      <c r="I1414" s="4">
        <v>5</v>
      </c>
      <c r="J1414" s="4">
        <v>0</v>
      </c>
      <c r="K1414" s="4">
        <v>0</v>
      </c>
      <c r="L1414" s="4">
        <v>50.5</v>
      </c>
      <c r="M1414" s="4">
        <v>51</v>
      </c>
      <c r="N1414" s="4">
        <v>101</v>
      </c>
    </row>
    <row r="1415" spans="1:14">
      <c r="A1415" s="3">
        <v>813152</v>
      </c>
      <c r="B1415" s="3">
        <v>140848</v>
      </c>
      <c r="C1415" s="4">
        <v>50</v>
      </c>
      <c r="D1415" s="4">
        <v>68</v>
      </c>
      <c r="E1415" s="4">
        <v>80</v>
      </c>
      <c r="F1415" s="4">
        <v>82.5</v>
      </c>
      <c r="G1415" s="4">
        <v>90</v>
      </c>
      <c r="H1415" s="4">
        <v>13.5</v>
      </c>
      <c r="I1415" s="4">
        <v>63.5</v>
      </c>
      <c r="J1415" s="4">
        <v>40</v>
      </c>
      <c r="K1415" s="4">
        <v>57.5</v>
      </c>
      <c r="L1415" s="4">
        <v>50</v>
      </c>
      <c r="M1415" s="4">
        <v>118</v>
      </c>
      <c r="N1415" s="4">
        <v>30</v>
      </c>
    </row>
    <row r="1416" spans="1:14">
      <c r="A1416" s="3">
        <v>813154</v>
      </c>
      <c r="B1416" s="3">
        <v>170708</v>
      </c>
      <c r="C1416" s="4">
        <v>34</v>
      </c>
      <c r="D1416" s="4">
        <v>76.5</v>
      </c>
      <c r="E1416" s="4">
        <v>175</v>
      </c>
      <c r="F1416" s="4">
        <v>110</v>
      </c>
      <c r="G1416" s="4">
        <v>60</v>
      </c>
      <c r="H1416" s="4">
        <v>10</v>
      </c>
      <c r="I1416" s="4">
        <v>10</v>
      </c>
      <c r="J1416" s="4">
        <v>50.5</v>
      </c>
      <c r="K1416" s="4">
        <v>0</v>
      </c>
      <c r="L1416" s="4">
        <v>46</v>
      </c>
      <c r="M1416" s="4">
        <v>64</v>
      </c>
      <c r="N1416" s="4">
        <v>62</v>
      </c>
    </row>
    <row r="1417" spans="1:14">
      <c r="A1417" s="3">
        <v>813155</v>
      </c>
      <c r="B1417" s="3">
        <v>208156</v>
      </c>
      <c r="C1417" s="4">
        <v>43</v>
      </c>
      <c r="D1417" s="4">
        <v>12</v>
      </c>
      <c r="E1417" s="4">
        <v>5</v>
      </c>
      <c r="F1417" s="4">
        <v>81</v>
      </c>
      <c r="G1417" s="4">
        <v>32</v>
      </c>
      <c r="H1417" s="4">
        <v>10</v>
      </c>
      <c r="I1417" s="4">
        <v>20</v>
      </c>
      <c r="J1417" s="4">
        <v>42.5</v>
      </c>
      <c r="K1417" s="4">
        <v>27.5</v>
      </c>
      <c r="L1417" s="4">
        <v>32</v>
      </c>
      <c r="M1417" s="4">
        <v>53.05</v>
      </c>
      <c r="N1417" s="4">
        <v>42</v>
      </c>
    </row>
    <row r="1418" spans="1:14">
      <c r="A1418" s="3">
        <v>813157</v>
      </c>
      <c r="B1418" s="3">
        <v>202713</v>
      </c>
      <c r="C1418" s="4">
        <v>0</v>
      </c>
      <c r="D1418" s="4">
        <v>0</v>
      </c>
      <c r="E1418" s="4">
        <v>10</v>
      </c>
      <c r="F1418" s="4">
        <v>3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>
      <c r="A1419" s="3">
        <v>813158</v>
      </c>
      <c r="B1419" s="3">
        <v>119042</v>
      </c>
      <c r="C1419" s="4">
        <v>10</v>
      </c>
      <c r="D1419" s="4">
        <v>15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</row>
    <row r="1420" spans="1:14">
      <c r="A1420" s="3">
        <v>813160</v>
      </c>
      <c r="B1420" s="3">
        <v>172640</v>
      </c>
      <c r="C1420" s="4">
        <v>0</v>
      </c>
      <c r="D1420" s="4">
        <v>26</v>
      </c>
      <c r="E1420" s="4">
        <v>0</v>
      </c>
      <c r="F1420" s="4">
        <v>35</v>
      </c>
      <c r="G1420" s="4">
        <v>0</v>
      </c>
      <c r="H1420" s="4">
        <v>15</v>
      </c>
      <c r="I1420" s="4">
        <v>1</v>
      </c>
      <c r="J1420" s="4">
        <v>9</v>
      </c>
      <c r="K1420" s="4">
        <v>18</v>
      </c>
      <c r="L1420" s="4">
        <v>0</v>
      </c>
      <c r="M1420" s="4">
        <v>0</v>
      </c>
      <c r="N1420" s="4">
        <v>0</v>
      </c>
    </row>
    <row r="1421" spans="1:14">
      <c r="A1421" s="3">
        <v>813161</v>
      </c>
      <c r="B1421" s="3">
        <v>179560</v>
      </c>
      <c r="C1421" s="4">
        <v>0</v>
      </c>
      <c r="D1421" s="4">
        <v>20</v>
      </c>
      <c r="E1421" s="4">
        <v>26</v>
      </c>
      <c r="F1421" s="4">
        <v>42.5</v>
      </c>
      <c r="G1421" s="4">
        <v>30</v>
      </c>
      <c r="H1421" s="4">
        <v>0</v>
      </c>
      <c r="I1421" s="4">
        <v>10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</row>
    <row r="1422" spans="1:14">
      <c r="A1422" s="3">
        <v>813162</v>
      </c>
      <c r="B1422" s="3">
        <v>174271</v>
      </c>
      <c r="C1422" s="4">
        <v>30</v>
      </c>
      <c r="D1422" s="4">
        <v>100</v>
      </c>
      <c r="E1422" s="4">
        <v>65</v>
      </c>
      <c r="F1422" s="4">
        <v>51</v>
      </c>
      <c r="G1422" s="4">
        <v>0</v>
      </c>
      <c r="H1422" s="4">
        <v>40</v>
      </c>
      <c r="I1422" s="4">
        <v>0</v>
      </c>
      <c r="J1422" s="4">
        <v>40</v>
      </c>
      <c r="K1422" s="4">
        <v>0</v>
      </c>
      <c r="L1422" s="4">
        <v>150</v>
      </c>
      <c r="M1422" s="4">
        <v>125</v>
      </c>
      <c r="N1422" s="4">
        <v>55</v>
      </c>
    </row>
    <row r="1423" spans="1:14">
      <c r="A1423" s="3">
        <v>813167</v>
      </c>
      <c r="B1423" s="3">
        <v>171578</v>
      </c>
      <c r="C1423" s="4">
        <v>20</v>
      </c>
      <c r="D1423" s="4">
        <v>50</v>
      </c>
      <c r="E1423" s="4">
        <v>30</v>
      </c>
      <c r="F1423" s="4">
        <v>62.5</v>
      </c>
      <c r="G1423" s="4">
        <v>47.5</v>
      </c>
      <c r="H1423" s="4">
        <v>30</v>
      </c>
      <c r="I1423" s="4">
        <v>31</v>
      </c>
      <c r="J1423" s="4">
        <v>40</v>
      </c>
      <c r="K1423" s="4">
        <v>32.5</v>
      </c>
      <c r="L1423" s="4">
        <v>30</v>
      </c>
      <c r="M1423" s="4">
        <v>45</v>
      </c>
      <c r="N1423" s="4">
        <v>10</v>
      </c>
    </row>
    <row r="1424" spans="1:14">
      <c r="A1424" s="3">
        <v>813167</v>
      </c>
      <c r="B1424" s="3">
        <v>175856</v>
      </c>
      <c r="C1424" s="4">
        <v>0</v>
      </c>
      <c r="D1424" s="4">
        <v>0</v>
      </c>
      <c r="E1424" s="4">
        <v>0</v>
      </c>
      <c r="F1424" s="4">
        <v>13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</row>
    <row r="1425" spans="1:14">
      <c r="A1425" s="3">
        <v>813167</v>
      </c>
      <c r="B1425" s="3">
        <v>207977</v>
      </c>
      <c r="C1425" s="4">
        <v>0</v>
      </c>
      <c r="D1425" s="4">
        <v>0</v>
      </c>
      <c r="E1425" s="4">
        <v>0</v>
      </c>
      <c r="F1425" s="4">
        <v>0</v>
      </c>
      <c r="G1425" s="4">
        <v>10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</row>
    <row r="1426" spans="1:14">
      <c r="A1426" s="3">
        <v>813168</v>
      </c>
      <c r="B1426" s="3">
        <v>140848</v>
      </c>
      <c r="C1426" s="4">
        <v>40</v>
      </c>
      <c r="D1426" s="4">
        <v>60</v>
      </c>
      <c r="E1426" s="4">
        <v>65</v>
      </c>
      <c r="F1426" s="4">
        <v>39</v>
      </c>
      <c r="G1426" s="4">
        <v>33.5</v>
      </c>
      <c r="H1426" s="4">
        <v>2.5</v>
      </c>
      <c r="I1426" s="4">
        <v>50</v>
      </c>
      <c r="J1426" s="4">
        <v>20</v>
      </c>
      <c r="K1426" s="4">
        <v>40</v>
      </c>
      <c r="L1426" s="4">
        <v>70.5</v>
      </c>
      <c r="M1426" s="4">
        <v>63.5</v>
      </c>
      <c r="N1426" s="4">
        <v>20</v>
      </c>
    </row>
    <row r="1427" spans="1:14">
      <c r="A1427" s="3">
        <v>813170</v>
      </c>
      <c r="B1427" s="3">
        <v>140958</v>
      </c>
      <c r="C1427" s="4">
        <v>10</v>
      </c>
      <c r="D1427" s="4">
        <v>25</v>
      </c>
      <c r="E1427" s="4">
        <v>60</v>
      </c>
      <c r="F1427" s="4">
        <v>50</v>
      </c>
      <c r="G1427" s="4">
        <v>10</v>
      </c>
      <c r="H1427" s="4">
        <v>40</v>
      </c>
      <c r="I1427" s="4">
        <v>50</v>
      </c>
      <c r="J1427" s="4">
        <v>0</v>
      </c>
      <c r="K1427" s="4">
        <v>10</v>
      </c>
      <c r="L1427" s="4">
        <v>30</v>
      </c>
      <c r="M1427" s="4">
        <v>20</v>
      </c>
      <c r="N1427" s="4">
        <v>20</v>
      </c>
    </row>
    <row r="1428" spans="1:14">
      <c r="A1428" s="3">
        <v>813172</v>
      </c>
      <c r="B1428" s="3">
        <v>178661</v>
      </c>
      <c r="C1428" s="4">
        <v>56</v>
      </c>
      <c r="D1428" s="4">
        <v>25</v>
      </c>
      <c r="E1428" s="4">
        <v>64</v>
      </c>
      <c r="F1428" s="4">
        <v>69</v>
      </c>
      <c r="G1428" s="4">
        <v>35</v>
      </c>
      <c r="H1428" s="4">
        <v>104.5</v>
      </c>
      <c r="I1428" s="4">
        <v>82.5</v>
      </c>
      <c r="J1428" s="4">
        <v>58</v>
      </c>
      <c r="K1428" s="4">
        <v>115</v>
      </c>
      <c r="L1428" s="4">
        <v>81.5</v>
      </c>
      <c r="M1428" s="4">
        <v>29</v>
      </c>
      <c r="N1428" s="4">
        <v>25</v>
      </c>
    </row>
    <row r="1429" spans="1:14">
      <c r="A1429" s="3">
        <v>813173</v>
      </c>
      <c r="B1429" s="3">
        <v>177068</v>
      </c>
      <c r="C1429" s="4">
        <v>0</v>
      </c>
      <c r="D1429" s="4">
        <v>0</v>
      </c>
      <c r="E1429" s="4">
        <v>10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</row>
    <row r="1430" spans="1:14">
      <c r="A1430" s="3">
        <v>813173</v>
      </c>
      <c r="B1430" s="3">
        <v>208156</v>
      </c>
      <c r="C1430" s="4">
        <v>17.5</v>
      </c>
      <c r="D1430" s="4">
        <v>112</v>
      </c>
      <c r="E1430" s="4">
        <v>70</v>
      </c>
      <c r="F1430" s="4">
        <v>12</v>
      </c>
      <c r="G1430" s="4">
        <v>8</v>
      </c>
      <c r="H1430" s="4">
        <v>0</v>
      </c>
      <c r="I1430" s="4">
        <v>10</v>
      </c>
      <c r="J1430" s="4">
        <v>0</v>
      </c>
      <c r="K1430" s="4">
        <v>15</v>
      </c>
      <c r="L1430" s="4">
        <v>0</v>
      </c>
      <c r="M1430" s="4">
        <v>13</v>
      </c>
      <c r="N1430" s="4">
        <v>4</v>
      </c>
    </row>
    <row r="1431" spans="1:14">
      <c r="A1431" s="3">
        <v>813174</v>
      </c>
      <c r="B1431" s="3">
        <v>177301</v>
      </c>
      <c r="C1431" s="4">
        <v>39.5</v>
      </c>
      <c r="D1431" s="4">
        <v>0</v>
      </c>
      <c r="E1431" s="4">
        <v>27.5</v>
      </c>
      <c r="F1431" s="4">
        <v>46</v>
      </c>
      <c r="G1431" s="4">
        <v>29</v>
      </c>
      <c r="H1431" s="4">
        <v>11.5</v>
      </c>
      <c r="I1431" s="4">
        <v>0</v>
      </c>
      <c r="J1431" s="4">
        <v>13</v>
      </c>
      <c r="K1431" s="4">
        <v>30</v>
      </c>
      <c r="L1431" s="4">
        <v>10</v>
      </c>
      <c r="M1431" s="4">
        <v>17.5</v>
      </c>
      <c r="N1431" s="4">
        <v>14</v>
      </c>
    </row>
    <row r="1432" spans="1:14">
      <c r="A1432" s="3">
        <v>813182</v>
      </c>
      <c r="B1432" s="3">
        <v>175049</v>
      </c>
      <c r="C1432" s="4">
        <v>11</v>
      </c>
      <c r="D1432" s="4">
        <v>15</v>
      </c>
      <c r="E1432" s="4">
        <v>50</v>
      </c>
      <c r="F1432" s="4">
        <v>18</v>
      </c>
      <c r="G1432" s="4">
        <v>40</v>
      </c>
      <c r="H1432" s="4">
        <v>30</v>
      </c>
      <c r="I1432" s="4">
        <v>30</v>
      </c>
      <c r="J1432" s="4">
        <v>15</v>
      </c>
      <c r="K1432" s="4">
        <v>32</v>
      </c>
      <c r="L1432" s="4">
        <v>30</v>
      </c>
      <c r="M1432" s="4">
        <v>10</v>
      </c>
      <c r="N1432" s="4">
        <v>133</v>
      </c>
    </row>
    <row r="1433" spans="1:14">
      <c r="A1433" s="3">
        <v>813184</v>
      </c>
      <c r="B1433" s="3">
        <v>175049</v>
      </c>
      <c r="C1433" s="4">
        <v>35</v>
      </c>
      <c r="D1433" s="4">
        <v>20</v>
      </c>
      <c r="E1433" s="4">
        <v>89.5</v>
      </c>
      <c r="F1433" s="4">
        <v>80.900000000000006</v>
      </c>
      <c r="G1433" s="4">
        <v>42.5</v>
      </c>
      <c r="H1433" s="4">
        <v>40</v>
      </c>
      <c r="I1433" s="4">
        <v>35</v>
      </c>
      <c r="J1433" s="4">
        <v>21</v>
      </c>
      <c r="K1433" s="4">
        <v>32</v>
      </c>
      <c r="L1433" s="4">
        <v>50</v>
      </c>
      <c r="M1433" s="4">
        <v>62</v>
      </c>
      <c r="N1433" s="4">
        <v>94</v>
      </c>
    </row>
    <row r="1434" spans="1:14">
      <c r="A1434" s="3">
        <v>813185</v>
      </c>
      <c r="B1434" s="3">
        <v>140859</v>
      </c>
      <c r="C1434" s="4">
        <v>0</v>
      </c>
      <c r="D1434" s="4">
        <v>0</v>
      </c>
      <c r="E1434" s="4">
        <v>0</v>
      </c>
      <c r="F1434" s="4">
        <v>11</v>
      </c>
      <c r="G1434" s="4">
        <v>20</v>
      </c>
      <c r="H1434" s="4">
        <v>0</v>
      </c>
      <c r="I1434" s="4">
        <v>50</v>
      </c>
      <c r="J1434" s="4">
        <v>0</v>
      </c>
      <c r="K1434" s="4">
        <v>0</v>
      </c>
      <c r="L1434" s="4">
        <v>30</v>
      </c>
      <c r="M1434" s="4">
        <v>0</v>
      </c>
      <c r="N1434" s="4">
        <v>10</v>
      </c>
    </row>
    <row r="1435" spans="1:14">
      <c r="A1435" s="3">
        <v>813188</v>
      </c>
      <c r="B1435" s="3">
        <v>170248</v>
      </c>
      <c r="C1435" s="4">
        <v>0</v>
      </c>
      <c r="D1435" s="4">
        <v>0</v>
      </c>
      <c r="E1435" s="4">
        <v>3.5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10</v>
      </c>
      <c r="M1435" s="4">
        <v>5</v>
      </c>
      <c r="N1435" s="4">
        <v>60</v>
      </c>
    </row>
    <row r="1436" spans="1:14">
      <c r="A1436" s="3">
        <v>813190</v>
      </c>
      <c r="B1436" s="3">
        <v>140958</v>
      </c>
      <c r="C1436" s="4">
        <v>11</v>
      </c>
      <c r="D1436" s="4">
        <v>0</v>
      </c>
      <c r="E1436" s="4">
        <v>95</v>
      </c>
      <c r="F1436" s="4">
        <v>60</v>
      </c>
      <c r="G1436" s="4">
        <v>0</v>
      </c>
      <c r="H1436" s="4">
        <v>30</v>
      </c>
      <c r="I1436" s="4">
        <v>0</v>
      </c>
      <c r="J1436" s="4">
        <v>0</v>
      </c>
      <c r="K1436" s="4">
        <v>10</v>
      </c>
      <c r="L1436" s="4">
        <v>20</v>
      </c>
      <c r="M1436" s="4">
        <v>19</v>
      </c>
      <c r="N1436" s="4">
        <v>29</v>
      </c>
    </row>
    <row r="1437" spans="1:14">
      <c r="A1437" s="3">
        <v>813192</v>
      </c>
      <c r="B1437" s="3">
        <v>179928</v>
      </c>
      <c r="C1437" s="4">
        <v>47</v>
      </c>
      <c r="D1437" s="4">
        <v>34</v>
      </c>
      <c r="E1437" s="4">
        <v>29</v>
      </c>
      <c r="F1437" s="4">
        <v>20.5</v>
      </c>
      <c r="G1437" s="4">
        <v>39.5</v>
      </c>
      <c r="H1437" s="4">
        <v>0</v>
      </c>
      <c r="I1437" s="4">
        <v>25</v>
      </c>
      <c r="J1437" s="4">
        <v>10</v>
      </c>
      <c r="K1437" s="4">
        <v>19</v>
      </c>
      <c r="L1437" s="4">
        <v>40.5</v>
      </c>
      <c r="M1437" s="4">
        <v>42</v>
      </c>
      <c r="N1437" s="4">
        <v>7.5</v>
      </c>
    </row>
    <row r="1438" spans="1:14">
      <c r="A1438" s="3">
        <v>813194</v>
      </c>
      <c r="B1438" s="3">
        <v>204034</v>
      </c>
      <c r="C1438" s="4">
        <v>45</v>
      </c>
      <c r="D1438" s="4">
        <v>20</v>
      </c>
      <c r="E1438" s="4">
        <v>140</v>
      </c>
      <c r="F1438" s="4">
        <v>47.5</v>
      </c>
      <c r="G1438" s="4">
        <v>87.5</v>
      </c>
      <c r="H1438" s="4">
        <v>90.5</v>
      </c>
      <c r="I1438" s="4">
        <v>120</v>
      </c>
      <c r="J1438" s="4">
        <v>46</v>
      </c>
      <c r="K1438" s="4">
        <v>65</v>
      </c>
      <c r="L1438" s="4">
        <v>52.5</v>
      </c>
      <c r="M1438" s="4">
        <v>50</v>
      </c>
      <c r="N1438" s="4">
        <v>135.6</v>
      </c>
    </row>
    <row r="1439" spans="1:14">
      <c r="A1439" s="3">
        <v>813195</v>
      </c>
      <c r="B1439" s="3">
        <v>176303</v>
      </c>
      <c r="C1439" s="4">
        <v>0</v>
      </c>
      <c r="D1439" s="4">
        <v>25</v>
      </c>
      <c r="E1439" s="4">
        <v>0</v>
      </c>
      <c r="F1439" s="4">
        <v>2.5</v>
      </c>
      <c r="G1439" s="4">
        <v>2.5</v>
      </c>
      <c r="H1439" s="4">
        <v>16</v>
      </c>
      <c r="I1439" s="4">
        <v>0</v>
      </c>
      <c r="J1439" s="4">
        <v>5</v>
      </c>
      <c r="K1439" s="4">
        <v>3.5</v>
      </c>
      <c r="L1439" s="4">
        <v>7.5</v>
      </c>
      <c r="M1439" s="4">
        <v>7.5</v>
      </c>
      <c r="N1439" s="4">
        <v>0</v>
      </c>
    </row>
    <row r="1440" spans="1:14">
      <c r="A1440" s="3">
        <v>813198</v>
      </c>
      <c r="B1440" s="3">
        <v>142269</v>
      </c>
      <c r="C1440" s="4">
        <v>0</v>
      </c>
      <c r="D1440" s="4">
        <v>49</v>
      </c>
      <c r="E1440" s="4">
        <v>61</v>
      </c>
      <c r="F1440" s="4">
        <v>20</v>
      </c>
      <c r="G1440" s="4">
        <v>25</v>
      </c>
      <c r="H1440" s="4">
        <v>35</v>
      </c>
      <c r="I1440" s="4">
        <v>50</v>
      </c>
      <c r="J1440" s="4">
        <v>35</v>
      </c>
      <c r="K1440" s="4">
        <v>35</v>
      </c>
      <c r="L1440" s="4">
        <v>20</v>
      </c>
      <c r="M1440" s="4">
        <v>65</v>
      </c>
      <c r="N1440" s="4">
        <v>110</v>
      </c>
    </row>
    <row r="1441" spans="1:14">
      <c r="A1441" s="3">
        <v>813210</v>
      </c>
      <c r="B1441" s="3">
        <v>170392</v>
      </c>
      <c r="C1441" s="4">
        <v>10</v>
      </c>
      <c r="D1441" s="4">
        <v>0</v>
      </c>
      <c r="E1441" s="4">
        <v>0</v>
      </c>
      <c r="F1441" s="4">
        <v>40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20</v>
      </c>
    </row>
    <row r="1442" spans="1:14">
      <c r="A1442" s="3">
        <v>813213</v>
      </c>
      <c r="B1442" s="3">
        <v>170363</v>
      </c>
      <c r="C1442" s="4">
        <v>0</v>
      </c>
      <c r="D1442" s="4">
        <v>196.5</v>
      </c>
      <c r="E1442" s="4">
        <v>181</v>
      </c>
      <c r="F1442" s="4">
        <v>0</v>
      </c>
      <c r="G1442" s="4">
        <v>162</v>
      </c>
      <c r="H1442" s="4">
        <v>0</v>
      </c>
      <c r="I1442" s="4">
        <v>140</v>
      </c>
      <c r="J1442" s="4">
        <v>0</v>
      </c>
      <c r="K1442" s="4">
        <v>266</v>
      </c>
      <c r="L1442" s="4">
        <v>112</v>
      </c>
      <c r="M1442" s="4">
        <v>155.5</v>
      </c>
      <c r="N1442" s="4">
        <v>288</v>
      </c>
    </row>
    <row r="1443" spans="1:14">
      <c r="A1443" s="3">
        <v>813215</v>
      </c>
      <c r="B1443" s="3">
        <v>171578</v>
      </c>
      <c r="C1443" s="4">
        <v>46</v>
      </c>
      <c r="D1443" s="4">
        <v>10</v>
      </c>
      <c r="E1443" s="4">
        <v>10</v>
      </c>
      <c r="F1443" s="4">
        <v>56</v>
      </c>
      <c r="G1443" s="4">
        <v>52.5</v>
      </c>
      <c r="H1443" s="4">
        <v>40</v>
      </c>
      <c r="I1443" s="4">
        <v>49.5</v>
      </c>
      <c r="J1443" s="4">
        <v>20.5</v>
      </c>
      <c r="K1443" s="4">
        <v>88.05</v>
      </c>
      <c r="L1443" s="4">
        <v>87.5</v>
      </c>
      <c r="M1443" s="4">
        <v>53</v>
      </c>
      <c r="N1443" s="4">
        <v>90</v>
      </c>
    </row>
    <row r="1444" spans="1:14">
      <c r="A1444" s="3">
        <v>813217</v>
      </c>
      <c r="B1444" s="3">
        <v>171226</v>
      </c>
      <c r="C1444" s="4">
        <v>0</v>
      </c>
      <c r="D1444" s="4">
        <v>52</v>
      </c>
      <c r="E1444" s="4">
        <v>17.5</v>
      </c>
      <c r="F1444" s="4">
        <v>0</v>
      </c>
      <c r="G1444" s="4">
        <v>25</v>
      </c>
      <c r="H1444" s="4">
        <v>0</v>
      </c>
      <c r="I1444" s="4">
        <v>10</v>
      </c>
      <c r="J1444" s="4">
        <v>35</v>
      </c>
      <c r="K1444" s="4">
        <v>30</v>
      </c>
      <c r="L1444" s="4">
        <v>20</v>
      </c>
      <c r="M1444" s="4">
        <v>20</v>
      </c>
      <c r="N1444" s="4">
        <v>77</v>
      </c>
    </row>
    <row r="1445" spans="1:14">
      <c r="A1445" s="3">
        <v>813228</v>
      </c>
      <c r="B1445" s="3">
        <v>205370</v>
      </c>
      <c r="C1445" s="4">
        <v>68.5</v>
      </c>
      <c r="D1445" s="4">
        <v>80</v>
      </c>
      <c r="E1445" s="4">
        <v>50</v>
      </c>
      <c r="F1445" s="4">
        <v>137</v>
      </c>
      <c r="G1445" s="4">
        <v>51</v>
      </c>
      <c r="H1445" s="4">
        <v>10</v>
      </c>
      <c r="I1445" s="4">
        <v>80</v>
      </c>
      <c r="J1445" s="4">
        <v>50</v>
      </c>
      <c r="K1445" s="4">
        <v>109.5</v>
      </c>
      <c r="L1445" s="4">
        <v>34</v>
      </c>
      <c r="M1445" s="4">
        <v>8.25</v>
      </c>
      <c r="N1445" s="4">
        <v>10</v>
      </c>
    </row>
    <row r="1446" spans="1:14">
      <c r="A1446" s="3">
        <v>813229</v>
      </c>
      <c r="B1446" s="3">
        <v>179560</v>
      </c>
      <c r="C1446" s="4">
        <v>50</v>
      </c>
      <c r="D1446" s="4">
        <v>20</v>
      </c>
      <c r="E1446" s="4">
        <v>50</v>
      </c>
      <c r="F1446" s="4">
        <v>62.5</v>
      </c>
      <c r="G1446" s="4">
        <v>42.5</v>
      </c>
      <c r="H1446" s="4">
        <v>73</v>
      </c>
      <c r="I1446" s="4">
        <v>88.5</v>
      </c>
      <c r="J1446" s="4">
        <v>35</v>
      </c>
      <c r="K1446" s="4">
        <v>67.5</v>
      </c>
      <c r="L1446" s="4">
        <v>30</v>
      </c>
      <c r="M1446" s="4">
        <v>25</v>
      </c>
      <c r="N1446" s="4">
        <v>305</v>
      </c>
    </row>
    <row r="1447" spans="1:14">
      <c r="A1447" s="3">
        <v>813231</v>
      </c>
      <c r="B1447" s="3">
        <v>140848</v>
      </c>
      <c r="C1447" s="4">
        <v>0</v>
      </c>
      <c r="D1447" s="4">
        <v>0</v>
      </c>
      <c r="E1447" s="4">
        <v>0</v>
      </c>
      <c r="F1447" s="4">
        <v>0</v>
      </c>
      <c r="G1447" s="4">
        <v>10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</row>
    <row r="1448" spans="1:14">
      <c r="A1448" s="3">
        <v>813231</v>
      </c>
      <c r="B1448" s="3">
        <v>140851</v>
      </c>
      <c r="C1448" s="4">
        <v>20</v>
      </c>
      <c r="D1448" s="4">
        <v>15</v>
      </c>
      <c r="E1448" s="4">
        <v>50</v>
      </c>
      <c r="F1448" s="4">
        <v>58.5</v>
      </c>
      <c r="G1448" s="4">
        <v>20</v>
      </c>
      <c r="H1448" s="4">
        <v>17.5</v>
      </c>
      <c r="I1448" s="4">
        <v>47.5</v>
      </c>
      <c r="J1448" s="4">
        <v>0</v>
      </c>
      <c r="K1448" s="4">
        <v>25.5</v>
      </c>
      <c r="L1448" s="4">
        <v>35</v>
      </c>
      <c r="M1448" s="4">
        <v>35</v>
      </c>
      <c r="N1448" s="4">
        <v>75</v>
      </c>
    </row>
    <row r="1449" spans="1:14">
      <c r="A1449" s="3">
        <v>813245</v>
      </c>
      <c r="B1449" s="3">
        <v>174271</v>
      </c>
      <c r="C1449" s="4">
        <v>50</v>
      </c>
      <c r="D1449" s="4">
        <v>90</v>
      </c>
      <c r="E1449" s="4">
        <v>130</v>
      </c>
      <c r="F1449" s="4">
        <v>81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40</v>
      </c>
      <c r="M1449" s="4">
        <v>0</v>
      </c>
      <c r="N1449" s="4">
        <v>55</v>
      </c>
    </row>
    <row r="1450" spans="1:14">
      <c r="A1450" s="3">
        <v>813254</v>
      </c>
      <c r="B1450" s="3">
        <v>122377</v>
      </c>
      <c r="C1450" s="4">
        <v>0</v>
      </c>
      <c r="D1450" s="4">
        <v>0</v>
      </c>
      <c r="E1450" s="4">
        <v>15</v>
      </c>
      <c r="F1450" s="4">
        <v>37</v>
      </c>
      <c r="G1450" s="4">
        <v>32.5</v>
      </c>
      <c r="H1450" s="4">
        <v>25</v>
      </c>
      <c r="I1450" s="4">
        <v>25</v>
      </c>
      <c r="J1450" s="4">
        <v>0</v>
      </c>
      <c r="K1450" s="4">
        <v>17.5</v>
      </c>
      <c r="L1450" s="4">
        <v>0</v>
      </c>
      <c r="M1450" s="4">
        <v>20</v>
      </c>
      <c r="N1450" s="4">
        <v>25</v>
      </c>
    </row>
    <row r="1451" spans="1:14">
      <c r="A1451" s="3">
        <v>813256</v>
      </c>
      <c r="B1451" s="3">
        <v>119066</v>
      </c>
      <c r="C1451" s="4">
        <v>0</v>
      </c>
      <c r="D1451" s="4">
        <v>0</v>
      </c>
      <c r="E1451" s="4">
        <v>0</v>
      </c>
      <c r="F1451" s="4">
        <v>53</v>
      </c>
      <c r="G1451" s="4">
        <v>54</v>
      </c>
      <c r="H1451" s="4">
        <v>0</v>
      </c>
      <c r="I1451" s="4">
        <v>1</v>
      </c>
      <c r="J1451" s="4">
        <v>0</v>
      </c>
      <c r="K1451" s="4">
        <v>9.5</v>
      </c>
      <c r="L1451" s="4">
        <v>0</v>
      </c>
      <c r="M1451" s="4">
        <v>0</v>
      </c>
      <c r="N1451" s="4">
        <v>0</v>
      </c>
    </row>
    <row r="1452" spans="1:14">
      <c r="A1452" s="3">
        <v>813257</v>
      </c>
      <c r="B1452" s="3">
        <v>201162</v>
      </c>
      <c r="C1452" s="4">
        <v>60</v>
      </c>
      <c r="D1452" s="4">
        <v>26</v>
      </c>
      <c r="E1452" s="4">
        <v>0</v>
      </c>
      <c r="F1452" s="4">
        <v>20</v>
      </c>
      <c r="G1452" s="4">
        <v>25</v>
      </c>
      <c r="H1452" s="4">
        <v>35</v>
      </c>
      <c r="I1452" s="4">
        <v>30</v>
      </c>
      <c r="J1452" s="4">
        <v>20</v>
      </c>
      <c r="K1452" s="4">
        <v>20</v>
      </c>
      <c r="L1452" s="4">
        <v>27.5</v>
      </c>
      <c r="M1452" s="4">
        <v>0</v>
      </c>
      <c r="N1452" s="4">
        <v>0</v>
      </c>
    </row>
    <row r="1453" spans="1:14">
      <c r="A1453" s="3">
        <v>813258</v>
      </c>
      <c r="B1453" s="3">
        <v>174271</v>
      </c>
      <c r="C1453" s="4">
        <v>20</v>
      </c>
      <c r="D1453" s="4">
        <v>80</v>
      </c>
      <c r="E1453" s="4">
        <v>105</v>
      </c>
      <c r="F1453" s="4">
        <v>51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40</v>
      </c>
      <c r="M1453" s="4">
        <v>0</v>
      </c>
      <c r="N1453" s="4">
        <v>104</v>
      </c>
    </row>
    <row r="1454" spans="1:14">
      <c r="A1454" s="3">
        <v>813260</v>
      </c>
      <c r="B1454" s="3">
        <v>174271</v>
      </c>
      <c r="C1454" s="4">
        <v>50</v>
      </c>
      <c r="D1454" s="4">
        <v>100</v>
      </c>
      <c r="E1454" s="4">
        <v>90</v>
      </c>
      <c r="F1454" s="4">
        <v>56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104</v>
      </c>
    </row>
    <row r="1455" spans="1:14">
      <c r="A1455" s="3">
        <v>813266</v>
      </c>
      <c r="B1455" s="3">
        <v>174271</v>
      </c>
      <c r="C1455" s="4">
        <v>50</v>
      </c>
      <c r="D1455" s="4">
        <v>80</v>
      </c>
      <c r="E1455" s="4">
        <v>20</v>
      </c>
      <c r="F1455" s="4">
        <v>91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40</v>
      </c>
      <c r="M1455" s="4">
        <v>0</v>
      </c>
      <c r="N1455" s="4">
        <v>119</v>
      </c>
    </row>
    <row r="1456" spans="1:14">
      <c r="A1456" s="3">
        <v>813269</v>
      </c>
      <c r="B1456" s="3">
        <v>119050</v>
      </c>
      <c r="C1456" s="4">
        <v>10</v>
      </c>
      <c r="D1456" s="4">
        <v>10</v>
      </c>
      <c r="E1456" s="4">
        <v>10</v>
      </c>
      <c r="F1456" s="4">
        <v>20</v>
      </c>
      <c r="G1456" s="4">
        <v>14</v>
      </c>
      <c r="H1456" s="4">
        <v>28</v>
      </c>
      <c r="I1456" s="4">
        <v>54</v>
      </c>
      <c r="J1456" s="4">
        <v>30</v>
      </c>
      <c r="K1456" s="4">
        <v>37.5</v>
      </c>
      <c r="L1456" s="4">
        <v>30</v>
      </c>
      <c r="M1456" s="4">
        <v>30</v>
      </c>
      <c r="N1456" s="4">
        <v>130</v>
      </c>
    </row>
    <row r="1457" spans="1:14">
      <c r="A1457" s="3">
        <v>813271</v>
      </c>
      <c r="B1457" s="3">
        <v>176276</v>
      </c>
      <c r="C1457" s="4">
        <v>35</v>
      </c>
      <c r="D1457" s="4">
        <v>50</v>
      </c>
      <c r="E1457" s="4">
        <v>45</v>
      </c>
      <c r="F1457" s="4">
        <v>66.5</v>
      </c>
      <c r="G1457" s="4">
        <v>70</v>
      </c>
      <c r="H1457" s="4">
        <v>43</v>
      </c>
      <c r="I1457" s="4">
        <v>25</v>
      </c>
      <c r="J1457" s="4">
        <v>21.75</v>
      </c>
      <c r="K1457" s="4">
        <v>70</v>
      </c>
      <c r="L1457" s="4">
        <v>50</v>
      </c>
      <c r="M1457" s="4">
        <v>47</v>
      </c>
      <c r="N1457" s="4">
        <v>68.5</v>
      </c>
    </row>
    <row r="1458" spans="1:14">
      <c r="A1458" s="3">
        <v>813277</v>
      </c>
      <c r="B1458" s="3">
        <v>146910</v>
      </c>
      <c r="C1458" s="4">
        <v>5</v>
      </c>
      <c r="D1458" s="4">
        <v>20</v>
      </c>
      <c r="E1458" s="4">
        <v>20</v>
      </c>
      <c r="F1458" s="4">
        <v>41</v>
      </c>
      <c r="G1458" s="4">
        <v>7.5</v>
      </c>
      <c r="H1458" s="4">
        <v>25</v>
      </c>
      <c r="I1458" s="4">
        <v>5</v>
      </c>
      <c r="J1458" s="4">
        <v>10</v>
      </c>
      <c r="K1458" s="4">
        <v>20.5</v>
      </c>
      <c r="L1458" s="4">
        <v>10</v>
      </c>
      <c r="M1458" s="4">
        <v>20</v>
      </c>
      <c r="N1458" s="4">
        <v>35</v>
      </c>
    </row>
    <row r="1459" spans="1:14">
      <c r="A1459" s="3">
        <v>813279</v>
      </c>
      <c r="B1459" s="3">
        <v>146910</v>
      </c>
      <c r="C1459" s="4">
        <v>5</v>
      </c>
      <c r="D1459" s="4">
        <v>10</v>
      </c>
      <c r="E1459" s="4">
        <v>5</v>
      </c>
      <c r="F1459" s="4">
        <v>25</v>
      </c>
      <c r="G1459" s="4">
        <v>22.5</v>
      </c>
      <c r="H1459" s="4">
        <v>45</v>
      </c>
      <c r="I1459" s="4">
        <v>20</v>
      </c>
      <c r="J1459" s="4">
        <v>20</v>
      </c>
      <c r="K1459" s="4">
        <v>89.5</v>
      </c>
      <c r="L1459" s="4">
        <v>70</v>
      </c>
      <c r="M1459" s="4">
        <v>98.5</v>
      </c>
      <c r="N1459" s="4">
        <v>112</v>
      </c>
    </row>
    <row r="1460" spans="1:14">
      <c r="A1460" s="3">
        <v>813284</v>
      </c>
      <c r="B1460" s="3">
        <v>170617</v>
      </c>
      <c r="C1460" s="4">
        <v>10</v>
      </c>
      <c r="D1460" s="4">
        <v>0</v>
      </c>
      <c r="E1460" s="4">
        <v>53.5</v>
      </c>
      <c r="F1460" s="4">
        <v>67</v>
      </c>
      <c r="G1460" s="4">
        <v>27.5</v>
      </c>
      <c r="H1460" s="4">
        <v>21.25</v>
      </c>
      <c r="I1460" s="4">
        <v>42.5</v>
      </c>
      <c r="J1460" s="4">
        <v>59.5</v>
      </c>
      <c r="K1460" s="4">
        <v>38</v>
      </c>
      <c r="L1460" s="4">
        <v>40</v>
      </c>
      <c r="M1460" s="4">
        <v>43</v>
      </c>
      <c r="N1460" s="4">
        <v>83.55</v>
      </c>
    </row>
    <row r="1461" spans="1:14">
      <c r="A1461" s="3">
        <v>813288</v>
      </c>
      <c r="B1461" s="3">
        <v>119212</v>
      </c>
      <c r="C1461" s="4">
        <v>102.5</v>
      </c>
      <c r="D1461" s="4">
        <v>142.5</v>
      </c>
      <c r="E1461" s="4">
        <v>41.65</v>
      </c>
      <c r="F1461" s="4">
        <v>35.450000000000003</v>
      </c>
      <c r="G1461" s="4">
        <v>60.45</v>
      </c>
      <c r="H1461" s="4">
        <v>87.5</v>
      </c>
      <c r="I1461" s="4">
        <v>35.5</v>
      </c>
      <c r="J1461" s="4">
        <v>20</v>
      </c>
      <c r="K1461" s="4">
        <v>135</v>
      </c>
      <c r="L1461" s="4">
        <v>44.5</v>
      </c>
      <c r="M1461" s="4">
        <v>37.5</v>
      </c>
      <c r="N1461" s="4">
        <v>20</v>
      </c>
    </row>
    <row r="1462" spans="1:14">
      <c r="A1462" s="3">
        <v>813290</v>
      </c>
      <c r="B1462" s="3">
        <v>202288</v>
      </c>
      <c r="C1462" s="4">
        <v>10</v>
      </c>
      <c r="D1462" s="4">
        <v>15</v>
      </c>
      <c r="E1462" s="4">
        <v>20</v>
      </c>
      <c r="F1462" s="4">
        <v>0</v>
      </c>
      <c r="G1462" s="4">
        <v>0</v>
      </c>
      <c r="H1462" s="4">
        <v>0</v>
      </c>
      <c r="I1462" s="4">
        <v>12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</row>
    <row r="1463" spans="1:14">
      <c r="A1463" s="3">
        <v>813291</v>
      </c>
      <c r="B1463" s="3">
        <v>205370</v>
      </c>
      <c r="C1463" s="4">
        <v>34</v>
      </c>
      <c r="D1463" s="4">
        <v>36</v>
      </c>
      <c r="E1463" s="4">
        <v>40</v>
      </c>
      <c r="F1463" s="4">
        <v>10</v>
      </c>
      <c r="G1463" s="4">
        <v>21</v>
      </c>
      <c r="H1463" s="4">
        <v>10</v>
      </c>
      <c r="I1463" s="4">
        <v>0</v>
      </c>
      <c r="J1463" s="4">
        <v>20</v>
      </c>
      <c r="K1463" s="4">
        <v>3</v>
      </c>
      <c r="L1463" s="4">
        <v>20</v>
      </c>
      <c r="M1463" s="4">
        <v>17.5</v>
      </c>
      <c r="N1463" s="4">
        <v>20</v>
      </c>
    </row>
    <row r="1464" spans="1:14">
      <c r="A1464" s="3">
        <v>813293</v>
      </c>
      <c r="B1464" s="3">
        <v>119066</v>
      </c>
      <c r="C1464" s="4">
        <v>0</v>
      </c>
      <c r="D1464" s="4">
        <v>0</v>
      </c>
      <c r="E1464" s="4">
        <v>0</v>
      </c>
      <c r="F1464" s="4">
        <v>53</v>
      </c>
      <c r="G1464" s="4">
        <v>0</v>
      </c>
      <c r="H1464" s="4">
        <v>0</v>
      </c>
      <c r="I1464" s="4">
        <v>1</v>
      </c>
      <c r="J1464" s="4">
        <v>0</v>
      </c>
      <c r="K1464" s="4">
        <v>15.5</v>
      </c>
      <c r="L1464" s="4">
        <v>101</v>
      </c>
      <c r="M1464" s="4">
        <v>0</v>
      </c>
      <c r="N1464" s="4">
        <v>0</v>
      </c>
    </row>
    <row r="1465" spans="1:14">
      <c r="A1465" s="3">
        <v>813299</v>
      </c>
      <c r="B1465" s="3">
        <v>179894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44</v>
      </c>
      <c r="L1465" s="4">
        <v>6</v>
      </c>
      <c r="M1465" s="4">
        <v>60</v>
      </c>
      <c r="N1465" s="4">
        <v>55</v>
      </c>
    </row>
    <row r="1466" spans="1:14">
      <c r="A1466" s="3">
        <v>813299</v>
      </c>
      <c r="B1466" s="3">
        <v>202947</v>
      </c>
      <c r="C1466" s="4">
        <v>20</v>
      </c>
      <c r="D1466" s="4">
        <v>0</v>
      </c>
      <c r="E1466" s="4">
        <v>0</v>
      </c>
      <c r="F1466" s="4">
        <v>12.5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</row>
    <row r="1467" spans="1:14">
      <c r="A1467" s="3">
        <v>813301</v>
      </c>
      <c r="B1467" s="3">
        <v>178004</v>
      </c>
      <c r="C1467" s="4">
        <v>34</v>
      </c>
      <c r="D1467" s="4">
        <v>45</v>
      </c>
      <c r="E1467" s="4">
        <v>50</v>
      </c>
      <c r="F1467" s="4">
        <v>68</v>
      </c>
      <c r="G1467" s="4">
        <v>53</v>
      </c>
      <c r="H1467" s="4">
        <v>40</v>
      </c>
      <c r="I1467" s="4">
        <v>20</v>
      </c>
      <c r="J1467" s="4">
        <v>17</v>
      </c>
      <c r="K1467" s="4">
        <v>30</v>
      </c>
      <c r="L1467" s="4">
        <v>40</v>
      </c>
      <c r="M1467" s="4">
        <v>50</v>
      </c>
      <c r="N1467" s="4">
        <v>53.5</v>
      </c>
    </row>
    <row r="1468" spans="1:14">
      <c r="A1468" s="3">
        <v>813302</v>
      </c>
      <c r="B1468" s="3">
        <v>177092</v>
      </c>
      <c r="C1468" s="4">
        <v>10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</row>
    <row r="1469" spans="1:14">
      <c r="A1469" s="3">
        <v>813303</v>
      </c>
      <c r="B1469" s="3">
        <v>177092</v>
      </c>
      <c r="C1469" s="4">
        <v>10</v>
      </c>
      <c r="D1469" s="4">
        <v>0</v>
      </c>
      <c r="E1469" s="4">
        <v>0</v>
      </c>
      <c r="F1469" s="4">
        <v>0</v>
      </c>
      <c r="G1469" s="4">
        <v>0</v>
      </c>
      <c r="H1469" s="4">
        <v>30</v>
      </c>
      <c r="I1469" s="4">
        <v>27.5</v>
      </c>
      <c r="J1469" s="4">
        <v>45</v>
      </c>
      <c r="K1469" s="4">
        <v>105</v>
      </c>
      <c r="L1469" s="4">
        <v>60</v>
      </c>
      <c r="M1469" s="4">
        <v>125</v>
      </c>
      <c r="N1469" s="4">
        <v>111.5</v>
      </c>
    </row>
    <row r="1470" spans="1:14">
      <c r="A1470" s="3">
        <v>813312</v>
      </c>
      <c r="B1470" s="3">
        <v>205370</v>
      </c>
      <c r="C1470" s="4">
        <v>0</v>
      </c>
      <c r="D1470" s="4">
        <v>29.5</v>
      </c>
      <c r="E1470" s="4">
        <v>0</v>
      </c>
      <c r="F1470" s="4">
        <v>10</v>
      </c>
      <c r="G1470" s="4">
        <v>51</v>
      </c>
      <c r="H1470" s="4">
        <v>20</v>
      </c>
      <c r="I1470" s="4">
        <v>7</v>
      </c>
      <c r="J1470" s="4">
        <v>0</v>
      </c>
      <c r="K1470" s="4">
        <v>68</v>
      </c>
      <c r="L1470" s="4">
        <v>63.5</v>
      </c>
      <c r="M1470" s="4">
        <v>16</v>
      </c>
      <c r="N1470" s="4">
        <v>193</v>
      </c>
    </row>
    <row r="1471" spans="1:14">
      <c r="A1471" s="3">
        <v>813314</v>
      </c>
      <c r="B1471" s="3">
        <v>177982</v>
      </c>
      <c r="C1471" s="4">
        <v>30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35</v>
      </c>
      <c r="J1471" s="4">
        <v>0</v>
      </c>
      <c r="K1471" s="4">
        <v>10</v>
      </c>
      <c r="L1471" s="4">
        <v>35</v>
      </c>
      <c r="M1471" s="4">
        <v>92</v>
      </c>
      <c r="N1471" s="4">
        <v>20</v>
      </c>
    </row>
    <row r="1472" spans="1:14">
      <c r="A1472" s="3">
        <v>813324</v>
      </c>
      <c r="B1472" s="3">
        <v>174631</v>
      </c>
      <c r="C1472" s="4">
        <v>94.5</v>
      </c>
      <c r="D1472" s="4">
        <v>27.5</v>
      </c>
      <c r="E1472" s="4">
        <v>19.5</v>
      </c>
      <c r="F1472" s="4">
        <v>19.5</v>
      </c>
      <c r="G1472" s="4">
        <v>62.5</v>
      </c>
      <c r="H1472" s="4">
        <v>3</v>
      </c>
      <c r="I1472" s="4">
        <v>2</v>
      </c>
      <c r="J1472" s="4">
        <v>18</v>
      </c>
      <c r="K1472" s="4">
        <v>28.5</v>
      </c>
      <c r="L1472" s="4">
        <v>54</v>
      </c>
      <c r="M1472" s="4">
        <v>34</v>
      </c>
      <c r="N1472" s="4">
        <v>65</v>
      </c>
    </row>
    <row r="1473" spans="1:14">
      <c r="A1473" s="3">
        <v>813327</v>
      </c>
      <c r="B1473" s="3">
        <v>204307</v>
      </c>
      <c r="C1473" s="4">
        <v>104.5</v>
      </c>
      <c r="D1473" s="4">
        <v>87.75</v>
      </c>
      <c r="E1473" s="4">
        <v>165</v>
      </c>
      <c r="F1473" s="4">
        <v>117</v>
      </c>
      <c r="G1473" s="4">
        <v>144.5</v>
      </c>
      <c r="H1473" s="4">
        <v>134.5</v>
      </c>
      <c r="I1473" s="4">
        <v>87.5</v>
      </c>
      <c r="J1473" s="4">
        <v>77</v>
      </c>
      <c r="K1473" s="4">
        <v>234.5</v>
      </c>
      <c r="L1473" s="4">
        <v>116.5</v>
      </c>
      <c r="M1473" s="4">
        <v>129.5</v>
      </c>
      <c r="N1473" s="4">
        <v>85</v>
      </c>
    </row>
    <row r="1474" spans="1:14">
      <c r="A1474" s="3">
        <v>813347</v>
      </c>
      <c r="B1474" s="3">
        <v>171662</v>
      </c>
      <c r="C1474" s="4">
        <v>49.1</v>
      </c>
      <c r="D1474" s="4">
        <v>55</v>
      </c>
      <c r="E1474" s="4">
        <v>61</v>
      </c>
      <c r="F1474" s="4">
        <v>62</v>
      </c>
      <c r="G1474" s="4">
        <v>22.5</v>
      </c>
      <c r="H1474" s="4">
        <v>45</v>
      </c>
      <c r="I1474" s="4">
        <v>50</v>
      </c>
      <c r="J1474" s="4">
        <v>45</v>
      </c>
      <c r="K1474" s="4">
        <v>40</v>
      </c>
      <c r="L1474" s="4">
        <v>17.5</v>
      </c>
      <c r="M1474" s="4">
        <v>32</v>
      </c>
      <c r="N1474" s="4">
        <v>28</v>
      </c>
    </row>
    <row r="1475" spans="1:14">
      <c r="A1475" s="3">
        <v>813364</v>
      </c>
      <c r="B1475" s="3">
        <v>207643</v>
      </c>
      <c r="C1475" s="4">
        <v>16.5</v>
      </c>
      <c r="D1475" s="4">
        <v>25</v>
      </c>
      <c r="E1475" s="4">
        <v>0</v>
      </c>
      <c r="F1475" s="4">
        <v>53.4</v>
      </c>
      <c r="G1475" s="4">
        <v>0</v>
      </c>
      <c r="H1475" s="4">
        <v>7</v>
      </c>
      <c r="I1475" s="4">
        <v>5</v>
      </c>
      <c r="J1475" s="4">
        <v>10</v>
      </c>
      <c r="K1475" s="4">
        <v>30</v>
      </c>
      <c r="L1475" s="4">
        <v>10</v>
      </c>
      <c r="M1475" s="4">
        <v>0</v>
      </c>
      <c r="N1475" s="4">
        <v>27.5</v>
      </c>
    </row>
    <row r="1476" spans="1:14">
      <c r="A1476" s="3">
        <v>813366</v>
      </c>
      <c r="B1476" s="3">
        <v>205949</v>
      </c>
      <c r="C1476" s="4">
        <v>25</v>
      </c>
      <c r="D1476" s="4">
        <v>10</v>
      </c>
      <c r="E1476" s="4">
        <v>274.5</v>
      </c>
      <c r="F1476" s="4">
        <v>3</v>
      </c>
      <c r="G1476" s="4">
        <v>3</v>
      </c>
      <c r="H1476" s="4">
        <v>0</v>
      </c>
      <c r="I1476" s="4">
        <v>110</v>
      </c>
      <c r="J1476" s="4">
        <v>0</v>
      </c>
      <c r="K1476" s="4">
        <v>45</v>
      </c>
      <c r="L1476" s="4">
        <v>0</v>
      </c>
      <c r="M1476" s="4">
        <v>0</v>
      </c>
      <c r="N1476" s="4">
        <v>0</v>
      </c>
    </row>
    <row r="1477" spans="1:14">
      <c r="A1477" s="3">
        <v>813368</v>
      </c>
      <c r="B1477" s="3">
        <v>178003</v>
      </c>
      <c r="C1477" s="4">
        <v>61.5</v>
      </c>
      <c r="D1477" s="4">
        <v>35</v>
      </c>
      <c r="E1477" s="4">
        <v>0</v>
      </c>
      <c r="F1477" s="4">
        <v>20</v>
      </c>
      <c r="G1477" s="4">
        <v>50</v>
      </c>
      <c r="H1477" s="4">
        <v>39.5</v>
      </c>
      <c r="I1477" s="4">
        <v>41</v>
      </c>
      <c r="J1477" s="4">
        <v>51.5</v>
      </c>
      <c r="K1477" s="4">
        <v>51</v>
      </c>
      <c r="L1477" s="4">
        <v>70</v>
      </c>
      <c r="M1477" s="4">
        <v>94.5</v>
      </c>
      <c r="N1477" s="4">
        <v>108</v>
      </c>
    </row>
    <row r="1478" spans="1:14">
      <c r="A1478" s="3">
        <v>813374</v>
      </c>
      <c r="B1478" s="3">
        <v>170248</v>
      </c>
      <c r="C1478" s="4">
        <v>31</v>
      </c>
      <c r="D1478" s="4">
        <v>50</v>
      </c>
      <c r="E1478" s="4">
        <v>45</v>
      </c>
      <c r="F1478" s="4">
        <v>90</v>
      </c>
      <c r="G1478" s="4">
        <v>30</v>
      </c>
      <c r="H1478" s="4">
        <v>44.25</v>
      </c>
      <c r="I1478" s="4">
        <v>60.5</v>
      </c>
      <c r="J1478" s="4">
        <v>25</v>
      </c>
      <c r="K1478" s="4">
        <v>27</v>
      </c>
      <c r="L1478" s="4">
        <v>40</v>
      </c>
      <c r="M1478" s="4">
        <v>10</v>
      </c>
      <c r="N1478" s="4">
        <v>20</v>
      </c>
    </row>
    <row r="1479" spans="1:14">
      <c r="A1479" s="3">
        <v>813375</v>
      </c>
      <c r="B1479" s="3">
        <v>204030</v>
      </c>
      <c r="C1479" s="4">
        <v>0</v>
      </c>
      <c r="D1479" s="4">
        <v>1</v>
      </c>
      <c r="E1479" s="4">
        <v>0</v>
      </c>
      <c r="F1479" s="4">
        <v>0</v>
      </c>
      <c r="G1479" s="4">
        <v>0</v>
      </c>
      <c r="H1479" s="4">
        <v>10</v>
      </c>
      <c r="I1479" s="4">
        <v>0</v>
      </c>
      <c r="J1479" s="4">
        <v>0</v>
      </c>
      <c r="K1479" s="4">
        <v>15</v>
      </c>
      <c r="L1479" s="4">
        <v>1</v>
      </c>
      <c r="M1479" s="4">
        <v>0</v>
      </c>
      <c r="N1479" s="4">
        <v>0</v>
      </c>
    </row>
    <row r="1480" spans="1:14">
      <c r="A1480" s="3">
        <v>813376</v>
      </c>
      <c r="B1480" s="3">
        <v>207977</v>
      </c>
      <c r="C1480" s="4">
        <v>50</v>
      </c>
      <c r="D1480" s="4">
        <v>55</v>
      </c>
      <c r="E1480" s="4">
        <v>135</v>
      </c>
      <c r="F1480" s="4">
        <v>97</v>
      </c>
      <c r="G1480" s="4">
        <v>50</v>
      </c>
      <c r="H1480" s="4">
        <v>68.05</v>
      </c>
      <c r="I1480" s="4">
        <v>90</v>
      </c>
      <c r="J1480" s="4">
        <v>44.4</v>
      </c>
      <c r="K1480" s="4">
        <v>87.5</v>
      </c>
      <c r="L1480" s="4">
        <v>234</v>
      </c>
      <c r="M1480" s="4">
        <v>90</v>
      </c>
      <c r="N1480" s="4">
        <v>332</v>
      </c>
    </row>
    <row r="1481" spans="1:14">
      <c r="A1481" s="3">
        <v>813377</v>
      </c>
      <c r="B1481" s="3">
        <v>204869</v>
      </c>
      <c r="C1481" s="4">
        <v>15</v>
      </c>
      <c r="D1481" s="4">
        <v>30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</row>
    <row r="1482" spans="1:14">
      <c r="A1482" s="3">
        <v>813378</v>
      </c>
      <c r="B1482" s="3">
        <v>178234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10</v>
      </c>
      <c r="K1482" s="4">
        <v>17.5</v>
      </c>
      <c r="L1482" s="4">
        <v>10</v>
      </c>
      <c r="M1482" s="4">
        <v>17.5</v>
      </c>
      <c r="N1482" s="4">
        <v>38</v>
      </c>
    </row>
    <row r="1483" spans="1:14">
      <c r="A1483" s="3">
        <v>813378</v>
      </c>
      <c r="B1483" s="3">
        <v>178237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3</v>
      </c>
    </row>
    <row r="1484" spans="1:14">
      <c r="A1484" s="3">
        <v>813378</v>
      </c>
      <c r="B1484" s="3">
        <v>178298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72</v>
      </c>
      <c r="J1484" s="4">
        <v>65</v>
      </c>
      <c r="K1484" s="4">
        <v>106.5</v>
      </c>
      <c r="L1484" s="4">
        <v>51.5</v>
      </c>
      <c r="M1484" s="4">
        <v>37.5</v>
      </c>
      <c r="N1484" s="4">
        <v>34</v>
      </c>
    </row>
    <row r="1485" spans="1:14">
      <c r="A1485" s="3">
        <v>813385</v>
      </c>
      <c r="B1485" s="3">
        <v>175392</v>
      </c>
      <c r="C1485" s="4">
        <v>38.5</v>
      </c>
      <c r="D1485" s="4">
        <v>52.5</v>
      </c>
      <c r="E1485" s="4">
        <v>50</v>
      </c>
      <c r="F1485" s="4">
        <v>57</v>
      </c>
      <c r="G1485" s="4">
        <v>30</v>
      </c>
      <c r="H1485" s="4">
        <v>66.5</v>
      </c>
      <c r="I1485" s="4">
        <v>25</v>
      </c>
      <c r="J1485" s="4">
        <v>39</v>
      </c>
      <c r="K1485" s="4">
        <v>15</v>
      </c>
      <c r="L1485" s="4">
        <v>84</v>
      </c>
      <c r="M1485" s="4">
        <v>46</v>
      </c>
      <c r="N1485" s="4">
        <v>36</v>
      </c>
    </row>
    <row r="1486" spans="1:14">
      <c r="A1486" s="3">
        <v>813388</v>
      </c>
      <c r="B1486" s="3">
        <v>204318</v>
      </c>
      <c r="C1486" s="4">
        <v>20</v>
      </c>
      <c r="D1486" s="4">
        <v>17</v>
      </c>
      <c r="E1486" s="4">
        <v>43</v>
      </c>
      <c r="F1486" s="4">
        <v>46</v>
      </c>
      <c r="G1486" s="4">
        <v>14</v>
      </c>
      <c r="H1486" s="4">
        <v>26.700000000000003</v>
      </c>
      <c r="I1486" s="4">
        <v>30</v>
      </c>
      <c r="J1486" s="4">
        <v>25</v>
      </c>
      <c r="K1486" s="4">
        <v>33.5</v>
      </c>
      <c r="L1486" s="4">
        <v>38.5</v>
      </c>
      <c r="M1486" s="4">
        <v>35</v>
      </c>
      <c r="N1486" s="4">
        <v>12.5</v>
      </c>
    </row>
    <row r="1487" spans="1:14">
      <c r="A1487" s="3">
        <v>813409</v>
      </c>
      <c r="B1487" s="3">
        <v>170146</v>
      </c>
      <c r="C1487" s="4">
        <v>40</v>
      </c>
      <c r="D1487" s="4">
        <v>56</v>
      </c>
      <c r="E1487" s="4">
        <v>70</v>
      </c>
      <c r="F1487" s="4">
        <v>21</v>
      </c>
      <c r="G1487" s="4">
        <v>30</v>
      </c>
      <c r="H1487" s="4">
        <v>60</v>
      </c>
      <c r="I1487" s="4">
        <v>65</v>
      </c>
      <c r="J1487" s="4">
        <v>30</v>
      </c>
      <c r="K1487" s="4">
        <v>65</v>
      </c>
      <c r="L1487" s="4">
        <v>40.5</v>
      </c>
      <c r="M1487" s="4">
        <v>115</v>
      </c>
      <c r="N1487" s="4">
        <v>74.5</v>
      </c>
    </row>
    <row r="1488" spans="1:14">
      <c r="A1488" s="3">
        <v>813413</v>
      </c>
      <c r="B1488" s="3">
        <v>171578</v>
      </c>
      <c r="C1488" s="4">
        <v>5</v>
      </c>
      <c r="D1488" s="4">
        <v>15</v>
      </c>
      <c r="E1488" s="4">
        <v>15</v>
      </c>
      <c r="F1488" s="4">
        <v>20</v>
      </c>
      <c r="G1488" s="4">
        <v>25</v>
      </c>
      <c r="H1488" s="4">
        <v>17.5</v>
      </c>
      <c r="I1488" s="4">
        <v>0</v>
      </c>
      <c r="J1488" s="4">
        <v>20</v>
      </c>
      <c r="K1488" s="4">
        <v>55</v>
      </c>
      <c r="L1488" s="4">
        <v>32.5</v>
      </c>
      <c r="M1488" s="4">
        <v>5</v>
      </c>
      <c r="N1488" s="4">
        <v>5</v>
      </c>
    </row>
    <row r="1489" spans="1:14">
      <c r="A1489" s="3">
        <v>813433</v>
      </c>
      <c r="B1489" s="3">
        <v>172640</v>
      </c>
      <c r="C1489" s="4">
        <v>0</v>
      </c>
      <c r="D1489" s="4">
        <v>18</v>
      </c>
      <c r="E1489" s="4">
        <v>81.25</v>
      </c>
      <c r="F1489" s="4">
        <v>90</v>
      </c>
      <c r="G1489" s="4">
        <v>90</v>
      </c>
      <c r="H1489" s="4">
        <v>25</v>
      </c>
      <c r="I1489" s="4">
        <v>0</v>
      </c>
      <c r="J1489" s="4">
        <v>106</v>
      </c>
      <c r="K1489" s="4">
        <v>123</v>
      </c>
      <c r="L1489" s="4">
        <v>56.5</v>
      </c>
      <c r="M1489" s="4">
        <v>82.5</v>
      </c>
      <c r="N1489" s="4">
        <v>230.5</v>
      </c>
    </row>
    <row r="1490" spans="1:14">
      <c r="A1490" s="3">
        <v>813434</v>
      </c>
      <c r="B1490" s="3">
        <v>140856</v>
      </c>
      <c r="C1490" s="4">
        <v>65</v>
      </c>
      <c r="D1490" s="4">
        <v>40</v>
      </c>
      <c r="E1490" s="4">
        <v>67</v>
      </c>
      <c r="F1490" s="4">
        <v>140</v>
      </c>
      <c r="G1490" s="4">
        <v>130</v>
      </c>
      <c r="H1490" s="4">
        <v>20</v>
      </c>
      <c r="I1490" s="4">
        <v>30</v>
      </c>
      <c r="J1490" s="4">
        <v>20</v>
      </c>
      <c r="K1490" s="4">
        <v>93</v>
      </c>
      <c r="L1490" s="4">
        <v>70</v>
      </c>
      <c r="M1490" s="4">
        <v>150</v>
      </c>
      <c r="N1490" s="4">
        <v>117</v>
      </c>
    </row>
    <row r="1491" spans="1:14">
      <c r="A1491" s="3">
        <v>813438</v>
      </c>
      <c r="B1491" s="3">
        <v>207977</v>
      </c>
      <c r="C1491" s="4">
        <v>13</v>
      </c>
      <c r="D1491" s="4">
        <v>30</v>
      </c>
      <c r="E1491" s="4">
        <v>20</v>
      </c>
      <c r="F1491" s="4">
        <v>27</v>
      </c>
      <c r="G1491" s="4">
        <v>0</v>
      </c>
      <c r="H1491" s="4">
        <v>6</v>
      </c>
      <c r="I1491" s="4">
        <v>5</v>
      </c>
      <c r="J1491" s="4">
        <v>30</v>
      </c>
      <c r="K1491" s="4">
        <v>54.9</v>
      </c>
      <c r="L1491" s="4">
        <v>0</v>
      </c>
      <c r="M1491" s="4">
        <v>30</v>
      </c>
      <c r="N1491" s="4">
        <v>60</v>
      </c>
    </row>
    <row r="1492" spans="1:14">
      <c r="A1492" s="3">
        <v>813450</v>
      </c>
      <c r="B1492" s="3">
        <v>202913</v>
      </c>
      <c r="C1492" s="4">
        <v>24.5</v>
      </c>
      <c r="D1492" s="4">
        <v>52</v>
      </c>
      <c r="E1492" s="4">
        <v>70</v>
      </c>
      <c r="F1492" s="4">
        <v>21</v>
      </c>
      <c r="G1492" s="4">
        <v>32.5</v>
      </c>
      <c r="H1492" s="4">
        <v>25</v>
      </c>
      <c r="I1492" s="4">
        <v>0</v>
      </c>
      <c r="J1492" s="4">
        <v>21</v>
      </c>
      <c r="K1492" s="4">
        <v>26</v>
      </c>
      <c r="L1492" s="4">
        <v>35</v>
      </c>
      <c r="M1492" s="4">
        <v>35</v>
      </c>
      <c r="N1492" s="4">
        <v>63</v>
      </c>
    </row>
    <row r="1493" spans="1:14">
      <c r="A1493" s="3">
        <v>813453</v>
      </c>
      <c r="B1493" s="3">
        <v>175312</v>
      </c>
      <c r="C1493" s="4">
        <v>36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</row>
    <row r="1494" spans="1:14">
      <c r="A1494" s="3">
        <v>813489</v>
      </c>
      <c r="B1494" s="3">
        <v>147364</v>
      </c>
      <c r="C1494" s="4">
        <v>38</v>
      </c>
      <c r="D1494" s="4">
        <v>10</v>
      </c>
      <c r="E1494" s="4">
        <v>145.5</v>
      </c>
      <c r="F1494" s="4">
        <v>92.5</v>
      </c>
      <c r="G1494" s="4">
        <v>87.5</v>
      </c>
      <c r="H1494" s="4">
        <v>31</v>
      </c>
      <c r="I1494" s="4">
        <v>10</v>
      </c>
      <c r="J1494" s="4">
        <v>50</v>
      </c>
      <c r="K1494" s="4">
        <v>77.5</v>
      </c>
      <c r="L1494" s="4">
        <v>77.5</v>
      </c>
      <c r="M1494" s="4">
        <v>113.5</v>
      </c>
      <c r="N1494" s="4">
        <v>83</v>
      </c>
    </row>
    <row r="1495" spans="1:14">
      <c r="A1495" s="3">
        <v>813491</v>
      </c>
      <c r="B1495" s="3">
        <v>208032</v>
      </c>
      <c r="C1495" s="4">
        <v>0</v>
      </c>
      <c r="D1495" s="4">
        <v>5</v>
      </c>
      <c r="E1495" s="4">
        <v>83.25</v>
      </c>
      <c r="F1495" s="4">
        <v>14.5</v>
      </c>
      <c r="G1495" s="4">
        <v>97.25</v>
      </c>
      <c r="H1495" s="4">
        <v>71.5</v>
      </c>
      <c r="I1495" s="4">
        <v>46.5</v>
      </c>
      <c r="J1495" s="4">
        <v>42</v>
      </c>
      <c r="K1495" s="4">
        <v>74.25</v>
      </c>
      <c r="L1495" s="4">
        <v>93.5</v>
      </c>
      <c r="M1495" s="4">
        <v>85.75</v>
      </c>
      <c r="N1495" s="4">
        <v>100.5</v>
      </c>
    </row>
    <row r="1496" spans="1:14">
      <c r="A1496" s="3">
        <v>813521</v>
      </c>
      <c r="B1496" s="3">
        <v>140927</v>
      </c>
      <c r="C1496" s="4">
        <v>55</v>
      </c>
      <c r="D1496" s="4">
        <v>15</v>
      </c>
      <c r="E1496" s="4">
        <v>76</v>
      </c>
      <c r="F1496" s="4">
        <v>70</v>
      </c>
      <c r="G1496" s="4">
        <v>93.75</v>
      </c>
      <c r="H1496" s="4">
        <v>109.5</v>
      </c>
      <c r="I1496" s="4">
        <v>79</v>
      </c>
      <c r="J1496" s="4">
        <v>80.5</v>
      </c>
      <c r="K1496" s="4">
        <v>143.5</v>
      </c>
      <c r="L1496" s="4">
        <v>60</v>
      </c>
      <c r="M1496" s="4">
        <v>75</v>
      </c>
      <c r="N1496" s="4">
        <v>111.5</v>
      </c>
    </row>
    <row r="1497" spans="1:14">
      <c r="A1497" s="3">
        <v>813532</v>
      </c>
      <c r="B1497" s="3">
        <v>170606</v>
      </c>
      <c r="C1497" s="4">
        <v>67.75</v>
      </c>
      <c r="D1497" s="4">
        <v>48.25</v>
      </c>
      <c r="E1497" s="4">
        <v>35</v>
      </c>
      <c r="F1497" s="4">
        <v>36</v>
      </c>
      <c r="G1497" s="4">
        <v>24.5</v>
      </c>
      <c r="H1497" s="4">
        <v>31.25</v>
      </c>
      <c r="I1497" s="4">
        <v>15</v>
      </c>
      <c r="J1497" s="4">
        <v>10</v>
      </c>
      <c r="K1497" s="4">
        <v>46.1</v>
      </c>
      <c r="L1497" s="4">
        <v>45</v>
      </c>
      <c r="M1497" s="4">
        <v>40</v>
      </c>
      <c r="N1497" s="4">
        <v>54</v>
      </c>
    </row>
    <row r="1498" spans="1:14">
      <c r="A1498" s="3">
        <v>813539</v>
      </c>
      <c r="B1498" s="3">
        <v>170146</v>
      </c>
      <c r="C1498" s="4">
        <v>60</v>
      </c>
      <c r="D1498" s="4">
        <v>87</v>
      </c>
      <c r="E1498" s="4">
        <v>20</v>
      </c>
      <c r="F1498" s="4">
        <v>89</v>
      </c>
      <c r="G1498" s="4">
        <v>75</v>
      </c>
      <c r="H1498" s="4">
        <v>45</v>
      </c>
      <c r="I1498" s="4">
        <v>65</v>
      </c>
      <c r="J1498" s="4">
        <v>15</v>
      </c>
      <c r="K1498" s="4">
        <v>110</v>
      </c>
      <c r="L1498" s="4">
        <v>83</v>
      </c>
      <c r="M1498" s="4">
        <v>65</v>
      </c>
      <c r="N1498" s="4">
        <v>192</v>
      </c>
    </row>
    <row r="1499" spans="1:14">
      <c r="A1499" s="3">
        <v>813541</v>
      </c>
      <c r="B1499" s="3">
        <v>170204</v>
      </c>
      <c r="C1499" s="4">
        <v>56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35</v>
      </c>
      <c r="L1499" s="4">
        <v>0</v>
      </c>
      <c r="M1499" s="4">
        <v>0</v>
      </c>
      <c r="N1499" s="4">
        <v>0</v>
      </c>
    </row>
    <row r="1500" spans="1:14">
      <c r="A1500" s="3">
        <v>813541</v>
      </c>
      <c r="B1500" s="3">
        <v>174008</v>
      </c>
      <c r="C1500" s="4">
        <v>35</v>
      </c>
      <c r="D1500" s="4">
        <v>10</v>
      </c>
      <c r="E1500" s="4">
        <v>192.5</v>
      </c>
      <c r="F1500" s="4">
        <v>100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</row>
    <row r="1501" spans="1:14">
      <c r="A1501" s="3">
        <v>813567</v>
      </c>
      <c r="B1501" s="3">
        <v>170392</v>
      </c>
      <c r="C1501" s="4">
        <v>113.5</v>
      </c>
      <c r="D1501" s="4">
        <v>51.75</v>
      </c>
      <c r="E1501" s="4">
        <v>79.5</v>
      </c>
      <c r="F1501" s="4">
        <v>120</v>
      </c>
      <c r="G1501" s="4">
        <v>51</v>
      </c>
      <c r="H1501" s="4">
        <v>40</v>
      </c>
      <c r="I1501" s="4">
        <v>10</v>
      </c>
      <c r="J1501" s="4">
        <v>2</v>
      </c>
      <c r="K1501" s="4">
        <v>81</v>
      </c>
      <c r="L1501" s="4">
        <v>27.5</v>
      </c>
      <c r="M1501" s="4">
        <v>87.5</v>
      </c>
      <c r="N1501" s="4">
        <v>8</v>
      </c>
    </row>
    <row r="1502" spans="1:14">
      <c r="A1502" s="3">
        <v>813568</v>
      </c>
      <c r="B1502" s="3">
        <v>173310</v>
      </c>
      <c r="C1502" s="4">
        <v>37</v>
      </c>
      <c r="D1502" s="4">
        <v>35</v>
      </c>
      <c r="E1502" s="4">
        <v>65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</row>
    <row r="1503" spans="1:14">
      <c r="A1503" s="3">
        <v>813570</v>
      </c>
      <c r="B1503" s="3">
        <v>202850</v>
      </c>
      <c r="C1503" s="4">
        <v>161</v>
      </c>
      <c r="D1503" s="4">
        <v>85</v>
      </c>
      <c r="E1503" s="4">
        <v>145</v>
      </c>
      <c r="F1503" s="4">
        <v>130</v>
      </c>
      <c r="G1503" s="4">
        <v>145</v>
      </c>
      <c r="H1503" s="4">
        <v>105</v>
      </c>
      <c r="I1503" s="4">
        <v>79</v>
      </c>
      <c r="J1503" s="4">
        <v>90</v>
      </c>
      <c r="K1503" s="4">
        <v>100</v>
      </c>
      <c r="L1503" s="4">
        <v>85</v>
      </c>
      <c r="M1503" s="4">
        <v>118</v>
      </c>
      <c r="N1503" s="4">
        <v>83</v>
      </c>
    </row>
    <row r="1504" spans="1:14">
      <c r="A1504" s="3">
        <v>813572</v>
      </c>
      <c r="B1504" s="3">
        <v>140967</v>
      </c>
      <c r="C1504" s="4">
        <v>20</v>
      </c>
      <c r="D1504" s="4">
        <v>50</v>
      </c>
      <c r="E1504" s="4">
        <v>45</v>
      </c>
      <c r="F1504" s="4">
        <v>35</v>
      </c>
      <c r="G1504" s="4">
        <v>35</v>
      </c>
      <c r="H1504" s="4">
        <v>0</v>
      </c>
      <c r="I1504" s="4">
        <v>0</v>
      </c>
      <c r="J1504" s="4">
        <v>0</v>
      </c>
      <c r="K1504" s="4">
        <v>47.5</v>
      </c>
      <c r="L1504" s="4">
        <v>0</v>
      </c>
      <c r="M1504" s="4">
        <v>100</v>
      </c>
      <c r="N1504" s="4">
        <v>120</v>
      </c>
    </row>
    <row r="1505" spans="1:14">
      <c r="A1505" s="3">
        <v>813602</v>
      </c>
      <c r="B1505" s="3">
        <v>177603</v>
      </c>
      <c r="C1505" s="4">
        <v>0</v>
      </c>
      <c r="D1505" s="4">
        <v>0</v>
      </c>
      <c r="E1505" s="4">
        <v>17</v>
      </c>
      <c r="F1505" s="4">
        <v>1</v>
      </c>
      <c r="G1505" s="4">
        <v>42.5</v>
      </c>
      <c r="H1505" s="4">
        <v>28</v>
      </c>
      <c r="I1505" s="4">
        <v>21</v>
      </c>
      <c r="J1505" s="4">
        <v>45</v>
      </c>
      <c r="K1505" s="4">
        <v>50</v>
      </c>
      <c r="L1505" s="4">
        <v>37</v>
      </c>
      <c r="M1505" s="4">
        <v>40</v>
      </c>
      <c r="N1505" s="4">
        <v>50</v>
      </c>
    </row>
    <row r="1506" spans="1:14">
      <c r="A1506" s="3">
        <v>813613</v>
      </c>
      <c r="B1506" s="3">
        <v>170555</v>
      </c>
      <c r="C1506" s="4">
        <v>10</v>
      </c>
      <c r="D1506" s="4">
        <v>10</v>
      </c>
      <c r="E1506" s="4">
        <v>10</v>
      </c>
      <c r="F1506" s="4">
        <v>10</v>
      </c>
      <c r="G1506" s="4">
        <v>10.25</v>
      </c>
      <c r="H1506" s="4">
        <v>10</v>
      </c>
      <c r="I1506" s="4">
        <v>10</v>
      </c>
      <c r="J1506" s="4">
        <v>20</v>
      </c>
      <c r="K1506" s="4">
        <v>30</v>
      </c>
      <c r="L1506" s="4">
        <v>15</v>
      </c>
      <c r="M1506" s="4">
        <v>10</v>
      </c>
      <c r="N1506" s="4">
        <v>10</v>
      </c>
    </row>
    <row r="1507" spans="1:14">
      <c r="A1507" s="3">
        <v>813619</v>
      </c>
      <c r="B1507" s="3">
        <v>204318</v>
      </c>
      <c r="C1507" s="4">
        <v>43.5</v>
      </c>
      <c r="D1507" s="4">
        <v>80</v>
      </c>
      <c r="E1507" s="4">
        <v>74</v>
      </c>
      <c r="F1507" s="4">
        <v>51</v>
      </c>
      <c r="G1507" s="4">
        <v>55</v>
      </c>
      <c r="H1507" s="4">
        <v>40</v>
      </c>
      <c r="I1507" s="4">
        <v>90</v>
      </c>
      <c r="J1507" s="4">
        <v>70</v>
      </c>
      <c r="K1507" s="4">
        <v>100</v>
      </c>
      <c r="L1507" s="4">
        <v>87.5</v>
      </c>
      <c r="M1507" s="4">
        <v>92</v>
      </c>
      <c r="N1507" s="4">
        <v>117.5</v>
      </c>
    </row>
    <row r="1508" spans="1:14">
      <c r="A1508" s="3">
        <v>813621</v>
      </c>
      <c r="B1508" s="3">
        <v>206441</v>
      </c>
      <c r="C1508" s="4">
        <v>10</v>
      </c>
      <c r="D1508" s="4">
        <v>0</v>
      </c>
      <c r="E1508" s="4">
        <v>0</v>
      </c>
      <c r="F1508" s="4">
        <v>10</v>
      </c>
      <c r="G1508" s="4">
        <v>65</v>
      </c>
      <c r="H1508" s="4">
        <v>0</v>
      </c>
      <c r="I1508" s="4">
        <v>6.5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</row>
    <row r="1509" spans="1:14">
      <c r="A1509" s="3">
        <v>813632</v>
      </c>
      <c r="B1509" s="3">
        <v>204869</v>
      </c>
      <c r="C1509" s="4">
        <v>9</v>
      </c>
      <c r="D1509" s="4">
        <v>38</v>
      </c>
      <c r="E1509" s="4">
        <v>103</v>
      </c>
      <c r="F1509" s="4">
        <v>155</v>
      </c>
      <c r="G1509" s="4">
        <v>0</v>
      </c>
      <c r="H1509" s="4">
        <v>126.5</v>
      </c>
      <c r="I1509" s="4">
        <v>150</v>
      </c>
      <c r="J1509" s="4">
        <v>100</v>
      </c>
      <c r="K1509" s="4">
        <v>205</v>
      </c>
      <c r="L1509" s="4">
        <v>149</v>
      </c>
      <c r="M1509" s="4">
        <v>0</v>
      </c>
      <c r="N1509" s="4">
        <v>165</v>
      </c>
    </row>
    <row r="1510" spans="1:14">
      <c r="A1510" s="3">
        <v>813633</v>
      </c>
      <c r="B1510" s="3">
        <v>178150</v>
      </c>
      <c r="C1510" s="4">
        <v>0</v>
      </c>
      <c r="D1510" s="4">
        <v>0</v>
      </c>
      <c r="E1510" s="4">
        <v>0</v>
      </c>
      <c r="F1510" s="4">
        <v>0</v>
      </c>
      <c r="G1510" s="4">
        <v>15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</row>
    <row r="1511" spans="1:14">
      <c r="A1511" s="3">
        <v>813633</v>
      </c>
      <c r="B1511" s="3">
        <v>204869</v>
      </c>
      <c r="C1511" s="4">
        <v>351.5</v>
      </c>
      <c r="D1511" s="4">
        <v>194.5</v>
      </c>
      <c r="E1511" s="4">
        <v>137.5</v>
      </c>
      <c r="F1511" s="4">
        <v>221</v>
      </c>
      <c r="G1511" s="4">
        <v>152.75</v>
      </c>
      <c r="H1511" s="4">
        <v>67</v>
      </c>
      <c r="I1511" s="4">
        <v>152.5</v>
      </c>
      <c r="J1511" s="4">
        <v>42</v>
      </c>
      <c r="K1511" s="4">
        <v>186</v>
      </c>
      <c r="L1511" s="4">
        <v>65</v>
      </c>
      <c r="M1511" s="4">
        <v>0</v>
      </c>
      <c r="N1511" s="4">
        <v>70</v>
      </c>
    </row>
    <row r="1512" spans="1:14">
      <c r="A1512" s="3">
        <v>813635</v>
      </c>
      <c r="B1512" s="3">
        <v>202225</v>
      </c>
      <c r="C1512" s="4">
        <v>124.5</v>
      </c>
      <c r="D1512" s="4">
        <v>69</v>
      </c>
      <c r="E1512" s="4">
        <v>50</v>
      </c>
      <c r="F1512" s="4">
        <v>56.5</v>
      </c>
      <c r="G1512" s="4">
        <v>30</v>
      </c>
      <c r="H1512" s="4">
        <v>42.5</v>
      </c>
      <c r="I1512" s="4">
        <v>35</v>
      </c>
      <c r="J1512" s="4">
        <v>15</v>
      </c>
      <c r="K1512" s="4">
        <v>60</v>
      </c>
      <c r="L1512" s="4">
        <v>50</v>
      </c>
      <c r="M1512" s="4">
        <v>35</v>
      </c>
      <c r="N1512" s="4">
        <v>62.5</v>
      </c>
    </row>
    <row r="1513" spans="1:14">
      <c r="A1513" s="3">
        <v>813636</v>
      </c>
      <c r="B1513" s="3">
        <v>178661</v>
      </c>
      <c r="C1513" s="4">
        <v>62</v>
      </c>
      <c r="D1513" s="4">
        <v>20</v>
      </c>
      <c r="E1513" s="4">
        <v>10</v>
      </c>
      <c r="F1513" s="4">
        <v>60.5</v>
      </c>
      <c r="G1513" s="4">
        <v>45</v>
      </c>
      <c r="H1513" s="4">
        <v>31</v>
      </c>
      <c r="I1513" s="4">
        <v>10</v>
      </c>
      <c r="J1513" s="4">
        <v>0</v>
      </c>
      <c r="K1513" s="4">
        <v>32</v>
      </c>
      <c r="L1513" s="4">
        <v>30</v>
      </c>
      <c r="M1513" s="4">
        <v>10</v>
      </c>
      <c r="N1513" s="4">
        <v>32.5</v>
      </c>
    </row>
    <row r="1514" spans="1:14">
      <c r="A1514" s="3">
        <v>813638</v>
      </c>
      <c r="B1514" s="3">
        <v>204869</v>
      </c>
      <c r="C1514" s="4">
        <v>34.5</v>
      </c>
      <c r="D1514" s="4">
        <v>12.5</v>
      </c>
      <c r="E1514" s="4">
        <v>12.5</v>
      </c>
      <c r="F1514" s="4">
        <v>42.5</v>
      </c>
      <c r="G1514" s="4">
        <v>0</v>
      </c>
      <c r="H1514" s="4">
        <v>0</v>
      </c>
      <c r="I1514" s="4">
        <v>44.5</v>
      </c>
      <c r="J1514" s="4">
        <v>15</v>
      </c>
      <c r="K1514" s="4">
        <v>205</v>
      </c>
      <c r="L1514" s="4">
        <v>256</v>
      </c>
      <c r="M1514" s="4">
        <v>60</v>
      </c>
      <c r="N1514" s="4">
        <v>218.5</v>
      </c>
    </row>
    <row r="1515" spans="1:14">
      <c r="A1515" s="3">
        <v>813642</v>
      </c>
      <c r="B1515" s="3">
        <v>173257</v>
      </c>
      <c r="C1515" s="4">
        <v>19.5</v>
      </c>
      <c r="D1515" s="4">
        <v>36.5</v>
      </c>
      <c r="E1515" s="4">
        <v>37.5</v>
      </c>
      <c r="F1515" s="4">
        <v>28.5</v>
      </c>
      <c r="G1515" s="4">
        <v>36.5</v>
      </c>
      <c r="H1515" s="4">
        <v>11.5</v>
      </c>
      <c r="I1515" s="4">
        <v>40.75</v>
      </c>
      <c r="J1515" s="4">
        <v>15</v>
      </c>
      <c r="K1515" s="4">
        <v>24</v>
      </c>
      <c r="L1515" s="4">
        <v>44.45</v>
      </c>
      <c r="M1515" s="4">
        <v>41</v>
      </c>
      <c r="N1515" s="4">
        <v>30</v>
      </c>
    </row>
    <row r="1516" spans="1:14">
      <c r="A1516" s="3">
        <v>813647</v>
      </c>
      <c r="B1516" s="3">
        <v>144447</v>
      </c>
      <c r="C1516" s="4">
        <v>5</v>
      </c>
      <c r="D1516" s="4">
        <v>2.5</v>
      </c>
      <c r="E1516" s="4">
        <v>10</v>
      </c>
      <c r="F1516" s="4">
        <v>13</v>
      </c>
      <c r="G1516" s="4">
        <v>0</v>
      </c>
      <c r="H1516" s="4">
        <v>0</v>
      </c>
      <c r="I1516" s="4">
        <v>0</v>
      </c>
      <c r="J1516" s="4">
        <v>7</v>
      </c>
      <c r="K1516" s="4">
        <v>0</v>
      </c>
      <c r="L1516" s="4">
        <v>0</v>
      </c>
      <c r="M1516" s="4">
        <v>20</v>
      </c>
      <c r="N1516" s="4">
        <v>50</v>
      </c>
    </row>
    <row r="1517" spans="1:14">
      <c r="A1517" s="3">
        <v>813651</v>
      </c>
      <c r="B1517" s="3">
        <v>178223</v>
      </c>
      <c r="C1517" s="4">
        <v>0</v>
      </c>
      <c r="D1517" s="4">
        <v>0</v>
      </c>
      <c r="E1517" s="4">
        <v>20</v>
      </c>
      <c r="F1517" s="4">
        <v>35</v>
      </c>
      <c r="G1517" s="4">
        <v>10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</row>
    <row r="1518" spans="1:14">
      <c r="A1518" s="3">
        <v>813656</v>
      </c>
      <c r="B1518" s="3">
        <v>179877</v>
      </c>
      <c r="C1518" s="4">
        <v>0</v>
      </c>
      <c r="D1518" s="4">
        <v>0</v>
      </c>
      <c r="E1518" s="4">
        <v>10</v>
      </c>
      <c r="F1518" s="4">
        <v>10</v>
      </c>
      <c r="G1518" s="4">
        <v>10</v>
      </c>
      <c r="H1518" s="4">
        <v>10</v>
      </c>
      <c r="I1518" s="4">
        <v>20</v>
      </c>
      <c r="J1518" s="4">
        <v>22.5</v>
      </c>
      <c r="K1518" s="4">
        <v>32.5</v>
      </c>
      <c r="L1518" s="4">
        <v>15</v>
      </c>
      <c r="M1518" s="4">
        <v>4.95</v>
      </c>
      <c r="N1518" s="4">
        <v>41</v>
      </c>
    </row>
    <row r="1519" spans="1:14">
      <c r="A1519" s="3">
        <v>813672</v>
      </c>
      <c r="B1519" s="3">
        <v>176641</v>
      </c>
      <c r="C1519" s="4">
        <v>50</v>
      </c>
      <c r="D1519" s="4">
        <v>50</v>
      </c>
      <c r="E1519" s="4">
        <v>30</v>
      </c>
      <c r="F1519" s="4">
        <v>46</v>
      </c>
      <c r="G1519" s="4">
        <v>47.2</v>
      </c>
      <c r="H1519" s="4">
        <v>30</v>
      </c>
      <c r="I1519" s="4">
        <v>25</v>
      </c>
      <c r="J1519" s="4">
        <v>30</v>
      </c>
      <c r="K1519" s="4">
        <v>20</v>
      </c>
      <c r="L1519" s="4">
        <v>10</v>
      </c>
      <c r="M1519" s="4">
        <v>0</v>
      </c>
      <c r="N1519" s="4">
        <v>10</v>
      </c>
    </row>
    <row r="1520" spans="1:14">
      <c r="A1520" s="3">
        <v>813674</v>
      </c>
      <c r="B1520" s="3">
        <v>179755</v>
      </c>
      <c r="C1520" s="4">
        <v>12</v>
      </c>
      <c r="D1520" s="4">
        <v>25</v>
      </c>
      <c r="E1520" s="4">
        <v>50</v>
      </c>
      <c r="F1520" s="4">
        <v>55</v>
      </c>
      <c r="G1520" s="4">
        <v>20</v>
      </c>
      <c r="H1520" s="4">
        <v>0</v>
      </c>
      <c r="I1520" s="4">
        <v>20</v>
      </c>
      <c r="J1520" s="4">
        <v>0</v>
      </c>
      <c r="K1520" s="4">
        <v>15</v>
      </c>
      <c r="L1520" s="4">
        <v>0</v>
      </c>
      <c r="M1520" s="4">
        <v>0</v>
      </c>
      <c r="N1520" s="4">
        <v>18</v>
      </c>
    </row>
    <row r="1521" spans="1:14">
      <c r="A1521" s="3">
        <v>813676</v>
      </c>
      <c r="B1521" s="3">
        <v>119029</v>
      </c>
      <c r="C1521" s="4">
        <v>15</v>
      </c>
      <c r="D1521" s="4">
        <v>5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</row>
    <row r="1522" spans="1:14">
      <c r="A1522" s="3">
        <v>813679</v>
      </c>
      <c r="B1522" s="3">
        <v>173728</v>
      </c>
      <c r="C1522" s="4">
        <v>41</v>
      </c>
      <c r="D1522" s="4">
        <v>42.5</v>
      </c>
      <c r="E1522" s="4">
        <v>10</v>
      </c>
      <c r="F1522" s="4">
        <v>60</v>
      </c>
      <c r="G1522" s="4">
        <v>30</v>
      </c>
      <c r="H1522" s="4">
        <v>53.5</v>
      </c>
      <c r="I1522" s="4">
        <v>30</v>
      </c>
      <c r="J1522" s="4">
        <v>40</v>
      </c>
      <c r="K1522" s="4">
        <v>25</v>
      </c>
      <c r="L1522" s="4">
        <v>20</v>
      </c>
      <c r="M1522" s="4">
        <v>0</v>
      </c>
      <c r="N1522" s="4">
        <v>0</v>
      </c>
    </row>
    <row r="1523" spans="1:14">
      <c r="A1523" s="3">
        <v>813681</v>
      </c>
      <c r="B1523" s="3">
        <v>175848</v>
      </c>
      <c r="C1523" s="4">
        <v>0</v>
      </c>
      <c r="D1523" s="4">
        <v>0</v>
      </c>
      <c r="E1523" s="4">
        <v>22.25</v>
      </c>
      <c r="F1523" s="4">
        <v>10</v>
      </c>
      <c r="G1523" s="4">
        <v>65</v>
      </c>
      <c r="H1523" s="4">
        <v>40</v>
      </c>
      <c r="I1523" s="4">
        <v>25</v>
      </c>
      <c r="J1523" s="4">
        <v>15</v>
      </c>
      <c r="K1523" s="4">
        <v>22</v>
      </c>
      <c r="L1523" s="4">
        <v>0</v>
      </c>
      <c r="M1523" s="4">
        <v>0</v>
      </c>
      <c r="N1523" s="4">
        <v>0</v>
      </c>
    </row>
    <row r="1524" spans="1:14">
      <c r="A1524" s="3">
        <v>813690</v>
      </c>
      <c r="B1524" s="3">
        <v>149885</v>
      </c>
      <c r="C1524" s="4">
        <v>17.5</v>
      </c>
      <c r="D1524" s="4">
        <v>17</v>
      </c>
      <c r="E1524" s="4">
        <v>0</v>
      </c>
      <c r="F1524" s="4">
        <v>3</v>
      </c>
      <c r="G1524" s="4">
        <v>0</v>
      </c>
      <c r="H1524" s="4">
        <v>7.5</v>
      </c>
      <c r="I1524" s="4">
        <v>30</v>
      </c>
      <c r="J1524" s="4">
        <v>7.5</v>
      </c>
      <c r="K1524" s="4">
        <v>0</v>
      </c>
      <c r="L1524" s="4">
        <v>0</v>
      </c>
      <c r="M1524" s="4">
        <v>0</v>
      </c>
      <c r="N1524" s="4">
        <v>0</v>
      </c>
    </row>
    <row r="1525" spans="1:14">
      <c r="A1525" s="3">
        <v>813692</v>
      </c>
      <c r="B1525" s="3">
        <v>142984</v>
      </c>
      <c r="C1525" s="4">
        <v>15</v>
      </c>
      <c r="D1525" s="4">
        <v>0</v>
      </c>
      <c r="E1525" s="4">
        <v>46.5</v>
      </c>
      <c r="F1525" s="4">
        <v>46</v>
      </c>
      <c r="G1525" s="4">
        <v>18</v>
      </c>
      <c r="H1525" s="4">
        <v>0</v>
      </c>
      <c r="I1525" s="4">
        <v>12</v>
      </c>
      <c r="J1525" s="4">
        <v>11</v>
      </c>
      <c r="K1525" s="4">
        <v>83</v>
      </c>
      <c r="L1525" s="4">
        <v>15</v>
      </c>
      <c r="M1525" s="4">
        <v>10</v>
      </c>
      <c r="N1525" s="4">
        <v>10</v>
      </c>
    </row>
    <row r="1526" spans="1:14">
      <c r="A1526" s="3">
        <v>813724</v>
      </c>
      <c r="B1526" s="3">
        <v>202850</v>
      </c>
      <c r="C1526" s="4">
        <v>10</v>
      </c>
      <c r="D1526" s="4">
        <v>0</v>
      </c>
      <c r="E1526" s="4">
        <v>0</v>
      </c>
      <c r="F1526" s="4">
        <v>25</v>
      </c>
      <c r="G1526" s="4">
        <v>25</v>
      </c>
      <c r="H1526" s="4">
        <v>0</v>
      </c>
      <c r="I1526" s="4">
        <v>20</v>
      </c>
      <c r="J1526" s="4">
        <v>0</v>
      </c>
      <c r="K1526" s="4">
        <v>30</v>
      </c>
      <c r="L1526" s="4">
        <v>20</v>
      </c>
      <c r="M1526" s="4">
        <v>35</v>
      </c>
      <c r="N1526" s="4">
        <v>15</v>
      </c>
    </row>
    <row r="1527" spans="1:14">
      <c r="A1527" s="3">
        <v>813725</v>
      </c>
      <c r="B1527" s="3">
        <v>172640</v>
      </c>
      <c r="C1527" s="4">
        <v>130</v>
      </c>
      <c r="D1527" s="4">
        <v>109.75</v>
      </c>
      <c r="E1527" s="4">
        <v>60</v>
      </c>
      <c r="F1527" s="4">
        <v>0</v>
      </c>
      <c r="G1527" s="4">
        <v>65</v>
      </c>
      <c r="H1527" s="4">
        <v>35</v>
      </c>
      <c r="I1527" s="4">
        <v>142.5</v>
      </c>
      <c r="J1527" s="4">
        <v>81.5</v>
      </c>
      <c r="K1527" s="4">
        <v>47.5</v>
      </c>
      <c r="L1527" s="4">
        <v>100</v>
      </c>
      <c r="M1527" s="4">
        <v>34.75</v>
      </c>
      <c r="N1527" s="4">
        <v>101.5</v>
      </c>
    </row>
    <row r="1528" spans="1:14">
      <c r="A1528" s="3">
        <v>813728</v>
      </c>
      <c r="B1528" s="3">
        <v>201065</v>
      </c>
      <c r="C1528" s="4">
        <v>0</v>
      </c>
      <c r="D1528" s="4">
        <v>10</v>
      </c>
      <c r="E1528" s="4">
        <v>25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10</v>
      </c>
      <c r="N1528" s="4">
        <v>0</v>
      </c>
    </row>
    <row r="1529" spans="1:14">
      <c r="A1529" s="3">
        <v>813729</v>
      </c>
      <c r="B1529" s="3">
        <v>140481</v>
      </c>
      <c r="C1529" s="4">
        <v>35</v>
      </c>
      <c r="D1529" s="4">
        <v>35</v>
      </c>
      <c r="E1529" s="4">
        <v>50</v>
      </c>
      <c r="F1529" s="4">
        <v>75</v>
      </c>
      <c r="G1529" s="4">
        <v>35</v>
      </c>
      <c r="H1529" s="4">
        <v>162.5</v>
      </c>
      <c r="I1529" s="4">
        <v>157.4</v>
      </c>
      <c r="J1529" s="4">
        <v>80</v>
      </c>
      <c r="K1529" s="4">
        <v>192.5</v>
      </c>
      <c r="L1529" s="4">
        <v>107</v>
      </c>
      <c r="M1529" s="4">
        <v>148</v>
      </c>
      <c r="N1529" s="4">
        <v>196</v>
      </c>
    </row>
    <row r="1530" spans="1:14">
      <c r="A1530" s="3">
        <v>813731</v>
      </c>
      <c r="B1530" s="3">
        <v>141115</v>
      </c>
      <c r="C1530" s="4">
        <v>43</v>
      </c>
      <c r="D1530" s="4">
        <v>20</v>
      </c>
      <c r="E1530" s="4">
        <v>41.7</v>
      </c>
      <c r="F1530" s="4">
        <v>59.5</v>
      </c>
      <c r="G1530" s="4">
        <v>30</v>
      </c>
      <c r="H1530" s="4">
        <v>0</v>
      </c>
      <c r="I1530" s="4">
        <v>59.75</v>
      </c>
      <c r="J1530" s="4">
        <v>10</v>
      </c>
      <c r="K1530" s="4">
        <v>40</v>
      </c>
      <c r="L1530" s="4">
        <v>0</v>
      </c>
      <c r="M1530" s="4">
        <v>6.5</v>
      </c>
      <c r="N1530" s="4">
        <v>0</v>
      </c>
    </row>
    <row r="1531" spans="1:14">
      <c r="A1531" s="3">
        <v>813734</v>
      </c>
      <c r="B1531" s="3">
        <v>205620</v>
      </c>
      <c r="C1531" s="4">
        <v>444.75</v>
      </c>
      <c r="D1531" s="4">
        <v>169.25</v>
      </c>
      <c r="E1531" s="4">
        <v>159</v>
      </c>
      <c r="F1531" s="4">
        <v>109.5</v>
      </c>
      <c r="G1531" s="4">
        <v>33.25</v>
      </c>
      <c r="H1531" s="4">
        <v>60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</row>
    <row r="1532" spans="1:14">
      <c r="A1532" s="3">
        <v>813734</v>
      </c>
      <c r="B1532" s="3">
        <v>207895</v>
      </c>
      <c r="C1532" s="4">
        <v>41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</row>
    <row r="1533" spans="1:14">
      <c r="A1533" s="3">
        <v>813746</v>
      </c>
      <c r="B1533" s="3">
        <v>204013</v>
      </c>
      <c r="C1533" s="4">
        <v>40</v>
      </c>
      <c r="D1533" s="4">
        <v>67.5</v>
      </c>
      <c r="E1533" s="4">
        <v>83.5</v>
      </c>
      <c r="F1533" s="4">
        <v>75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</row>
    <row r="1534" spans="1:14">
      <c r="A1534" s="3">
        <v>813763</v>
      </c>
      <c r="B1534" s="3">
        <v>170149</v>
      </c>
      <c r="C1534" s="4">
        <v>17.5</v>
      </c>
      <c r="D1534" s="4">
        <v>65.5</v>
      </c>
      <c r="E1534" s="4">
        <v>113.5</v>
      </c>
      <c r="F1534" s="4">
        <v>74</v>
      </c>
      <c r="G1534" s="4">
        <v>0</v>
      </c>
      <c r="H1534" s="4">
        <v>75</v>
      </c>
      <c r="I1534" s="4">
        <v>30</v>
      </c>
      <c r="J1534" s="4">
        <v>25</v>
      </c>
      <c r="K1534" s="4">
        <v>35</v>
      </c>
      <c r="L1534" s="4">
        <v>0</v>
      </c>
      <c r="M1534" s="4">
        <v>10</v>
      </c>
      <c r="N1534" s="4">
        <v>15</v>
      </c>
    </row>
    <row r="1535" spans="1:14">
      <c r="A1535" s="3">
        <v>813763</v>
      </c>
      <c r="B1535" s="3">
        <v>170204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20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</row>
    <row r="1536" spans="1:14">
      <c r="A1536" s="3">
        <v>813765</v>
      </c>
      <c r="B1536" s="3">
        <v>170204</v>
      </c>
      <c r="C1536" s="4">
        <v>126</v>
      </c>
      <c r="D1536" s="4">
        <v>268</v>
      </c>
      <c r="E1536" s="4">
        <v>171</v>
      </c>
      <c r="F1536" s="4">
        <v>130.5</v>
      </c>
      <c r="G1536" s="4">
        <v>0</v>
      </c>
      <c r="H1536" s="4">
        <v>107</v>
      </c>
      <c r="I1536" s="4">
        <v>140</v>
      </c>
      <c r="J1536" s="4">
        <v>233</v>
      </c>
      <c r="K1536" s="4">
        <v>209</v>
      </c>
      <c r="L1536" s="4">
        <v>196</v>
      </c>
      <c r="M1536" s="4">
        <v>98</v>
      </c>
      <c r="N1536" s="4">
        <v>159</v>
      </c>
    </row>
    <row r="1537" spans="1:14">
      <c r="A1537" s="3">
        <v>813778</v>
      </c>
      <c r="B1537" s="3">
        <v>141115</v>
      </c>
      <c r="C1537" s="4">
        <v>84.5</v>
      </c>
      <c r="D1537" s="4">
        <v>0</v>
      </c>
      <c r="E1537" s="4">
        <v>45</v>
      </c>
      <c r="F1537" s="4">
        <v>62.35</v>
      </c>
      <c r="G1537" s="4">
        <v>50.5</v>
      </c>
      <c r="H1537" s="4">
        <v>54</v>
      </c>
      <c r="I1537" s="4">
        <v>50</v>
      </c>
      <c r="J1537" s="4">
        <v>19.5</v>
      </c>
      <c r="K1537" s="4">
        <v>50</v>
      </c>
      <c r="L1537" s="4">
        <v>0</v>
      </c>
      <c r="M1537" s="4">
        <v>0</v>
      </c>
      <c r="N1537" s="4">
        <v>0</v>
      </c>
    </row>
    <row r="1538" spans="1:14">
      <c r="A1538" s="3">
        <v>813780</v>
      </c>
      <c r="B1538" s="3">
        <v>140859</v>
      </c>
      <c r="C1538" s="4">
        <v>20</v>
      </c>
      <c r="D1538" s="4">
        <v>20</v>
      </c>
      <c r="E1538" s="4">
        <v>20</v>
      </c>
      <c r="F1538" s="4">
        <v>31</v>
      </c>
      <c r="G1538" s="4">
        <v>0</v>
      </c>
      <c r="H1538" s="4">
        <v>0</v>
      </c>
      <c r="I1538" s="4">
        <v>0</v>
      </c>
      <c r="J1538" s="4">
        <v>10</v>
      </c>
      <c r="K1538" s="4">
        <v>0</v>
      </c>
      <c r="L1538" s="4">
        <v>0</v>
      </c>
      <c r="M1538" s="4">
        <v>5</v>
      </c>
      <c r="N1538" s="4">
        <v>0</v>
      </c>
    </row>
    <row r="1539" spans="1:14">
      <c r="A1539" s="3">
        <v>813782</v>
      </c>
      <c r="B1539" s="3">
        <v>175547</v>
      </c>
      <c r="C1539" s="4">
        <v>111</v>
      </c>
      <c r="D1539" s="4">
        <v>35</v>
      </c>
      <c r="E1539" s="4">
        <v>125</v>
      </c>
      <c r="F1539" s="4">
        <v>110</v>
      </c>
      <c r="G1539" s="4">
        <v>36</v>
      </c>
      <c r="H1539" s="4">
        <v>65</v>
      </c>
      <c r="I1539" s="4">
        <v>80</v>
      </c>
      <c r="J1539" s="4">
        <v>40</v>
      </c>
      <c r="K1539" s="4">
        <v>137</v>
      </c>
      <c r="L1539" s="4">
        <v>130</v>
      </c>
      <c r="M1539" s="4">
        <v>140</v>
      </c>
      <c r="N1539" s="4">
        <v>210</v>
      </c>
    </row>
    <row r="1540" spans="1:14">
      <c r="A1540" s="3">
        <v>813787</v>
      </c>
      <c r="B1540" s="3">
        <v>178230</v>
      </c>
      <c r="C1540" s="4">
        <v>35</v>
      </c>
      <c r="D1540" s="4">
        <v>34.5</v>
      </c>
      <c r="E1540" s="4">
        <v>15</v>
      </c>
      <c r="F1540" s="4">
        <v>50</v>
      </c>
      <c r="G1540" s="4">
        <v>45</v>
      </c>
      <c r="H1540" s="4">
        <v>10</v>
      </c>
      <c r="I1540" s="4">
        <v>10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</row>
    <row r="1541" spans="1:14">
      <c r="A1541" s="3">
        <v>813788</v>
      </c>
      <c r="B1541" s="3">
        <v>202713</v>
      </c>
      <c r="C1541" s="4">
        <v>28</v>
      </c>
      <c r="D1541" s="4">
        <v>51</v>
      </c>
      <c r="E1541" s="4">
        <v>15</v>
      </c>
      <c r="F1541" s="4">
        <v>61.5</v>
      </c>
      <c r="G1541" s="4">
        <v>58.5</v>
      </c>
      <c r="H1541" s="4">
        <v>50</v>
      </c>
      <c r="I1541" s="4">
        <v>35.549999999999997</v>
      </c>
      <c r="J1541" s="4">
        <v>30</v>
      </c>
      <c r="K1541" s="4">
        <v>40</v>
      </c>
      <c r="L1541" s="4">
        <v>37</v>
      </c>
      <c r="M1541" s="4">
        <v>67.400000000000006</v>
      </c>
      <c r="N1541" s="4">
        <v>50</v>
      </c>
    </row>
    <row r="1542" spans="1:14">
      <c r="A1542" s="3">
        <v>813788</v>
      </c>
      <c r="B1542" s="3">
        <v>207773</v>
      </c>
      <c r="C1542" s="4">
        <v>0</v>
      </c>
      <c r="D1542" s="4">
        <v>0</v>
      </c>
      <c r="E1542" s="4">
        <v>0</v>
      </c>
      <c r="F1542" s="4">
        <v>10</v>
      </c>
      <c r="G1542" s="4">
        <v>10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</row>
    <row r="1543" spans="1:14">
      <c r="A1543" s="3">
        <v>813799</v>
      </c>
      <c r="B1543" s="3">
        <v>178031</v>
      </c>
      <c r="C1543" s="4">
        <v>90</v>
      </c>
      <c r="D1543" s="4">
        <v>0</v>
      </c>
      <c r="E1543" s="4">
        <v>172</v>
      </c>
      <c r="F1543" s="4">
        <v>70</v>
      </c>
      <c r="G1543" s="4">
        <v>144</v>
      </c>
      <c r="H1543" s="4">
        <v>10</v>
      </c>
      <c r="I1543" s="4">
        <v>155</v>
      </c>
      <c r="J1543" s="4">
        <v>20</v>
      </c>
      <c r="K1543" s="4">
        <v>60</v>
      </c>
      <c r="L1543" s="4">
        <v>75</v>
      </c>
      <c r="M1543" s="4">
        <v>143</v>
      </c>
      <c r="N1543" s="4">
        <v>85</v>
      </c>
    </row>
    <row r="1544" spans="1:14">
      <c r="A1544" s="3">
        <v>813800</v>
      </c>
      <c r="B1544" s="3">
        <v>144868</v>
      </c>
      <c r="C1544" s="4">
        <v>0</v>
      </c>
      <c r="D1544" s="4">
        <v>7.5</v>
      </c>
      <c r="E1544" s="4">
        <v>27</v>
      </c>
      <c r="F1544" s="4">
        <v>5</v>
      </c>
      <c r="G1544" s="4">
        <v>12.5</v>
      </c>
      <c r="H1544" s="4">
        <v>12.5</v>
      </c>
      <c r="I1544" s="4">
        <v>0</v>
      </c>
      <c r="J1544" s="4">
        <v>32.5</v>
      </c>
      <c r="K1544" s="4">
        <v>31.5</v>
      </c>
      <c r="L1544" s="4">
        <v>15</v>
      </c>
      <c r="M1544" s="4">
        <v>24.5</v>
      </c>
      <c r="N1544" s="4">
        <v>45</v>
      </c>
    </row>
    <row r="1545" spans="1:14">
      <c r="A1545" s="3">
        <v>813802</v>
      </c>
      <c r="B1545" s="3">
        <v>171578</v>
      </c>
      <c r="C1545" s="4">
        <v>0</v>
      </c>
      <c r="D1545" s="4">
        <v>10</v>
      </c>
      <c r="E1545" s="4">
        <v>0</v>
      </c>
      <c r="F1545" s="4">
        <v>0</v>
      </c>
      <c r="G1545" s="4">
        <v>10</v>
      </c>
      <c r="H1545" s="4">
        <v>25</v>
      </c>
      <c r="I1545" s="4">
        <v>20</v>
      </c>
      <c r="J1545" s="4">
        <v>10</v>
      </c>
      <c r="K1545" s="4">
        <v>30</v>
      </c>
      <c r="L1545" s="4">
        <v>27.5</v>
      </c>
      <c r="M1545" s="4">
        <v>0</v>
      </c>
      <c r="N1545" s="4">
        <v>5</v>
      </c>
    </row>
    <row r="1546" spans="1:14">
      <c r="A1546" s="3">
        <v>813806</v>
      </c>
      <c r="B1546" s="3">
        <v>206980</v>
      </c>
      <c r="C1546" s="4">
        <v>0</v>
      </c>
      <c r="D1546" s="4">
        <v>0</v>
      </c>
      <c r="E1546" s="4">
        <v>10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</row>
    <row r="1547" spans="1:14">
      <c r="A1547" s="3">
        <v>813815</v>
      </c>
      <c r="B1547" s="3">
        <v>170614</v>
      </c>
      <c r="C1547" s="4">
        <v>120</v>
      </c>
      <c r="D1547" s="4">
        <v>130</v>
      </c>
      <c r="E1547" s="4">
        <v>105</v>
      </c>
      <c r="F1547" s="4">
        <v>75</v>
      </c>
      <c r="G1547" s="4">
        <v>75</v>
      </c>
      <c r="H1547" s="4">
        <v>95</v>
      </c>
      <c r="I1547" s="4">
        <v>57</v>
      </c>
      <c r="J1547" s="4">
        <v>77</v>
      </c>
      <c r="K1547" s="4">
        <v>75</v>
      </c>
      <c r="L1547" s="4">
        <v>100</v>
      </c>
      <c r="M1547" s="4">
        <v>100</v>
      </c>
      <c r="N1547" s="4">
        <v>210</v>
      </c>
    </row>
    <row r="1548" spans="1:14">
      <c r="A1548" s="3">
        <v>813816</v>
      </c>
      <c r="B1548" s="3">
        <v>173257</v>
      </c>
      <c r="C1548" s="4">
        <v>15</v>
      </c>
      <c r="D1548" s="4">
        <v>24</v>
      </c>
      <c r="E1548" s="4">
        <v>0</v>
      </c>
      <c r="F1548" s="4">
        <v>26.5</v>
      </c>
      <c r="G1548" s="4">
        <v>21</v>
      </c>
      <c r="H1548" s="4">
        <v>9</v>
      </c>
      <c r="I1548" s="4">
        <v>30</v>
      </c>
      <c r="J1548" s="4">
        <v>0</v>
      </c>
      <c r="K1548" s="4">
        <v>37.5</v>
      </c>
      <c r="L1548" s="4">
        <v>12.5</v>
      </c>
      <c r="M1548" s="4">
        <v>25</v>
      </c>
      <c r="N1548" s="4">
        <v>70</v>
      </c>
    </row>
    <row r="1549" spans="1:14">
      <c r="A1549" s="3">
        <v>813820</v>
      </c>
      <c r="B1549" s="3">
        <v>201172</v>
      </c>
      <c r="C1549" s="4">
        <v>18.5</v>
      </c>
      <c r="D1549" s="4">
        <v>29</v>
      </c>
      <c r="E1549" s="4">
        <v>7.5</v>
      </c>
      <c r="F1549" s="4">
        <v>11.25</v>
      </c>
      <c r="G1549" s="4">
        <v>51</v>
      </c>
      <c r="H1549" s="4">
        <v>33.5</v>
      </c>
      <c r="I1549" s="4">
        <v>10</v>
      </c>
      <c r="J1549" s="4">
        <v>15.5</v>
      </c>
      <c r="K1549" s="4">
        <v>11</v>
      </c>
      <c r="L1549" s="4">
        <v>0</v>
      </c>
      <c r="M1549" s="4">
        <v>0</v>
      </c>
      <c r="N1549" s="4">
        <v>0</v>
      </c>
    </row>
    <row r="1550" spans="1:14">
      <c r="A1550" s="3">
        <v>813821</v>
      </c>
      <c r="B1550" s="3">
        <v>178237</v>
      </c>
      <c r="C1550" s="4">
        <v>57.5</v>
      </c>
      <c r="D1550" s="4">
        <v>27</v>
      </c>
      <c r="E1550" s="4">
        <v>109</v>
      </c>
      <c r="F1550" s="4">
        <v>47.1</v>
      </c>
      <c r="G1550" s="4">
        <v>40</v>
      </c>
      <c r="H1550" s="4">
        <v>38</v>
      </c>
      <c r="I1550" s="4">
        <v>20</v>
      </c>
      <c r="J1550" s="4">
        <v>0</v>
      </c>
      <c r="K1550" s="4">
        <v>6</v>
      </c>
      <c r="L1550" s="4">
        <v>0</v>
      </c>
      <c r="M1550" s="4">
        <v>0</v>
      </c>
      <c r="N1550" s="4">
        <v>0</v>
      </c>
    </row>
    <row r="1551" spans="1:14">
      <c r="A1551" s="3">
        <v>813829</v>
      </c>
      <c r="B1551" s="3">
        <v>140984</v>
      </c>
      <c r="C1551" s="4">
        <v>85</v>
      </c>
      <c r="D1551" s="4">
        <v>20</v>
      </c>
      <c r="E1551" s="4">
        <v>42</v>
      </c>
      <c r="F1551" s="4">
        <v>70</v>
      </c>
      <c r="G1551" s="4">
        <v>391</v>
      </c>
      <c r="H1551" s="4">
        <v>0</v>
      </c>
      <c r="I1551" s="4">
        <v>195</v>
      </c>
      <c r="J1551" s="4">
        <v>0</v>
      </c>
      <c r="K1551" s="4">
        <v>199</v>
      </c>
      <c r="L1551" s="4">
        <v>235</v>
      </c>
      <c r="M1551" s="4">
        <v>160.5</v>
      </c>
      <c r="N1551" s="4">
        <v>160</v>
      </c>
    </row>
    <row r="1552" spans="1:14">
      <c r="A1552" s="3">
        <v>813830</v>
      </c>
      <c r="B1552" s="3">
        <v>140960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15</v>
      </c>
      <c r="I1552" s="4">
        <v>20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</row>
    <row r="1553" spans="1:14">
      <c r="A1553" s="3">
        <v>813832</v>
      </c>
      <c r="B1553" s="3">
        <v>172338</v>
      </c>
      <c r="C1553" s="4">
        <v>40</v>
      </c>
      <c r="D1553" s="4">
        <v>35</v>
      </c>
      <c r="E1553" s="4">
        <v>30</v>
      </c>
      <c r="F1553" s="4">
        <v>55</v>
      </c>
      <c r="G1553" s="4">
        <v>25</v>
      </c>
      <c r="H1553" s="4">
        <v>0</v>
      </c>
      <c r="I1553" s="4">
        <v>15</v>
      </c>
      <c r="J1553" s="4">
        <v>10</v>
      </c>
      <c r="K1553" s="4">
        <v>7.5</v>
      </c>
      <c r="L1553" s="4">
        <v>10</v>
      </c>
      <c r="M1553" s="4">
        <v>0</v>
      </c>
      <c r="N1553" s="4">
        <v>7.5</v>
      </c>
    </row>
    <row r="1554" spans="1:14">
      <c r="A1554" s="3">
        <v>813834</v>
      </c>
      <c r="B1554" s="3">
        <v>146402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10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</row>
    <row r="1555" spans="1:14">
      <c r="A1555" s="3">
        <v>813834</v>
      </c>
      <c r="B1555" s="3">
        <v>179755</v>
      </c>
      <c r="C1555" s="4">
        <v>0</v>
      </c>
      <c r="D1555" s="4">
        <v>43.5</v>
      </c>
      <c r="E1555" s="4">
        <v>85</v>
      </c>
      <c r="F1555" s="4">
        <v>30</v>
      </c>
      <c r="G1555" s="4">
        <v>27.5</v>
      </c>
      <c r="H1555" s="4">
        <v>16</v>
      </c>
      <c r="I1555" s="4">
        <v>50</v>
      </c>
      <c r="J1555" s="4">
        <v>80</v>
      </c>
      <c r="K1555" s="4">
        <v>40</v>
      </c>
      <c r="L1555" s="4">
        <v>35</v>
      </c>
      <c r="M1555" s="4">
        <v>56.25</v>
      </c>
      <c r="N1555" s="4">
        <v>55</v>
      </c>
    </row>
    <row r="1556" spans="1:14">
      <c r="A1556" s="3">
        <v>813842</v>
      </c>
      <c r="B1556" s="3">
        <v>202478</v>
      </c>
      <c r="C1556" s="4">
        <v>20</v>
      </c>
      <c r="D1556" s="4">
        <v>0</v>
      </c>
      <c r="E1556" s="4">
        <v>0</v>
      </c>
      <c r="F1556" s="4">
        <v>50</v>
      </c>
      <c r="G1556" s="4">
        <v>0</v>
      </c>
      <c r="H1556" s="4">
        <v>15</v>
      </c>
      <c r="I1556" s="4">
        <v>20</v>
      </c>
      <c r="J1556" s="4">
        <v>35</v>
      </c>
      <c r="K1556" s="4">
        <v>0</v>
      </c>
      <c r="L1556" s="4">
        <v>40</v>
      </c>
      <c r="M1556" s="4">
        <v>6</v>
      </c>
      <c r="N1556" s="4">
        <v>43.75</v>
      </c>
    </row>
    <row r="1557" spans="1:14">
      <c r="A1557" s="3">
        <v>813847</v>
      </c>
      <c r="B1557" s="3">
        <v>170204</v>
      </c>
      <c r="C1557" s="4">
        <v>100.5</v>
      </c>
      <c r="D1557" s="4">
        <v>32.5</v>
      </c>
      <c r="E1557" s="4">
        <v>0</v>
      </c>
      <c r="F1557" s="4">
        <v>40</v>
      </c>
      <c r="G1557" s="4">
        <v>0</v>
      </c>
      <c r="H1557" s="4">
        <v>17.5</v>
      </c>
      <c r="I1557" s="4">
        <v>35</v>
      </c>
      <c r="J1557" s="4">
        <v>22</v>
      </c>
      <c r="K1557" s="4">
        <v>0</v>
      </c>
      <c r="L1557" s="4">
        <v>0</v>
      </c>
      <c r="M1557" s="4">
        <v>0</v>
      </c>
      <c r="N1557" s="4">
        <v>20</v>
      </c>
    </row>
    <row r="1558" spans="1:14">
      <c r="A1558" s="3">
        <v>813866</v>
      </c>
      <c r="B1558" s="3">
        <v>119028</v>
      </c>
      <c r="C1558" s="4">
        <v>0</v>
      </c>
      <c r="D1558" s="4">
        <v>0</v>
      </c>
      <c r="E1558" s="4">
        <v>0</v>
      </c>
      <c r="F1558" s="4">
        <v>51</v>
      </c>
      <c r="G1558" s="4">
        <v>10</v>
      </c>
      <c r="H1558" s="4">
        <v>16</v>
      </c>
      <c r="I1558" s="4">
        <v>15</v>
      </c>
      <c r="J1558" s="4">
        <v>0</v>
      </c>
      <c r="K1558" s="4">
        <v>16</v>
      </c>
      <c r="L1558" s="4">
        <v>16</v>
      </c>
      <c r="M1558" s="4">
        <v>0</v>
      </c>
      <c r="N1558" s="4">
        <v>93</v>
      </c>
    </row>
    <row r="1559" spans="1:14">
      <c r="A1559" s="3">
        <v>813867</v>
      </c>
      <c r="B1559" s="3">
        <v>175848</v>
      </c>
      <c r="C1559" s="4">
        <v>8.5</v>
      </c>
      <c r="D1559" s="4">
        <v>15.5</v>
      </c>
      <c r="E1559" s="4">
        <v>50</v>
      </c>
      <c r="F1559" s="4">
        <v>10</v>
      </c>
      <c r="G1559" s="4">
        <v>40</v>
      </c>
      <c r="H1559" s="4">
        <v>59.25</v>
      </c>
      <c r="I1559" s="4">
        <v>19</v>
      </c>
      <c r="J1559" s="4">
        <v>45</v>
      </c>
      <c r="K1559" s="4">
        <v>58</v>
      </c>
      <c r="L1559" s="4">
        <v>46</v>
      </c>
      <c r="M1559" s="4">
        <v>51</v>
      </c>
      <c r="N1559" s="4">
        <v>31</v>
      </c>
    </row>
    <row r="1560" spans="1:14">
      <c r="A1560" s="3">
        <v>813876</v>
      </c>
      <c r="B1560" s="3">
        <v>204013</v>
      </c>
      <c r="C1560" s="4">
        <v>28.5</v>
      </c>
      <c r="D1560" s="4">
        <v>38</v>
      </c>
      <c r="E1560" s="4">
        <v>57</v>
      </c>
      <c r="F1560" s="4">
        <v>37.5</v>
      </c>
      <c r="G1560" s="4">
        <v>0</v>
      </c>
      <c r="H1560" s="4">
        <v>10</v>
      </c>
      <c r="I1560" s="4">
        <v>10</v>
      </c>
      <c r="J1560" s="4">
        <v>17</v>
      </c>
      <c r="K1560" s="4">
        <v>25</v>
      </c>
      <c r="L1560" s="4">
        <v>20</v>
      </c>
      <c r="M1560" s="4">
        <v>10</v>
      </c>
      <c r="N1560" s="4">
        <v>10</v>
      </c>
    </row>
    <row r="1561" spans="1:14">
      <c r="A1561" s="3">
        <v>813877</v>
      </c>
      <c r="B1561" s="3">
        <v>119023</v>
      </c>
      <c r="C1561" s="4">
        <v>0</v>
      </c>
      <c r="D1561" s="4">
        <v>0</v>
      </c>
      <c r="E1561" s="4">
        <v>20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5</v>
      </c>
      <c r="L1561" s="4">
        <v>0</v>
      </c>
      <c r="M1561" s="4">
        <v>0</v>
      </c>
      <c r="N1561" s="4">
        <v>0</v>
      </c>
    </row>
    <row r="1562" spans="1:14">
      <c r="A1562" s="3">
        <v>813894</v>
      </c>
      <c r="B1562" s="3">
        <v>202865</v>
      </c>
      <c r="C1562" s="4">
        <v>79</v>
      </c>
      <c r="D1562" s="4">
        <v>95.5</v>
      </c>
      <c r="E1562" s="4">
        <v>114</v>
      </c>
      <c r="F1562" s="4">
        <v>85.5</v>
      </c>
      <c r="G1562" s="4">
        <v>85</v>
      </c>
      <c r="H1562" s="4">
        <v>83.5</v>
      </c>
      <c r="I1562" s="4">
        <v>91.5</v>
      </c>
      <c r="J1562" s="4">
        <v>42</v>
      </c>
      <c r="K1562" s="4">
        <v>60</v>
      </c>
      <c r="L1562" s="4">
        <v>39.5</v>
      </c>
      <c r="M1562" s="4">
        <v>84</v>
      </c>
      <c r="N1562" s="4">
        <v>42</v>
      </c>
    </row>
    <row r="1563" spans="1:14">
      <c r="A1563" s="3">
        <v>813895</v>
      </c>
      <c r="B1563" s="3">
        <v>204013</v>
      </c>
      <c r="C1563" s="4">
        <v>72</v>
      </c>
      <c r="D1563" s="4">
        <v>65.5</v>
      </c>
      <c r="E1563" s="4">
        <v>58</v>
      </c>
      <c r="F1563" s="4">
        <v>69</v>
      </c>
      <c r="G1563" s="4">
        <v>30</v>
      </c>
      <c r="H1563" s="4">
        <v>48</v>
      </c>
      <c r="I1563" s="4">
        <v>51.5</v>
      </c>
      <c r="J1563" s="4">
        <v>18</v>
      </c>
      <c r="K1563" s="4">
        <v>57</v>
      </c>
      <c r="L1563" s="4">
        <v>59.7</v>
      </c>
      <c r="M1563" s="4">
        <v>20</v>
      </c>
      <c r="N1563" s="4">
        <v>47.5</v>
      </c>
    </row>
    <row r="1564" spans="1:14">
      <c r="A1564" s="3">
        <v>813896</v>
      </c>
      <c r="B1564" s="3">
        <v>149765</v>
      </c>
      <c r="C1564" s="4">
        <v>12</v>
      </c>
      <c r="D1564" s="4">
        <v>10</v>
      </c>
      <c r="E1564" s="4">
        <v>10</v>
      </c>
      <c r="F1564" s="4">
        <v>0</v>
      </c>
      <c r="G1564" s="4">
        <v>20</v>
      </c>
      <c r="H1564" s="4">
        <v>10</v>
      </c>
      <c r="I1564" s="4">
        <v>5</v>
      </c>
      <c r="J1564" s="4">
        <v>10</v>
      </c>
      <c r="K1564" s="4">
        <v>10</v>
      </c>
      <c r="L1564" s="4">
        <v>0</v>
      </c>
      <c r="M1564" s="4">
        <v>10</v>
      </c>
      <c r="N1564" s="4">
        <v>20</v>
      </c>
    </row>
    <row r="1565" spans="1:14">
      <c r="A1565" s="3">
        <v>813897</v>
      </c>
      <c r="B1565" s="3">
        <v>205225</v>
      </c>
      <c r="C1565" s="4">
        <v>37.5</v>
      </c>
      <c r="D1565" s="4">
        <v>80.650000000000006</v>
      </c>
      <c r="E1565" s="4">
        <v>51.35</v>
      </c>
      <c r="F1565" s="4">
        <v>92.25</v>
      </c>
      <c r="G1565" s="4">
        <v>123</v>
      </c>
      <c r="H1565" s="4">
        <v>120.5</v>
      </c>
      <c r="I1565" s="4">
        <v>24</v>
      </c>
      <c r="J1565" s="4">
        <v>35</v>
      </c>
      <c r="K1565" s="4">
        <v>0</v>
      </c>
      <c r="L1565" s="4">
        <v>0</v>
      </c>
      <c r="M1565" s="4">
        <v>5</v>
      </c>
      <c r="N1565" s="4">
        <v>0</v>
      </c>
    </row>
    <row r="1566" spans="1:14">
      <c r="A1566" s="3">
        <v>813909</v>
      </c>
      <c r="B1566" s="3">
        <v>148557</v>
      </c>
      <c r="C1566" s="4">
        <v>20</v>
      </c>
      <c r="D1566" s="4">
        <v>30</v>
      </c>
      <c r="E1566" s="4">
        <v>42</v>
      </c>
      <c r="F1566" s="4">
        <v>40</v>
      </c>
      <c r="G1566" s="4">
        <v>20</v>
      </c>
      <c r="H1566" s="4">
        <v>20</v>
      </c>
      <c r="I1566" s="4">
        <v>40</v>
      </c>
      <c r="J1566" s="4">
        <v>49</v>
      </c>
      <c r="K1566" s="4">
        <v>40</v>
      </c>
      <c r="L1566" s="4">
        <v>40</v>
      </c>
      <c r="M1566" s="4">
        <v>40</v>
      </c>
      <c r="N1566" s="4">
        <v>40</v>
      </c>
    </row>
    <row r="1567" spans="1:14">
      <c r="A1567" s="3">
        <v>813926</v>
      </c>
      <c r="B1567" s="3">
        <v>205004</v>
      </c>
      <c r="C1567" s="4">
        <v>50</v>
      </c>
      <c r="D1567" s="4">
        <v>20</v>
      </c>
      <c r="E1567" s="4">
        <v>10</v>
      </c>
      <c r="F1567" s="4">
        <v>16</v>
      </c>
      <c r="G1567" s="4">
        <v>39.5</v>
      </c>
      <c r="H1567" s="4">
        <v>46.5</v>
      </c>
      <c r="I1567" s="4">
        <v>0</v>
      </c>
      <c r="J1567" s="4">
        <v>40</v>
      </c>
      <c r="K1567" s="4">
        <v>45</v>
      </c>
      <c r="L1567" s="4">
        <v>6</v>
      </c>
      <c r="M1567" s="4">
        <v>7.5</v>
      </c>
      <c r="N1567" s="4">
        <v>19</v>
      </c>
    </row>
    <row r="1568" spans="1:14">
      <c r="A1568" s="3">
        <v>813928</v>
      </c>
      <c r="B1568" s="3">
        <v>172338</v>
      </c>
      <c r="C1568" s="4">
        <v>10</v>
      </c>
      <c r="D1568" s="4">
        <v>25</v>
      </c>
      <c r="E1568" s="4">
        <v>30</v>
      </c>
      <c r="F1568" s="4">
        <v>40</v>
      </c>
      <c r="G1568" s="4">
        <v>0</v>
      </c>
      <c r="H1568" s="4">
        <v>15</v>
      </c>
      <c r="I1568" s="4">
        <v>15</v>
      </c>
      <c r="J1568" s="4">
        <v>0</v>
      </c>
      <c r="K1568" s="4">
        <v>32.5</v>
      </c>
      <c r="L1568" s="4">
        <v>20</v>
      </c>
      <c r="M1568" s="4">
        <v>0</v>
      </c>
      <c r="N1568" s="4">
        <v>30</v>
      </c>
    </row>
    <row r="1569" spans="1:14">
      <c r="A1569" s="3">
        <v>813932</v>
      </c>
      <c r="B1569" s="3">
        <v>175848</v>
      </c>
      <c r="C1569" s="4">
        <v>41</v>
      </c>
      <c r="D1569" s="4">
        <v>114</v>
      </c>
      <c r="E1569" s="4">
        <v>50</v>
      </c>
      <c r="F1569" s="4">
        <v>82</v>
      </c>
      <c r="G1569" s="4">
        <v>90</v>
      </c>
      <c r="H1569" s="4">
        <v>40</v>
      </c>
      <c r="I1569" s="4">
        <v>24</v>
      </c>
      <c r="J1569" s="4">
        <v>15</v>
      </c>
      <c r="K1569" s="4">
        <v>31</v>
      </c>
      <c r="L1569" s="4">
        <v>18</v>
      </c>
      <c r="M1569" s="4">
        <v>45</v>
      </c>
      <c r="N1569" s="4">
        <v>72</v>
      </c>
    </row>
    <row r="1570" spans="1:14">
      <c r="A1570" s="3">
        <v>813933</v>
      </c>
      <c r="B1570" s="3">
        <v>172798</v>
      </c>
      <c r="C1570" s="4">
        <v>0</v>
      </c>
      <c r="D1570" s="4">
        <v>0</v>
      </c>
      <c r="E1570" s="4">
        <v>0</v>
      </c>
      <c r="F1570" s="4">
        <v>0</v>
      </c>
      <c r="G1570" s="4">
        <v>25</v>
      </c>
      <c r="H1570" s="4">
        <v>10</v>
      </c>
      <c r="I1570" s="4">
        <v>25</v>
      </c>
      <c r="J1570" s="4">
        <v>0</v>
      </c>
      <c r="K1570" s="4">
        <v>46</v>
      </c>
      <c r="L1570" s="4">
        <v>0</v>
      </c>
      <c r="M1570" s="4">
        <v>0</v>
      </c>
      <c r="N1570" s="4">
        <v>0</v>
      </c>
    </row>
    <row r="1571" spans="1:14">
      <c r="A1571" s="3">
        <v>813935</v>
      </c>
      <c r="B1571" s="3">
        <v>170248</v>
      </c>
      <c r="C1571" s="4">
        <v>80</v>
      </c>
      <c r="D1571" s="4">
        <v>60</v>
      </c>
      <c r="E1571" s="4">
        <v>40</v>
      </c>
      <c r="F1571" s="4">
        <v>30</v>
      </c>
      <c r="G1571" s="4">
        <v>20</v>
      </c>
      <c r="H1571" s="4">
        <v>20</v>
      </c>
      <c r="I1571" s="4">
        <v>20</v>
      </c>
      <c r="J1571" s="4">
        <v>15</v>
      </c>
      <c r="K1571" s="4">
        <v>22</v>
      </c>
      <c r="L1571" s="4">
        <v>20</v>
      </c>
      <c r="M1571" s="4">
        <v>20</v>
      </c>
      <c r="N1571" s="4">
        <v>50</v>
      </c>
    </row>
    <row r="1572" spans="1:14">
      <c r="A1572" s="3">
        <v>813936</v>
      </c>
      <c r="B1572" s="3">
        <v>204034</v>
      </c>
      <c r="C1572" s="4">
        <v>75.5</v>
      </c>
      <c r="D1572" s="4">
        <v>71.5</v>
      </c>
      <c r="E1572" s="4">
        <v>175</v>
      </c>
      <c r="F1572" s="4">
        <v>127.5</v>
      </c>
      <c r="G1572" s="4">
        <v>147</v>
      </c>
      <c r="H1572" s="4">
        <v>297.5</v>
      </c>
      <c r="I1572" s="4">
        <v>163.5</v>
      </c>
      <c r="J1572" s="4">
        <v>135</v>
      </c>
      <c r="K1572" s="4">
        <v>166.5</v>
      </c>
      <c r="L1572" s="4">
        <v>161.25</v>
      </c>
      <c r="M1572" s="4">
        <v>180.8</v>
      </c>
      <c r="N1572" s="4">
        <v>201.5</v>
      </c>
    </row>
    <row r="1573" spans="1:14">
      <c r="A1573" s="3">
        <v>813938</v>
      </c>
      <c r="B1573" s="3">
        <v>140847</v>
      </c>
      <c r="C1573" s="4">
        <v>45</v>
      </c>
      <c r="D1573" s="4">
        <v>75</v>
      </c>
      <c r="E1573" s="4">
        <v>60</v>
      </c>
      <c r="F1573" s="4">
        <v>40</v>
      </c>
      <c r="G1573" s="4">
        <v>30.5</v>
      </c>
      <c r="H1573" s="4">
        <v>35</v>
      </c>
      <c r="I1573" s="4">
        <v>40</v>
      </c>
      <c r="J1573" s="4">
        <v>20</v>
      </c>
      <c r="K1573" s="4">
        <v>46</v>
      </c>
      <c r="L1573" s="4">
        <v>50</v>
      </c>
      <c r="M1573" s="4">
        <v>55</v>
      </c>
      <c r="N1573" s="4">
        <v>60</v>
      </c>
    </row>
    <row r="1574" spans="1:14">
      <c r="A1574" s="3">
        <v>813946</v>
      </c>
      <c r="B1574" s="3">
        <v>205270</v>
      </c>
      <c r="C1574" s="4">
        <v>17.5</v>
      </c>
      <c r="D1574" s="4">
        <v>22.5</v>
      </c>
      <c r="E1574" s="4">
        <v>19</v>
      </c>
      <c r="F1574" s="4">
        <v>30.5</v>
      </c>
      <c r="G1574" s="4">
        <v>63.05</v>
      </c>
      <c r="H1574" s="4">
        <v>91.5</v>
      </c>
      <c r="I1574" s="4">
        <v>93.1</v>
      </c>
      <c r="J1574" s="4">
        <v>78.75</v>
      </c>
      <c r="K1574" s="4">
        <v>95.1</v>
      </c>
      <c r="L1574" s="4">
        <v>105.75</v>
      </c>
      <c r="M1574" s="4">
        <v>98</v>
      </c>
      <c r="N1574" s="4">
        <v>187.25</v>
      </c>
    </row>
    <row r="1575" spans="1:14">
      <c r="A1575" s="3">
        <v>813962</v>
      </c>
      <c r="B1575" s="3">
        <v>149971</v>
      </c>
      <c r="C1575" s="4">
        <v>35</v>
      </c>
      <c r="D1575" s="4">
        <v>0</v>
      </c>
      <c r="E1575" s="4">
        <v>20</v>
      </c>
      <c r="F1575" s="4">
        <v>13.5</v>
      </c>
      <c r="G1575" s="4">
        <v>36.5</v>
      </c>
      <c r="H1575" s="4">
        <v>17.5</v>
      </c>
      <c r="I1575" s="4">
        <v>25</v>
      </c>
      <c r="J1575" s="4">
        <v>25</v>
      </c>
      <c r="K1575" s="4">
        <v>20</v>
      </c>
      <c r="L1575" s="4">
        <v>0</v>
      </c>
      <c r="M1575" s="4">
        <v>0</v>
      </c>
      <c r="N1575" s="4">
        <v>28</v>
      </c>
    </row>
    <row r="1576" spans="1:14">
      <c r="A1576" s="3">
        <v>813971</v>
      </c>
      <c r="B1576" s="3">
        <v>176693</v>
      </c>
      <c r="C1576" s="4">
        <v>40</v>
      </c>
      <c r="D1576" s="4">
        <v>127</v>
      </c>
      <c r="E1576" s="4">
        <v>105</v>
      </c>
      <c r="F1576" s="4">
        <v>26</v>
      </c>
      <c r="G1576" s="4">
        <v>29.5</v>
      </c>
      <c r="H1576" s="4">
        <v>10</v>
      </c>
      <c r="I1576" s="4">
        <v>60</v>
      </c>
      <c r="J1576" s="4">
        <v>46</v>
      </c>
      <c r="K1576" s="4">
        <v>45</v>
      </c>
      <c r="L1576" s="4">
        <v>60</v>
      </c>
      <c r="M1576" s="4">
        <v>45</v>
      </c>
      <c r="N1576" s="4">
        <v>45</v>
      </c>
    </row>
    <row r="1577" spans="1:14">
      <c r="A1577" s="3">
        <v>813974</v>
      </c>
      <c r="B1577" s="3">
        <v>170617</v>
      </c>
      <c r="C1577" s="4">
        <v>34</v>
      </c>
      <c r="D1577" s="4">
        <v>33</v>
      </c>
      <c r="E1577" s="4">
        <v>30</v>
      </c>
      <c r="F1577" s="4">
        <v>71.400000000000006</v>
      </c>
      <c r="G1577" s="4">
        <v>60</v>
      </c>
      <c r="H1577" s="4">
        <v>103</v>
      </c>
      <c r="I1577" s="4">
        <v>59.25</v>
      </c>
      <c r="J1577" s="4">
        <v>28.25</v>
      </c>
      <c r="K1577" s="4">
        <v>32.5</v>
      </c>
      <c r="L1577" s="4">
        <v>102.5</v>
      </c>
      <c r="M1577" s="4">
        <v>73.5</v>
      </c>
      <c r="N1577" s="4">
        <v>40</v>
      </c>
    </row>
    <row r="1578" spans="1:14">
      <c r="A1578" s="3">
        <v>813979</v>
      </c>
      <c r="B1578" s="3">
        <v>203968</v>
      </c>
      <c r="C1578" s="4">
        <v>35</v>
      </c>
      <c r="D1578" s="4">
        <v>0</v>
      </c>
      <c r="E1578" s="4">
        <v>15</v>
      </c>
      <c r="F1578" s="4">
        <v>0</v>
      </c>
      <c r="G1578" s="4">
        <v>0</v>
      </c>
      <c r="H1578" s="4">
        <v>20</v>
      </c>
      <c r="I1578" s="4">
        <v>30</v>
      </c>
      <c r="J1578" s="4">
        <v>0</v>
      </c>
      <c r="K1578" s="4">
        <v>5</v>
      </c>
      <c r="L1578" s="4">
        <v>17.5</v>
      </c>
      <c r="M1578" s="4">
        <v>10</v>
      </c>
      <c r="N1578" s="4">
        <v>20</v>
      </c>
    </row>
    <row r="1579" spans="1:14">
      <c r="A1579" s="3">
        <v>813981</v>
      </c>
      <c r="B1579" s="3">
        <v>176773</v>
      </c>
      <c r="C1579" s="4">
        <v>30.5</v>
      </c>
      <c r="D1579" s="4">
        <v>25</v>
      </c>
      <c r="E1579" s="4">
        <v>10</v>
      </c>
      <c r="F1579" s="4">
        <v>15</v>
      </c>
      <c r="G1579" s="4">
        <v>26</v>
      </c>
      <c r="H1579" s="4">
        <v>22.5</v>
      </c>
      <c r="I1579" s="4">
        <v>17</v>
      </c>
      <c r="J1579" s="4">
        <v>0</v>
      </c>
      <c r="K1579" s="4">
        <v>20.5</v>
      </c>
      <c r="L1579" s="4">
        <v>25</v>
      </c>
      <c r="M1579" s="4">
        <v>10</v>
      </c>
      <c r="N1579" s="4">
        <v>7.5</v>
      </c>
    </row>
    <row r="1580" spans="1:14">
      <c r="A1580" s="3">
        <v>813983</v>
      </c>
      <c r="B1580" s="3">
        <v>170904</v>
      </c>
      <c r="C1580" s="4">
        <v>43</v>
      </c>
      <c r="D1580" s="4">
        <v>56</v>
      </c>
      <c r="E1580" s="4">
        <v>44</v>
      </c>
      <c r="F1580" s="4">
        <v>63</v>
      </c>
      <c r="G1580" s="4">
        <v>61</v>
      </c>
      <c r="H1580" s="4">
        <v>57.5</v>
      </c>
      <c r="I1580" s="4">
        <v>45</v>
      </c>
      <c r="J1580" s="4">
        <v>20</v>
      </c>
      <c r="K1580" s="4">
        <v>102</v>
      </c>
      <c r="L1580" s="4">
        <v>77</v>
      </c>
      <c r="M1580" s="4">
        <v>40</v>
      </c>
      <c r="N1580" s="4">
        <v>30</v>
      </c>
    </row>
    <row r="1581" spans="1:14">
      <c r="A1581" s="3">
        <v>813984</v>
      </c>
      <c r="B1581" s="3">
        <v>205306</v>
      </c>
      <c r="C1581" s="4">
        <v>0</v>
      </c>
      <c r="D1581" s="4">
        <v>30</v>
      </c>
      <c r="E1581" s="4">
        <v>12</v>
      </c>
      <c r="F1581" s="4">
        <v>20</v>
      </c>
      <c r="G1581" s="4">
        <v>40</v>
      </c>
      <c r="H1581" s="4">
        <v>12.5</v>
      </c>
      <c r="I1581" s="4">
        <v>12.5</v>
      </c>
      <c r="J1581" s="4">
        <v>20</v>
      </c>
      <c r="K1581" s="4">
        <v>20</v>
      </c>
      <c r="L1581" s="4">
        <v>13</v>
      </c>
      <c r="M1581" s="4">
        <v>20</v>
      </c>
      <c r="N1581" s="4">
        <v>34.5</v>
      </c>
    </row>
    <row r="1582" spans="1:14">
      <c r="A1582" s="3">
        <v>813997</v>
      </c>
      <c r="B1582" s="3">
        <v>176693</v>
      </c>
      <c r="C1582" s="4">
        <v>53</v>
      </c>
      <c r="D1582" s="4">
        <v>220</v>
      </c>
      <c r="E1582" s="4">
        <v>70</v>
      </c>
      <c r="F1582" s="4">
        <v>11.05</v>
      </c>
      <c r="G1582" s="4">
        <v>118</v>
      </c>
      <c r="H1582" s="4">
        <v>50</v>
      </c>
      <c r="I1582" s="4">
        <v>30</v>
      </c>
      <c r="J1582" s="4">
        <v>10</v>
      </c>
      <c r="K1582" s="4">
        <v>75</v>
      </c>
      <c r="L1582" s="4">
        <v>40</v>
      </c>
      <c r="M1582" s="4">
        <v>81.5</v>
      </c>
      <c r="N1582" s="4">
        <v>120</v>
      </c>
    </row>
    <row r="1583" spans="1:14">
      <c r="A1583" s="3">
        <v>813998</v>
      </c>
      <c r="B1583" s="3">
        <v>177301</v>
      </c>
      <c r="C1583" s="4">
        <v>45.5</v>
      </c>
      <c r="D1583" s="4">
        <v>70</v>
      </c>
      <c r="E1583" s="4">
        <v>40</v>
      </c>
      <c r="F1583" s="4">
        <v>39</v>
      </c>
      <c r="G1583" s="4">
        <v>20</v>
      </c>
      <c r="H1583" s="4">
        <v>35</v>
      </c>
      <c r="I1583" s="4">
        <v>0</v>
      </c>
      <c r="J1583" s="4">
        <v>0</v>
      </c>
      <c r="K1583" s="4">
        <v>69.5</v>
      </c>
      <c r="L1583" s="4">
        <v>32.5</v>
      </c>
      <c r="M1583" s="4">
        <v>25</v>
      </c>
      <c r="N1583" s="4">
        <v>65.5</v>
      </c>
    </row>
    <row r="1584" spans="1:14">
      <c r="A1584" s="3">
        <v>813998</v>
      </c>
      <c r="B1584" s="3">
        <v>201817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5</v>
      </c>
    </row>
    <row r="1585" spans="1:14">
      <c r="A1585" s="3">
        <v>814000</v>
      </c>
      <c r="B1585" s="3">
        <v>202956</v>
      </c>
      <c r="C1585" s="4">
        <v>11.5</v>
      </c>
      <c r="D1585" s="4">
        <v>45</v>
      </c>
      <c r="E1585" s="4">
        <v>43</v>
      </c>
      <c r="F1585" s="4">
        <v>49</v>
      </c>
      <c r="G1585" s="4">
        <v>0</v>
      </c>
      <c r="H1585" s="4">
        <v>55</v>
      </c>
      <c r="I1585" s="4">
        <v>61</v>
      </c>
      <c r="J1585" s="4">
        <v>35</v>
      </c>
      <c r="K1585" s="4">
        <v>64</v>
      </c>
      <c r="L1585" s="4">
        <v>72</v>
      </c>
      <c r="M1585" s="4">
        <v>35</v>
      </c>
      <c r="N1585" s="4">
        <v>30</v>
      </c>
    </row>
    <row r="1586" spans="1:14">
      <c r="A1586" s="3">
        <v>814001</v>
      </c>
      <c r="B1586" s="3">
        <v>170248</v>
      </c>
      <c r="C1586" s="4">
        <v>5</v>
      </c>
      <c r="D1586" s="4">
        <v>47.5</v>
      </c>
      <c r="E1586" s="4">
        <v>40</v>
      </c>
      <c r="F1586" s="4">
        <v>66.25</v>
      </c>
      <c r="G1586" s="4">
        <v>72.25</v>
      </c>
      <c r="H1586" s="4">
        <v>36</v>
      </c>
      <c r="I1586" s="4">
        <v>35</v>
      </c>
      <c r="J1586" s="4">
        <v>21.25</v>
      </c>
      <c r="K1586" s="4">
        <v>26</v>
      </c>
      <c r="L1586" s="4">
        <v>67</v>
      </c>
      <c r="M1586" s="4">
        <v>41.25</v>
      </c>
      <c r="N1586" s="4">
        <v>45</v>
      </c>
    </row>
    <row r="1587" spans="1:14">
      <c r="A1587" s="3">
        <v>814004</v>
      </c>
      <c r="B1587" s="3">
        <v>141115</v>
      </c>
      <c r="C1587" s="4">
        <v>10</v>
      </c>
      <c r="D1587" s="4">
        <v>0</v>
      </c>
      <c r="E1587" s="4">
        <v>0</v>
      </c>
      <c r="F1587" s="4">
        <v>20</v>
      </c>
      <c r="G1587" s="4">
        <v>30.25</v>
      </c>
      <c r="H1587" s="4">
        <v>0</v>
      </c>
      <c r="I1587" s="4">
        <v>0</v>
      </c>
      <c r="J1587" s="4">
        <v>40</v>
      </c>
      <c r="K1587" s="4">
        <v>52.5</v>
      </c>
      <c r="L1587" s="4">
        <v>50</v>
      </c>
      <c r="M1587" s="4">
        <v>36.5</v>
      </c>
      <c r="N1587" s="4">
        <v>139.25</v>
      </c>
    </row>
    <row r="1588" spans="1:14">
      <c r="A1588" s="3">
        <v>814011</v>
      </c>
      <c r="B1588" s="3">
        <v>144747</v>
      </c>
      <c r="C1588" s="4">
        <v>15</v>
      </c>
      <c r="D1588" s="4">
        <v>7</v>
      </c>
      <c r="E1588" s="4">
        <v>80</v>
      </c>
      <c r="F1588" s="4">
        <v>75</v>
      </c>
      <c r="G1588" s="4">
        <v>20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</row>
    <row r="1589" spans="1:14">
      <c r="A1589" s="3">
        <v>814013</v>
      </c>
      <c r="B1589" s="3">
        <v>172084</v>
      </c>
      <c r="C1589" s="4">
        <v>0</v>
      </c>
      <c r="D1589" s="4">
        <v>0</v>
      </c>
      <c r="E1589" s="4">
        <v>0</v>
      </c>
      <c r="F1589" s="4">
        <v>10</v>
      </c>
      <c r="G1589" s="4">
        <v>0</v>
      </c>
      <c r="H1589" s="4">
        <v>15</v>
      </c>
      <c r="I1589" s="4">
        <v>25</v>
      </c>
      <c r="J1589" s="4">
        <v>0</v>
      </c>
      <c r="K1589" s="4">
        <v>30</v>
      </c>
      <c r="L1589" s="4">
        <v>0</v>
      </c>
      <c r="M1589" s="4">
        <v>35</v>
      </c>
      <c r="N1589" s="4">
        <v>30</v>
      </c>
    </row>
    <row r="1590" spans="1:14">
      <c r="A1590" s="3">
        <v>814013</v>
      </c>
      <c r="B1590" s="3">
        <v>202709</v>
      </c>
      <c r="C1590" s="4">
        <v>32</v>
      </c>
      <c r="D1590" s="4">
        <v>15</v>
      </c>
      <c r="E1590" s="4">
        <v>0</v>
      </c>
      <c r="F1590" s="4">
        <v>0</v>
      </c>
      <c r="G1590" s="4">
        <v>0</v>
      </c>
      <c r="H1590" s="4">
        <v>20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</row>
    <row r="1591" spans="1:14">
      <c r="A1591" s="3">
        <v>814013</v>
      </c>
      <c r="B1591" s="3">
        <v>204933</v>
      </c>
      <c r="C1591" s="4">
        <v>0</v>
      </c>
      <c r="D1591" s="4">
        <v>0</v>
      </c>
      <c r="E1591" s="4">
        <v>0</v>
      </c>
      <c r="F1591" s="4">
        <v>11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</row>
    <row r="1592" spans="1:14">
      <c r="A1592" s="3">
        <v>814018</v>
      </c>
      <c r="B1592" s="3">
        <v>141118</v>
      </c>
      <c r="C1592" s="4">
        <v>85</v>
      </c>
      <c r="D1592" s="4">
        <v>83</v>
      </c>
      <c r="E1592" s="4">
        <v>105</v>
      </c>
      <c r="F1592" s="4">
        <v>66</v>
      </c>
      <c r="G1592" s="4">
        <v>99.5</v>
      </c>
      <c r="H1592" s="4">
        <v>68</v>
      </c>
      <c r="I1592" s="4">
        <v>0</v>
      </c>
      <c r="J1592" s="4">
        <v>105</v>
      </c>
      <c r="K1592" s="4">
        <v>109.5</v>
      </c>
      <c r="L1592" s="4">
        <v>42.5</v>
      </c>
      <c r="M1592" s="4">
        <v>52.5</v>
      </c>
      <c r="N1592" s="4">
        <v>129</v>
      </c>
    </row>
    <row r="1593" spans="1:14">
      <c r="A1593" s="3">
        <v>814031</v>
      </c>
      <c r="B1593" s="3">
        <v>207977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6</v>
      </c>
      <c r="I1593" s="4">
        <v>10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</row>
    <row r="1594" spans="1:14">
      <c r="A1594" s="3">
        <v>814034</v>
      </c>
      <c r="B1594" s="3">
        <v>170248</v>
      </c>
      <c r="C1594" s="4">
        <v>10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</row>
    <row r="1595" spans="1:14">
      <c r="A1595" s="3">
        <v>814034</v>
      </c>
      <c r="B1595" s="3">
        <v>175049</v>
      </c>
      <c r="C1595" s="4">
        <v>40</v>
      </c>
      <c r="D1595" s="4">
        <v>15</v>
      </c>
      <c r="E1595" s="4">
        <v>30</v>
      </c>
      <c r="F1595" s="4">
        <v>52.5</v>
      </c>
      <c r="G1595" s="4">
        <v>34</v>
      </c>
      <c r="H1595" s="4">
        <v>42.5</v>
      </c>
      <c r="I1595" s="4">
        <v>35</v>
      </c>
      <c r="J1595" s="4">
        <v>15</v>
      </c>
      <c r="K1595" s="4">
        <v>32</v>
      </c>
      <c r="L1595" s="4">
        <v>25</v>
      </c>
      <c r="M1595" s="4">
        <v>10</v>
      </c>
      <c r="N1595" s="4">
        <v>61</v>
      </c>
    </row>
    <row r="1596" spans="1:14">
      <c r="A1596" s="3">
        <v>814038</v>
      </c>
      <c r="B1596" s="3">
        <v>140850</v>
      </c>
      <c r="C1596" s="4">
        <v>45</v>
      </c>
      <c r="D1596" s="4">
        <v>30</v>
      </c>
      <c r="E1596" s="4">
        <v>60</v>
      </c>
      <c r="F1596" s="4">
        <v>40</v>
      </c>
      <c r="G1596" s="4">
        <v>58</v>
      </c>
      <c r="H1596" s="4">
        <v>57.5</v>
      </c>
      <c r="I1596" s="4">
        <v>45</v>
      </c>
      <c r="J1596" s="4">
        <v>50</v>
      </c>
      <c r="K1596" s="4">
        <v>70.5</v>
      </c>
      <c r="L1596" s="4">
        <v>51</v>
      </c>
      <c r="M1596" s="4">
        <v>52</v>
      </c>
      <c r="N1596" s="4">
        <v>30</v>
      </c>
    </row>
    <row r="1597" spans="1:14">
      <c r="A1597" s="3">
        <v>814040</v>
      </c>
      <c r="B1597" s="3">
        <v>119208</v>
      </c>
      <c r="C1597" s="4">
        <v>44</v>
      </c>
      <c r="D1597" s="4">
        <v>0</v>
      </c>
      <c r="E1597" s="4">
        <v>124</v>
      </c>
      <c r="F1597" s="4">
        <v>0</v>
      </c>
      <c r="G1597" s="4">
        <v>0</v>
      </c>
      <c r="H1597" s="4">
        <v>129.5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</row>
    <row r="1598" spans="1:14">
      <c r="A1598" s="3">
        <v>814047</v>
      </c>
      <c r="B1598" s="3">
        <v>178230</v>
      </c>
      <c r="C1598" s="4">
        <v>30</v>
      </c>
      <c r="D1598" s="4">
        <v>20</v>
      </c>
      <c r="E1598" s="4">
        <v>30</v>
      </c>
      <c r="F1598" s="4">
        <v>15</v>
      </c>
      <c r="G1598" s="4">
        <v>0</v>
      </c>
      <c r="H1598" s="4">
        <v>10</v>
      </c>
      <c r="I1598" s="4">
        <v>10</v>
      </c>
      <c r="J1598" s="4">
        <v>26</v>
      </c>
      <c r="K1598" s="4">
        <v>11</v>
      </c>
      <c r="L1598" s="4">
        <v>40</v>
      </c>
      <c r="M1598" s="4">
        <v>13.5</v>
      </c>
      <c r="N1598" s="4">
        <v>25</v>
      </c>
    </row>
    <row r="1599" spans="1:14">
      <c r="A1599" s="3">
        <v>814048</v>
      </c>
      <c r="B1599" s="3">
        <v>144747</v>
      </c>
      <c r="C1599" s="4">
        <v>15</v>
      </c>
      <c r="D1599" s="4">
        <v>192.5</v>
      </c>
      <c r="E1599" s="4">
        <v>190</v>
      </c>
      <c r="F1599" s="4">
        <v>187</v>
      </c>
      <c r="G1599" s="4">
        <v>170.5</v>
      </c>
      <c r="H1599" s="4">
        <v>145.5</v>
      </c>
      <c r="I1599" s="4">
        <v>107.75</v>
      </c>
      <c r="J1599" s="4">
        <v>35</v>
      </c>
      <c r="K1599" s="4">
        <v>148</v>
      </c>
      <c r="L1599" s="4">
        <v>157.5</v>
      </c>
      <c r="M1599" s="4">
        <v>147.5</v>
      </c>
      <c r="N1599" s="4">
        <v>137.5</v>
      </c>
    </row>
    <row r="1600" spans="1:14">
      <c r="A1600" s="3">
        <v>814050</v>
      </c>
      <c r="B1600" s="3">
        <v>206049</v>
      </c>
      <c r="C1600" s="4">
        <v>15</v>
      </c>
      <c r="D1600" s="4">
        <v>70.75</v>
      </c>
      <c r="E1600" s="4">
        <v>273.25</v>
      </c>
      <c r="F1600" s="4">
        <v>328</v>
      </c>
      <c r="G1600" s="4">
        <v>358.8</v>
      </c>
      <c r="H1600" s="4">
        <v>446.2</v>
      </c>
      <c r="I1600" s="4">
        <v>62.75</v>
      </c>
      <c r="J1600" s="4">
        <v>336.25</v>
      </c>
      <c r="K1600" s="4">
        <v>184</v>
      </c>
      <c r="L1600" s="4">
        <v>366.25</v>
      </c>
      <c r="M1600" s="4">
        <v>296</v>
      </c>
      <c r="N1600" s="4">
        <v>67.5</v>
      </c>
    </row>
    <row r="1601" spans="1:14">
      <c r="A1601" s="3">
        <v>814055</v>
      </c>
      <c r="B1601" s="3">
        <v>171662</v>
      </c>
      <c r="C1601" s="4">
        <v>8</v>
      </c>
      <c r="D1601" s="4">
        <v>10</v>
      </c>
      <c r="E1601" s="4">
        <v>10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</row>
    <row r="1602" spans="1:14">
      <c r="A1602" s="3">
        <v>814058</v>
      </c>
      <c r="B1602" s="3">
        <v>173224</v>
      </c>
      <c r="C1602" s="4">
        <v>28.5</v>
      </c>
      <c r="D1602" s="4">
        <v>40</v>
      </c>
      <c r="E1602" s="4">
        <v>28.5</v>
      </c>
      <c r="F1602" s="4">
        <v>40</v>
      </c>
      <c r="G1602" s="4">
        <v>55</v>
      </c>
      <c r="H1602" s="4">
        <v>32.5</v>
      </c>
      <c r="I1602" s="4">
        <v>30</v>
      </c>
      <c r="J1602" s="4">
        <v>18.5</v>
      </c>
      <c r="K1602" s="4">
        <v>67</v>
      </c>
      <c r="L1602" s="4">
        <v>57.5</v>
      </c>
      <c r="M1602" s="4">
        <v>62</v>
      </c>
      <c r="N1602" s="4">
        <v>15</v>
      </c>
    </row>
    <row r="1603" spans="1:14">
      <c r="A1603" s="3">
        <v>814067</v>
      </c>
      <c r="B1603" s="3">
        <v>176870</v>
      </c>
      <c r="C1603" s="4">
        <v>11</v>
      </c>
      <c r="D1603" s="4">
        <v>45</v>
      </c>
      <c r="E1603" s="4">
        <v>30</v>
      </c>
      <c r="F1603" s="4">
        <v>20</v>
      </c>
      <c r="G1603" s="4">
        <v>30</v>
      </c>
      <c r="H1603" s="4">
        <v>25</v>
      </c>
      <c r="I1603" s="4">
        <v>30</v>
      </c>
      <c r="J1603" s="4">
        <v>0</v>
      </c>
      <c r="K1603" s="4">
        <v>45</v>
      </c>
      <c r="L1603" s="4">
        <v>7.5</v>
      </c>
      <c r="M1603" s="4">
        <v>15</v>
      </c>
      <c r="N1603" s="4">
        <v>25</v>
      </c>
    </row>
    <row r="1604" spans="1:14">
      <c r="A1604" s="3">
        <v>814068</v>
      </c>
      <c r="B1604" s="3">
        <v>170228</v>
      </c>
      <c r="C1604" s="4">
        <v>60</v>
      </c>
      <c r="D1604" s="4">
        <v>30</v>
      </c>
      <c r="E1604" s="4">
        <v>96</v>
      </c>
      <c r="F1604" s="4">
        <v>117</v>
      </c>
      <c r="G1604" s="4">
        <v>30</v>
      </c>
      <c r="H1604" s="4">
        <v>90</v>
      </c>
      <c r="I1604" s="4">
        <v>0</v>
      </c>
      <c r="J1604" s="4">
        <v>25</v>
      </c>
      <c r="K1604" s="4">
        <v>0</v>
      </c>
      <c r="L1604" s="4">
        <v>61.5</v>
      </c>
      <c r="M1604" s="4">
        <v>0</v>
      </c>
      <c r="N1604" s="4">
        <v>0</v>
      </c>
    </row>
    <row r="1605" spans="1:14">
      <c r="A1605" s="3">
        <v>814068</v>
      </c>
      <c r="B1605" s="3">
        <v>176870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10</v>
      </c>
      <c r="J1605" s="4">
        <v>0</v>
      </c>
      <c r="K1605" s="4">
        <v>10</v>
      </c>
      <c r="L1605" s="4">
        <v>0</v>
      </c>
      <c r="M1605" s="4">
        <v>0</v>
      </c>
      <c r="N1605" s="4">
        <v>0</v>
      </c>
    </row>
    <row r="1606" spans="1:14">
      <c r="A1606" s="3">
        <v>814069</v>
      </c>
      <c r="B1606" s="3">
        <v>176870</v>
      </c>
      <c r="C1606" s="4">
        <v>100</v>
      </c>
      <c r="D1606" s="4">
        <v>100</v>
      </c>
      <c r="E1606" s="4">
        <v>35</v>
      </c>
      <c r="F1606" s="4">
        <v>60</v>
      </c>
      <c r="G1606" s="4">
        <v>25</v>
      </c>
      <c r="H1606" s="4">
        <v>47.5</v>
      </c>
      <c r="I1606" s="4">
        <v>20</v>
      </c>
      <c r="J1606" s="4">
        <v>10</v>
      </c>
      <c r="K1606" s="4">
        <v>57.5</v>
      </c>
      <c r="L1606" s="4">
        <v>22</v>
      </c>
      <c r="M1606" s="4">
        <v>32.5</v>
      </c>
      <c r="N1606" s="4">
        <v>50</v>
      </c>
    </row>
    <row r="1607" spans="1:14">
      <c r="A1607" s="3">
        <v>814079</v>
      </c>
      <c r="B1607" s="3">
        <v>202850</v>
      </c>
      <c r="C1607" s="4">
        <v>98</v>
      </c>
      <c r="D1607" s="4">
        <v>55</v>
      </c>
      <c r="E1607" s="4">
        <v>32</v>
      </c>
      <c r="F1607" s="4">
        <v>0</v>
      </c>
      <c r="G1607" s="4">
        <v>110</v>
      </c>
      <c r="H1607" s="4">
        <v>70</v>
      </c>
      <c r="I1607" s="4">
        <v>110</v>
      </c>
      <c r="J1607" s="4">
        <v>40</v>
      </c>
      <c r="K1607" s="4">
        <v>55</v>
      </c>
      <c r="L1607" s="4">
        <v>85</v>
      </c>
      <c r="M1607" s="4">
        <v>37</v>
      </c>
      <c r="N1607" s="4">
        <v>45</v>
      </c>
    </row>
    <row r="1608" spans="1:14">
      <c r="A1608" s="3">
        <v>814084</v>
      </c>
      <c r="B1608" s="3">
        <v>142269</v>
      </c>
      <c r="C1608" s="4">
        <v>20</v>
      </c>
      <c r="D1608" s="4">
        <v>55</v>
      </c>
      <c r="E1608" s="4">
        <v>56</v>
      </c>
      <c r="F1608" s="4">
        <v>0</v>
      </c>
      <c r="G1608" s="4">
        <v>10</v>
      </c>
      <c r="H1608" s="4">
        <v>0</v>
      </c>
      <c r="I1608" s="4">
        <v>0</v>
      </c>
      <c r="J1608" s="4">
        <v>0</v>
      </c>
      <c r="K1608" s="4">
        <v>40</v>
      </c>
      <c r="L1608" s="4">
        <v>15</v>
      </c>
      <c r="M1608" s="4">
        <v>15</v>
      </c>
      <c r="N1608" s="4">
        <v>15</v>
      </c>
    </row>
    <row r="1609" spans="1:14">
      <c r="A1609" s="3">
        <v>814085</v>
      </c>
      <c r="B1609" s="3">
        <v>140858</v>
      </c>
      <c r="C1609" s="4">
        <v>55</v>
      </c>
      <c r="D1609" s="4">
        <v>22.5</v>
      </c>
      <c r="E1609" s="4">
        <v>65</v>
      </c>
      <c r="F1609" s="4">
        <v>87.5</v>
      </c>
      <c r="G1609" s="4">
        <v>75</v>
      </c>
      <c r="H1609" s="4">
        <v>20</v>
      </c>
      <c r="I1609" s="4">
        <v>35</v>
      </c>
      <c r="J1609" s="4">
        <v>20</v>
      </c>
      <c r="K1609" s="4">
        <v>65</v>
      </c>
      <c r="L1609" s="4">
        <v>95</v>
      </c>
      <c r="M1609" s="4">
        <v>120</v>
      </c>
      <c r="N1609" s="4">
        <v>20</v>
      </c>
    </row>
    <row r="1610" spans="1:14">
      <c r="A1610" s="3">
        <v>814086</v>
      </c>
      <c r="B1610" s="3">
        <v>141115</v>
      </c>
      <c r="C1610" s="4">
        <v>0</v>
      </c>
      <c r="D1610" s="4">
        <v>0</v>
      </c>
      <c r="E1610" s="4">
        <v>0</v>
      </c>
      <c r="F1610" s="4">
        <v>15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</row>
    <row r="1611" spans="1:14">
      <c r="A1611" s="3">
        <v>814087</v>
      </c>
      <c r="B1611" s="3">
        <v>205989</v>
      </c>
      <c r="C1611" s="4">
        <v>7.5</v>
      </c>
      <c r="D1611" s="4">
        <v>0</v>
      </c>
      <c r="E1611" s="4">
        <v>7.5</v>
      </c>
      <c r="F1611" s="4">
        <v>32.5</v>
      </c>
      <c r="G1611" s="4">
        <v>7.5</v>
      </c>
      <c r="H1611" s="4">
        <v>0</v>
      </c>
      <c r="I1611" s="4">
        <v>65</v>
      </c>
      <c r="J1611" s="4">
        <v>25</v>
      </c>
      <c r="K1611" s="4">
        <v>27.5</v>
      </c>
      <c r="L1611" s="4">
        <v>30</v>
      </c>
      <c r="M1611" s="4">
        <v>38</v>
      </c>
      <c r="N1611" s="4">
        <v>82.45</v>
      </c>
    </row>
    <row r="1612" spans="1:14">
      <c r="A1612" s="3">
        <v>814091</v>
      </c>
      <c r="B1612" s="3">
        <v>175049</v>
      </c>
      <c r="C1612" s="4">
        <v>15</v>
      </c>
      <c r="D1612" s="4">
        <v>0</v>
      </c>
      <c r="E1612" s="4">
        <v>20</v>
      </c>
      <c r="F1612" s="4">
        <v>10</v>
      </c>
      <c r="G1612" s="4">
        <v>0</v>
      </c>
      <c r="H1612" s="4">
        <v>0</v>
      </c>
      <c r="I1612" s="4">
        <v>0</v>
      </c>
      <c r="J1612" s="4">
        <v>10</v>
      </c>
      <c r="K1612" s="4">
        <v>26</v>
      </c>
      <c r="L1612" s="4">
        <v>30</v>
      </c>
      <c r="M1612" s="4">
        <v>25</v>
      </c>
      <c r="N1612" s="4">
        <v>11</v>
      </c>
    </row>
    <row r="1613" spans="1:14">
      <c r="A1613" s="3">
        <v>814093</v>
      </c>
      <c r="B1613" s="3">
        <v>170392</v>
      </c>
      <c r="C1613" s="4">
        <v>208.6</v>
      </c>
      <c r="D1613" s="4">
        <v>118</v>
      </c>
      <c r="E1613" s="4">
        <v>41.5</v>
      </c>
      <c r="F1613" s="4">
        <v>70</v>
      </c>
      <c r="G1613" s="4">
        <v>115</v>
      </c>
      <c r="H1613" s="4">
        <v>141.75</v>
      </c>
      <c r="I1613" s="4">
        <v>265</v>
      </c>
      <c r="J1613" s="4">
        <v>18.5</v>
      </c>
      <c r="K1613" s="4">
        <v>215.5</v>
      </c>
      <c r="L1613" s="4">
        <v>180.25</v>
      </c>
      <c r="M1613" s="4">
        <v>10.5</v>
      </c>
      <c r="N1613" s="4">
        <v>8</v>
      </c>
    </row>
    <row r="1614" spans="1:14">
      <c r="A1614" s="3">
        <v>814094</v>
      </c>
      <c r="B1614" s="3">
        <v>208033</v>
      </c>
      <c r="C1614" s="4">
        <v>10</v>
      </c>
      <c r="D1614" s="4">
        <v>30</v>
      </c>
      <c r="E1614" s="4">
        <v>127</v>
      </c>
      <c r="F1614" s="4">
        <v>75</v>
      </c>
      <c r="G1614" s="4">
        <v>0</v>
      </c>
      <c r="H1614" s="4">
        <v>16</v>
      </c>
      <c r="I1614" s="4">
        <v>35</v>
      </c>
      <c r="J1614" s="4">
        <v>10</v>
      </c>
      <c r="K1614" s="4">
        <v>5</v>
      </c>
      <c r="L1614" s="4">
        <v>0</v>
      </c>
      <c r="M1614" s="4">
        <v>0</v>
      </c>
      <c r="N1614" s="4">
        <v>0</v>
      </c>
    </row>
    <row r="1615" spans="1:14">
      <c r="A1615" s="3">
        <v>814094</v>
      </c>
      <c r="B1615" s="3">
        <v>211138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15</v>
      </c>
      <c r="M1615" s="4">
        <v>160</v>
      </c>
      <c r="N1615" s="4">
        <v>35</v>
      </c>
    </row>
    <row r="1616" spans="1:14">
      <c r="A1616" s="3">
        <v>814095</v>
      </c>
      <c r="B1616" s="3">
        <v>172086</v>
      </c>
      <c r="C1616" s="4">
        <v>0</v>
      </c>
      <c r="D1616" s="4">
        <v>0</v>
      </c>
      <c r="E1616" s="4">
        <v>0</v>
      </c>
      <c r="F1616" s="4">
        <v>15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</row>
    <row r="1617" spans="1:14">
      <c r="A1617" s="3">
        <v>814095</v>
      </c>
      <c r="B1617" s="3">
        <v>172702</v>
      </c>
      <c r="C1617" s="4">
        <v>70</v>
      </c>
      <c r="D1617" s="4">
        <v>0</v>
      </c>
      <c r="E1617" s="4">
        <v>0</v>
      </c>
      <c r="F1617" s="4">
        <v>20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</row>
    <row r="1618" spans="1:14">
      <c r="A1618" s="3">
        <v>814096</v>
      </c>
      <c r="B1618" s="3">
        <v>179473</v>
      </c>
      <c r="C1618" s="4">
        <v>16.5</v>
      </c>
      <c r="D1618" s="4">
        <v>0</v>
      </c>
      <c r="E1618" s="4">
        <v>6.5</v>
      </c>
      <c r="F1618" s="4">
        <v>10</v>
      </c>
      <c r="G1618" s="4">
        <v>5</v>
      </c>
      <c r="H1618" s="4">
        <v>2.5</v>
      </c>
      <c r="I1618" s="4">
        <v>0</v>
      </c>
      <c r="J1618" s="4">
        <v>2.5</v>
      </c>
      <c r="K1618" s="4">
        <v>0</v>
      </c>
      <c r="L1618" s="4">
        <v>0</v>
      </c>
      <c r="M1618" s="4">
        <v>0</v>
      </c>
      <c r="N1618" s="4">
        <v>0</v>
      </c>
    </row>
    <row r="1619" spans="1:14">
      <c r="A1619" s="3">
        <v>814097</v>
      </c>
      <c r="B1619" s="3">
        <v>141512</v>
      </c>
      <c r="C1619" s="4">
        <v>34</v>
      </c>
      <c r="D1619" s="4">
        <v>40.5</v>
      </c>
      <c r="E1619" s="4">
        <v>75</v>
      </c>
      <c r="F1619" s="4">
        <v>51</v>
      </c>
      <c r="G1619" s="4">
        <v>47.5</v>
      </c>
      <c r="H1619" s="4">
        <v>24.75</v>
      </c>
      <c r="I1619" s="4">
        <v>50</v>
      </c>
      <c r="J1619" s="4">
        <v>50</v>
      </c>
      <c r="K1619" s="4">
        <v>100</v>
      </c>
      <c r="L1619" s="4">
        <v>32.5</v>
      </c>
      <c r="M1619" s="4">
        <v>37.5</v>
      </c>
      <c r="N1619" s="4">
        <v>64.5</v>
      </c>
    </row>
    <row r="1620" spans="1:14">
      <c r="A1620" s="3">
        <v>814106</v>
      </c>
      <c r="B1620" s="3">
        <v>119028</v>
      </c>
      <c r="C1620" s="4">
        <v>0</v>
      </c>
      <c r="D1620" s="4">
        <v>0</v>
      </c>
      <c r="E1620" s="4">
        <v>10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</row>
    <row r="1621" spans="1:14">
      <c r="A1621" s="3">
        <v>814106</v>
      </c>
      <c r="B1621" s="3">
        <v>140859</v>
      </c>
      <c r="C1621" s="4">
        <v>10</v>
      </c>
      <c r="D1621" s="4">
        <v>35</v>
      </c>
      <c r="E1621" s="4">
        <v>10</v>
      </c>
      <c r="F1621" s="4">
        <v>15</v>
      </c>
      <c r="G1621" s="4">
        <v>10</v>
      </c>
      <c r="H1621" s="4">
        <v>10</v>
      </c>
      <c r="I1621" s="4">
        <v>0</v>
      </c>
      <c r="J1621" s="4">
        <v>0</v>
      </c>
      <c r="K1621" s="4">
        <v>0</v>
      </c>
      <c r="L1621" s="4">
        <v>10</v>
      </c>
      <c r="M1621" s="4">
        <v>30</v>
      </c>
      <c r="N1621" s="4">
        <v>15</v>
      </c>
    </row>
    <row r="1622" spans="1:14">
      <c r="A1622" s="3">
        <v>814107</v>
      </c>
      <c r="B1622" s="3">
        <v>205992</v>
      </c>
      <c r="C1622" s="4">
        <v>39</v>
      </c>
      <c r="D1622" s="4">
        <v>51</v>
      </c>
      <c r="E1622" s="4">
        <v>145.5</v>
      </c>
      <c r="F1622" s="4">
        <v>128.5</v>
      </c>
      <c r="G1622" s="4">
        <v>106.65</v>
      </c>
      <c r="H1622" s="4">
        <v>57.45</v>
      </c>
      <c r="I1622" s="4">
        <v>93.5</v>
      </c>
      <c r="J1622" s="4">
        <v>25</v>
      </c>
      <c r="K1622" s="4">
        <v>98.75</v>
      </c>
      <c r="L1622" s="4">
        <v>70</v>
      </c>
      <c r="M1622" s="4">
        <v>0</v>
      </c>
      <c r="N1622" s="4">
        <v>0</v>
      </c>
    </row>
    <row r="1623" spans="1:14">
      <c r="A1623" s="3">
        <v>814108</v>
      </c>
      <c r="B1623" s="3">
        <v>119028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10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</row>
    <row r="1624" spans="1:14">
      <c r="A1624" s="3">
        <v>814109</v>
      </c>
      <c r="B1624" s="3">
        <v>119052</v>
      </c>
      <c r="C1624" s="4">
        <v>84</v>
      </c>
      <c r="D1624" s="4">
        <v>53</v>
      </c>
      <c r="E1624" s="4">
        <v>96.5</v>
      </c>
      <c r="F1624" s="4">
        <v>104</v>
      </c>
      <c r="G1624" s="4">
        <v>60</v>
      </c>
      <c r="H1624" s="4">
        <v>93</v>
      </c>
      <c r="I1624" s="4">
        <v>66</v>
      </c>
      <c r="J1624" s="4">
        <v>42</v>
      </c>
      <c r="K1624" s="4">
        <v>131</v>
      </c>
      <c r="L1624" s="4">
        <v>98</v>
      </c>
      <c r="M1624" s="4">
        <v>94</v>
      </c>
      <c r="N1624" s="4">
        <v>209</v>
      </c>
    </row>
    <row r="1625" spans="1:14">
      <c r="A1625" s="3">
        <v>814110</v>
      </c>
      <c r="B1625" s="3">
        <v>172338</v>
      </c>
      <c r="C1625" s="4">
        <v>51</v>
      </c>
      <c r="D1625" s="4">
        <v>35</v>
      </c>
      <c r="E1625" s="4">
        <v>46</v>
      </c>
      <c r="F1625" s="4">
        <v>15</v>
      </c>
      <c r="G1625" s="4">
        <v>82</v>
      </c>
      <c r="H1625" s="4">
        <v>35</v>
      </c>
      <c r="I1625" s="4">
        <v>66</v>
      </c>
      <c r="J1625" s="4">
        <v>25</v>
      </c>
      <c r="K1625" s="4">
        <v>25</v>
      </c>
      <c r="L1625" s="4">
        <v>36</v>
      </c>
      <c r="M1625" s="4">
        <v>20</v>
      </c>
      <c r="N1625" s="4">
        <v>30</v>
      </c>
    </row>
    <row r="1626" spans="1:14">
      <c r="A1626" s="3">
        <v>814111</v>
      </c>
      <c r="B1626" s="3">
        <v>140881</v>
      </c>
      <c r="C1626" s="4">
        <v>0</v>
      </c>
      <c r="D1626" s="4">
        <v>25</v>
      </c>
      <c r="E1626" s="4">
        <v>130</v>
      </c>
      <c r="F1626" s="4">
        <v>145</v>
      </c>
      <c r="G1626" s="4">
        <v>0</v>
      </c>
      <c r="H1626" s="4">
        <v>25</v>
      </c>
      <c r="I1626" s="4">
        <v>0</v>
      </c>
      <c r="J1626" s="4">
        <v>0</v>
      </c>
      <c r="K1626" s="4">
        <v>0</v>
      </c>
      <c r="L1626" s="4">
        <v>0</v>
      </c>
      <c r="M1626" s="4">
        <v>45</v>
      </c>
      <c r="N1626" s="4">
        <v>70</v>
      </c>
    </row>
    <row r="1627" spans="1:14">
      <c r="A1627" s="3">
        <v>814113</v>
      </c>
      <c r="B1627" s="3">
        <v>170775</v>
      </c>
      <c r="C1627" s="4">
        <v>0</v>
      </c>
      <c r="D1627" s="4">
        <v>0</v>
      </c>
      <c r="E1627" s="4">
        <v>0</v>
      </c>
      <c r="F1627" s="4">
        <v>15</v>
      </c>
      <c r="G1627" s="4">
        <v>10</v>
      </c>
      <c r="H1627" s="4">
        <v>30</v>
      </c>
      <c r="I1627" s="4">
        <v>30</v>
      </c>
      <c r="J1627" s="4">
        <v>0</v>
      </c>
      <c r="K1627" s="4">
        <v>45</v>
      </c>
      <c r="L1627" s="4">
        <v>25</v>
      </c>
      <c r="M1627" s="4">
        <v>15</v>
      </c>
      <c r="N1627" s="4">
        <v>10</v>
      </c>
    </row>
    <row r="1628" spans="1:14">
      <c r="A1628" s="3">
        <v>814114</v>
      </c>
      <c r="B1628" s="3">
        <v>172338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20</v>
      </c>
      <c r="K1628" s="4">
        <v>15</v>
      </c>
      <c r="L1628" s="4">
        <v>15</v>
      </c>
      <c r="M1628" s="4">
        <v>12.5</v>
      </c>
      <c r="N1628" s="4">
        <v>16.5</v>
      </c>
    </row>
    <row r="1629" spans="1:14">
      <c r="A1629" s="3">
        <v>814115</v>
      </c>
      <c r="B1629" s="3">
        <v>202850</v>
      </c>
      <c r="C1629" s="4">
        <v>100</v>
      </c>
      <c r="D1629" s="4">
        <v>15</v>
      </c>
      <c r="E1629" s="4">
        <v>70</v>
      </c>
      <c r="F1629" s="4">
        <v>25</v>
      </c>
      <c r="G1629" s="4">
        <v>110</v>
      </c>
      <c r="H1629" s="4">
        <v>45</v>
      </c>
      <c r="I1629" s="4">
        <v>0</v>
      </c>
      <c r="J1629" s="4">
        <v>35</v>
      </c>
      <c r="K1629" s="4">
        <v>35</v>
      </c>
      <c r="L1629" s="4">
        <v>15</v>
      </c>
      <c r="M1629" s="4">
        <v>20</v>
      </c>
      <c r="N1629" s="4">
        <v>0</v>
      </c>
    </row>
    <row r="1630" spans="1:14">
      <c r="A1630" s="3">
        <v>814116</v>
      </c>
      <c r="B1630" s="3">
        <v>178298</v>
      </c>
      <c r="C1630" s="4">
        <v>68</v>
      </c>
      <c r="D1630" s="4">
        <v>96</v>
      </c>
      <c r="E1630" s="4">
        <v>93</v>
      </c>
      <c r="F1630" s="4">
        <v>124</v>
      </c>
      <c r="G1630" s="4">
        <v>87</v>
      </c>
      <c r="H1630" s="4">
        <v>75</v>
      </c>
      <c r="I1630" s="4">
        <v>84</v>
      </c>
      <c r="J1630" s="4">
        <v>54</v>
      </c>
      <c r="K1630" s="4">
        <v>73</v>
      </c>
      <c r="L1630" s="4">
        <v>68.5</v>
      </c>
      <c r="M1630" s="4">
        <v>67</v>
      </c>
      <c r="N1630" s="4">
        <v>64</v>
      </c>
    </row>
    <row r="1631" spans="1:14">
      <c r="A1631" s="3">
        <v>814116</v>
      </c>
      <c r="B1631" s="3">
        <v>202478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20</v>
      </c>
      <c r="J1631" s="4">
        <v>0</v>
      </c>
      <c r="K1631" s="4">
        <v>6.5</v>
      </c>
      <c r="L1631" s="4">
        <v>0</v>
      </c>
      <c r="M1631" s="4">
        <v>0</v>
      </c>
      <c r="N1631" s="4">
        <v>20</v>
      </c>
    </row>
    <row r="1632" spans="1:14">
      <c r="A1632" s="3">
        <v>814117</v>
      </c>
      <c r="B1632" s="3">
        <v>205840</v>
      </c>
      <c r="C1632" s="4">
        <v>5</v>
      </c>
      <c r="D1632" s="4">
        <v>15</v>
      </c>
      <c r="E1632" s="4">
        <v>25</v>
      </c>
      <c r="F1632" s="4">
        <v>10</v>
      </c>
      <c r="G1632" s="4">
        <v>0</v>
      </c>
      <c r="H1632" s="4">
        <v>0</v>
      </c>
      <c r="I1632" s="4">
        <v>15</v>
      </c>
      <c r="J1632" s="4">
        <v>0</v>
      </c>
      <c r="K1632" s="4">
        <v>0</v>
      </c>
      <c r="L1632" s="4">
        <v>11</v>
      </c>
      <c r="M1632" s="4">
        <v>0</v>
      </c>
      <c r="N1632" s="4">
        <v>0</v>
      </c>
    </row>
    <row r="1633" spans="1:14">
      <c r="A1633" s="3">
        <v>814129</v>
      </c>
      <c r="B1633" s="3">
        <v>176773</v>
      </c>
      <c r="C1633" s="4">
        <v>27.5</v>
      </c>
      <c r="D1633" s="4">
        <v>17.2</v>
      </c>
      <c r="E1633" s="4">
        <v>47.5</v>
      </c>
      <c r="F1633" s="4">
        <v>38</v>
      </c>
      <c r="G1633" s="4">
        <v>32.15</v>
      </c>
      <c r="H1633" s="4">
        <v>0</v>
      </c>
      <c r="I1633" s="4">
        <v>22.5</v>
      </c>
      <c r="J1633" s="4">
        <v>0</v>
      </c>
      <c r="K1633" s="4">
        <v>0</v>
      </c>
      <c r="L1633" s="4">
        <v>42</v>
      </c>
      <c r="M1633" s="4">
        <v>33.25</v>
      </c>
      <c r="N1633" s="4">
        <v>0</v>
      </c>
    </row>
    <row r="1634" spans="1:14">
      <c r="A1634" s="3">
        <v>814130</v>
      </c>
      <c r="B1634" s="3">
        <v>201280</v>
      </c>
      <c r="C1634" s="4">
        <v>150.25</v>
      </c>
      <c r="D1634" s="4">
        <v>55</v>
      </c>
      <c r="E1634" s="4">
        <v>130</v>
      </c>
      <c r="F1634" s="4">
        <v>110.4</v>
      </c>
      <c r="G1634" s="4">
        <v>96</v>
      </c>
      <c r="H1634" s="4">
        <v>86</v>
      </c>
      <c r="I1634" s="4">
        <v>85</v>
      </c>
      <c r="J1634" s="4">
        <v>30</v>
      </c>
      <c r="K1634" s="4">
        <v>83</v>
      </c>
      <c r="L1634" s="4">
        <v>105.25</v>
      </c>
      <c r="M1634" s="4">
        <v>110</v>
      </c>
      <c r="N1634" s="4">
        <v>102</v>
      </c>
    </row>
    <row r="1635" spans="1:14">
      <c r="A1635" s="3">
        <v>814139</v>
      </c>
      <c r="B1635" s="3">
        <v>172097</v>
      </c>
      <c r="C1635" s="4">
        <v>45</v>
      </c>
      <c r="D1635" s="4">
        <v>30</v>
      </c>
      <c r="E1635" s="4">
        <v>70</v>
      </c>
      <c r="F1635" s="4">
        <v>80</v>
      </c>
      <c r="G1635" s="4">
        <v>80</v>
      </c>
      <c r="H1635" s="4">
        <v>10</v>
      </c>
      <c r="I1635" s="4">
        <v>60</v>
      </c>
      <c r="J1635" s="4">
        <v>20</v>
      </c>
      <c r="K1635" s="4">
        <v>60</v>
      </c>
      <c r="L1635" s="4">
        <v>55</v>
      </c>
      <c r="M1635" s="4">
        <v>150</v>
      </c>
      <c r="N1635" s="4">
        <v>147</v>
      </c>
    </row>
    <row r="1636" spans="1:14">
      <c r="A1636" s="3">
        <v>814140</v>
      </c>
      <c r="B1636" s="3">
        <v>119050</v>
      </c>
      <c r="C1636" s="4">
        <v>10</v>
      </c>
      <c r="D1636" s="4">
        <v>10</v>
      </c>
      <c r="E1636" s="4">
        <v>48.5</v>
      </c>
      <c r="F1636" s="4">
        <v>39.5</v>
      </c>
      <c r="G1636" s="4">
        <v>15</v>
      </c>
      <c r="H1636" s="4">
        <v>30.5</v>
      </c>
      <c r="I1636" s="4">
        <v>30</v>
      </c>
      <c r="J1636" s="4">
        <v>15</v>
      </c>
      <c r="K1636" s="4">
        <v>88.5</v>
      </c>
      <c r="L1636" s="4">
        <v>52</v>
      </c>
      <c r="M1636" s="4">
        <v>40</v>
      </c>
      <c r="N1636" s="4">
        <v>30</v>
      </c>
    </row>
    <row r="1637" spans="1:14">
      <c r="A1637" s="3">
        <v>814141</v>
      </c>
      <c r="B1637" s="3">
        <v>202881</v>
      </c>
      <c r="C1637" s="4">
        <v>55</v>
      </c>
      <c r="D1637" s="4">
        <v>34</v>
      </c>
      <c r="E1637" s="4">
        <v>35</v>
      </c>
      <c r="F1637" s="4">
        <v>68.5</v>
      </c>
      <c r="G1637" s="4">
        <v>122</v>
      </c>
      <c r="H1637" s="4">
        <v>30</v>
      </c>
      <c r="I1637" s="4">
        <v>111</v>
      </c>
      <c r="J1637" s="4">
        <v>30</v>
      </c>
      <c r="K1637" s="4">
        <v>45</v>
      </c>
      <c r="L1637" s="4">
        <v>85</v>
      </c>
      <c r="M1637" s="4">
        <v>87</v>
      </c>
      <c r="N1637" s="4">
        <v>95</v>
      </c>
    </row>
    <row r="1638" spans="1:14">
      <c r="A1638" s="3">
        <v>814151</v>
      </c>
      <c r="B1638" s="3">
        <v>205840</v>
      </c>
      <c r="C1638" s="4">
        <v>22</v>
      </c>
      <c r="D1638" s="4">
        <v>37.75</v>
      </c>
      <c r="E1638" s="4">
        <v>130</v>
      </c>
      <c r="F1638" s="4">
        <v>72.5</v>
      </c>
      <c r="G1638" s="4">
        <v>22.25</v>
      </c>
      <c r="H1638" s="4">
        <v>90.75</v>
      </c>
      <c r="I1638" s="4">
        <v>106.3</v>
      </c>
      <c r="J1638" s="4">
        <v>8.5</v>
      </c>
      <c r="K1638" s="4">
        <v>146</v>
      </c>
      <c r="L1638" s="4">
        <v>171</v>
      </c>
      <c r="M1638" s="4">
        <v>18.2</v>
      </c>
      <c r="N1638" s="4">
        <v>75.099999999999994</v>
      </c>
    </row>
    <row r="1639" spans="1:14">
      <c r="A1639" s="3">
        <v>814152</v>
      </c>
      <c r="B1639" s="3">
        <v>205591</v>
      </c>
      <c r="C1639" s="4">
        <v>239</v>
      </c>
      <c r="D1639" s="4">
        <v>327.5</v>
      </c>
      <c r="E1639" s="4">
        <v>315.5</v>
      </c>
      <c r="F1639" s="4">
        <v>277.95</v>
      </c>
      <c r="G1639" s="4">
        <v>253.75</v>
      </c>
      <c r="H1639" s="4">
        <v>273.5</v>
      </c>
      <c r="I1639" s="4">
        <v>239</v>
      </c>
      <c r="J1639" s="4">
        <v>216.5</v>
      </c>
      <c r="K1639" s="4">
        <v>248.5</v>
      </c>
      <c r="L1639" s="4">
        <v>434.5</v>
      </c>
      <c r="M1639" s="4">
        <v>299.25</v>
      </c>
      <c r="N1639" s="4">
        <v>278</v>
      </c>
    </row>
    <row r="1640" spans="1:14">
      <c r="A1640" s="3">
        <v>814168</v>
      </c>
      <c r="B1640" s="3">
        <v>205826</v>
      </c>
      <c r="C1640" s="4">
        <v>35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</row>
    <row r="1641" spans="1:14">
      <c r="A1641" s="3">
        <v>814168</v>
      </c>
      <c r="B1641" s="3">
        <v>208770</v>
      </c>
      <c r="C1641" s="4">
        <v>0</v>
      </c>
      <c r="D1641" s="4">
        <v>0</v>
      </c>
      <c r="E1641" s="4">
        <v>0</v>
      </c>
      <c r="F1641" s="4">
        <v>92.5</v>
      </c>
      <c r="G1641" s="4">
        <v>25</v>
      </c>
      <c r="H1641" s="4">
        <v>30.5</v>
      </c>
      <c r="I1641" s="4">
        <v>20</v>
      </c>
      <c r="J1641" s="4">
        <v>50</v>
      </c>
      <c r="K1641" s="4">
        <v>50</v>
      </c>
      <c r="L1641" s="4">
        <v>51</v>
      </c>
      <c r="M1641" s="4">
        <v>78</v>
      </c>
      <c r="N1641" s="4">
        <v>72.5</v>
      </c>
    </row>
    <row r="1642" spans="1:14">
      <c r="A1642" s="3">
        <v>814176</v>
      </c>
      <c r="B1642" s="3">
        <v>144243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7.5</v>
      </c>
      <c r="M1642" s="4">
        <v>38.75</v>
      </c>
      <c r="N1642" s="4">
        <v>30</v>
      </c>
    </row>
    <row r="1643" spans="1:14">
      <c r="A1643" s="3">
        <v>814183</v>
      </c>
      <c r="B1643" s="3">
        <v>147891</v>
      </c>
      <c r="C1643" s="4">
        <v>80</v>
      </c>
      <c r="D1643" s="4">
        <v>61.5</v>
      </c>
      <c r="E1643" s="4">
        <v>80</v>
      </c>
      <c r="F1643" s="4">
        <v>70</v>
      </c>
      <c r="G1643" s="4">
        <v>116</v>
      </c>
      <c r="H1643" s="4">
        <v>52.3</v>
      </c>
      <c r="I1643" s="4">
        <v>70</v>
      </c>
      <c r="J1643" s="4">
        <v>20</v>
      </c>
      <c r="K1643" s="4">
        <v>107</v>
      </c>
      <c r="L1643" s="4">
        <v>90</v>
      </c>
      <c r="M1643" s="4">
        <v>62</v>
      </c>
      <c r="N1643" s="4">
        <v>47.5</v>
      </c>
    </row>
    <row r="1644" spans="1:14">
      <c r="A1644" s="3">
        <v>814184</v>
      </c>
      <c r="B1644" s="3">
        <v>201065</v>
      </c>
      <c r="C1644" s="4">
        <v>10</v>
      </c>
      <c r="D1644" s="4">
        <v>40.5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</row>
    <row r="1645" spans="1:14">
      <c r="A1645" s="3">
        <v>814186</v>
      </c>
      <c r="B1645" s="3">
        <v>172640</v>
      </c>
      <c r="C1645" s="4">
        <v>70</v>
      </c>
      <c r="D1645" s="4">
        <v>60</v>
      </c>
      <c r="E1645" s="4">
        <v>20</v>
      </c>
      <c r="F1645" s="4">
        <v>62.5</v>
      </c>
      <c r="G1645" s="4">
        <v>80</v>
      </c>
      <c r="H1645" s="4">
        <v>35</v>
      </c>
      <c r="I1645" s="4">
        <v>60</v>
      </c>
      <c r="J1645" s="4">
        <v>16.5</v>
      </c>
      <c r="K1645" s="4">
        <v>146.25</v>
      </c>
      <c r="L1645" s="4">
        <v>144.5</v>
      </c>
      <c r="M1645" s="4">
        <v>115</v>
      </c>
      <c r="N1645" s="4">
        <v>103</v>
      </c>
    </row>
    <row r="1646" spans="1:14">
      <c r="A1646" s="3">
        <v>814187</v>
      </c>
      <c r="B1646" s="3">
        <v>178695</v>
      </c>
      <c r="C1646" s="4">
        <v>50</v>
      </c>
      <c r="D1646" s="4">
        <v>30</v>
      </c>
      <c r="E1646" s="4">
        <v>75</v>
      </c>
      <c r="F1646" s="4">
        <v>30</v>
      </c>
      <c r="G1646" s="4">
        <v>10</v>
      </c>
      <c r="H1646" s="4">
        <v>10</v>
      </c>
      <c r="I1646" s="4">
        <v>10</v>
      </c>
      <c r="J1646" s="4">
        <v>10</v>
      </c>
      <c r="K1646" s="4">
        <v>25</v>
      </c>
      <c r="L1646" s="4">
        <v>30</v>
      </c>
      <c r="M1646" s="4">
        <v>30</v>
      </c>
      <c r="N1646" s="4">
        <v>15</v>
      </c>
    </row>
    <row r="1647" spans="1:14">
      <c r="A1647" s="3">
        <v>814188</v>
      </c>
      <c r="B1647" s="3">
        <v>175287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28</v>
      </c>
    </row>
    <row r="1648" spans="1:14">
      <c r="A1648" s="3">
        <v>814214</v>
      </c>
      <c r="B1648" s="3">
        <v>170606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5</v>
      </c>
      <c r="N1648" s="4">
        <v>0</v>
      </c>
    </row>
    <row r="1649" spans="1:14">
      <c r="A1649" s="3">
        <v>814214</v>
      </c>
      <c r="B1649" s="3">
        <v>207643</v>
      </c>
      <c r="C1649" s="4">
        <v>20</v>
      </c>
      <c r="D1649" s="4">
        <v>35</v>
      </c>
      <c r="E1649" s="4">
        <v>72.55</v>
      </c>
      <c r="F1649" s="4">
        <v>88.2</v>
      </c>
      <c r="G1649" s="4">
        <v>10</v>
      </c>
      <c r="H1649" s="4">
        <v>24</v>
      </c>
      <c r="I1649" s="4">
        <v>18</v>
      </c>
      <c r="J1649" s="4">
        <v>24</v>
      </c>
      <c r="K1649" s="4">
        <v>35</v>
      </c>
      <c r="L1649" s="4">
        <v>6.45</v>
      </c>
      <c r="M1649" s="4">
        <v>24.6</v>
      </c>
      <c r="N1649" s="4">
        <v>40</v>
      </c>
    </row>
    <row r="1650" spans="1:14">
      <c r="A1650" s="3">
        <v>814218</v>
      </c>
      <c r="B1650" s="3">
        <v>179490</v>
      </c>
      <c r="C1650" s="4">
        <v>52.5</v>
      </c>
      <c r="D1650" s="4">
        <v>20</v>
      </c>
      <c r="E1650" s="4">
        <v>17.5</v>
      </c>
      <c r="F1650" s="4">
        <v>151</v>
      </c>
      <c r="G1650" s="4">
        <v>98.5</v>
      </c>
      <c r="H1650" s="4">
        <v>40</v>
      </c>
      <c r="I1650" s="4">
        <v>68.5</v>
      </c>
      <c r="J1650" s="4">
        <v>50.5</v>
      </c>
      <c r="K1650" s="4">
        <v>62.5</v>
      </c>
      <c r="L1650" s="4">
        <v>27</v>
      </c>
      <c r="M1650" s="4">
        <v>20</v>
      </c>
      <c r="N1650" s="4">
        <v>92.5</v>
      </c>
    </row>
    <row r="1651" spans="1:14">
      <c r="A1651" s="3">
        <v>814220</v>
      </c>
      <c r="B1651" s="3">
        <v>141311</v>
      </c>
      <c r="C1651" s="4">
        <v>57.75</v>
      </c>
      <c r="D1651" s="4">
        <v>60</v>
      </c>
      <c r="E1651" s="4">
        <v>73.5</v>
      </c>
      <c r="F1651" s="4">
        <v>126</v>
      </c>
      <c r="G1651" s="4">
        <v>75.5</v>
      </c>
      <c r="H1651" s="4">
        <v>36</v>
      </c>
      <c r="I1651" s="4">
        <v>75</v>
      </c>
      <c r="J1651" s="4">
        <v>32.5</v>
      </c>
      <c r="K1651" s="4">
        <v>40</v>
      </c>
      <c r="L1651" s="4">
        <v>20</v>
      </c>
      <c r="M1651" s="4">
        <v>89.5</v>
      </c>
      <c r="N1651" s="4">
        <v>80</v>
      </c>
    </row>
    <row r="1652" spans="1:14">
      <c r="A1652" s="3">
        <v>814221</v>
      </c>
      <c r="B1652" s="3">
        <v>170501</v>
      </c>
      <c r="C1652" s="4">
        <v>27.5</v>
      </c>
      <c r="D1652" s="4">
        <v>0</v>
      </c>
      <c r="E1652" s="4">
        <v>0</v>
      </c>
      <c r="F1652" s="4">
        <v>18.5</v>
      </c>
      <c r="G1652" s="4">
        <v>26</v>
      </c>
      <c r="H1652" s="4">
        <v>17.5</v>
      </c>
      <c r="I1652" s="4">
        <v>47</v>
      </c>
      <c r="J1652" s="4">
        <v>53.5</v>
      </c>
      <c r="K1652" s="4">
        <v>17.5</v>
      </c>
      <c r="L1652" s="4">
        <v>66</v>
      </c>
      <c r="M1652" s="4">
        <v>4.5</v>
      </c>
      <c r="N1652" s="4">
        <v>20</v>
      </c>
    </row>
    <row r="1653" spans="1:14">
      <c r="A1653" s="3">
        <v>814222</v>
      </c>
      <c r="B1653" s="3">
        <v>205966</v>
      </c>
      <c r="C1653" s="4">
        <v>0</v>
      </c>
      <c r="D1653" s="4">
        <v>32.25</v>
      </c>
      <c r="E1653" s="4">
        <v>6</v>
      </c>
      <c r="F1653" s="4">
        <v>1</v>
      </c>
      <c r="G1653" s="4">
        <v>0</v>
      </c>
      <c r="H1653" s="4">
        <v>0</v>
      </c>
      <c r="I1653" s="4">
        <v>0</v>
      </c>
      <c r="J1653" s="4">
        <v>10</v>
      </c>
      <c r="K1653" s="4">
        <v>23.5</v>
      </c>
      <c r="L1653" s="4">
        <v>5</v>
      </c>
      <c r="M1653" s="4">
        <v>0</v>
      </c>
      <c r="N1653" s="4">
        <v>5</v>
      </c>
    </row>
    <row r="1654" spans="1:14">
      <c r="A1654" s="3">
        <v>814223</v>
      </c>
      <c r="B1654" s="3">
        <v>141115</v>
      </c>
      <c r="C1654" s="4">
        <v>25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50</v>
      </c>
      <c r="L1654" s="4">
        <v>30</v>
      </c>
      <c r="M1654" s="4">
        <v>71</v>
      </c>
      <c r="N1654" s="4">
        <v>101</v>
      </c>
    </row>
    <row r="1655" spans="1:14">
      <c r="A1655" s="3">
        <v>814224</v>
      </c>
      <c r="B1655" s="3">
        <v>206073</v>
      </c>
      <c r="C1655" s="4">
        <v>75</v>
      </c>
      <c r="D1655" s="4">
        <v>20</v>
      </c>
      <c r="E1655" s="4">
        <v>65</v>
      </c>
      <c r="F1655" s="4">
        <v>55</v>
      </c>
      <c r="G1655" s="4">
        <v>20</v>
      </c>
      <c r="H1655" s="4">
        <v>50</v>
      </c>
      <c r="I1655" s="4">
        <v>15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</row>
    <row r="1656" spans="1:14">
      <c r="A1656" s="3">
        <v>814225</v>
      </c>
      <c r="B1656" s="3">
        <v>205989</v>
      </c>
      <c r="C1656" s="4">
        <v>12.5</v>
      </c>
      <c r="D1656" s="4">
        <v>0</v>
      </c>
      <c r="E1656" s="4">
        <v>37.5</v>
      </c>
      <c r="F1656" s="4">
        <v>47.5</v>
      </c>
      <c r="G1656" s="4">
        <v>27.5</v>
      </c>
      <c r="H1656" s="4">
        <v>37.5</v>
      </c>
      <c r="I1656" s="4">
        <v>0</v>
      </c>
      <c r="J1656" s="4">
        <v>0</v>
      </c>
      <c r="K1656" s="4">
        <v>22.5</v>
      </c>
      <c r="L1656" s="4">
        <v>22.5</v>
      </c>
      <c r="M1656" s="4">
        <v>28</v>
      </c>
      <c r="N1656" s="4">
        <v>27.5</v>
      </c>
    </row>
    <row r="1657" spans="1:14">
      <c r="A1657" s="3">
        <v>814226</v>
      </c>
      <c r="B1657" s="3">
        <v>175848</v>
      </c>
      <c r="C1657" s="4">
        <v>51.25</v>
      </c>
      <c r="D1657" s="4">
        <v>106.5</v>
      </c>
      <c r="E1657" s="4">
        <v>45.5</v>
      </c>
      <c r="F1657" s="4">
        <v>149.5</v>
      </c>
      <c r="G1657" s="4">
        <v>58</v>
      </c>
      <c r="H1657" s="4">
        <v>62</v>
      </c>
      <c r="I1657" s="4">
        <v>30</v>
      </c>
      <c r="J1657" s="4">
        <v>51</v>
      </c>
      <c r="K1657" s="4">
        <v>107</v>
      </c>
      <c r="L1657" s="4">
        <v>56</v>
      </c>
      <c r="M1657" s="4">
        <v>60</v>
      </c>
      <c r="N1657" s="4">
        <v>130</v>
      </c>
    </row>
    <row r="1658" spans="1:14">
      <c r="A1658" s="3">
        <v>814227</v>
      </c>
      <c r="B1658" s="3">
        <v>178661</v>
      </c>
      <c r="C1658" s="4">
        <v>40</v>
      </c>
      <c r="D1658" s="4">
        <v>10</v>
      </c>
      <c r="E1658" s="4">
        <v>25</v>
      </c>
      <c r="F1658" s="4">
        <v>50</v>
      </c>
      <c r="G1658" s="4">
        <v>44</v>
      </c>
      <c r="H1658" s="4">
        <v>20</v>
      </c>
      <c r="I1658" s="4">
        <v>30</v>
      </c>
      <c r="J1658" s="4">
        <v>20</v>
      </c>
      <c r="K1658" s="4">
        <v>28</v>
      </c>
      <c r="L1658" s="4">
        <v>30</v>
      </c>
      <c r="M1658" s="4">
        <v>10</v>
      </c>
      <c r="N1658" s="4">
        <v>100.85</v>
      </c>
    </row>
    <row r="1659" spans="1:14">
      <c r="A1659" s="3">
        <v>814236</v>
      </c>
      <c r="B1659" s="3">
        <v>174166</v>
      </c>
      <c r="C1659" s="4">
        <v>126</v>
      </c>
      <c r="D1659" s="4">
        <v>57.5</v>
      </c>
      <c r="E1659" s="4">
        <v>45</v>
      </c>
      <c r="F1659" s="4">
        <v>111</v>
      </c>
      <c r="G1659" s="4">
        <v>40.5</v>
      </c>
      <c r="H1659" s="4">
        <v>50</v>
      </c>
      <c r="I1659" s="4">
        <v>155</v>
      </c>
      <c r="J1659" s="4">
        <v>90</v>
      </c>
      <c r="K1659" s="4">
        <v>79.5</v>
      </c>
      <c r="L1659" s="4">
        <v>93.5</v>
      </c>
      <c r="M1659" s="4">
        <v>157.1</v>
      </c>
      <c r="N1659" s="4">
        <v>280</v>
      </c>
    </row>
    <row r="1660" spans="1:14">
      <c r="A1660" s="3">
        <v>814248</v>
      </c>
      <c r="B1660" s="3">
        <v>174693</v>
      </c>
      <c r="C1660" s="4">
        <v>39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</row>
    <row r="1661" spans="1:14">
      <c r="A1661" s="3">
        <v>814250</v>
      </c>
      <c r="B1661" s="3">
        <v>178511</v>
      </c>
      <c r="C1661" s="4">
        <v>5</v>
      </c>
      <c r="D1661" s="4">
        <v>5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1</v>
      </c>
      <c r="L1661" s="4">
        <v>1</v>
      </c>
      <c r="M1661" s="4">
        <v>0</v>
      </c>
      <c r="N1661" s="4">
        <v>1</v>
      </c>
    </row>
    <row r="1662" spans="1:14">
      <c r="A1662" s="3">
        <v>814253</v>
      </c>
      <c r="B1662" s="3">
        <v>149765</v>
      </c>
      <c r="C1662" s="4">
        <v>0</v>
      </c>
      <c r="D1662" s="4">
        <v>10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</row>
    <row r="1663" spans="1:14">
      <c r="A1663" s="3">
        <v>814253</v>
      </c>
      <c r="B1663" s="3">
        <v>175288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20</v>
      </c>
      <c r="N1663" s="4">
        <v>0</v>
      </c>
    </row>
    <row r="1664" spans="1:14">
      <c r="A1664" s="3">
        <v>814255</v>
      </c>
      <c r="B1664" s="3">
        <v>119044</v>
      </c>
      <c r="C1664" s="4">
        <v>0</v>
      </c>
      <c r="D1664" s="4">
        <v>13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</row>
    <row r="1665" spans="1:14">
      <c r="A1665" s="3">
        <v>814256</v>
      </c>
      <c r="B1665" s="3">
        <v>179869</v>
      </c>
      <c r="C1665" s="4">
        <v>0</v>
      </c>
      <c r="D1665" s="4">
        <v>10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12.5</v>
      </c>
      <c r="M1665" s="4">
        <v>0</v>
      </c>
      <c r="N1665" s="4">
        <v>24</v>
      </c>
    </row>
    <row r="1666" spans="1:14">
      <c r="A1666" s="3">
        <v>814257</v>
      </c>
      <c r="B1666" s="3">
        <v>206219</v>
      </c>
      <c r="C1666" s="4">
        <v>101.5</v>
      </c>
      <c r="D1666" s="4">
        <v>117.65</v>
      </c>
      <c r="E1666" s="4">
        <v>107.5</v>
      </c>
      <c r="F1666" s="4">
        <v>125.25</v>
      </c>
      <c r="G1666" s="4">
        <v>45</v>
      </c>
      <c r="H1666" s="4">
        <v>20</v>
      </c>
      <c r="I1666" s="4">
        <v>0</v>
      </c>
      <c r="J1666" s="4">
        <v>0</v>
      </c>
      <c r="K1666" s="4">
        <v>10</v>
      </c>
      <c r="L1666" s="4">
        <v>0</v>
      </c>
      <c r="M1666" s="4">
        <v>0</v>
      </c>
      <c r="N1666" s="4">
        <v>0</v>
      </c>
    </row>
    <row r="1667" spans="1:14">
      <c r="A1667" s="3">
        <v>814259</v>
      </c>
      <c r="B1667" s="3">
        <v>119208</v>
      </c>
      <c r="C1667" s="4">
        <v>30</v>
      </c>
      <c r="D1667" s="4">
        <v>15</v>
      </c>
      <c r="E1667" s="4">
        <v>142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</row>
    <row r="1668" spans="1:14">
      <c r="A1668" s="3">
        <v>814279</v>
      </c>
      <c r="B1668" s="3">
        <v>177379</v>
      </c>
      <c r="C1668" s="4">
        <v>25</v>
      </c>
      <c r="D1668" s="4">
        <v>30</v>
      </c>
      <c r="E1668" s="4">
        <v>15</v>
      </c>
      <c r="F1668" s="4">
        <v>70</v>
      </c>
      <c r="G1668" s="4">
        <v>20</v>
      </c>
      <c r="H1668" s="4">
        <v>25</v>
      </c>
      <c r="I1668" s="4">
        <v>25</v>
      </c>
      <c r="J1668" s="4">
        <v>50</v>
      </c>
      <c r="K1668" s="4">
        <v>15</v>
      </c>
      <c r="L1668" s="4">
        <v>140</v>
      </c>
      <c r="M1668" s="4">
        <v>65</v>
      </c>
      <c r="N1668" s="4">
        <v>65</v>
      </c>
    </row>
    <row r="1669" spans="1:14">
      <c r="A1669" s="3">
        <v>814280</v>
      </c>
      <c r="B1669" s="3">
        <v>173224</v>
      </c>
      <c r="C1669" s="4">
        <v>20</v>
      </c>
      <c r="D1669" s="4">
        <v>30</v>
      </c>
      <c r="E1669" s="4">
        <v>46</v>
      </c>
      <c r="F1669" s="4">
        <v>36</v>
      </c>
      <c r="G1669" s="4">
        <v>36</v>
      </c>
      <c r="H1669" s="4">
        <v>47.5</v>
      </c>
      <c r="I1669" s="4">
        <v>40</v>
      </c>
      <c r="J1669" s="4">
        <v>30</v>
      </c>
      <c r="K1669" s="4">
        <v>55</v>
      </c>
      <c r="L1669" s="4">
        <v>35</v>
      </c>
      <c r="M1669" s="4">
        <v>36</v>
      </c>
      <c r="N1669" s="4">
        <v>27.5</v>
      </c>
    </row>
    <row r="1670" spans="1:14">
      <c r="A1670" s="3">
        <v>814281</v>
      </c>
      <c r="B1670" s="3">
        <v>170617</v>
      </c>
      <c r="C1670" s="4">
        <v>0</v>
      </c>
      <c r="D1670" s="4">
        <v>20</v>
      </c>
      <c r="E1670" s="4">
        <v>0</v>
      </c>
      <c r="F1670" s="4">
        <v>0</v>
      </c>
      <c r="G1670" s="4">
        <v>0</v>
      </c>
      <c r="H1670" s="4">
        <v>22.5</v>
      </c>
      <c r="I1670" s="4">
        <v>25</v>
      </c>
      <c r="J1670" s="4">
        <v>0</v>
      </c>
      <c r="K1670" s="4">
        <v>7.5</v>
      </c>
      <c r="L1670" s="4">
        <v>20</v>
      </c>
      <c r="M1670" s="4">
        <v>0</v>
      </c>
      <c r="N1670" s="4">
        <v>0</v>
      </c>
    </row>
    <row r="1671" spans="1:14">
      <c r="A1671" s="3">
        <v>814284</v>
      </c>
      <c r="B1671" s="3">
        <v>176303</v>
      </c>
      <c r="C1671" s="4">
        <v>0</v>
      </c>
      <c r="D1671" s="4">
        <v>20</v>
      </c>
      <c r="E1671" s="4">
        <v>62.5</v>
      </c>
      <c r="F1671" s="4">
        <v>43</v>
      </c>
      <c r="G1671" s="4">
        <v>32.5</v>
      </c>
      <c r="H1671" s="4">
        <v>23.5</v>
      </c>
      <c r="I1671" s="4">
        <v>61.5</v>
      </c>
      <c r="J1671" s="4">
        <v>18.5</v>
      </c>
      <c r="K1671" s="4">
        <v>25</v>
      </c>
      <c r="L1671" s="4">
        <v>40</v>
      </c>
      <c r="M1671" s="4">
        <v>55</v>
      </c>
      <c r="N1671" s="4">
        <v>52.5</v>
      </c>
    </row>
    <row r="1672" spans="1:14">
      <c r="A1672" s="3">
        <v>814284</v>
      </c>
      <c r="B1672" s="3">
        <v>202452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10</v>
      </c>
    </row>
    <row r="1673" spans="1:14">
      <c r="A1673" s="3">
        <v>814288</v>
      </c>
      <c r="B1673" s="3">
        <v>140881</v>
      </c>
      <c r="C1673" s="4">
        <v>0</v>
      </c>
      <c r="D1673" s="4">
        <v>0</v>
      </c>
      <c r="E1673" s="4">
        <v>25</v>
      </c>
      <c r="F1673" s="4">
        <v>70</v>
      </c>
      <c r="G1673" s="4">
        <v>45</v>
      </c>
      <c r="H1673" s="4">
        <v>20</v>
      </c>
      <c r="I1673" s="4">
        <v>0</v>
      </c>
      <c r="J1673" s="4">
        <v>15</v>
      </c>
      <c r="K1673" s="4">
        <v>35</v>
      </c>
      <c r="L1673" s="4">
        <v>10</v>
      </c>
      <c r="M1673" s="4">
        <v>70</v>
      </c>
      <c r="N1673" s="4">
        <v>30</v>
      </c>
    </row>
    <row r="1674" spans="1:14">
      <c r="A1674" s="3">
        <v>814290</v>
      </c>
      <c r="B1674" s="3">
        <v>119261</v>
      </c>
      <c r="C1674" s="4">
        <v>100</v>
      </c>
      <c r="D1674" s="4">
        <v>105</v>
      </c>
      <c r="E1674" s="4">
        <v>50</v>
      </c>
      <c r="F1674" s="4">
        <v>137</v>
      </c>
      <c r="G1674" s="4">
        <v>121.5</v>
      </c>
      <c r="H1674" s="4">
        <v>113.5</v>
      </c>
      <c r="I1674" s="4">
        <v>100.75</v>
      </c>
      <c r="J1674" s="4">
        <v>51</v>
      </c>
      <c r="K1674" s="4">
        <v>81</v>
      </c>
      <c r="L1674" s="4">
        <v>75.25</v>
      </c>
      <c r="M1674" s="4">
        <v>0</v>
      </c>
      <c r="N1674" s="4">
        <v>50.5</v>
      </c>
    </row>
    <row r="1675" spans="1:14">
      <c r="A1675" s="3">
        <v>814297</v>
      </c>
      <c r="B1675" s="3">
        <v>170248</v>
      </c>
      <c r="C1675" s="4">
        <v>10</v>
      </c>
      <c r="D1675" s="4">
        <v>0.75</v>
      </c>
      <c r="E1675" s="4">
        <v>0</v>
      </c>
      <c r="F1675" s="4">
        <v>0</v>
      </c>
      <c r="G1675" s="4">
        <v>27</v>
      </c>
      <c r="H1675" s="4">
        <v>20.5</v>
      </c>
      <c r="I1675" s="4">
        <v>52.5</v>
      </c>
      <c r="J1675" s="4">
        <v>30</v>
      </c>
      <c r="K1675" s="4">
        <v>19</v>
      </c>
      <c r="L1675" s="4">
        <v>0</v>
      </c>
      <c r="M1675" s="4">
        <v>0</v>
      </c>
      <c r="N1675" s="4">
        <v>0</v>
      </c>
    </row>
    <row r="1676" spans="1:14">
      <c r="A1676" s="3">
        <v>814298</v>
      </c>
      <c r="B1676" s="3">
        <v>173749</v>
      </c>
      <c r="C1676" s="4">
        <v>8.5</v>
      </c>
      <c r="D1676" s="4">
        <v>73</v>
      </c>
      <c r="E1676" s="4">
        <v>135.5</v>
      </c>
      <c r="F1676" s="4">
        <v>87.5</v>
      </c>
      <c r="G1676" s="4">
        <v>85</v>
      </c>
      <c r="H1676" s="4">
        <v>2.5</v>
      </c>
      <c r="I1676" s="4">
        <v>75.55</v>
      </c>
      <c r="J1676" s="4">
        <v>10</v>
      </c>
      <c r="K1676" s="4">
        <v>58</v>
      </c>
      <c r="L1676" s="4">
        <v>50</v>
      </c>
      <c r="M1676" s="4">
        <v>65</v>
      </c>
      <c r="N1676" s="4">
        <v>78</v>
      </c>
    </row>
    <row r="1677" spans="1:14">
      <c r="A1677" s="3">
        <v>814308</v>
      </c>
      <c r="B1677" s="3">
        <v>204243</v>
      </c>
      <c r="C1677" s="4">
        <v>10</v>
      </c>
      <c r="D1677" s="4">
        <v>35</v>
      </c>
      <c r="E1677" s="4">
        <v>0</v>
      </c>
      <c r="F1677" s="4">
        <v>0</v>
      </c>
      <c r="G1677" s="4">
        <v>10</v>
      </c>
      <c r="H1677" s="4">
        <v>0</v>
      </c>
      <c r="I1677" s="4">
        <v>0</v>
      </c>
      <c r="J1677" s="4">
        <v>0</v>
      </c>
      <c r="K1677" s="4">
        <v>10</v>
      </c>
      <c r="L1677" s="4">
        <v>0</v>
      </c>
      <c r="M1677" s="4">
        <v>0</v>
      </c>
      <c r="N1677" s="4">
        <v>0</v>
      </c>
    </row>
    <row r="1678" spans="1:14">
      <c r="A1678" s="3">
        <v>814310</v>
      </c>
      <c r="B1678" s="3">
        <v>205966</v>
      </c>
      <c r="C1678" s="4">
        <v>10</v>
      </c>
      <c r="D1678" s="4">
        <v>45</v>
      </c>
      <c r="E1678" s="4">
        <v>5</v>
      </c>
      <c r="F1678" s="4">
        <v>1</v>
      </c>
      <c r="G1678" s="4">
        <v>0</v>
      </c>
      <c r="H1678" s="4">
        <v>10</v>
      </c>
      <c r="I1678" s="4">
        <v>0</v>
      </c>
      <c r="J1678" s="4">
        <v>0</v>
      </c>
      <c r="K1678" s="4">
        <v>5.5</v>
      </c>
      <c r="L1678" s="4">
        <v>31.5</v>
      </c>
      <c r="M1678" s="4">
        <v>70</v>
      </c>
      <c r="N1678" s="4">
        <v>33</v>
      </c>
    </row>
    <row r="1679" spans="1:14">
      <c r="A1679" s="3">
        <v>814311</v>
      </c>
      <c r="B1679" s="3">
        <v>205591</v>
      </c>
      <c r="C1679" s="4">
        <v>0.5</v>
      </c>
      <c r="D1679" s="4">
        <v>10</v>
      </c>
      <c r="E1679" s="4">
        <v>0</v>
      </c>
      <c r="F1679" s="4">
        <v>0</v>
      </c>
      <c r="G1679" s="4">
        <v>21</v>
      </c>
      <c r="H1679" s="4">
        <v>4</v>
      </c>
      <c r="I1679" s="4">
        <v>10</v>
      </c>
      <c r="J1679" s="4">
        <v>10</v>
      </c>
      <c r="K1679" s="4">
        <v>0</v>
      </c>
      <c r="L1679" s="4">
        <v>0</v>
      </c>
      <c r="M1679" s="4">
        <v>0</v>
      </c>
      <c r="N1679" s="4">
        <v>0</v>
      </c>
    </row>
    <row r="1680" spans="1:14">
      <c r="A1680" s="3">
        <v>814330</v>
      </c>
      <c r="B1680" s="3">
        <v>203455</v>
      </c>
      <c r="C1680" s="4">
        <v>41</v>
      </c>
      <c r="D1680" s="4">
        <v>20</v>
      </c>
      <c r="E1680" s="4">
        <v>20</v>
      </c>
      <c r="F1680" s="4">
        <v>10</v>
      </c>
      <c r="G1680" s="4">
        <v>0</v>
      </c>
      <c r="H1680" s="4">
        <v>10</v>
      </c>
      <c r="I1680" s="4">
        <v>20</v>
      </c>
      <c r="J1680" s="4">
        <v>10</v>
      </c>
      <c r="K1680" s="4">
        <v>23</v>
      </c>
      <c r="L1680" s="4">
        <v>0</v>
      </c>
      <c r="M1680" s="4">
        <v>0</v>
      </c>
      <c r="N1680" s="4">
        <v>0</v>
      </c>
    </row>
    <row r="1681" spans="1:14">
      <c r="A1681" s="3">
        <v>814332</v>
      </c>
      <c r="B1681" s="3">
        <v>143530</v>
      </c>
      <c r="C1681" s="4">
        <v>52</v>
      </c>
      <c r="D1681" s="4">
        <v>95</v>
      </c>
      <c r="E1681" s="4">
        <v>85</v>
      </c>
      <c r="F1681" s="4">
        <v>105</v>
      </c>
      <c r="G1681" s="4">
        <v>61</v>
      </c>
      <c r="H1681" s="4">
        <v>50</v>
      </c>
      <c r="I1681" s="4">
        <v>45</v>
      </c>
      <c r="J1681" s="4">
        <v>31</v>
      </c>
      <c r="K1681" s="4">
        <v>45</v>
      </c>
      <c r="L1681" s="4">
        <v>40</v>
      </c>
      <c r="M1681" s="4">
        <v>70</v>
      </c>
      <c r="N1681" s="4">
        <v>50</v>
      </c>
    </row>
    <row r="1682" spans="1:14">
      <c r="A1682" s="3">
        <v>814346</v>
      </c>
      <c r="B1682" s="3">
        <v>201162</v>
      </c>
      <c r="C1682" s="4">
        <v>80</v>
      </c>
      <c r="D1682" s="4">
        <v>40</v>
      </c>
      <c r="E1682" s="4">
        <v>0</v>
      </c>
      <c r="F1682" s="4">
        <v>25</v>
      </c>
      <c r="G1682" s="4">
        <v>45</v>
      </c>
      <c r="H1682" s="4">
        <v>35</v>
      </c>
      <c r="I1682" s="4">
        <v>40</v>
      </c>
      <c r="J1682" s="4">
        <v>15</v>
      </c>
      <c r="K1682" s="4">
        <v>50</v>
      </c>
      <c r="L1682" s="4">
        <v>85</v>
      </c>
      <c r="M1682" s="4">
        <v>60</v>
      </c>
      <c r="N1682" s="4">
        <v>60</v>
      </c>
    </row>
    <row r="1683" spans="1:14">
      <c r="A1683" s="3">
        <v>814349</v>
      </c>
      <c r="B1683" s="3">
        <v>172640</v>
      </c>
      <c r="C1683" s="4">
        <v>48</v>
      </c>
      <c r="D1683" s="4">
        <v>60</v>
      </c>
      <c r="E1683" s="4">
        <v>30</v>
      </c>
      <c r="F1683" s="4">
        <v>30</v>
      </c>
      <c r="G1683" s="4">
        <v>80</v>
      </c>
      <c r="H1683" s="4">
        <v>77.5</v>
      </c>
      <c r="I1683" s="4">
        <v>63</v>
      </c>
      <c r="J1683" s="4">
        <v>25</v>
      </c>
      <c r="K1683" s="4">
        <v>24.5</v>
      </c>
      <c r="L1683" s="4">
        <v>48</v>
      </c>
      <c r="M1683" s="4">
        <v>0</v>
      </c>
      <c r="N1683" s="4">
        <v>0</v>
      </c>
    </row>
    <row r="1684" spans="1:14">
      <c r="A1684" s="3">
        <v>814350</v>
      </c>
      <c r="B1684" s="3">
        <v>175717</v>
      </c>
      <c r="C1684" s="4">
        <v>10</v>
      </c>
      <c r="D1684" s="4">
        <v>77</v>
      </c>
      <c r="E1684" s="4">
        <v>69</v>
      </c>
      <c r="F1684" s="4">
        <v>121.5</v>
      </c>
      <c r="G1684" s="4">
        <v>32</v>
      </c>
      <c r="H1684" s="4">
        <v>42</v>
      </c>
      <c r="I1684" s="4">
        <v>62</v>
      </c>
      <c r="J1684" s="4">
        <v>35</v>
      </c>
      <c r="K1684" s="4">
        <v>91</v>
      </c>
      <c r="L1684" s="4">
        <v>43</v>
      </c>
      <c r="M1684" s="4">
        <v>70</v>
      </c>
      <c r="N1684" s="4">
        <v>130.5</v>
      </c>
    </row>
    <row r="1685" spans="1:14">
      <c r="A1685" s="3">
        <v>814376</v>
      </c>
      <c r="B1685" s="3">
        <v>205004</v>
      </c>
      <c r="C1685" s="4">
        <v>95</v>
      </c>
      <c r="D1685" s="4">
        <v>50.4</v>
      </c>
      <c r="E1685" s="4">
        <v>91</v>
      </c>
      <c r="F1685" s="4">
        <v>48</v>
      </c>
      <c r="G1685" s="4">
        <v>57.5</v>
      </c>
      <c r="H1685" s="4">
        <v>65</v>
      </c>
      <c r="I1685" s="4">
        <v>56</v>
      </c>
      <c r="J1685" s="4">
        <v>49.5</v>
      </c>
      <c r="K1685" s="4">
        <v>67</v>
      </c>
      <c r="L1685" s="4">
        <v>44.5</v>
      </c>
      <c r="M1685" s="4">
        <v>24</v>
      </c>
      <c r="N1685" s="4">
        <v>18</v>
      </c>
    </row>
    <row r="1686" spans="1:14">
      <c r="A1686" s="3">
        <v>814377</v>
      </c>
      <c r="B1686" s="3">
        <v>174357</v>
      </c>
      <c r="C1686" s="4">
        <v>220</v>
      </c>
      <c r="D1686" s="4">
        <v>91</v>
      </c>
      <c r="E1686" s="4">
        <v>39</v>
      </c>
      <c r="F1686" s="4">
        <v>103.5</v>
      </c>
      <c r="G1686" s="4">
        <v>40</v>
      </c>
      <c r="H1686" s="4">
        <v>0</v>
      </c>
      <c r="I1686" s="4">
        <v>0</v>
      </c>
      <c r="J1686" s="4">
        <v>105</v>
      </c>
      <c r="K1686" s="4">
        <v>15</v>
      </c>
      <c r="L1686" s="4">
        <v>140</v>
      </c>
      <c r="M1686" s="4">
        <v>649</v>
      </c>
      <c r="N1686" s="4">
        <v>584</v>
      </c>
    </row>
    <row r="1687" spans="1:14">
      <c r="A1687" s="3">
        <v>814378</v>
      </c>
      <c r="B1687" s="3">
        <v>119044</v>
      </c>
      <c r="C1687" s="4">
        <v>0</v>
      </c>
      <c r="D1687" s="4">
        <v>35</v>
      </c>
      <c r="E1687" s="4">
        <v>111.5</v>
      </c>
      <c r="F1687" s="4">
        <v>155</v>
      </c>
      <c r="G1687" s="4">
        <v>160</v>
      </c>
      <c r="H1687" s="4">
        <v>45</v>
      </c>
      <c r="I1687" s="4">
        <v>0</v>
      </c>
      <c r="J1687" s="4">
        <v>115</v>
      </c>
      <c r="K1687" s="4">
        <v>30</v>
      </c>
      <c r="L1687" s="4">
        <v>50</v>
      </c>
      <c r="M1687" s="4">
        <v>47.5</v>
      </c>
      <c r="N1687" s="4">
        <v>0</v>
      </c>
    </row>
    <row r="1688" spans="1:14">
      <c r="A1688" s="3">
        <v>814380</v>
      </c>
      <c r="B1688" s="3">
        <v>205591</v>
      </c>
      <c r="C1688" s="4">
        <v>0.5</v>
      </c>
      <c r="D1688" s="4">
        <v>7.5</v>
      </c>
      <c r="E1688" s="4">
        <v>0</v>
      </c>
      <c r="F1688" s="4">
        <v>10</v>
      </c>
      <c r="G1688" s="4">
        <v>1</v>
      </c>
      <c r="H1688" s="4">
        <v>4</v>
      </c>
      <c r="I1688" s="4">
        <v>3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</row>
    <row r="1689" spans="1:14">
      <c r="A1689" s="3">
        <v>814381</v>
      </c>
      <c r="B1689" s="3">
        <v>170958</v>
      </c>
      <c r="C1689" s="4">
        <v>0</v>
      </c>
      <c r="D1689" s="4">
        <v>15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30</v>
      </c>
      <c r="L1689" s="4">
        <v>10</v>
      </c>
      <c r="M1689" s="4">
        <v>20</v>
      </c>
      <c r="N1689" s="4">
        <v>57</v>
      </c>
    </row>
    <row r="1690" spans="1:14">
      <c r="A1690" s="3">
        <v>814386</v>
      </c>
      <c r="B1690" s="3">
        <v>205372</v>
      </c>
      <c r="C1690" s="4">
        <v>20</v>
      </c>
      <c r="D1690" s="4">
        <v>34</v>
      </c>
      <c r="E1690" s="4">
        <v>45</v>
      </c>
      <c r="F1690" s="4">
        <v>20</v>
      </c>
      <c r="G1690" s="4">
        <v>30</v>
      </c>
      <c r="H1690" s="4">
        <v>40</v>
      </c>
      <c r="I1690" s="4">
        <v>0</v>
      </c>
      <c r="J1690" s="4">
        <v>0</v>
      </c>
      <c r="K1690" s="4">
        <v>15</v>
      </c>
      <c r="L1690" s="4">
        <v>40</v>
      </c>
      <c r="M1690" s="4">
        <v>45</v>
      </c>
      <c r="N1690" s="4">
        <v>0</v>
      </c>
    </row>
    <row r="1691" spans="1:14">
      <c r="A1691" s="3">
        <v>814387</v>
      </c>
      <c r="B1691" s="3">
        <v>119066</v>
      </c>
      <c r="C1691" s="4">
        <v>28</v>
      </c>
      <c r="D1691" s="4">
        <v>0</v>
      </c>
      <c r="E1691" s="4">
        <v>0</v>
      </c>
      <c r="F1691" s="4">
        <v>0</v>
      </c>
      <c r="G1691" s="4">
        <v>52</v>
      </c>
      <c r="H1691" s="4">
        <v>53.45</v>
      </c>
      <c r="I1691" s="4">
        <v>1</v>
      </c>
      <c r="J1691" s="4">
        <v>0</v>
      </c>
      <c r="K1691" s="4">
        <v>0</v>
      </c>
      <c r="L1691" s="4">
        <v>45.5</v>
      </c>
      <c r="M1691" s="4">
        <v>0</v>
      </c>
      <c r="N1691" s="4">
        <v>50</v>
      </c>
    </row>
    <row r="1692" spans="1:14">
      <c r="A1692" s="3">
        <v>814388</v>
      </c>
      <c r="B1692" s="3">
        <v>170363</v>
      </c>
      <c r="C1692" s="4">
        <v>25</v>
      </c>
      <c r="D1692" s="4">
        <v>30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</row>
    <row r="1693" spans="1:14">
      <c r="A1693" s="3">
        <v>814390</v>
      </c>
      <c r="B1693" s="3">
        <v>170132</v>
      </c>
      <c r="C1693" s="4">
        <v>107.5</v>
      </c>
      <c r="D1693" s="4">
        <v>83</v>
      </c>
      <c r="E1693" s="4">
        <v>95</v>
      </c>
      <c r="F1693" s="4">
        <v>52.5</v>
      </c>
      <c r="G1693" s="4">
        <v>35</v>
      </c>
      <c r="H1693" s="4">
        <v>0</v>
      </c>
      <c r="I1693" s="4">
        <v>10</v>
      </c>
      <c r="J1693" s="4">
        <v>0</v>
      </c>
      <c r="K1693" s="4">
        <v>95</v>
      </c>
      <c r="L1693" s="4">
        <v>0</v>
      </c>
      <c r="M1693" s="4">
        <v>20</v>
      </c>
      <c r="N1693" s="4">
        <v>0</v>
      </c>
    </row>
    <row r="1694" spans="1:14">
      <c r="A1694" s="3">
        <v>814397</v>
      </c>
      <c r="B1694" s="3">
        <v>176773</v>
      </c>
      <c r="C1694" s="4">
        <v>50</v>
      </c>
      <c r="D1694" s="4">
        <v>82.5</v>
      </c>
      <c r="E1694" s="4">
        <v>118</v>
      </c>
      <c r="F1694" s="4">
        <v>75</v>
      </c>
      <c r="G1694" s="4">
        <v>52.5</v>
      </c>
      <c r="H1694" s="4">
        <v>25</v>
      </c>
      <c r="I1694" s="4">
        <v>0</v>
      </c>
      <c r="J1694" s="4">
        <v>62.5</v>
      </c>
      <c r="K1694" s="4">
        <v>132.5</v>
      </c>
      <c r="L1694" s="4">
        <v>70.5</v>
      </c>
      <c r="M1694" s="4">
        <v>75</v>
      </c>
      <c r="N1694" s="4">
        <v>75</v>
      </c>
    </row>
    <row r="1695" spans="1:14">
      <c r="A1695" s="3">
        <v>814401</v>
      </c>
      <c r="B1695" s="3">
        <v>119044</v>
      </c>
      <c r="C1695" s="4">
        <v>0</v>
      </c>
      <c r="D1695" s="4">
        <v>0</v>
      </c>
      <c r="E1695" s="4">
        <v>0</v>
      </c>
      <c r="F1695" s="4">
        <v>7.5</v>
      </c>
      <c r="G1695" s="4">
        <v>20</v>
      </c>
      <c r="H1695" s="4">
        <v>0</v>
      </c>
      <c r="I1695" s="4">
        <v>0</v>
      </c>
      <c r="J1695" s="4">
        <v>0</v>
      </c>
      <c r="K1695" s="4">
        <v>0</v>
      </c>
      <c r="L1695" s="4">
        <v>16</v>
      </c>
      <c r="M1695" s="4">
        <v>0</v>
      </c>
      <c r="N1695" s="4">
        <v>0</v>
      </c>
    </row>
    <row r="1696" spans="1:14">
      <c r="A1696" s="3">
        <v>814401</v>
      </c>
      <c r="B1696" s="3">
        <v>147640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70</v>
      </c>
      <c r="M1696" s="4">
        <v>95</v>
      </c>
      <c r="N1696" s="4">
        <v>55</v>
      </c>
    </row>
    <row r="1697" spans="1:14">
      <c r="A1697" s="3">
        <v>814401</v>
      </c>
      <c r="B1697" s="3">
        <v>209212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10</v>
      </c>
      <c r="K1697" s="4">
        <v>15</v>
      </c>
      <c r="L1697" s="4">
        <v>0</v>
      </c>
      <c r="M1697" s="4">
        <v>0</v>
      </c>
      <c r="N1697" s="4">
        <v>0</v>
      </c>
    </row>
    <row r="1698" spans="1:14">
      <c r="A1698" s="3">
        <v>814402</v>
      </c>
      <c r="B1698" s="3">
        <v>119160</v>
      </c>
      <c r="C1698" s="4">
        <v>22.5</v>
      </c>
      <c r="D1698" s="4">
        <v>62.5</v>
      </c>
      <c r="E1698" s="4">
        <v>50</v>
      </c>
      <c r="F1698" s="4">
        <v>42.5</v>
      </c>
      <c r="G1698" s="4">
        <v>47.5</v>
      </c>
      <c r="H1698" s="4">
        <v>25</v>
      </c>
      <c r="I1698" s="4">
        <v>47.5</v>
      </c>
      <c r="J1698" s="4">
        <v>47.5</v>
      </c>
      <c r="K1698" s="4">
        <v>92.5</v>
      </c>
      <c r="L1698" s="4">
        <v>17.5</v>
      </c>
      <c r="M1698" s="4">
        <v>45</v>
      </c>
      <c r="N1698" s="4">
        <v>0</v>
      </c>
    </row>
    <row r="1699" spans="1:14">
      <c r="A1699" s="3">
        <v>814414</v>
      </c>
      <c r="B1699" s="3">
        <v>205591</v>
      </c>
      <c r="C1699" s="4">
        <v>45</v>
      </c>
      <c r="D1699" s="4">
        <v>56</v>
      </c>
      <c r="E1699" s="4">
        <v>120</v>
      </c>
      <c r="F1699" s="4">
        <v>103</v>
      </c>
      <c r="G1699" s="4">
        <v>61</v>
      </c>
      <c r="H1699" s="4">
        <v>4</v>
      </c>
      <c r="I1699" s="4">
        <v>50</v>
      </c>
      <c r="J1699" s="4">
        <v>55</v>
      </c>
      <c r="K1699" s="4">
        <v>162</v>
      </c>
      <c r="L1699" s="4">
        <v>123.5</v>
      </c>
      <c r="M1699" s="4">
        <v>106</v>
      </c>
      <c r="N1699" s="4">
        <v>196</v>
      </c>
    </row>
    <row r="1700" spans="1:14">
      <c r="A1700" s="3">
        <v>814415</v>
      </c>
      <c r="B1700" s="3">
        <v>204030</v>
      </c>
      <c r="C1700" s="4">
        <v>0</v>
      </c>
      <c r="D1700" s="4">
        <v>1</v>
      </c>
      <c r="E1700" s="4">
        <v>0</v>
      </c>
      <c r="F1700" s="4">
        <v>0</v>
      </c>
      <c r="G1700" s="4">
        <v>0</v>
      </c>
      <c r="H1700" s="4">
        <v>1</v>
      </c>
      <c r="I1700" s="4">
        <v>0</v>
      </c>
      <c r="J1700" s="4">
        <v>0</v>
      </c>
      <c r="K1700" s="4">
        <v>1</v>
      </c>
      <c r="L1700" s="4">
        <v>0</v>
      </c>
      <c r="M1700" s="4">
        <v>0</v>
      </c>
      <c r="N1700" s="4">
        <v>0</v>
      </c>
    </row>
    <row r="1701" spans="1:14">
      <c r="A1701" s="3">
        <v>814416</v>
      </c>
      <c r="B1701" s="3">
        <v>177829</v>
      </c>
      <c r="C1701" s="4">
        <v>0</v>
      </c>
      <c r="D1701" s="4">
        <v>0</v>
      </c>
      <c r="E1701" s="4">
        <v>22</v>
      </c>
      <c r="F1701" s="4">
        <v>25.5</v>
      </c>
      <c r="G1701" s="4">
        <v>20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</row>
    <row r="1702" spans="1:14">
      <c r="A1702" s="3">
        <v>814425</v>
      </c>
      <c r="B1702" s="3">
        <v>174166</v>
      </c>
      <c r="C1702" s="4">
        <v>121.9</v>
      </c>
      <c r="D1702" s="4">
        <v>42</v>
      </c>
      <c r="E1702" s="4">
        <v>182</v>
      </c>
      <c r="F1702" s="4">
        <v>60</v>
      </c>
      <c r="G1702" s="4">
        <v>40</v>
      </c>
      <c r="H1702" s="4">
        <v>65</v>
      </c>
      <c r="I1702" s="4">
        <v>55</v>
      </c>
      <c r="J1702" s="4">
        <v>20</v>
      </c>
      <c r="K1702" s="4">
        <v>115</v>
      </c>
      <c r="L1702" s="4">
        <v>150</v>
      </c>
      <c r="M1702" s="4">
        <v>113</v>
      </c>
      <c r="N1702" s="4">
        <v>254.8</v>
      </c>
    </row>
    <row r="1703" spans="1:14">
      <c r="A1703" s="3">
        <v>814431</v>
      </c>
      <c r="B1703" s="3">
        <v>170132</v>
      </c>
      <c r="C1703" s="4">
        <v>147.5</v>
      </c>
      <c r="D1703" s="4">
        <v>45</v>
      </c>
      <c r="E1703" s="4">
        <v>100</v>
      </c>
      <c r="F1703" s="4">
        <v>0</v>
      </c>
      <c r="G1703" s="4">
        <v>30</v>
      </c>
      <c r="H1703" s="4">
        <v>14</v>
      </c>
      <c r="I1703" s="4">
        <v>0</v>
      </c>
      <c r="J1703" s="4">
        <v>10</v>
      </c>
      <c r="K1703" s="4">
        <v>35</v>
      </c>
      <c r="L1703" s="4">
        <v>10</v>
      </c>
      <c r="M1703" s="4">
        <v>35</v>
      </c>
      <c r="N1703" s="4">
        <v>0</v>
      </c>
    </row>
    <row r="1704" spans="1:14">
      <c r="A1704" s="3">
        <v>814433</v>
      </c>
      <c r="B1704" s="3">
        <v>206302</v>
      </c>
      <c r="C1704" s="4">
        <v>65.5</v>
      </c>
      <c r="D1704" s="4">
        <v>58</v>
      </c>
      <c r="E1704" s="4">
        <v>73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</row>
    <row r="1705" spans="1:14">
      <c r="A1705" s="3">
        <v>814434</v>
      </c>
      <c r="B1705" s="3">
        <v>176097</v>
      </c>
      <c r="C1705" s="4">
        <v>20</v>
      </c>
      <c r="D1705" s="4">
        <v>59</v>
      </c>
      <c r="E1705" s="4">
        <v>92.5</v>
      </c>
      <c r="F1705" s="4">
        <v>51.5</v>
      </c>
      <c r="G1705" s="4">
        <v>105</v>
      </c>
      <c r="H1705" s="4">
        <v>97</v>
      </c>
      <c r="I1705" s="4">
        <v>90</v>
      </c>
      <c r="J1705" s="4">
        <v>0</v>
      </c>
      <c r="K1705" s="4">
        <v>120</v>
      </c>
      <c r="L1705" s="4">
        <v>45</v>
      </c>
      <c r="M1705" s="4">
        <v>106.5</v>
      </c>
      <c r="N1705" s="4">
        <v>145</v>
      </c>
    </row>
    <row r="1706" spans="1:14">
      <c r="A1706" s="3">
        <v>814436</v>
      </c>
      <c r="B1706" s="3">
        <v>143113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20</v>
      </c>
    </row>
    <row r="1707" spans="1:14">
      <c r="A1707" s="3">
        <v>814436</v>
      </c>
      <c r="B1707" s="3">
        <v>173749</v>
      </c>
      <c r="C1707" s="4">
        <v>17.5</v>
      </c>
      <c r="D1707" s="4">
        <v>16</v>
      </c>
      <c r="E1707" s="4">
        <v>0</v>
      </c>
      <c r="F1707" s="4">
        <v>10</v>
      </c>
      <c r="G1707" s="4">
        <v>9.75</v>
      </c>
      <c r="H1707" s="4">
        <v>2.5</v>
      </c>
      <c r="I1707" s="4">
        <v>10</v>
      </c>
      <c r="J1707" s="4">
        <v>0</v>
      </c>
      <c r="K1707" s="4">
        <v>15</v>
      </c>
      <c r="L1707" s="4">
        <v>30</v>
      </c>
      <c r="M1707" s="4">
        <v>69.5</v>
      </c>
      <c r="N1707" s="4">
        <v>25</v>
      </c>
    </row>
    <row r="1708" spans="1:14">
      <c r="A1708" s="3">
        <v>814441</v>
      </c>
      <c r="B1708" s="3">
        <v>170132</v>
      </c>
      <c r="C1708" s="4">
        <v>30</v>
      </c>
      <c r="D1708" s="4">
        <v>42</v>
      </c>
      <c r="E1708" s="4">
        <v>77</v>
      </c>
      <c r="F1708" s="4">
        <v>20</v>
      </c>
      <c r="G1708" s="4">
        <v>15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</row>
    <row r="1709" spans="1:14">
      <c r="A1709" s="3">
        <v>814444</v>
      </c>
      <c r="B1709" s="3">
        <v>175939</v>
      </c>
      <c r="C1709" s="4">
        <v>25</v>
      </c>
      <c r="D1709" s="4">
        <v>56.5</v>
      </c>
      <c r="E1709" s="4">
        <v>75</v>
      </c>
      <c r="F1709" s="4">
        <v>80.3</v>
      </c>
      <c r="G1709" s="4">
        <v>65</v>
      </c>
      <c r="H1709" s="4">
        <v>19.149999999999999</v>
      </c>
      <c r="I1709" s="4">
        <v>25</v>
      </c>
      <c r="J1709" s="4">
        <v>30</v>
      </c>
      <c r="K1709" s="4">
        <v>96</v>
      </c>
      <c r="L1709" s="4">
        <v>87.5</v>
      </c>
      <c r="M1709" s="4">
        <v>35</v>
      </c>
      <c r="N1709" s="4">
        <v>90</v>
      </c>
    </row>
    <row r="1710" spans="1:14">
      <c r="A1710" s="3">
        <v>814445</v>
      </c>
      <c r="B1710" s="3">
        <v>145353</v>
      </c>
      <c r="C1710" s="4">
        <v>0</v>
      </c>
      <c r="D1710" s="4">
        <v>0</v>
      </c>
      <c r="E1710" s="4">
        <v>65</v>
      </c>
      <c r="F1710" s="4">
        <v>165</v>
      </c>
      <c r="G1710" s="4">
        <v>212</v>
      </c>
      <c r="H1710" s="4">
        <v>80</v>
      </c>
      <c r="I1710" s="4">
        <v>0</v>
      </c>
      <c r="J1710" s="4">
        <v>45</v>
      </c>
      <c r="K1710" s="4">
        <v>60</v>
      </c>
      <c r="L1710" s="4">
        <v>50</v>
      </c>
      <c r="M1710" s="4">
        <v>50</v>
      </c>
      <c r="N1710" s="4">
        <v>180</v>
      </c>
    </row>
    <row r="1711" spans="1:14">
      <c r="A1711" s="3">
        <v>814446</v>
      </c>
      <c r="B1711" s="3">
        <v>205966</v>
      </c>
      <c r="C1711" s="4">
        <v>0</v>
      </c>
      <c r="D1711" s="4">
        <v>0</v>
      </c>
      <c r="E1711" s="4">
        <v>0</v>
      </c>
      <c r="F1711" s="4">
        <v>6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5</v>
      </c>
    </row>
    <row r="1712" spans="1:14">
      <c r="A1712" s="3">
        <v>814447</v>
      </c>
      <c r="B1712" s="3">
        <v>140927</v>
      </c>
      <c r="C1712" s="4">
        <v>10</v>
      </c>
      <c r="D1712" s="4">
        <v>13</v>
      </c>
      <c r="E1712" s="4">
        <v>0</v>
      </c>
      <c r="F1712" s="4">
        <v>57</v>
      </c>
      <c r="G1712" s="4">
        <v>20</v>
      </c>
      <c r="H1712" s="4">
        <v>20</v>
      </c>
      <c r="I1712" s="4">
        <v>20</v>
      </c>
      <c r="J1712" s="4">
        <v>30</v>
      </c>
      <c r="K1712" s="4">
        <v>18</v>
      </c>
      <c r="L1712" s="4">
        <v>10</v>
      </c>
      <c r="M1712" s="4">
        <v>30</v>
      </c>
      <c r="N1712" s="4">
        <v>42.5</v>
      </c>
    </row>
    <row r="1713" spans="1:14">
      <c r="A1713" s="3">
        <v>814456</v>
      </c>
      <c r="B1713" s="3">
        <v>203600</v>
      </c>
      <c r="C1713" s="4">
        <v>20</v>
      </c>
      <c r="D1713" s="4">
        <v>40</v>
      </c>
      <c r="E1713" s="4">
        <v>20</v>
      </c>
      <c r="F1713" s="4">
        <v>20</v>
      </c>
      <c r="G1713" s="4">
        <v>10</v>
      </c>
      <c r="H1713" s="4">
        <v>10</v>
      </c>
      <c r="I1713" s="4">
        <v>4</v>
      </c>
      <c r="J1713" s="4">
        <v>10</v>
      </c>
      <c r="K1713" s="4">
        <v>16</v>
      </c>
      <c r="L1713" s="4">
        <v>18</v>
      </c>
      <c r="M1713" s="4">
        <v>10</v>
      </c>
      <c r="N1713" s="4">
        <v>20</v>
      </c>
    </row>
    <row r="1714" spans="1:14">
      <c r="A1714" s="3">
        <v>814457</v>
      </c>
      <c r="B1714" s="3">
        <v>203600</v>
      </c>
      <c r="C1714" s="4">
        <v>21</v>
      </c>
      <c r="D1714" s="4">
        <v>10</v>
      </c>
      <c r="E1714" s="4">
        <v>10</v>
      </c>
      <c r="F1714" s="4">
        <v>20</v>
      </c>
      <c r="G1714" s="4">
        <v>30</v>
      </c>
      <c r="H1714" s="4">
        <v>10</v>
      </c>
      <c r="I1714" s="4">
        <v>30</v>
      </c>
      <c r="J1714" s="4">
        <v>35</v>
      </c>
      <c r="K1714" s="4">
        <v>50</v>
      </c>
      <c r="L1714" s="4">
        <v>50</v>
      </c>
      <c r="M1714" s="4">
        <v>35</v>
      </c>
      <c r="N1714" s="4">
        <v>58</v>
      </c>
    </row>
    <row r="1715" spans="1:14">
      <c r="A1715" s="3">
        <v>814458</v>
      </c>
      <c r="B1715" s="3">
        <v>177093</v>
      </c>
      <c r="C1715" s="4">
        <v>0</v>
      </c>
      <c r="D1715" s="4">
        <v>18.75</v>
      </c>
      <c r="E1715" s="4">
        <v>20</v>
      </c>
      <c r="F1715" s="4">
        <v>7.5</v>
      </c>
      <c r="G1715" s="4">
        <v>0</v>
      </c>
      <c r="H1715" s="4">
        <v>0</v>
      </c>
      <c r="I1715" s="4">
        <v>0</v>
      </c>
      <c r="J1715" s="4">
        <v>5</v>
      </c>
      <c r="K1715" s="4">
        <v>20</v>
      </c>
      <c r="L1715" s="4">
        <v>0</v>
      </c>
      <c r="M1715" s="4">
        <v>0</v>
      </c>
      <c r="N1715" s="4">
        <v>0</v>
      </c>
    </row>
    <row r="1716" spans="1:14">
      <c r="A1716" s="3">
        <v>814459</v>
      </c>
      <c r="B1716" s="3">
        <v>172942</v>
      </c>
      <c r="C1716" s="4">
        <v>108</v>
      </c>
      <c r="D1716" s="4">
        <v>70.5</v>
      </c>
      <c r="E1716" s="4">
        <v>138</v>
      </c>
      <c r="F1716" s="4">
        <v>112</v>
      </c>
      <c r="G1716" s="4">
        <v>119</v>
      </c>
      <c r="H1716" s="4">
        <v>157.5</v>
      </c>
      <c r="I1716" s="4">
        <v>110</v>
      </c>
      <c r="J1716" s="4">
        <v>88</v>
      </c>
      <c r="K1716" s="4">
        <v>158</v>
      </c>
      <c r="L1716" s="4">
        <v>86.5</v>
      </c>
      <c r="M1716" s="4">
        <v>45</v>
      </c>
      <c r="N1716" s="4">
        <v>65</v>
      </c>
    </row>
    <row r="1717" spans="1:14">
      <c r="A1717" s="3">
        <v>814470</v>
      </c>
      <c r="B1717" s="3">
        <v>178150</v>
      </c>
      <c r="C1717" s="4">
        <v>62</v>
      </c>
      <c r="D1717" s="4">
        <v>130</v>
      </c>
      <c r="E1717" s="4">
        <v>55</v>
      </c>
      <c r="F1717" s="4">
        <v>114.5</v>
      </c>
      <c r="G1717" s="4">
        <v>110</v>
      </c>
      <c r="H1717" s="4">
        <v>167.5</v>
      </c>
      <c r="I1717" s="4">
        <v>62.5</v>
      </c>
      <c r="J1717" s="4">
        <v>45</v>
      </c>
      <c r="K1717" s="4">
        <v>155</v>
      </c>
      <c r="L1717" s="4">
        <v>105</v>
      </c>
      <c r="M1717" s="4">
        <v>70</v>
      </c>
      <c r="N1717" s="4">
        <v>34.5</v>
      </c>
    </row>
    <row r="1718" spans="1:14">
      <c r="A1718" s="3">
        <v>814481</v>
      </c>
      <c r="B1718" s="3">
        <v>170958</v>
      </c>
      <c r="C1718" s="4">
        <v>0</v>
      </c>
      <c r="D1718" s="4">
        <v>55</v>
      </c>
      <c r="E1718" s="4">
        <v>80</v>
      </c>
      <c r="F1718" s="4">
        <v>25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</row>
    <row r="1719" spans="1:14">
      <c r="A1719" s="3">
        <v>814482</v>
      </c>
      <c r="B1719" s="3">
        <v>170204</v>
      </c>
      <c r="C1719" s="4">
        <v>0</v>
      </c>
      <c r="D1719" s="4">
        <v>55</v>
      </c>
      <c r="E1719" s="4">
        <v>36.5</v>
      </c>
      <c r="F1719" s="4">
        <v>57</v>
      </c>
      <c r="G1719" s="4">
        <v>50</v>
      </c>
      <c r="H1719" s="4">
        <v>55</v>
      </c>
      <c r="I1719" s="4">
        <v>0</v>
      </c>
      <c r="J1719" s="4">
        <v>22</v>
      </c>
      <c r="K1719" s="4">
        <v>0</v>
      </c>
      <c r="L1719" s="4">
        <v>0</v>
      </c>
      <c r="M1719" s="4">
        <v>57</v>
      </c>
      <c r="N1719" s="4">
        <v>121</v>
      </c>
    </row>
    <row r="1720" spans="1:14">
      <c r="A1720" s="3">
        <v>814483</v>
      </c>
      <c r="B1720" s="3">
        <v>207977</v>
      </c>
      <c r="C1720" s="4">
        <v>0</v>
      </c>
      <c r="D1720" s="4">
        <v>10</v>
      </c>
      <c r="E1720" s="4">
        <v>0</v>
      </c>
      <c r="F1720" s="4">
        <v>0</v>
      </c>
      <c r="G1720" s="4">
        <v>0</v>
      </c>
      <c r="H1720" s="4">
        <v>6</v>
      </c>
      <c r="I1720" s="4">
        <v>5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</row>
    <row r="1721" spans="1:14">
      <c r="A1721" s="3">
        <v>814484</v>
      </c>
      <c r="B1721" s="3">
        <v>202225</v>
      </c>
      <c r="C1721" s="4">
        <v>47.5</v>
      </c>
      <c r="D1721" s="4">
        <v>25</v>
      </c>
      <c r="E1721" s="4">
        <v>25</v>
      </c>
      <c r="F1721" s="4">
        <v>25</v>
      </c>
      <c r="G1721" s="4">
        <v>0</v>
      </c>
      <c r="H1721" s="4">
        <v>15</v>
      </c>
      <c r="I1721" s="4">
        <v>40.5</v>
      </c>
      <c r="J1721" s="4">
        <v>0</v>
      </c>
      <c r="K1721" s="4">
        <v>20</v>
      </c>
      <c r="L1721" s="4">
        <v>40</v>
      </c>
      <c r="M1721" s="4">
        <v>35</v>
      </c>
      <c r="N1721" s="4">
        <v>134</v>
      </c>
    </row>
    <row r="1722" spans="1:14">
      <c r="A1722" s="3">
        <v>814494</v>
      </c>
      <c r="B1722" s="3">
        <v>205192</v>
      </c>
      <c r="C1722" s="4">
        <v>35</v>
      </c>
      <c r="D1722" s="4">
        <v>25</v>
      </c>
      <c r="E1722" s="4">
        <v>105</v>
      </c>
      <c r="F1722" s="4">
        <v>60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</row>
    <row r="1723" spans="1:14">
      <c r="A1723" s="3">
        <v>814496</v>
      </c>
      <c r="B1723" s="3">
        <v>170146</v>
      </c>
      <c r="C1723" s="4">
        <v>105</v>
      </c>
      <c r="D1723" s="4">
        <v>25</v>
      </c>
      <c r="E1723" s="4">
        <v>144.5</v>
      </c>
      <c r="F1723" s="4">
        <v>0</v>
      </c>
      <c r="G1723" s="4">
        <v>0</v>
      </c>
      <c r="H1723" s="4">
        <v>14</v>
      </c>
      <c r="I1723" s="4">
        <v>27</v>
      </c>
      <c r="J1723" s="4">
        <v>0</v>
      </c>
      <c r="K1723" s="4">
        <v>122</v>
      </c>
      <c r="L1723" s="4">
        <v>14.5</v>
      </c>
      <c r="M1723" s="4">
        <v>45</v>
      </c>
      <c r="N1723" s="4">
        <v>10</v>
      </c>
    </row>
    <row r="1724" spans="1:14">
      <c r="A1724" s="3">
        <v>814497</v>
      </c>
      <c r="B1724" s="3">
        <v>170146</v>
      </c>
      <c r="C1724" s="4">
        <v>0</v>
      </c>
      <c r="D1724" s="4">
        <v>56</v>
      </c>
      <c r="E1724" s="4">
        <v>40</v>
      </c>
      <c r="F1724" s="4">
        <v>15</v>
      </c>
      <c r="G1724" s="4">
        <v>15</v>
      </c>
      <c r="H1724" s="4">
        <v>0</v>
      </c>
      <c r="I1724" s="4">
        <v>15</v>
      </c>
      <c r="J1724" s="4">
        <v>0</v>
      </c>
      <c r="K1724" s="4">
        <v>25</v>
      </c>
      <c r="L1724" s="4">
        <v>20</v>
      </c>
      <c r="M1724" s="4">
        <v>35</v>
      </c>
      <c r="N1724" s="4">
        <v>5</v>
      </c>
    </row>
    <row r="1725" spans="1:14">
      <c r="A1725" s="3">
        <v>814498</v>
      </c>
      <c r="B1725" s="3">
        <v>174166</v>
      </c>
      <c r="C1725" s="4">
        <v>10</v>
      </c>
      <c r="D1725" s="4">
        <v>45</v>
      </c>
      <c r="E1725" s="4">
        <v>56.5</v>
      </c>
      <c r="F1725" s="4">
        <v>60</v>
      </c>
      <c r="G1725" s="4">
        <v>20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</row>
    <row r="1726" spans="1:14">
      <c r="A1726" s="3">
        <v>814499</v>
      </c>
      <c r="B1726" s="3">
        <v>171479</v>
      </c>
      <c r="C1726" s="4">
        <v>137.5</v>
      </c>
      <c r="D1726" s="4">
        <v>203</v>
      </c>
      <c r="E1726" s="4">
        <v>205.5</v>
      </c>
      <c r="F1726" s="4">
        <v>218</v>
      </c>
      <c r="G1726" s="4">
        <v>207.5</v>
      </c>
      <c r="H1726" s="4">
        <v>140</v>
      </c>
      <c r="I1726" s="4">
        <v>162.5</v>
      </c>
      <c r="J1726" s="4">
        <v>77</v>
      </c>
      <c r="K1726" s="4">
        <v>117.5</v>
      </c>
      <c r="L1726" s="4">
        <v>37.5</v>
      </c>
      <c r="M1726" s="4">
        <v>50</v>
      </c>
      <c r="N1726" s="4">
        <v>52.5</v>
      </c>
    </row>
    <row r="1727" spans="1:14">
      <c r="A1727" s="3">
        <v>814503</v>
      </c>
      <c r="B1727" s="3">
        <v>143416</v>
      </c>
      <c r="C1727" s="4">
        <v>0</v>
      </c>
      <c r="D1727" s="4">
        <v>0</v>
      </c>
      <c r="E1727" s="4">
        <v>0</v>
      </c>
      <c r="F1727" s="4">
        <v>10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</row>
    <row r="1728" spans="1:14">
      <c r="A1728" s="3">
        <v>814503</v>
      </c>
      <c r="B1728" s="3">
        <v>177957</v>
      </c>
      <c r="C1728" s="4">
        <v>26.25</v>
      </c>
      <c r="D1728" s="4">
        <v>0</v>
      </c>
      <c r="E1728" s="4">
        <v>23.5</v>
      </c>
      <c r="F1728" s="4">
        <v>26.6</v>
      </c>
      <c r="G1728" s="4">
        <v>20</v>
      </c>
      <c r="H1728" s="4">
        <v>30.5</v>
      </c>
      <c r="I1728" s="4">
        <v>0</v>
      </c>
      <c r="J1728" s="4">
        <v>29.5</v>
      </c>
      <c r="K1728" s="4">
        <v>66.5</v>
      </c>
      <c r="L1728" s="4">
        <v>27.5</v>
      </c>
      <c r="M1728" s="4">
        <v>22.3</v>
      </c>
      <c r="N1728" s="4">
        <v>20</v>
      </c>
    </row>
    <row r="1729" spans="1:14">
      <c r="A1729" s="3">
        <v>814504</v>
      </c>
      <c r="B1729" s="3">
        <v>170958</v>
      </c>
      <c r="C1729" s="4">
        <v>0</v>
      </c>
      <c r="D1729" s="4">
        <v>55</v>
      </c>
      <c r="E1729" s="4">
        <v>25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</row>
    <row r="1730" spans="1:14">
      <c r="A1730" s="3">
        <v>814505</v>
      </c>
      <c r="B1730" s="3">
        <v>147364</v>
      </c>
      <c r="C1730" s="4">
        <v>35.5</v>
      </c>
      <c r="D1730" s="4">
        <v>10</v>
      </c>
      <c r="E1730" s="4">
        <v>10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</row>
    <row r="1731" spans="1:14">
      <c r="A1731" s="3">
        <v>814505</v>
      </c>
      <c r="B1731" s="3">
        <v>204034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10</v>
      </c>
    </row>
    <row r="1732" spans="1:14">
      <c r="A1732" s="3">
        <v>814506</v>
      </c>
      <c r="B1732" s="3">
        <v>205591</v>
      </c>
      <c r="C1732" s="4">
        <v>97</v>
      </c>
      <c r="D1732" s="4">
        <v>127</v>
      </c>
      <c r="E1732" s="4">
        <v>137</v>
      </c>
      <c r="F1732" s="4">
        <v>70</v>
      </c>
      <c r="G1732" s="4">
        <v>51.75</v>
      </c>
      <c r="H1732" s="4">
        <v>66.5</v>
      </c>
      <c r="I1732" s="4">
        <v>40</v>
      </c>
      <c r="J1732" s="4">
        <v>25</v>
      </c>
      <c r="K1732" s="4">
        <v>71</v>
      </c>
      <c r="L1732" s="4">
        <v>90.5</v>
      </c>
      <c r="M1732" s="4">
        <v>60</v>
      </c>
      <c r="N1732" s="4">
        <v>75.75</v>
      </c>
    </row>
    <row r="1733" spans="1:14">
      <c r="A1733" s="3">
        <v>814507</v>
      </c>
      <c r="B1733" s="3">
        <v>173611</v>
      </c>
      <c r="C1733" s="4">
        <v>30</v>
      </c>
      <c r="D1733" s="4">
        <v>10</v>
      </c>
      <c r="E1733" s="4">
        <v>0</v>
      </c>
      <c r="F1733" s="4">
        <v>10</v>
      </c>
      <c r="G1733" s="4">
        <v>0</v>
      </c>
      <c r="H1733" s="4">
        <v>0</v>
      </c>
      <c r="I1733" s="4">
        <v>10</v>
      </c>
      <c r="J1733" s="4">
        <v>20</v>
      </c>
      <c r="K1733" s="4">
        <v>10</v>
      </c>
      <c r="L1733" s="4">
        <v>0</v>
      </c>
      <c r="M1733" s="4">
        <v>0</v>
      </c>
      <c r="N1733" s="4">
        <v>0</v>
      </c>
    </row>
    <row r="1734" spans="1:14">
      <c r="A1734" s="3">
        <v>814514</v>
      </c>
      <c r="B1734" s="3">
        <v>209702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34</v>
      </c>
      <c r="N1734" s="4">
        <v>0</v>
      </c>
    </row>
    <row r="1735" spans="1:14">
      <c r="A1735" s="3">
        <v>814521</v>
      </c>
      <c r="B1735" s="3">
        <v>143416</v>
      </c>
      <c r="C1735" s="4">
        <v>93.35</v>
      </c>
      <c r="D1735" s="4">
        <v>62.75</v>
      </c>
      <c r="E1735" s="4">
        <v>71.75</v>
      </c>
      <c r="F1735" s="4">
        <v>109.5</v>
      </c>
      <c r="G1735" s="4">
        <v>128.5</v>
      </c>
      <c r="H1735" s="4">
        <v>116.5</v>
      </c>
      <c r="I1735" s="4">
        <v>64</v>
      </c>
      <c r="J1735" s="4">
        <v>64.75</v>
      </c>
      <c r="K1735" s="4">
        <v>88.25</v>
      </c>
      <c r="L1735" s="4">
        <v>84.5</v>
      </c>
      <c r="M1735" s="4">
        <v>98</v>
      </c>
      <c r="N1735" s="4">
        <v>117.75</v>
      </c>
    </row>
    <row r="1736" spans="1:14">
      <c r="A1736" s="3">
        <v>814522</v>
      </c>
      <c r="B1736" s="3">
        <v>143416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10</v>
      </c>
    </row>
    <row r="1737" spans="1:14">
      <c r="A1737" s="3">
        <v>814522</v>
      </c>
      <c r="B1737" s="3">
        <v>207977</v>
      </c>
      <c r="C1737" s="4">
        <v>0</v>
      </c>
      <c r="D1737" s="4">
        <v>0</v>
      </c>
      <c r="E1737" s="4">
        <v>0</v>
      </c>
      <c r="F1737" s="4">
        <v>9.5</v>
      </c>
      <c r="G1737" s="4">
        <v>0</v>
      </c>
      <c r="H1737" s="4">
        <v>6</v>
      </c>
      <c r="I1737" s="4">
        <v>5</v>
      </c>
      <c r="J1737" s="4">
        <v>10</v>
      </c>
      <c r="K1737" s="4">
        <v>40</v>
      </c>
      <c r="L1737" s="4">
        <v>0</v>
      </c>
      <c r="M1737" s="4">
        <v>10</v>
      </c>
      <c r="N1737" s="4">
        <v>0</v>
      </c>
    </row>
    <row r="1738" spans="1:14">
      <c r="A1738" s="3">
        <v>814524</v>
      </c>
      <c r="B1738" s="3">
        <v>170204</v>
      </c>
      <c r="C1738" s="4">
        <v>0</v>
      </c>
      <c r="D1738" s="4">
        <v>0</v>
      </c>
      <c r="E1738" s="4">
        <v>0</v>
      </c>
      <c r="F1738" s="4">
        <v>2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</row>
    <row r="1739" spans="1:14">
      <c r="A1739" s="3">
        <v>814528</v>
      </c>
      <c r="B1739" s="3">
        <v>141512</v>
      </c>
      <c r="C1739" s="4">
        <v>186</v>
      </c>
      <c r="D1739" s="4">
        <v>156</v>
      </c>
      <c r="E1739" s="4">
        <v>180</v>
      </c>
      <c r="F1739" s="4">
        <v>162.44999999999999</v>
      </c>
      <c r="G1739" s="4">
        <v>90.5</v>
      </c>
      <c r="H1739" s="4">
        <v>32.35</v>
      </c>
      <c r="I1739" s="4">
        <v>159</v>
      </c>
      <c r="J1739" s="4">
        <v>116.1</v>
      </c>
      <c r="K1739" s="4">
        <v>183.25</v>
      </c>
      <c r="L1739" s="4">
        <v>88.75</v>
      </c>
      <c r="M1739" s="4">
        <v>96.5</v>
      </c>
      <c r="N1739" s="4">
        <v>412.59999999999997</v>
      </c>
    </row>
    <row r="1740" spans="1:14">
      <c r="A1740" s="3">
        <v>814530</v>
      </c>
      <c r="B1740" s="3">
        <v>172597</v>
      </c>
      <c r="C1740" s="4">
        <v>62.5</v>
      </c>
      <c r="D1740" s="4">
        <v>0</v>
      </c>
      <c r="E1740" s="4">
        <v>10</v>
      </c>
      <c r="F1740" s="4">
        <v>0</v>
      </c>
      <c r="G1740" s="4">
        <v>12.5</v>
      </c>
      <c r="H1740" s="4">
        <v>12.5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</row>
    <row r="1741" spans="1:14">
      <c r="A1741" s="3">
        <v>814539</v>
      </c>
      <c r="B1741" s="3">
        <v>201654</v>
      </c>
      <c r="C1741" s="4">
        <v>10</v>
      </c>
      <c r="D1741" s="4">
        <v>70</v>
      </c>
      <c r="E1741" s="4">
        <v>20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</row>
    <row r="1742" spans="1:14">
      <c r="A1742" s="3">
        <v>814540</v>
      </c>
      <c r="B1742" s="3">
        <v>140927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10</v>
      </c>
      <c r="K1742" s="4">
        <v>0</v>
      </c>
      <c r="L1742" s="4">
        <v>0</v>
      </c>
      <c r="M1742" s="4">
        <v>0</v>
      </c>
      <c r="N1742" s="4">
        <v>0</v>
      </c>
    </row>
    <row r="1743" spans="1:14">
      <c r="A1743" s="3">
        <v>814540</v>
      </c>
      <c r="B1743" s="3">
        <v>202479</v>
      </c>
      <c r="C1743" s="4">
        <v>38</v>
      </c>
      <c r="D1743" s="4">
        <v>20</v>
      </c>
      <c r="E1743" s="4">
        <v>30</v>
      </c>
      <c r="F1743" s="4">
        <v>52.5</v>
      </c>
      <c r="G1743" s="4">
        <v>30</v>
      </c>
      <c r="H1743" s="4">
        <v>55</v>
      </c>
      <c r="I1743" s="4">
        <v>37</v>
      </c>
      <c r="J1743" s="4">
        <v>27</v>
      </c>
      <c r="K1743" s="4">
        <v>108</v>
      </c>
      <c r="L1743" s="4">
        <v>10</v>
      </c>
      <c r="M1743" s="4">
        <v>50</v>
      </c>
      <c r="N1743" s="4">
        <v>45.5</v>
      </c>
    </row>
    <row r="1744" spans="1:14">
      <c r="A1744" s="3">
        <v>814541</v>
      </c>
      <c r="B1744" s="3">
        <v>141512</v>
      </c>
      <c r="C1744" s="4">
        <v>30</v>
      </c>
      <c r="D1744" s="4">
        <v>4.75</v>
      </c>
      <c r="E1744" s="4">
        <v>20</v>
      </c>
      <c r="F1744" s="4">
        <v>0</v>
      </c>
      <c r="G1744" s="4">
        <v>13.8</v>
      </c>
      <c r="H1744" s="4">
        <v>5</v>
      </c>
      <c r="I1744" s="4">
        <v>43</v>
      </c>
      <c r="J1744" s="4">
        <v>30</v>
      </c>
      <c r="K1744" s="4">
        <v>30</v>
      </c>
      <c r="L1744" s="4">
        <v>0</v>
      </c>
      <c r="M1744" s="4">
        <v>0</v>
      </c>
      <c r="N1744" s="4">
        <v>51</v>
      </c>
    </row>
    <row r="1745" spans="1:14">
      <c r="A1745" s="3">
        <v>814545</v>
      </c>
      <c r="B1745" s="3">
        <v>149765</v>
      </c>
      <c r="C1745" s="4">
        <v>35</v>
      </c>
      <c r="D1745" s="4">
        <v>50</v>
      </c>
      <c r="E1745" s="4">
        <v>40</v>
      </c>
      <c r="F1745" s="4">
        <v>20</v>
      </c>
      <c r="G1745" s="4">
        <v>30</v>
      </c>
      <c r="H1745" s="4">
        <v>30</v>
      </c>
      <c r="I1745" s="4">
        <v>50</v>
      </c>
      <c r="J1745" s="4">
        <v>10</v>
      </c>
      <c r="K1745" s="4">
        <v>25</v>
      </c>
      <c r="L1745" s="4">
        <v>15</v>
      </c>
      <c r="M1745" s="4">
        <v>20</v>
      </c>
      <c r="N1745" s="4">
        <v>76</v>
      </c>
    </row>
    <row r="1746" spans="1:14">
      <c r="A1746" s="3">
        <v>814577</v>
      </c>
      <c r="B1746" s="3">
        <v>119066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1</v>
      </c>
      <c r="J1746" s="4">
        <v>0</v>
      </c>
      <c r="K1746" s="4">
        <v>75</v>
      </c>
      <c r="L1746" s="4">
        <v>0</v>
      </c>
      <c r="M1746" s="4">
        <v>0</v>
      </c>
      <c r="N1746" s="4">
        <v>50</v>
      </c>
    </row>
    <row r="1747" spans="1:14">
      <c r="A1747" s="3">
        <v>814593</v>
      </c>
      <c r="B1747" s="3">
        <v>207907</v>
      </c>
      <c r="C1747" s="4">
        <v>0</v>
      </c>
      <c r="D1747" s="4">
        <v>50</v>
      </c>
      <c r="E1747" s="4">
        <v>47.5</v>
      </c>
      <c r="F1747" s="4">
        <v>20</v>
      </c>
      <c r="G1747" s="4">
        <v>20</v>
      </c>
      <c r="H1747" s="4">
        <v>10</v>
      </c>
      <c r="I1747" s="4">
        <v>48</v>
      </c>
      <c r="J1747" s="4">
        <v>38.5</v>
      </c>
      <c r="K1747" s="4">
        <v>85</v>
      </c>
      <c r="L1747" s="4">
        <v>29</v>
      </c>
      <c r="M1747" s="4">
        <v>72.5</v>
      </c>
      <c r="N1747" s="4">
        <v>0</v>
      </c>
    </row>
    <row r="1748" spans="1:14">
      <c r="A1748" s="3">
        <v>814594</v>
      </c>
      <c r="B1748" s="3">
        <v>174166</v>
      </c>
      <c r="C1748" s="4">
        <v>0</v>
      </c>
      <c r="D1748" s="4">
        <v>5</v>
      </c>
      <c r="E1748" s="4">
        <v>16.5</v>
      </c>
      <c r="F1748" s="4">
        <v>0</v>
      </c>
      <c r="G1748" s="4">
        <v>22.5</v>
      </c>
      <c r="H1748" s="4">
        <v>17.5</v>
      </c>
      <c r="I1748" s="4">
        <v>30</v>
      </c>
      <c r="J1748" s="4">
        <v>10</v>
      </c>
      <c r="K1748" s="4">
        <v>48</v>
      </c>
      <c r="L1748" s="4">
        <v>31</v>
      </c>
      <c r="M1748" s="4">
        <v>44.5</v>
      </c>
      <c r="N1748" s="4">
        <v>178.55</v>
      </c>
    </row>
    <row r="1749" spans="1:14">
      <c r="A1749" s="3">
        <v>814595</v>
      </c>
      <c r="B1749" s="3">
        <v>171887</v>
      </c>
      <c r="C1749" s="4">
        <v>30</v>
      </c>
      <c r="D1749" s="4">
        <v>58</v>
      </c>
      <c r="E1749" s="4">
        <v>62</v>
      </c>
      <c r="F1749" s="4">
        <v>30</v>
      </c>
      <c r="G1749" s="4">
        <v>13</v>
      </c>
      <c r="H1749" s="4">
        <v>20</v>
      </c>
      <c r="I1749" s="4">
        <v>15</v>
      </c>
      <c r="J1749" s="4">
        <v>10</v>
      </c>
      <c r="K1749" s="4">
        <v>77.5</v>
      </c>
      <c r="L1749" s="4">
        <v>57</v>
      </c>
      <c r="M1749" s="4">
        <v>41.5</v>
      </c>
      <c r="N1749" s="4">
        <v>20</v>
      </c>
    </row>
    <row r="1750" spans="1:14">
      <c r="A1750" s="3">
        <v>814596</v>
      </c>
      <c r="B1750" s="3">
        <v>172084</v>
      </c>
      <c r="C1750" s="4">
        <v>50</v>
      </c>
      <c r="D1750" s="4">
        <v>70</v>
      </c>
      <c r="E1750" s="4">
        <v>95</v>
      </c>
      <c r="F1750" s="4">
        <v>89</v>
      </c>
      <c r="G1750" s="4">
        <v>55</v>
      </c>
      <c r="H1750" s="4">
        <v>95</v>
      </c>
      <c r="I1750" s="4">
        <v>85</v>
      </c>
      <c r="J1750" s="4">
        <v>25</v>
      </c>
      <c r="K1750" s="4">
        <v>125</v>
      </c>
      <c r="L1750" s="4">
        <v>60</v>
      </c>
      <c r="M1750" s="4">
        <v>91</v>
      </c>
      <c r="N1750" s="4">
        <v>70</v>
      </c>
    </row>
    <row r="1751" spans="1:14">
      <c r="A1751" s="3">
        <v>814602</v>
      </c>
      <c r="B1751" s="3">
        <v>201172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2.5</v>
      </c>
    </row>
    <row r="1752" spans="1:14">
      <c r="A1752" s="3">
        <v>814602</v>
      </c>
      <c r="B1752" s="3">
        <v>206933</v>
      </c>
      <c r="C1752" s="4">
        <v>49</v>
      </c>
      <c r="D1752" s="4">
        <v>56</v>
      </c>
      <c r="E1752" s="4">
        <v>70</v>
      </c>
      <c r="F1752" s="4">
        <v>105</v>
      </c>
      <c r="G1752" s="4">
        <v>85</v>
      </c>
      <c r="H1752" s="4">
        <v>90.5</v>
      </c>
      <c r="I1752" s="4">
        <v>71</v>
      </c>
      <c r="J1752" s="4">
        <v>67.5</v>
      </c>
      <c r="K1752" s="4">
        <v>85.5</v>
      </c>
      <c r="L1752" s="4">
        <v>81.5</v>
      </c>
      <c r="M1752" s="4">
        <v>107.5</v>
      </c>
      <c r="N1752" s="4">
        <v>74.900000000000006</v>
      </c>
    </row>
    <row r="1753" spans="1:14">
      <c r="A1753" s="3">
        <v>814603</v>
      </c>
      <c r="B1753" s="3">
        <v>179755</v>
      </c>
      <c r="C1753" s="4">
        <v>10</v>
      </c>
      <c r="D1753" s="4">
        <v>0</v>
      </c>
      <c r="E1753" s="4">
        <v>30</v>
      </c>
      <c r="F1753" s="4">
        <v>30</v>
      </c>
      <c r="G1753" s="4">
        <v>22.5</v>
      </c>
      <c r="H1753" s="4">
        <v>35</v>
      </c>
      <c r="I1753" s="4">
        <v>34</v>
      </c>
      <c r="J1753" s="4">
        <v>10</v>
      </c>
      <c r="K1753" s="4">
        <v>41.5</v>
      </c>
      <c r="L1753" s="4">
        <v>36</v>
      </c>
      <c r="M1753" s="4">
        <v>58.5</v>
      </c>
      <c r="N1753" s="4">
        <v>126</v>
      </c>
    </row>
    <row r="1754" spans="1:14">
      <c r="A1754" s="3">
        <v>814623</v>
      </c>
      <c r="B1754" s="3">
        <v>173748</v>
      </c>
      <c r="C1754" s="4">
        <v>20</v>
      </c>
      <c r="D1754" s="4">
        <v>20</v>
      </c>
      <c r="E1754" s="4">
        <v>25</v>
      </c>
      <c r="F1754" s="4">
        <v>15</v>
      </c>
      <c r="G1754" s="4">
        <v>10</v>
      </c>
      <c r="H1754" s="4">
        <v>27.5</v>
      </c>
      <c r="I1754" s="4">
        <v>0</v>
      </c>
      <c r="J1754" s="4">
        <v>15</v>
      </c>
      <c r="K1754" s="4">
        <v>7.5</v>
      </c>
      <c r="L1754" s="4">
        <v>10</v>
      </c>
      <c r="M1754" s="4">
        <v>15</v>
      </c>
      <c r="N1754" s="4">
        <v>10</v>
      </c>
    </row>
    <row r="1755" spans="1:14">
      <c r="A1755" s="3">
        <v>814625</v>
      </c>
      <c r="B1755" s="3">
        <v>207977</v>
      </c>
      <c r="C1755" s="4">
        <v>10</v>
      </c>
      <c r="D1755" s="4">
        <v>0</v>
      </c>
      <c r="E1755" s="4">
        <v>20</v>
      </c>
      <c r="F1755" s="4">
        <v>45</v>
      </c>
      <c r="G1755" s="4">
        <v>30</v>
      </c>
      <c r="H1755" s="4">
        <v>20</v>
      </c>
      <c r="I1755" s="4">
        <v>25</v>
      </c>
      <c r="J1755" s="4">
        <v>10</v>
      </c>
      <c r="K1755" s="4">
        <v>5</v>
      </c>
      <c r="L1755" s="4">
        <v>0</v>
      </c>
      <c r="M1755" s="4">
        <v>10</v>
      </c>
      <c r="N1755" s="4">
        <v>41.5</v>
      </c>
    </row>
    <row r="1756" spans="1:14">
      <c r="A1756" s="3">
        <v>814631</v>
      </c>
      <c r="B1756" s="3">
        <v>206529</v>
      </c>
      <c r="C1756" s="4">
        <v>50</v>
      </c>
      <c r="D1756" s="4">
        <v>66.5</v>
      </c>
      <c r="E1756" s="4">
        <v>134</v>
      </c>
      <c r="F1756" s="4">
        <v>85.5</v>
      </c>
      <c r="G1756" s="4">
        <v>128.5</v>
      </c>
      <c r="H1756" s="4">
        <v>47</v>
      </c>
      <c r="I1756" s="4">
        <v>70</v>
      </c>
      <c r="J1756" s="4">
        <v>11</v>
      </c>
      <c r="K1756" s="4">
        <v>43</v>
      </c>
      <c r="L1756" s="4">
        <v>21</v>
      </c>
      <c r="M1756" s="4">
        <v>31</v>
      </c>
      <c r="N1756" s="4">
        <v>32</v>
      </c>
    </row>
    <row r="1757" spans="1:14">
      <c r="A1757" s="3">
        <v>814638</v>
      </c>
      <c r="B1757" s="3">
        <v>119044</v>
      </c>
      <c r="C1757" s="4">
        <v>7.5</v>
      </c>
      <c r="D1757" s="4">
        <v>0</v>
      </c>
      <c r="E1757" s="4">
        <v>2.5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</row>
    <row r="1758" spans="1:14">
      <c r="A1758" s="3">
        <v>814639</v>
      </c>
      <c r="B1758" s="3">
        <v>144750</v>
      </c>
      <c r="C1758" s="4">
        <v>34</v>
      </c>
      <c r="D1758" s="4">
        <v>10</v>
      </c>
      <c r="E1758" s="4">
        <v>5</v>
      </c>
      <c r="F1758" s="4">
        <v>28.95</v>
      </c>
      <c r="G1758" s="4">
        <v>20</v>
      </c>
      <c r="H1758" s="4">
        <v>22.5</v>
      </c>
      <c r="I1758" s="4">
        <v>17.5</v>
      </c>
      <c r="J1758" s="4">
        <v>10</v>
      </c>
      <c r="K1758" s="4">
        <v>22</v>
      </c>
      <c r="L1758" s="4">
        <v>18</v>
      </c>
      <c r="M1758" s="4">
        <v>20</v>
      </c>
      <c r="N1758" s="4">
        <v>30</v>
      </c>
    </row>
    <row r="1759" spans="1:14">
      <c r="A1759" s="3">
        <v>814641</v>
      </c>
      <c r="B1759" s="3">
        <v>205992</v>
      </c>
      <c r="C1759" s="4">
        <v>39.450000000000003</v>
      </c>
      <c r="D1759" s="4">
        <v>53</v>
      </c>
      <c r="E1759" s="4">
        <v>99.5</v>
      </c>
      <c r="F1759" s="4">
        <v>67.5</v>
      </c>
      <c r="G1759" s="4">
        <v>35</v>
      </c>
      <c r="H1759" s="4">
        <v>10</v>
      </c>
      <c r="I1759" s="4">
        <v>0</v>
      </c>
      <c r="J1759" s="4">
        <v>21.5</v>
      </c>
      <c r="K1759" s="4">
        <v>37.299999999999997</v>
      </c>
      <c r="L1759" s="4">
        <v>58.4</v>
      </c>
      <c r="M1759" s="4">
        <v>10</v>
      </c>
      <c r="N1759" s="4">
        <v>21</v>
      </c>
    </row>
    <row r="1760" spans="1:14">
      <c r="A1760" s="3">
        <v>814643</v>
      </c>
      <c r="B1760" s="3">
        <v>140855</v>
      </c>
      <c r="C1760" s="4">
        <v>77</v>
      </c>
      <c r="D1760" s="4">
        <v>57</v>
      </c>
      <c r="E1760" s="4">
        <v>89.5</v>
      </c>
      <c r="F1760" s="4">
        <v>83.5</v>
      </c>
      <c r="G1760" s="4">
        <v>62</v>
      </c>
      <c r="H1760" s="4">
        <v>15</v>
      </c>
      <c r="I1760" s="4">
        <v>30</v>
      </c>
      <c r="J1760" s="4">
        <v>30</v>
      </c>
      <c r="K1760" s="4">
        <v>50.5</v>
      </c>
      <c r="L1760" s="4">
        <v>10</v>
      </c>
      <c r="M1760" s="4">
        <v>25</v>
      </c>
      <c r="N1760" s="4">
        <v>80</v>
      </c>
    </row>
    <row r="1761" spans="1:14">
      <c r="A1761" s="3">
        <v>814651</v>
      </c>
      <c r="B1761" s="3">
        <v>141146</v>
      </c>
      <c r="C1761" s="4">
        <v>77.25</v>
      </c>
      <c r="D1761" s="4">
        <v>78.5</v>
      </c>
      <c r="E1761" s="4">
        <v>101.25</v>
      </c>
      <c r="F1761" s="4">
        <v>58</v>
      </c>
      <c r="G1761" s="4">
        <v>73</v>
      </c>
      <c r="H1761" s="4">
        <v>55.25</v>
      </c>
      <c r="I1761" s="4">
        <v>47</v>
      </c>
      <c r="J1761" s="4">
        <v>25</v>
      </c>
      <c r="K1761" s="4">
        <v>40.75</v>
      </c>
      <c r="L1761" s="4">
        <v>16</v>
      </c>
      <c r="M1761" s="4">
        <v>48.25</v>
      </c>
      <c r="N1761" s="4">
        <v>53.4</v>
      </c>
    </row>
    <row r="1762" spans="1:14">
      <c r="A1762" s="3">
        <v>814655</v>
      </c>
      <c r="B1762" s="3">
        <v>170228</v>
      </c>
      <c r="C1762" s="4">
        <v>0</v>
      </c>
      <c r="D1762" s="4">
        <v>0</v>
      </c>
      <c r="E1762" s="4">
        <v>0</v>
      </c>
      <c r="F1762" s="4">
        <v>10</v>
      </c>
      <c r="G1762" s="4">
        <v>10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</row>
    <row r="1763" spans="1:14">
      <c r="A1763" s="3">
        <v>814655</v>
      </c>
      <c r="B1763" s="3">
        <v>179877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10</v>
      </c>
    </row>
    <row r="1764" spans="1:14">
      <c r="A1764" s="3">
        <v>814655</v>
      </c>
      <c r="B1764" s="3">
        <v>206980</v>
      </c>
      <c r="C1764" s="4">
        <v>20</v>
      </c>
      <c r="D1764" s="4">
        <v>0</v>
      </c>
      <c r="E1764" s="4">
        <v>10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</row>
    <row r="1765" spans="1:14">
      <c r="A1765" s="3">
        <v>814661</v>
      </c>
      <c r="B1765" s="3">
        <v>173224</v>
      </c>
      <c r="C1765" s="4">
        <v>20</v>
      </c>
      <c r="D1765" s="4">
        <v>40</v>
      </c>
      <c r="E1765" s="4">
        <v>35</v>
      </c>
      <c r="F1765" s="4">
        <v>41</v>
      </c>
      <c r="G1765" s="4">
        <v>30</v>
      </c>
      <c r="H1765" s="4">
        <v>15</v>
      </c>
      <c r="I1765" s="4">
        <v>15</v>
      </c>
      <c r="J1765" s="4">
        <v>15</v>
      </c>
      <c r="K1765" s="4">
        <v>40</v>
      </c>
      <c r="L1765" s="4">
        <v>0</v>
      </c>
      <c r="M1765" s="4">
        <v>22.5</v>
      </c>
      <c r="N1765" s="4">
        <v>20</v>
      </c>
    </row>
    <row r="1766" spans="1:14">
      <c r="A1766" s="3">
        <v>814665</v>
      </c>
      <c r="B1766" s="3">
        <v>178230</v>
      </c>
      <c r="C1766" s="4">
        <v>10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</row>
    <row r="1767" spans="1:14">
      <c r="A1767" s="3">
        <v>814667</v>
      </c>
      <c r="B1767" s="3">
        <v>177379</v>
      </c>
      <c r="C1767" s="4">
        <v>0</v>
      </c>
      <c r="D1767" s="4">
        <v>0</v>
      </c>
      <c r="E1767" s="4">
        <v>0</v>
      </c>
      <c r="F1767" s="4">
        <v>25</v>
      </c>
      <c r="G1767" s="4">
        <v>15</v>
      </c>
      <c r="H1767" s="4">
        <v>0</v>
      </c>
      <c r="I1767" s="4">
        <v>0</v>
      </c>
      <c r="J1767" s="4">
        <v>0</v>
      </c>
      <c r="K1767" s="4">
        <v>0</v>
      </c>
      <c r="L1767" s="4">
        <v>20</v>
      </c>
      <c r="M1767" s="4">
        <v>25</v>
      </c>
      <c r="N1767" s="4">
        <v>0</v>
      </c>
    </row>
    <row r="1768" spans="1:14">
      <c r="A1768" s="3">
        <v>814668</v>
      </c>
      <c r="B1768" s="3">
        <v>171662</v>
      </c>
      <c r="C1768" s="4">
        <v>0</v>
      </c>
      <c r="D1768" s="4">
        <v>0</v>
      </c>
      <c r="E1768" s="4">
        <v>10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</row>
    <row r="1769" spans="1:14">
      <c r="A1769" s="3">
        <v>814670</v>
      </c>
      <c r="B1769" s="3">
        <v>170149</v>
      </c>
      <c r="C1769" s="4">
        <v>37.5</v>
      </c>
      <c r="D1769" s="4">
        <v>27.5</v>
      </c>
      <c r="E1769" s="4">
        <v>71</v>
      </c>
      <c r="F1769" s="4">
        <v>70</v>
      </c>
      <c r="G1769" s="4">
        <v>15</v>
      </c>
      <c r="H1769" s="4">
        <v>10</v>
      </c>
      <c r="I1769" s="4">
        <v>10</v>
      </c>
      <c r="J1769" s="4">
        <v>10</v>
      </c>
      <c r="K1769" s="4">
        <v>52.5</v>
      </c>
      <c r="L1769" s="4">
        <v>15</v>
      </c>
      <c r="M1769" s="4">
        <v>50</v>
      </c>
      <c r="N1769" s="4">
        <v>35</v>
      </c>
    </row>
    <row r="1770" spans="1:14">
      <c r="A1770" s="3">
        <v>814671</v>
      </c>
      <c r="B1770" s="3">
        <v>119023</v>
      </c>
      <c r="C1770" s="4">
        <v>100.5</v>
      </c>
      <c r="D1770" s="4">
        <v>116</v>
      </c>
      <c r="E1770" s="4">
        <v>211</v>
      </c>
      <c r="F1770" s="4">
        <v>130</v>
      </c>
      <c r="G1770" s="4">
        <v>139</v>
      </c>
      <c r="H1770" s="4">
        <v>167.5</v>
      </c>
      <c r="I1770" s="4">
        <v>149</v>
      </c>
      <c r="J1770" s="4">
        <v>139</v>
      </c>
      <c r="K1770" s="4">
        <v>218.5</v>
      </c>
      <c r="L1770" s="4">
        <v>160.5</v>
      </c>
      <c r="M1770" s="4">
        <v>113.5</v>
      </c>
      <c r="N1770" s="4">
        <v>172</v>
      </c>
    </row>
    <row r="1771" spans="1:14">
      <c r="A1771" s="3">
        <v>814672</v>
      </c>
      <c r="B1771" s="3">
        <v>142843</v>
      </c>
      <c r="C1771" s="4">
        <v>0</v>
      </c>
      <c r="D1771" s="4">
        <v>19.5</v>
      </c>
      <c r="E1771" s="4">
        <v>128</v>
      </c>
      <c r="F1771" s="4">
        <v>77.5</v>
      </c>
      <c r="G1771" s="4">
        <v>126.15</v>
      </c>
      <c r="H1771" s="4">
        <v>70.95</v>
      </c>
      <c r="I1771" s="4">
        <v>42</v>
      </c>
      <c r="J1771" s="4">
        <v>46.5</v>
      </c>
      <c r="K1771" s="4">
        <v>65.900000000000006</v>
      </c>
      <c r="L1771" s="4">
        <v>90</v>
      </c>
      <c r="M1771" s="4">
        <v>106</v>
      </c>
      <c r="N1771" s="4">
        <v>133</v>
      </c>
    </row>
    <row r="1772" spans="1:14">
      <c r="A1772" s="3">
        <v>814676</v>
      </c>
      <c r="B1772" s="3">
        <v>175049</v>
      </c>
      <c r="C1772" s="4">
        <v>25</v>
      </c>
      <c r="D1772" s="4">
        <v>16</v>
      </c>
      <c r="E1772" s="4">
        <v>50</v>
      </c>
      <c r="F1772" s="4">
        <v>32.5</v>
      </c>
      <c r="G1772" s="4">
        <v>32</v>
      </c>
      <c r="H1772" s="4">
        <v>25</v>
      </c>
      <c r="I1772" s="4">
        <v>0</v>
      </c>
      <c r="J1772" s="4">
        <v>16</v>
      </c>
      <c r="K1772" s="4">
        <v>26</v>
      </c>
      <c r="L1772" s="4">
        <v>36</v>
      </c>
      <c r="M1772" s="4">
        <v>43</v>
      </c>
      <c r="N1772" s="4">
        <v>20</v>
      </c>
    </row>
    <row r="1773" spans="1:14">
      <c r="A1773" s="3">
        <v>814679</v>
      </c>
      <c r="B1773" s="3">
        <v>178003</v>
      </c>
      <c r="C1773" s="4">
        <v>93.5</v>
      </c>
      <c r="D1773" s="4">
        <v>166</v>
      </c>
      <c r="E1773" s="4">
        <v>127.75</v>
      </c>
      <c r="F1773" s="4">
        <v>107.75</v>
      </c>
      <c r="G1773" s="4">
        <v>156.5</v>
      </c>
      <c r="H1773" s="4">
        <v>21.75</v>
      </c>
      <c r="I1773" s="4">
        <v>85</v>
      </c>
      <c r="J1773" s="4">
        <v>41.5</v>
      </c>
      <c r="K1773" s="4">
        <v>147.5</v>
      </c>
      <c r="L1773" s="4">
        <v>98.25</v>
      </c>
      <c r="M1773" s="4">
        <v>91</v>
      </c>
      <c r="N1773" s="4">
        <v>99.5</v>
      </c>
    </row>
    <row r="1774" spans="1:14">
      <c r="A1774" s="3">
        <v>814681</v>
      </c>
      <c r="B1774" s="3">
        <v>144243</v>
      </c>
      <c r="C1774" s="4">
        <v>22.5</v>
      </c>
      <c r="D1774" s="4">
        <v>5</v>
      </c>
      <c r="E1774" s="4">
        <v>30</v>
      </c>
      <c r="F1774" s="4">
        <v>38.5</v>
      </c>
      <c r="G1774" s="4">
        <v>13</v>
      </c>
      <c r="H1774" s="4">
        <v>3.5</v>
      </c>
      <c r="I1774" s="4">
        <v>10</v>
      </c>
      <c r="J1774" s="4">
        <v>6.75</v>
      </c>
      <c r="K1774" s="4">
        <v>0</v>
      </c>
      <c r="L1774" s="4">
        <v>0</v>
      </c>
      <c r="M1774" s="4">
        <v>2.5</v>
      </c>
      <c r="N1774" s="4">
        <v>0</v>
      </c>
    </row>
    <row r="1775" spans="1:14">
      <c r="A1775" s="3">
        <v>814683</v>
      </c>
      <c r="B1775" s="3">
        <v>205591</v>
      </c>
      <c r="C1775" s="4">
        <v>71</v>
      </c>
      <c r="D1775" s="4">
        <v>24</v>
      </c>
      <c r="E1775" s="4">
        <v>132.75</v>
      </c>
      <c r="F1775" s="4">
        <v>50</v>
      </c>
      <c r="G1775" s="4">
        <v>72.5</v>
      </c>
      <c r="H1775" s="4">
        <v>54</v>
      </c>
      <c r="I1775" s="4">
        <v>10</v>
      </c>
      <c r="J1775" s="4">
        <v>51.5</v>
      </c>
      <c r="K1775" s="4">
        <v>72.5</v>
      </c>
      <c r="L1775" s="4">
        <v>72.5</v>
      </c>
      <c r="M1775" s="4">
        <v>75</v>
      </c>
      <c r="N1775" s="4">
        <v>70</v>
      </c>
    </row>
    <row r="1776" spans="1:14">
      <c r="A1776" s="3">
        <v>814689</v>
      </c>
      <c r="B1776" s="3">
        <v>204810</v>
      </c>
      <c r="C1776" s="4">
        <v>35</v>
      </c>
      <c r="D1776" s="4">
        <v>0</v>
      </c>
      <c r="E1776" s="4">
        <v>15</v>
      </c>
      <c r="F1776" s="4">
        <v>9.75</v>
      </c>
      <c r="G1776" s="4">
        <v>35</v>
      </c>
      <c r="H1776" s="4">
        <v>7.5</v>
      </c>
      <c r="I1776" s="4">
        <v>35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</row>
    <row r="1777" spans="1:14">
      <c r="A1777" s="3">
        <v>814690</v>
      </c>
      <c r="B1777" s="3">
        <v>146861</v>
      </c>
      <c r="C1777" s="4">
        <v>40</v>
      </c>
      <c r="D1777" s="4">
        <v>10</v>
      </c>
      <c r="E1777" s="4">
        <v>20</v>
      </c>
      <c r="F1777" s="4">
        <v>5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</row>
    <row r="1778" spans="1:14">
      <c r="A1778" s="3">
        <v>814692</v>
      </c>
      <c r="B1778" s="3">
        <v>177595</v>
      </c>
      <c r="C1778" s="4">
        <v>0</v>
      </c>
      <c r="D1778" s="4">
        <v>25</v>
      </c>
      <c r="E1778" s="4">
        <v>0</v>
      </c>
      <c r="F1778" s="4">
        <v>0</v>
      </c>
      <c r="G1778" s="4">
        <v>40</v>
      </c>
      <c r="H1778" s="4">
        <v>0</v>
      </c>
      <c r="I1778" s="4">
        <v>20</v>
      </c>
      <c r="J1778" s="4">
        <v>0</v>
      </c>
      <c r="K1778" s="4">
        <v>20</v>
      </c>
      <c r="L1778" s="4">
        <v>0</v>
      </c>
      <c r="M1778" s="4">
        <v>0</v>
      </c>
      <c r="N1778" s="4">
        <v>5</v>
      </c>
    </row>
    <row r="1779" spans="1:14">
      <c r="A1779" s="3">
        <v>814693</v>
      </c>
      <c r="B1779" s="3">
        <v>173298</v>
      </c>
      <c r="C1779" s="4">
        <v>50</v>
      </c>
      <c r="D1779" s="4">
        <v>0</v>
      </c>
      <c r="E1779" s="4">
        <v>40</v>
      </c>
      <c r="F1779" s="4">
        <v>95</v>
      </c>
      <c r="G1779" s="4">
        <v>40</v>
      </c>
      <c r="H1779" s="4">
        <v>10</v>
      </c>
      <c r="I1779" s="4">
        <v>20</v>
      </c>
      <c r="J1779" s="4">
        <v>10</v>
      </c>
      <c r="K1779" s="4">
        <v>50</v>
      </c>
      <c r="L1779" s="4">
        <v>15</v>
      </c>
      <c r="M1779" s="4">
        <v>40</v>
      </c>
      <c r="N1779" s="4">
        <v>43</v>
      </c>
    </row>
    <row r="1780" spans="1:14">
      <c r="A1780" s="3">
        <v>814693</v>
      </c>
      <c r="B1780" s="3">
        <v>204304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34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</row>
    <row r="1781" spans="1:14">
      <c r="A1781" s="3">
        <v>814701</v>
      </c>
      <c r="B1781" s="3">
        <v>178764</v>
      </c>
      <c r="C1781" s="4">
        <v>38</v>
      </c>
      <c r="D1781" s="4">
        <v>40</v>
      </c>
      <c r="E1781" s="4">
        <v>74</v>
      </c>
      <c r="F1781" s="4">
        <v>45</v>
      </c>
      <c r="G1781" s="4">
        <v>60</v>
      </c>
      <c r="H1781" s="4">
        <v>62</v>
      </c>
      <c r="I1781" s="4">
        <v>55</v>
      </c>
      <c r="J1781" s="4">
        <v>35</v>
      </c>
      <c r="K1781" s="4">
        <v>59</v>
      </c>
      <c r="L1781" s="4">
        <v>48</v>
      </c>
      <c r="M1781" s="4">
        <v>88</v>
      </c>
      <c r="N1781" s="4">
        <v>62.5</v>
      </c>
    </row>
    <row r="1782" spans="1:14">
      <c r="A1782" s="3">
        <v>814702</v>
      </c>
      <c r="B1782" s="3">
        <v>205989</v>
      </c>
      <c r="C1782" s="4">
        <v>10</v>
      </c>
      <c r="D1782" s="4">
        <v>0</v>
      </c>
      <c r="E1782" s="4">
        <v>22.5</v>
      </c>
      <c r="F1782" s="4">
        <v>30.5</v>
      </c>
      <c r="G1782" s="4">
        <v>45</v>
      </c>
      <c r="H1782" s="4">
        <v>42.5</v>
      </c>
      <c r="I1782" s="4">
        <v>45</v>
      </c>
      <c r="J1782" s="4">
        <v>20</v>
      </c>
      <c r="K1782" s="4">
        <v>22.5</v>
      </c>
      <c r="L1782" s="4">
        <v>17.5</v>
      </c>
      <c r="M1782" s="4">
        <v>29</v>
      </c>
      <c r="N1782" s="4">
        <v>17.5</v>
      </c>
    </row>
    <row r="1783" spans="1:14">
      <c r="A1783" s="3">
        <v>814705</v>
      </c>
      <c r="B1783" s="3">
        <v>140829</v>
      </c>
      <c r="C1783" s="4">
        <v>10</v>
      </c>
      <c r="D1783" s="4">
        <v>0</v>
      </c>
      <c r="E1783" s="4">
        <v>15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</row>
    <row r="1784" spans="1:14">
      <c r="A1784" s="3">
        <v>814705</v>
      </c>
      <c r="B1784" s="3">
        <v>208074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50</v>
      </c>
      <c r="K1784" s="4">
        <v>32.5</v>
      </c>
      <c r="L1784" s="4">
        <v>15</v>
      </c>
      <c r="M1784" s="4">
        <v>7.5</v>
      </c>
      <c r="N1784" s="4">
        <v>20</v>
      </c>
    </row>
    <row r="1785" spans="1:14">
      <c r="A1785" s="3">
        <v>814708</v>
      </c>
      <c r="B1785" s="3">
        <v>174166</v>
      </c>
      <c r="C1785" s="4">
        <v>0</v>
      </c>
      <c r="D1785" s="4">
        <v>10</v>
      </c>
      <c r="E1785" s="4">
        <v>20</v>
      </c>
      <c r="F1785" s="4">
        <v>30</v>
      </c>
      <c r="G1785" s="4">
        <v>27.5</v>
      </c>
      <c r="H1785" s="4">
        <v>27.5</v>
      </c>
      <c r="I1785" s="4">
        <v>30</v>
      </c>
      <c r="J1785" s="4">
        <v>10</v>
      </c>
      <c r="K1785" s="4">
        <v>27.5</v>
      </c>
      <c r="L1785" s="4">
        <v>5</v>
      </c>
      <c r="M1785" s="4">
        <v>65.75</v>
      </c>
      <c r="N1785" s="4">
        <v>150</v>
      </c>
    </row>
    <row r="1786" spans="1:14">
      <c r="A1786" s="3">
        <v>814709</v>
      </c>
      <c r="B1786" s="3">
        <v>146968</v>
      </c>
      <c r="C1786" s="4">
        <v>38.5</v>
      </c>
      <c r="D1786" s="4">
        <v>20</v>
      </c>
      <c r="E1786" s="4">
        <v>10</v>
      </c>
      <c r="F1786" s="4">
        <v>17.5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</row>
    <row r="1787" spans="1:14">
      <c r="A1787" s="3">
        <v>814710</v>
      </c>
      <c r="B1787" s="3">
        <v>205591</v>
      </c>
      <c r="C1787" s="4">
        <v>20.5</v>
      </c>
      <c r="D1787" s="4">
        <v>15</v>
      </c>
      <c r="E1787" s="4">
        <v>30</v>
      </c>
      <c r="F1787" s="4">
        <v>1</v>
      </c>
      <c r="G1787" s="4">
        <v>11</v>
      </c>
      <c r="H1787" s="4">
        <v>4</v>
      </c>
      <c r="I1787" s="4">
        <v>3</v>
      </c>
      <c r="J1787" s="4">
        <v>10</v>
      </c>
      <c r="K1787" s="4">
        <v>0</v>
      </c>
      <c r="L1787" s="4">
        <v>0</v>
      </c>
      <c r="M1787" s="4">
        <v>0</v>
      </c>
      <c r="N1787" s="4">
        <v>0</v>
      </c>
    </row>
    <row r="1788" spans="1:14">
      <c r="A1788" s="3">
        <v>814711</v>
      </c>
      <c r="B1788" s="3">
        <v>205266</v>
      </c>
      <c r="C1788" s="4">
        <v>10</v>
      </c>
      <c r="D1788" s="4">
        <v>19</v>
      </c>
      <c r="E1788" s="4">
        <v>10</v>
      </c>
      <c r="F1788" s="4">
        <v>3</v>
      </c>
      <c r="G1788" s="4">
        <v>0</v>
      </c>
      <c r="H1788" s="4">
        <v>9</v>
      </c>
      <c r="I1788" s="4">
        <v>0</v>
      </c>
      <c r="J1788" s="4">
        <v>0</v>
      </c>
      <c r="K1788" s="4">
        <v>0</v>
      </c>
      <c r="L1788" s="4">
        <v>20</v>
      </c>
      <c r="M1788" s="4">
        <v>16</v>
      </c>
      <c r="N1788" s="4">
        <v>13</v>
      </c>
    </row>
    <row r="1789" spans="1:14">
      <c r="A1789" s="3">
        <v>814723</v>
      </c>
      <c r="B1789" s="3">
        <v>178386</v>
      </c>
      <c r="C1789" s="4">
        <v>65</v>
      </c>
      <c r="D1789" s="4">
        <v>110</v>
      </c>
      <c r="E1789" s="4">
        <v>100</v>
      </c>
      <c r="F1789" s="4">
        <v>105</v>
      </c>
      <c r="G1789" s="4">
        <v>35</v>
      </c>
      <c r="H1789" s="4">
        <v>67</v>
      </c>
      <c r="I1789" s="4">
        <v>60</v>
      </c>
      <c r="J1789" s="4">
        <v>35</v>
      </c>
      <c r="K1789" s="4">
        <v>35</v>
      </c>
      <c r="L1789" s="4">
        <v>140</v>
      </c>
      <c r="M1789" s="4">
        <v>140</v>
      </c>
      <c r="N1789" s="4">
        <v>35</v>
      </c>
    </row>
    <row r="1790" spans="1:14">
      <c r="A1790" s="3">
        <v>814733</v>
      </c>
      <c r="B1790" s="3">
        <v>119023</v>
      </c>
      <c r="C1790" s="4">
        <v>102</v>
      </c>
      <c r="D1790" s="4">
        <v>125</v>
      </c>
      <c r="E1790" s="4">
        <v>149</v>
      </c>
      <c r="F1790" s="4">
        <v>193.5</v>
      </c>
      <c r="G1790" s="4">
        <v>107</v>
      </c>
      <c r="H1790" s="4">
        <v>152</v>
      </c>
      <c r="I1790" s="4">
        <v>106</v>
      </c>
      <c r="J1790" s="4">
        <v>0</v>
      </c>
      <c r="K1790" s="4">
        <v>202.5</v>
      </c>
      <c r="L1790" s="4">
        <v>198</v>
      </c>
      <c r="M1790" s="4">
        <v>109.7</v>
      </c>
      <c r="N1790" s="4">
        <v>162.5</v>
      </c>
    </row>
    <row r="1791" spans="1:14">
      <c r="A1791" s="3">
        <v>814749</v>
      </c>
      <c r="B1791" s="3">
        <v>171469</v>
      </c>
      <c r="C1791" s="4">
        <v>43</v>
      </c>
      <c r="D1791" s="4">
        <v>172</v>
      </c>
      <c r="E1791" s="4">
        <v>127</v>
      </c>
      <c r="F1791" s="4">
        <v>126</v>
      </c>
      <c r="G1791" s="4">
        <v>126.5</v>
      </c>
      <c r="H1791" s="4">
        <v>129</v>
      </c>
      <c r="I1791" s="4">
        <v>132</v>
      </c>
      <c r="J1791" s="4">
        <v>126</v>
      </c>
      <c r="K1791" s="4">
        <v>168</v>
      </c>
      <c r="L1791" s="4">
        <v>127</v>
      </c>
      <c r="M1791" s="4">
        <v>127</v>
      </c>
      <c r="N1791" s="4">
        <v>146</v>
      </c>
    </row>
    <row r="1792" spans="1:14">
      <c r="A1792" s="3">
        <v>814750</v>
      </c>
      <c r="B1792" s="3">
        <v>170617</v>
      </c>
      <c r="C1792" s="4">
        <v>89</v>
      </c>
      <c r="D1792" s="4">
        <v>74.45</v>
      </c>
      <c r="E1792" s="4">
        <v>108.5</v>
      </c>
      <c r="F1792" s="4">
        <v>114</v>
      </c>
      <c r="G1792" s="4">
        <v>40</v>
      </c>
      <c r="H1792" s="4">
        <v>75</v>
      </c>
      <c r="I1792" s="4">
        <v>55.5</v>
      </c>
      <c r="J1792" s="4">
        <v>15</v>
      </c>
      <c r="K1792" s="4">
        <v>20.5</v>
      </c>
      <c r="L1792" s="4">
        <v>17.5</v>
      </c>
      <c r="M1792" s="4">
        <v>5</v>
      </c>
      <c r="N1792" s="4">
        <v>0</v>
      </c>
    </row>
    <row r="1793" spans="1:14">
      <c r="A1793" s="3">
        <v>814755</v>
      </c>
      <c r="B1793" s="3">
        <v>170392</v>
      </c>
      <c r="C1793" s="4">
        <v>50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</row>
    <row r="1794" spans="1:14">
      <c r="A1794" s="3">
        <v>814756</v>
      </c>
      <c r="B1794" s="3">
        <v>205591</v>
      </c>
      <c r="C1794" s="4">
        <v>110.5</v>
      </c>
      <c r="D1794" s="4">
        <v>165</v>
      </c>
      <c r="E1794" s="4">
        <v>248</v>
      </c>
      <c r="F1794" s="4">
        <v>195</v>
      </c>
      <c r="G1794" s="4">
        <v>114.5</v>
      </c>
      <c r="H1794" s="4">
        <v>127</v>
      </c>
      <c r="I1794" s="4">
        <v>20</v>
      </c>
      <c r="J1794" s="4">
        <v>22</v>
      </c>
      <c r="K1794" s="4">
        <v>131</v>
      </c>
      <c r="L1794" s="4">
        <v>60</v>
      </c>
      <c r="M1794" s="4">
        <v>51</v>
      </c>
      <c r="N1794" s="4">
        <v>100.5</v>
      </c>
    </row>
    <row r="1795" spans="1:14">
      <c r="A1795" s="3">
        <v>814757</v>
      </c>
      <c r="B1795" s="3">
        <v>205591</v>
      </c>
      <c r="C1795" s="4">
        <v>75.5</v>
      </c>
      <c r="D1795" s="4">
        <v>5</v>
      </c>
      <c r="E1795" s="4">
        <v>47.25</v>
      </c>
      <c r="F1795" s="4">
        <v>109</v>
      </c>
      <c r="G1795" s="4">
        <v>68</v>
      </c>
      <c r="H1795" s="4">
        <v>4</v>
      </c>
      <c r="I1795" s="4">
        <v>24</v>
      </c>
      <c r="J1795" s="4">
        <v>43</v>
      </c>
      <c r="K1795" s="4">
        <v>135</v>
      </c>
      <c r="L1795" s="4">
        <v>45</v>
      </c>
      <c r="M1795" s="4">
        <v>50</v>
      </c>
      <c r="N1795" s="4">
        <v>90</v>
      </c>
    </row>
    <row r="1796" spans="1:14">
      <c r="A1796" s="3">
        <v>814758</v>
      </c>
      <c r="B1796" s="3">
        <v>122282</v>
      </c>
      <c r="C1796" s="4">
        <v>20</v>
      </c>
      <c r="D1796" s="4">
        <v>20</v>
      </c>
      <c r="E1796" s="4">
        <v>41</v>
      </c>
      <c r="F1796" s="4">
        <v>30</v>
      </c>
      <c r="G1796" s="4">
        <v>27.5</v>
      </c>
      <c r="H1796" s="4">
        <v>16</v>
      </c>
      <c r="I1796" s="4">
        <v>11</v>
      </c>
      <c r="J1796" s="4">
        <v>5</v>
      </c>
      <c r="K1796" s="4">
        <v>17</v>
      </c>
      <c r="L1796" s="4">
        <v>18</v>
      </c>
      <c r="M1796" s="4">
        <v>21</v>
      </c>
      <c r="N1796" s="4">
        <v>26</v>
      </c>
    </row>
    <row r="1797" spans="1:14">
      <c r="A1797" s="3">
        <v>814766</v>
      </c>
      <c r="B1797" s="3">
        <v>206073</v>
      </c>
      <c r="C1797" s="4">
        <v>70</v>
      </c>
      <c r="D1797" s="4">
        <v>30</v>
      </c>
      <c r="E1797" s="4">
        <v>85</v>
      </c>
      <c r="F1797" s="4">
        <v>90</v>
      </c>
      <c r="G1797" s="4">
        <v>137.5</v>
      </c>
      <c r="H1797" s="4">
        <v>116</v>
      </c>
      <c r="I1797" s="4">
        <v>68.599999999999994</v>
      </c>
      <c r="J1797" s="4">
        <v>30</v>
      </c>
      <c r="K1797" s="4">
        <v>142.5</v>
      </c>
      <c r="L1797" s="4">
        <v>145</v>
      </c>
      <c r="M1797" s="4">
        <v>147.5</v>
      </c>
      <c r="N1797" s="4">
        <v>175.5</v>
      </c>
    </row>
    <row r="1798" spans="1:14">
      <c r="A1798" s="3">
        <v>814767</v>
      </c>
      <c r="B1798" s="3">
        <v>174166</v>
      </c>
      <c r="C1798" s="4">
        <v>5.65</v>
      </c>
      <c r="D1798" s="4">
        <v>85</v>
      </c>
      <c r="E1798" s="4">
        <v>76.5</v>
      </c>
      <c r="F1798" s="4">
        <v>124.5</v>
      </c>
      <c r="G1798" s="4">
        <v>66</v>
      </c>
      <c r="H1798" s="4">
        <v>57.5</v>
      </c>
      <c r="I1798" s="4">
        <v>165</v>
      </c>
      <c r="J1798" s="4">
        <v>50</v>
      </c>
      <c r="K1798" s="4">
        <v>60</v>
      </c>
      <c r="L1798" s="4">
        <v>61.15</v>
      </c>
      <c r="M1798" s="4">
        <v>157</v>
      </c>
      <c r="N1798" s="4">
        <v>30</v>
      </c>
    </row>
    <row r="1799" spans="1:14">
      <c r="A1799" s="3">
        <v>814768</v>
      </c>
      <c r="B1799" s="3">
        <v>171578</v>
      </c>
      <c r="C1799" s="4">
        <v>25</v>
      </c>
      <c r="D1799" s="4">
        <v>72.150000000000006</v>
      </c>
      <c r="E1799" s="4">
        <v>92.5</v>
      </c>
      <c r="F1799" s="4">
        <v>85</v>
      </c>
      <c r="G1799" s="4">
        <v>61.5</v>
      </c>
      <c r="H1799" s="4">
        <v>52.5</v>
      </c>
      <c r="I1799" s="4">
        <v>28</v>
      </c>
      <c r="J1799" s="4">
        <v>47.5</v>
      </c>
      <c r="K1799" s="4">
        <v>43.5</v>
      </c>
      <c r="L1799" s="4">
        <v>15</v>
      </c>
      <c r="M1799" s="4">
        <v>10</v>
      </c>
      <c r="N1799" s="4">
        <v>70</v>
      </c>
    </row>
    <row r="1800" spans="1:14">
      <c r="A1800" s="3">
        <v>814773</v>
      </c>
      <c r="B1800" s="3">
        <v>178287</v>
      </c>
      <c r="C1800" s="4">
        <v>34</v>
      </c>
      <c r="D1800" s="4">
        <v>15</v>
      </c>
      <c r="E1800" s="4">
        <v>25</v>
      </c>
      <c r="F1800" s="4">
        <v>71.75</v>
      </c>
      <c r="G1800" s="4">
        <v>21</v>
      </c>
      <c r="H1800" s="4">
        <v>24.5</v>
      </c>
      <c r="I1800" s="4">
        <v>55</v>
      </c>
      <c r="J1800" s="4">
        <v>25</v>
      </c>
      <c r="K1800" s="4">
        <v>57.5</v>
      </c>
      <c r="L1800" s="4">
        <v>28</v>
      </c>
      <c r="M1800" s="4">
        <v>37.5</v>
      </c>
      <c r="N1800" s="4">
        <v>70</v>
      </c>
    </row>
    <row r="1801" spans="1:14">
      <c r="A1801" s="3">
        <v>814776</v>
      </c>
      <c r="B1801" s="3">
        <v>202865</v>
      </c>
      <c r="C1801" s="4">
        <v>48.5</v>
      </c>
      <c r="D1801" s="4">
        <v>88.5</v>
      </c>
      <c r="E1801" s="4">
        <v>170.5</v>
      </c>
      <c r="F1801" s="4">
        <v>98</v>
      </c>
      <c r="G1801" s="4">
        <v>121</v>
      </c>
      <c r="H1801" s="4">
        <v>84</v>
      </c>
      <c r="I1801" s="4">
        <v>32</v>
      </c>
      <c r="J1801" s="4">
        <v>106</v>
      </c>
      <c r="K1801" s="4">
        <v>218</v>
      </c>
      <c r="L1801" s="4">
        <v>126</v>
      </c>
      <c r="M1801" s="4">
        <v>116</v>
      </c>
      <c r="N1801" s="4">
        <v>168</v>
      </c>
    </row>
    <row r="1802" spans="1:14">
      <c r="A1802" s="3">
        <v>814777</v>
      </c>
      <c r="B1802" s="3">
        <v>178661</v>
      </c>
      <c r="C1802" s="4">
        <v>61.5</v>
      </c>
      <c r="D1802" s="4">
        <v>20</v>
      </c>
      <c r="E1802" s="4">
        <v>55</v>
      </c>
      <c r="F1802" s="4">
        <v>36</v>
      </c>
      <c r="G1802" s="4">
        <v>30</v>
      </c>
      <c r="H1802" s="4">
        <v>39.5</v>
      </c>
      <c r="I1802" s="4">
        <v>30</v>
      </c>
      <c r="J1802" s="4">
        <v>22</v>
      </c>
      <c r="K1802" s="4">
        <v>48</v>
      </c>
      <c r="L1802" s="4">
        <v>20</v>
      </c>
      <c r="M1802" s="4">
        <v>40</v>
      </c>
      <c r="N1802" s="4">
        <v>22.5</v>
      </c>
    </row>
    <row r="1803" spans="1:14">
      <c r="A1803" s="3">
        <v>814785</v>
      </c>
      <c r="B1803" s="3">
        <v>119044</v>
      </c>
      <c r="C1803" s="4">
        <v>0</v>
      </c>
      <c r="D1803" s="4">
        <v>45</v>
      </c>
      <c r="E1803" s="4">
        <v>40</v>
      </c>
      <c r="F1803" s="4">
        <v>45</v>
      </c>
      <c r="G1803" s="4">
        <v>2.5</v>
      </c>
      <c r="H1803" s="4">
        <v>0</v>
      </c>
      <c r="I1803" s="4">
        <v>70</v>
      </c>
      <c r="J1803" s="4">
        <v>0</v>
      </c>
      <c r="K1803" s="4">
        <v>0</v>
      </c>
      <c r="L1803" s="4">
        <v>0</v>
      </c>
      <c r="M1803" s="4">
        <v>30</v>
      </c>
      <c r="N1803" s="4">
        <v>0</v>
      </c>
    </row>
    <row r="1804" spans="1:14">
      <c r="A1804" s="3">
        <v>814786</v>
      </c>
      <c r="B1804" s="3">
        <v>178309</v>
      </c>
      <c r="C1804" s="4">
        <v>0</v>
      </c>
      <c r="D1804" s="4">
        <v>0</v>
      </c>
      <c r="E1804" s="4">
        <v>0</v>
      </c>
      <c r="F1804" s="4">
        <v>0</v>
      </c>
      <c r="G1804" s="4">
        <v>21.5</v>
      </c>
      <c r="H1804" s="4">
        <v>19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</row>
    <row r="1805" spans="1:14">
      <c r="A1805" s="3">
        <v>814789</v>
      </c>
      <c r="B1805" s="3">
        <v>119031</v>
      </c>
      <c r="C1805" s="4">
        <v>0</v>
      </c>
      <c r="D1805" s="4">
        <v>183</v>
      </c>
      <c r="E1805" s="4">
        <v>153.5</v>
      </c>
      <c r="F1805" s="4">
        <v>250</v>
      </c>
      <c r="G1805" s="4">
        <v>210.8</v>
      </c>
      <c r="H1805" s="4">
        <v>214</v>
      </c>
      <c r="I1805" s="4">
        <v>237.5</v>
      </c>
      <c r="J1805" s="4">
        <v>151.80000000000001</v>
      </c>
      <c r="K1805" s="4">
        <v>225</v>
      </c>
      <c r="L1805" s="4">
        <v>231.5</v>
      </c>
      <c r="M1805" s="4">
        <v>301</v>
      </c>
      <c r="N1805" s="4">
        <v>85</v>
      </c>
    </row>
    <row r="1806" spans="1:14">
      <c r="A1806" s="3">
        <v>814790</v>
      </c>
      <c r="B1806" s="3">
        <v>119031</v>
      </c>
      <c r="C1806" s="4">
        <v>0</v>
      </c>
      <c r="D1806" s="4">
        <v>0</v>
      </c>
      <c r="E1806" s="4">
        <v>0</v>
      </c>
      <c r="F1806" s="4">
        <v>45</v>
      </c>
      <c r="G1806" s="4">
        <v>113</v>
      </c>
      <c r="H1806" s="4">
        <v>95.5</v>
      </c>
      <c r="I1806" s="4">
        <v>170</v>
      </c>
      <c r="J1806" s="4">
        <v>60</v>
      </c>
      <c r="K1806" s="4">
        <v>60</v>
      </c>
      <c r="L1806" s="4">
        <v>145</v>
      </c>
      <c r="M1806" s="4">
        <v>45</v>
      </c>
      <c r="N1806" s="4">
        <v>50</v>
      </c>
    </row>
    <row r="1807" spans="1:14">
      <c r="A1807" s="3">
        <v>814790</v>
      </c>
      <c r="B1807" s="3">
        <v>119177</v>
      </c>
      <c r="C1807" s="4">
        <v>82</v>
      </c>
      <c r="D1807" s="4">
        <v>35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</row>
    <row r="1808" spans="1:14">
      <c r="A1808" s="3">
        <v>814791</v>
      </c>
      <c r="B1808" s="3">
        <v>172942</v>
      </c>
      <c r="C1808" s="4">
        <v>15</v>
      </c>
      <c r="D1808" s="4">
        <v>41.5</v>
      </c>
      <c r="E1808" s="4">
        <v>32</v>
      </c>
      <c r="F1808" s="4">
        <v>62.5</v>
      </c>
      <c r="G1808" s="4">
        <v>51</v>
      </c>
      <c r="H1808" s="4">
        <v>30</v>
      </c>
      <c r="I1808" s="4">
        <v>35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</row>
    <row r="1809" spans="1:14">
      <c r="A1809" s="3">
        <v>814793</v>
      </c>
      <c r="B1809" s="3">
        <v>205004</v>
      </c>
      <c r="C1809" s="4">
        <v>33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</row>
    <row r="1810" spans="1:14">
      <c r="A1810" s="3">
        <v>814794</v>
      </c>
      <c r="B1810" s="3">
        <v>202956</v>
      </c>
      <c r="C1810" s="4">
        <v>42</v>
      </c>
      <c r="D1810" s="4">
        <v>0</v>
      </c>
      <c r="E1810" s="4">
        <v>20</v>
      </c>
      <c r="F1810" s="4">
        <v>25.5</v>
      </c>
      <c r="G1810" s="4">
        <v>0</v>
      </c>
      <c r="H1810" s="4">
        <v>23.5</v>
      </c>
      <c r="I1810" s="4">
        <v>20</v>
      </c>
      <c r="J1810" s="4">
        <v>26.95</v>
      </c>
      <c r="K1810" s="4">
        <v>44</v>
      </c>
      <c r="L1810" s="4">
        <v>10</v>
      </c>
      <c r="M1810" s="4">
        <v>26</v>
      </c>
      <c r="N1810" s="4">
        <v>34</v>
      </c>
    </row>
    <row r="1811" spans="1:14">
      <c r="A1811" s="3">
        <v>814805</v>
      </c>
      <c r="B1811" s="3">
        <v>206956</v>
      </c>
      <c r="C1811" s="4">
        <v>50</v>
      </c>
      <c r="D1811" s="4">
        <v>44</v>
      </c>
      <c r="E1811" s="4">
        <v>116</v>
      </c>
      <c r="F1811" s="4">
        <v>109.5</v>
      </c>
      <c r="G1811" s="4">
        <v>92.75</v>
      </c>
      <c r="H1811" s="4">
        <v>65</v>
      </c>
      <c r="I1811" s="4">
        <v>15</v>
      </c>
      <c r="J1811" s="4">
        <v>0</v>
      </c>
      <c r="K1811" s="4">
        <v>3.5</v>
      </c>
      <c r="L1811" s="4">
        <v>55</v>
      </c>
      <c r="M1811" s="4">
        <v>5</v>
      </c>
      <c r="N1811" s="4">
        <v>40</v>
      </c>
    </row>
    <row r="1812" spans="1:14">
      <c r="A1812" s="3">
        <v>814806</v>
      </c>
      <c r="B1812" s="3">
        <v>119044</v>
      </c>
      <c r="C1812" s="4">
        <v>0</v>
      </c>
      <c r="D1812" s="4">
        <v>0</v>
      </c>
      <c r="E1812" s="4">
        <v>40</v>
      </c>
      <c r="F1812" s="4">
        <v>40</v>
      </c>
      <c r="G1812" s="4">
        <v>2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</row>
    <row r="1813" spans="1:14">
      <c r="A1813" s="3">
        <v>814823</v>
      </c>
      <c r="B1813" s="3">
        <v>175049</v>
      </c>
      <c r="C1813" s="4">
        <v>45</v>
      </c>
      <c r="D1813" s="4">
        <v>20</v>
      </c>
      <c r="E1813" s="4">
        <v>75</v>
      </c>
      <c r="F1813" s="4">
        <v>45</v>
      </c>
      <c r="G1813" s="4">
        <v>32</v>
      </c>
      <c r="H1813" s="4">
        <v>39.5</v>
      </c>
      <c r="I1813" s="4">
        <v>25</v>
      </c>
      <c r="J1813" s="4">
        <v>15</v>
      </c>
      <c r="K1813" s="4">
        <v>26</v>
      </c>
      <c r="L1813" s="4">
        <v>30</v>
      </c>
      <c r="M1813" s="4">
        <v>31</v>
      </c>
      <c r="N1813" s="4">
        <v>20</v>
      </c>
    </row>
    <row r="1814" spans="1:14">
      <c r="A1814" s="3">
        <v>814823</v>
      </c>
      <c r="B1814" s="3">
        <v>178386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35</v>
      </c>
      <c r="K1814" s="4">
        <v>0</v>
      </c>
      <c r="L1814" s="4">
        <v>0</v>
      </c>
      <c r="M1814" s="4">
        <v>0</v>
      </c>
      <c r="N1814" s="4">
        <v>0</v>
      </c>
    </row>
    <row r="1815" spans="1:14">
      <c r="A1815" s="3">
        <v>814824</v>
      </c>
      <c r="B1815" s="3">
        <v>142269</v>
      </c>
      <c r="C1815" s="4">
        <v>0</v>
      </c>
      <c r="D1815" s="4">
        <v>0</v>
      </c>
      <c r="E1815" s="4">
        <v>44</v>
      </c>
      <c r="F1815" s="4">
        <v>0</v>
      </c>
      <c r="G1815" s="4">
        <v>35</v>
      </c>
      <c r="H1815" s="4">
        <v>30</v>
      </c>
      <c r="I1815" s="4">
        <v>25</v>
      </c>
      <c r="J1815" s="4">
        <v>15</v>
      </c>
      <c r="K1815" s="4">
        <v>37.5</v>
      </c>
      <c r="L1815" s="4">
        <v>15</v>
      </c>
      <c r="M1815" s="4">
        <v>20</v>
      </c>
      <c r="N1815" s="4">
        <v>50</v>
      </c>
    </row>
    <row r="1816" spans="1:14">
      <c r="A1816" s="3">
        <v>814827</v>
      </c>
      <c r="B1816" s="3">
        <v>205183</v>
      </c>
      <c r="C1816" s="4">
        <v>51.5</v>
      </c>
      <c r="D1816" s="4">
        <v>0</v>
      </c>
      <c r="E1816" s="4">
        <v>0</v>
      </c>
      <c r="F1816" s="4">
        <v>42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</row>
    <row r="1817" spans="1:14">
      <c r="A1817" s="3">
        <v>814839</v>
      </c>
      <c r="B1817" s="3">
        <v>206441</v>
      </c>
      <c r="C1817" s="4">
        <v>90</v>
      </c>
      <c r="D1817" s="4">
        <v>10</v>
      </c>
      <c r="E1817" s="4">
        <v>52</v>
      </c>
      <c r="F1817" s="4">
        <v>70</v>
      </c>
      <c r="G1817" s="4">
        <v>65</v>
      </c>
      <c r="H1817" s="4">
        <v>45</v>
      </c>
      <c r="I1817" s="4">
        <v>76.5</v>
      </c>
      <c r="J1817" s="4">
        <v>45</v>
      </c>
      <c r="K1817" s="4">
        <v>98</v>
      </c>
      <c r="L1817" s="4">
        <v>63.25</v>
      </c>
      <c r="M1817" s="4">
        <v>144.75</v>
      </c>
      <c r="N1817" s="4">
        <v>108</v>
      </c>
    </row>
    <row r="1818" spans="1:14">
      <c r="A1818" s="3">
        <v>814843</v>
      </c>
      <c r="B1818" s="3">
        <v>119038</v>
      </c>
      <c r="C1818" s="4">
        <v>0</v>
      </c>
      <c r="D1818" s="4">
        <v>67.5</v>
      </c>
      <c r="E1818" s="4">
        <v>55</v>
      </c>
      <c r="F1818" s="4">
        <v>55</v>
      </c>
      <c r="G1818" s="4">
        <v>10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</row>
    <row r="1819" spans="1:14">
      <c r="A1819" s="3">
        <v>814845</v>
      </c>
      <c r="B1819" s="3">
        <v>172640</v>
      </c>
      <c r="C1819" s="4">
        <v>15</v>
      </c>
      <c r="D1819" s="4">
        <v>151</v>
      </c>
      <c r="E1819" s="4">
        <v>59.5</v>
      </c>
      <c r="F1819" s="4">
        <v>29</v>
      </c>
      <c r="G1819" s="4">
        <v>0</v>
      </c>
      <c r="H1819" s="4">
        <v>10</v>
      </c>
      <c r="I1819" s="4">
        <v>20</v>
      </c>
      <c r="J1819" s="4">
        <v>0</v>
      </c>
      <c r="K1819" s="4">
        <v>17.5</v>
      </c>
      <c r="L1819" s="4">
        <v>0</v>
      </c>
      <c r="M1819" s="4">
        <v>0</v>
      </c>
      <c r="N1819" s="4">
        <v>0</v>
      </c>
    </row>
    <row r="1820" spans="1:14">
      <c r="A1820" s="3">
        <v>814846</v>
      </c>
      <c r="B1820" s="3">
        <v>144343</v>
      </c>
      <c r="C1820" s="4">
        <v>72.5</v>
      </c>
      <c r="D1820" s="4">
        <v>90</v>
      </c>
      <c r="E1820" s="4">
        <v>46</v>
      </c>
      <c r="F1820" s="4">
        <v>35</v>
      </c>
      <c r="G1820" s="4">
        <v>72.5</v>
      </c>
      <c r="H1820" s="4">
        <v>23</v>
      </c>
      <c r="I1820" s="4">
        <v>60</v>
      </c>
      <c r="J1820" s="4">
        <v>15</v>
      </c>
      <c r="K1820" s="4">
        <v>42.5</v>
      </c>
      <c r="L1820" s="4">
        <v>60.5</v>
      </c>
      <c r="M1820" s="4">
        <v>67</v>
      </c>
      <c r="N1820" s="4">
        <v>0</v>
      </c>
    </row>
    <row r="1821" spans="1:14">
      <c r="A1821" s="3">
        <v>814850</v>
      </c>
      <c r="B1821" s="3">
        <v>119212</v>
      </c>
      <c r="C1821" s="4">
        <v>45</v>
      </c>
      <c r="D1821" s="4">
        <v>42.85</v>
      </c>
      <c r="E1821" s="4">
        <v>70</v>
      </c>
      <c r="F1821" s="4">
        <v>48</v>
      </c>
      <c r="G1821" s="4">
        <v>32</v>
      </c>
      <c r="H1821" s="4">
        <v>5</v>
      </c>
      <c r="I1821" s="4">
        <v>56</v>
      </c>
      <c r="J1821" s="4">
        <v>42.5</v>
      </c>
      <c r="K1821" s="4">
        <v>22.5</v>
      </c>
      <c r="L1821" s="4">
        <v>9</v>
      </c>
      <c r="M1821" s="4">
        <v>10</v>
      </c>
      <c r="N1821" s="4">
        <v>30</v>
      </c>
    </row>
    <row r="1822" spans="1:14">
      <c r="A1822" s="3">
        <v>814862</v>
      </c>
      <c r="B1822" s="3">
        <v>177093</v>
      </c>
      <c r="C1822" s="4">
        <v>13</v>
      </c>
      <c r="D1822" s="4">
        <v>20.5</v>
      </c>
      <c r="E1822" s="4">
        <v>24.5</v>
      </c>
      <c r="F1822" s="4">
        <v>6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</row>
    <row r="1823" spans="1:14">
      <c r="A1823" s="3">
        <v>814862</v>
      </c>
      <c r="B1823" s="3">
        <v>208032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30</v>
      </c>
      <c r="J1823" s="4">
        <v>45</v>
      </c>
      <c r="K1823" s="4">
        <v>58.5</v>
      </c>
      <c r="L1823" s="4">
        <v>29.25</v>
      </c>
      <c r="M1823" s="4">
        <v>10</v>
      </c>
      <c r="N1823" s="4">
        <v>7.5</v>
      </c>
    </row>
    <row r="1824" spans="1:14">
      <c r="A1824" s="3">
        <v>814866</v>
      </c>
      <c r="B1824" s="3">
        <v>179925</v>
      </c>
      <c r="C1824" s="4">
        <v>0</v>
      </c>
      <c r="D1824" s="4">
        <v>0</v>
      </c>
      <c r="E1824" s="4">
        <v>0</v>
      </c>
      <c r="F1824" s="4">
        <v>10</v>
      </c>
      <c r="G1824" s="4">
        <v>20</v>
      </c>
      <c r="H1824" s="4">
        <v>0</v>
      </c>
      <c r="I1824" s="4">
        <v>0</v>
      </c>
      <c r="J1824" s="4">
        <v>10</v>
      </c>
      <c r="K1824" s="4">
        <v>0</v>
      </c>
      <c r="L1824" s="4">
        <v>0</v>
      </c>
      <c r="M1824" s="4">
        <v>0</v>
      </c>
      <c r="N1824" s="4">
        <v>0</v>
      </c>
    </row>
    <row r="1825" spans="1:14">
      <c r="A1825" s="3">
        <v>814867</v>
      </c>
      <c r="B1825" s="3">
        <v>176693</v>
      </c>
      <c r="C1825" s="4">
        <v>266.5</v>
      </c>
      <c r="D1825" s="4">
        <v>12</v>
      </c>
      <c r="E1825" s="4">
        <v>85</v>
      </c>
      <c r="F1825" s="4">
        <v>44</v>
      </c>
      <c r="G1825" s="4">
        <v>10</v>
      </c>
      <c r="H1825" s="4">
        <v>53</v>
      </c>
      <c r="I1825" s="4">
        <v>0</v>
      </c>
      <c r="J1825" s="4">
        <v>24</v>
      </c>
      <c r="K1825" s="4">
        <v>10</v>
      </c>
      <c r="L1825" s="4">
        <v>35</v>
      </c>
      <c r="M1825" s="4">
        <v>35</v>
      </c>
      <c r="N1825" s="4">
        <v>38</v>
      </c>
    </row>
    <row r="1826" spans="1:14">
      <c r="A1826" s="3">
        <v>814868</v>
      </c>
      <c r="B1826" s="3">
        <v>171839</v>
      </c>
      <c r="C1826" s="4">
        <v>20</v>
      </c>
      <c r="D1826" s="4">
        <v>50</v>
      </c>
      <c r="E1826" s="4">
        <v>72</v>
      </c>
      <c r="F1826" s="4">
        <v>72.8</v>
      </c>
      <c r="G1826" s="4">
        <v>4.5</v>
      </c>
      <c r="H1826" s="4">
        <v>40</v>
      </c>
      <c r="I1826" s="4">
        <v>40</v>
      </c>
      <c r="J1826" s="4">
        <v>30</v>
      </c>
      <c r="K1826" s="4">
        <v>45</v>
      </c>
      <c r="L1826" s="4">
        <v>0</v>
      </c>
      <c r="M1826" s="4">
        <v>10</v>
      </c>
      <c r="N1826" s="4">
        <v>20</v>
      </c>
    </row>
    <row r="1827" spans="1:14">
      <c r="A1827" s="3">
        <v>814870</v>
      </c>
      <c r="B1827" s="3">
        <v>174034</v>
      </c>
      <c r="C1827" s="4">
        <v>0</v>
      </c>
      <c r="D1827" s="4">
        <v>0</v>
      </c>
      <c r="E1827" s="4">
        <v>85</v>
      </c>
      <c r="F1827" s="4">
        <v>0</v>
      </c>
      <c r="G1827" s="4">
        <v>72</v>
      </c>
      <c r="H1827" s="4">
        <v>12.5</v>
      </c>
      <c r="I1827" s="4">
        <v>0</v>
      </c>
      <c r="J1827" s="4">
        <v>0</v>
      </c>
      <c r="K1827" s="4">
        <v>40</v>
      </c>
      <c r="L1827" s="4">
        <v>45</v>
      </c>
      <c r="M1827" s="4">
        <v>22.5</v>
      </c>
      <c r="N1827" s="4">
        <v>123</v>
      </c>
    </row>
    <row r="1828" spans="1:14">
      <c r="A1828" s="3">
        <v>814871</v>
      </c>
      <c r="B1828" s="3">
        <v>119208</v>
      </c>
      <c r="C1828" s="4">
        <v>0</v>
      </c>
      <c r="D1828" s="4">
        <v>10</v>
      </c>
      <c r="E1828" s="4">
        <v>135</v>
      </c>
      <c r="F1828" s="4">
        <v>25</v>
      </c>
      <c r="G1828" s="4">
        <v>15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</row>
    <row r="1829" spans="1:14">
      <c r="A1829" s="3">
        <v>814873</v>
      </c>
      <c r="B1829" s="3">
        <v>119154</v>
      </c>
      <c r="C1829" s="4">
        <v>0</v>
      </c>
      <c r="D1829" s="4">
        <v>30</v>
      </c>
      <c r="E1829" s="4">
        <v>40</v>
      </c>
      <c r="F1829" s="4">
        <v>0</v>
      </c>
      <c r="G1829" s="4">
        <v>2.5</v>
      </c>
      <c r="H1829" s="4">
        <v>15</v>
      </c>
      <c r="I1829" s="4">
        <v>25</v>
      </c>
      <c r="J1829" s="4">
        <v>0</v>
      </c>
      <c r="K1829" s="4">
        <v>57.5</v>
      </c>
      <c r="L1829" s="4">
        <v>0</v>
      </c>
      <c r="M1829" s="4">
        <v>35</v>
      </c>
      <c r="N1829" s="4">
        <v>0</v>
      </c>
    </row>
    <row r="1830" spans="1:14">
      <c r="A1830" s="3">
        <v>814874</v>
      </c>
      <c r="B1830" s="3">
        <v>173224</v>
      </c>
      <c r="C1830" s="4">
        <v>100</v>
      </c>
      <c r="D1830" s="4">
        <v>105</v>
      </c>
      <c r="E1830" s="4">
        <v>110</v>
      </c>
      <c r="F1830" s="4">
        <v>55</v>
      </c>
      <c r="G1830" s="4">
        <v>30</v>
      </c>
      <c r="H1830" s="4">
        <v>0</v>
      </c>
      <c r="I1830" s="4">
        <v>28.5</v>
      </c>
      <c r="J1830" s="4">
        <v>0</v>
      </c>
      <c r="K1830" s="4">
        <v>12.5</v>
      </c>
      <c r="L1830" s="4">
        <v>0</v>
      </c>
      <c r="M1830" s="4">
        <v>0</v>
      </c>
      <c r="N1830" s="4">
        <v>10</v>
      </c>
    </row>
    <row r="1831" spans="1:14">
      <c r="A1831" s="3">
        <v>814875</v>
      </c>
      <c r="B1831" s="3">
        <v>140860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10</v>
      </c>
      <c r="M1831" s="4">
        <v>0</v>
      </c>
      <c r="N1831" s="4">
        <v>0</v>
      </c>
    </row>
    <row r="1832" spans="1:14">
      <c r="A1832" s="3">
        <v>814876</v>
      </c>
      <c r="B1832" s="3">
        <v>140967</v>
      </c>
      <c r="C1832" s="4">
        <v>0</v>
      </c>
      <c r="D1832" s="4">
        <v>0</v>
      </c>
      <c r="E1832" s="4">
        <v>0</v>
      </c>
      <c r="F1832" s="4">
        <v>65</v>
      </c>
      <c r="G1832" s="4">
        <v>35</v>
      </c>
      <c r="H1832" s="4">
        <v>0</v>
      </c>
      <c r="I1832" s="4">
        <v>0</v>
      </c>
      <c r="J1832" s="4">
        <v>0</v>
      </c>
      <c r="K1832" s="4">
        <v>10</v>
      </c>
      <c r="L1832" s="4">
        <v>0</v>
      </c>
      <c r="M1832" s="4">
        <v>42.5</v>
      </c>
      <c r="N1832" s="4">
        <v>135</v>
      </c>
    </row>
    <row r="1833" spans="1:14">
      <c r="A1833" s="3">
        <v>814876</v>
      </c>
      <c r="B1833" s="3">
        <v>146968</v>
      </c>
      <c r="C1833" s="4">
        <v>0</v>
      </c>
      <c r="D1833" s="4">
        <v>0</v>
      </c>
      <c r="E1833" s="4">
        <v>0</v>
      </c>
      <c r="F1833" s="4">
        <v>10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</row>
    <row r="1834" spans="1:14">
      <c r="A1834" s="3">
        <v>814877</v>
      </c>
      <c r="B1834" s="3">
        <v>170392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25.35</v>
      </c>
    </row>
    <row r="1835" spans="1:14">
      <c r="A1835" s="3">
        <v>814877</v>
      </c>
      <c r="B1835" s="3">
        <v>204375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108.5</v>
      </c>
      <c r="L1835" s="4">
        <v>68.5</v>
      </c>
      <c r="M1835" s="4">
        <v>78</v>
      </c>
      <c r="N1835" s="4">
        <v>110</v>
      </c>
    </row>
    <row r="1836" spans="1:14">
      <c r="A1836" s="3">
        <v>814878</v>
      </c>
      <c r="B1836" s="3">
        <v>179561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31</v>
      </c>
      <c r="M1836" s="4">
        <v>76.5</v>
      </c>
      <c r="N1836" s="4">
        <v>18.5</v>
      </c>
    </row>
    <row r="1837" spans="1:14">
      <c r="A1837" s="3">
        <v>814883</v>
      </c>
      <c r="B1837" s="3">
        <v>143608</v>
      </c>
      <c r="C1837" s="4">
        <v>59</v>
      </c>
      <c r="D1837" s="4">
        <v>15.5</v>
      </c>
      <c r="E1837" s="4">
        <v>51.5</v>
      </c>
      <c r="F1837" s="4">
        <v>54</v>
      </c>
      <c r="G1837" s="4">
        <v>75</v>
      </c>
      <c r="H1837" s="4">
        <v>57.6</v>
      </c>
      <c r="I1837" s="4">
        <v>62</v>
      </c>
      <c r="J1837" s="4">
        <v>51</v>
      </c>
      <c r="K1837" s="4">
        <v>87</v>
      </c>
      <c r="L1837" s="4">
        <v>63.55</v>
      </c>
      <c r="M1837" s="4">
        <v>60</v>
      </c>
      <c r="N1837" s="4">
        <v>15</v>
      </c>
    </row>
    <row r="1838" spans="1:14">
      <c r="A1838" s="3">
        <v>814886</v>
      </c>
      <c r="B1838" s="3">
        <v>173098</v>
      </c>
      <c r="C1838" s="4">
        <v>55</v>
      </c>
      <c r="D1838" s="4">
        <v>65</v>
      </c>
      <c r="E1838" s="4">
        <v>55</v>
      </c>
      <c r="F1838" s="4">
        <v>20</v>
      </c>
      <c r="G1838" s="4">
        <v>60</v>
      </c>
      <c r="H1838" s="4">
        <v>20</v>
      </c>
      <c r="I1838" s="4">
        <v>25</v>
      </c>
      <c r="J1838" s="4">
        <v>65</v>
      </c>
      <c r="K1838" s="4">
        <v>47</v>
      </c>
      <c r="L1838" s="4">
        <v>75</v>
      </c>
      <c r="M1838" s="4">
        <v>92</v>
      </c>
      <c r="N1838" s="4">
        <v>103</v>
      </c>
    </row>
    <row r="1839" spans="1:14">
      <c r="A1839" s="3">
        <v>814891</v>
      </c>
      <c r="B1839" s="3">
        <v>179928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10</v>
      </c>
      <c r="N1839" s="4">
        <v>0</v>
      </c>
    </row>
    <row r="1840" spans="1:14">
      <c r="A1840" s="3">
        <v>814891</v>
      </c>
      <c r="B1840" s="3">
        <v>201280</v>
      </c>
      <c r="C1840" s="4">
        <v>30</v>
      </c>
      <c r="D1840" s="4">
        <v>25</v>
      </c>
      <c r="E1840" s="4">
        <v>42</v>
      </c>
      <c r="F1840" s="4">
        <v>51.5</v>
      </c>
      <c r="G1840" s="4">
        <v>54</v>
      </c>
      <c r="H1840" s="4">
        <v>37</v>
      </c>
      <c r="I1840" s="4">
        <v>30</v>
      </c>
      <c r="J1840" s="4">
        <v>10</v>
      </c>
      <c r="K1840" s="4">
        <v>36</v>
      </c>
      <c r="L1840" s="4">
        <v>41</v>
      </c>
      <c r="M1840" s="4">
        <v>31</v>
      </c>
      <c r="N1840" s="4">
        <v>109</v>
      </c>
    </row>
    <row r="1841" spans="1:14">
      <c r="A1841" s="3">
        <v>814901</v>
      </c>
      <c r="B1841" s="3">
        <v>206441</v>
      </c>
      <c r="C1841" s="4">
        <v>0</v>
      </c>
      <c r="D1841" s="4">
        <v>0</v>
      </c>
      <c r="E1841" s="4">
        <v>0</v>
      </c>
      <c r="F1841" s="4">
        <v>30</v>
      </c>
      <c r="G1841" s="4">
        <v>80</v>
      </c>
      <c r="H1841" s="4">
        <v>60</v>
      </c>
      <c r="I1841" s="4">
        <v>40</v>
      </c>
      <c r="J1841" s="4">
        <v>37.5</v>
      </c>
      <c r="K1841" s="4">
        <v>65</v>
      </c>
      <c r="L1841" s="4">
        <v>60.5</v>
      </c>
      <c r="M1841" s="4">
        <v>191.5</v>
      </c>
      <c r="N1841" s="4">
        <v>72</v>
      </c>
    </row>
    <row r="1842" spans="1:14">
      <c r="A1842" s="3">
        <v>814902</v>
      </c>
      <c r="B1842" s="3">
        <v>119038</v>
      </c>
      <c r="C1842" s="4">
        <v>0</v>
      </c>
      <c r="D1842" s="4">
        <v>33.5</v>
      </c>
      <c r="E1842" s="4">
        <v>0</v>
      </c>
      <c r="F1842" s="4">
        <v>101</v>
      </c>
      <c r="G1842" s="4">
        <v>60</v>
      </c>
      <c r="H1842" s="4">
        <v>55</v>
      </c>
      <c r="I1842" s="4">
        <v>14.5</v>
      </c>
      <c r="J1842" s="4">
        <v>20</v>
      </c>
      <c r="K1842" s="4">
        <v>60</v>
      </c>
      <c r="L1842" s="4">
        <v>83</v>
      </c>
      <c r="M1842" s="4">
        <v>20</v>
      </c>
      <c r="N1842" s="4">
        <v>0</v>
      </c>
    </row>
    <row r="1843" spans="1:14">
      <c r="A1843" s="3">
        <v>814903</v>
      </c>
      <c r="B1843" s="3">
        <v>119038</v>
      </c>
      <c r="C1843" s="4">
        <v>54</v>
      </c>
      <c r="D1843" s="4">
        <v>105</v>
      </c>
      <c r="E1843" s="4">
        <v>30</v>
      </c>
      <c r="F1843" s="4">
        <v>24</v>
      </c>
      <c r="G1843" s="4">
        <v>0</v>
      </c>
      <c r="H1843" s="4">
        <v>25</v>
      </c>
      <c r="I1843" s="4">
        <v>35</v>
      </c>
      <c r="J1843" s="4">
        <v>0</v>
      </c>
      <c r="K1843" s="4">
        <v>34.5</v>
      </c>
      <c r="L1843" s="4">
        <v>20</v>
      </c>
      <c r="M1843" s="4">
        <v>0</v>
      </c>
      <c r="N1843" s="4">
        <v>10</v>
      </c>
    </row>
    <row r="1844" spans="1:14">
      <c r="A1844" s="3">
        <v>814905</v>
      </c>
      <c r="B1844" s="3">
        <v>170904</v>
      </c>
      <c r="C1844" s="4">
        <v>88</v>
      </c>
      <c r="D1844" s="4">
        <v>54</v>
      </c>
      <c r="E1844" s="4">
        <v>54</v>
      </c>
      <c r="F1844" s="4">
        <v>68</v>
      </c>
      <c r="G1844" s="4">
        <v>71</v>
      </c>
      <c r="H1844" s="4">
        <v>73</v>
      </c>
      <c r="I1844" s="4">
        <v>59</v>
      </c>
      <c r="J1844" s="4">
        <v>29</v>
      </c>
      <c r="K1844" s="4">
        <v>59</v>
      </c>
      <c r="L1844" s="4">
        <v>50</v>
      </c>
      <c r="M1844" s="4">
        <v>60</v>
      </c>
      <c r="N1844" s="4">
        <v>40</v>
      </c>
    </row>
    <row r="1845" spans="1:14">
      <c r="A1845" s="3">
        <v>814907</v>
      </c>
      <c r="B1845" s="3">
        <v>179893</v>
      </c>
      <c r="C1845" s="4">
        <v>10</v>
      </c>
      <c r="D1845" s="4">
        <v>39</v>
      </c>
      <c r="E1845" s="4">
        <v>77</v>
      </c>
      <c r="F1845" s="4">
        <v>30</v>
      </c>
      <c r="G1845" s="4">
        <v>20</v>
      </c>
      <c r="H1845" s="4">
        <v>10</v>
      </c>
      <c r="I1845" s="4">
        <v>10</v>
      </c>
      <c r="J1845" s="4">
        <v>35</v>
      </c>
      <c r="K1845" s="4">
        <v>35</v>
      </c>
      <c r="L1845" s="4">
        <v>29.5</v>
      </c>
      <c r="M1845" s="4">
        <v>51</v>
      </c>
      <c r="N1845" s="4">
        <v>0</v>
      </c>
    </row>
    <row r="1846" spans="1:14">
      <c r="A1846" s="3">
        <v>814909</v>
      </c>
      <c r="B1846" s="3">
        <v>141905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32.5</v>
      </c>
      <c r="L1846" s="4">
        <v>17.5</v>
      </c>
      <c r="M1846" s="4">
        <v>8</v>
      </c>
      <c r="N1846" s="4">
        <v>21.5</v>
      </c>
    </row>
    <row r="1847" spans="1:14">
      <c r="A1847" s="3">
        <v>814909</v>
      </c>
      <c r="B1847" s="3">
        <v>170958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10</v>
      </c>
      <c r="M1847" s="4">
        <v>0</v>
      </c>
      <c r="N1847" s="4">
        <v>0</v>
      </c>
    </row>
    <row r="1848" spans="1:14">
      <c r="A1848" s="3">
        <v>814909</v>
      </c>
      <c r="B1848" s="3">
        <v>171578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10</v>
      </c>
      <c r="M1848" s="4">
        <v>0</v>
      </c>
      <c r="N1848" s="4">
        <v>0</v>
      </c>
    </row>
    <row r="1849" spans="1:14">
      <c r="A1849" s="3">
        <v>814909</v>
      </c>
      <c r="B1849" s="3">
        <v>176363</v>
      </c>
      <c r="C1849" s="4">
        <v>10</v>
      </c>
      <c r="D1849" s="4">
        <v>35</v>
      </c>
      <c r="E1849" s="4">
        <v>29</v>
      </c>
      <c r="F1849" s="4">
        <v>70</v>
      </c>
      <c r="G1849" s="4">
        <v>30</v>
      </c>
      <c r="H1849" s="4">
        <v>17.5</v>
      </c>
      <c r="I1849" s="4">
        <v>17.5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</row>
    <row r="1850" spans="1:14">
      <c r="A1850" s="3">
        <v>814910</v>
      </c>
      <c r="B1850" s="3">
        <v>206066</v>
      </c>
      <c r="C1850" s="4">
        <v>157</v>
      </c>
      <c r="D1850" s="4">
        <v>80</v>
      </c>
      <c r="E1850" s="4">
        <v>12</v>
      </c>
      <c r="F1850" s="4">
        <v>114</v>
      </c>
      <c r="G1850" s="4">
        <v>100</v>
      </c>
      <c r="H1850" s="4">
        <v>185</v>
      </c>
      <c r="I1850" s="4">
        <v>75</v>
      </c>
      <c r="J1850" s="4">
        <v>45</v>
      </c>
      <c r="K1850" s="4">
        <v>50</v>
      </c>
      <c r="L1850" s="4">
        <v>45</v>
      </c>
      <c r="M1850" s="4">
        <v>55</v>
      </c>
      <c r="N1850" s="4">
        <v>15</v>
      </c>
    </row>
    <row r="1851" spans="1:14">
      <c r="A1851" s="3">
        <v>814913</v>
      </c>
      <c r="B1851" s="3">
        <v>205966</v>
      </c>
      <c r="C1851" s="4">
        <v>5</v>
      </c>
      <c r="D1851" s="4">
        <v>0</v>
      </c>
      <c r="E1851" s="4">
        <v>0</v>
      </c>
      <c r="F1851" s="4">
        <v>13.5</v>
      </c>
      <c r="G1851" s="4">
        <v>0</v>
      </c>
      <c r="H1851" s="4">
        <v>15</v>
      </c>
      <c r="I1851" s="4">
        <v>38</v>
      </c>
      <c r="J1851" s="4">
        <v>25</v>
      </c>
      <c r="K1851" s="4">
        <v>37.5</v>
      </c>
      <c r="L1851" s="4">
        <v>20</v>
      </c>
      <c r="M1851" s="4">
        <v>25</v>
      </c>
      <c r="N1851" s="4">
        <v>36</v>
      </c>
    </row>
    <row r="1852" spans="1:14">
      <c r="A1852" s="3">
        <v>814914</v>
      </c>
      <c r="B1852" s="3">
        <v>204034</v>
      </c>
      <c r="C1852" s="4">
        <v>0</v>
      </c>
      <c r="D1852" s="4">
        <v>0</v>
      </c>
      <c r="E1852" s="4">
        <v>0</v>
      </c>
      <c r="F1852" s="4">
        <v>93</v>
      </c>
      <c r="G1852" s="4">
        <v>113</v>
      </c>
      <c r="H1852" s="4">
        <v>71.5</v>
      </c>
      <c r="I1852" s="4">
        <v>165.25</v>
      </c>
      <c r="J1852" s="4">
        <v>75</v>
      </c>
      <c r="K1852" s="4">
        <v>145</v>
      </c>
      <c r="L1852" s="4">
        <v>100</v>
      </c>
      <c r="M1852" s="4">
        <v>105</v>
      </c>
      <c r="N1852" s="4">
        <v>216.5</v>
      </c>
    </row>
    <row r="1853" spans="1:14">
      <c r="A1853" s="3">
        <v>814916</v>
      </c>
      <c r="B1853" s="3">
        <v>205992</v>
      </c>
      <c r="C1853" s="4">
        <v>0</v>
      </c>
      <c r="D1853" s="4">
        <v>0</v>
      </c>
      <c r="E1853" s="4">
        <v>0</v>
      </c>
      <c r="F1853" s="4">
        <v>0</v>
      </c>
      <c r="G1853" s="4">
        <v>22.5</v>
      </c>
      <c r="H1853" s="4">
        <v>0</v>
      </c>
      <c r="I1853" s="4">
        <v>0</v>
      </c>
      <c r="J1853" s="4">
        <v>0</v>
      </c>
      <c r="K1853" s="4">
        <v>37</v>
      </c>
      <c r="L1853" s="4">
        <v>0</v>
      </c>
      <c r="M1853" s="4">
        <v>0</v>
      </c>
      <c r="N1853" s="4">
        <v>0</v>
      </c>
    </row>
    <row r="1854" spans="1:14">
      <c r="A1854" s="3">
        <v>814917</v>
      </c>
      <c r="B1854" s="3">
        <v>202913</v>
      </c>
      <c r="C1854" s="4">
        <v>27.5</v>
      </c>
      <c r="D1854" s="4">
        <v>75</v>
      </c>
      <c r="E1854" s="4">
        <v>85</v>
      </c>
      <c r="F1854" s="4">
        <v>21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</row>
    <row r="1855" spans="1:14">
      <c r="A1855" s="3">
        <v>814934</v>
      </c>
      <c r="B1855" s="3">
        <v>202479</v>
      </c>
      <c r="C1855" s="4">
        <v>15</v>
      </c>
      <c r="D1855" s="4">
        <v>65</v>
      </c>
      <c r="E1855" s="4">
        <v>55</v>
      </c>
      <c r="F1855" s="4">
        <v>92</v>
      </c>
      <c r="G1855" s="4">
        <v>79</v>
      </c>
      <c r="H1855" s="4">
        <v>45</v>
      </c>
      <c r="I1855" s="4">
        <v>38</v>
      </c>
      <c r="J1855" s="4">
        <v>20</v>
      </c>
      <c r="K1855" s="4">
        <v>60</v>
      </c>
      <c r="L1855" s="4">
        <v>10</v>
      </c>
      <c r="M1855" s="4">
        <v>30</v>
      </c>
      <c r="N1855" s="4">
        <v>25</v>
      </c>
    </row>
    <row r="1856" spans="1:14">
      <c r="A1856" s="3">
        <v>814935</v>
      </c>
      <c r="B1856" s="3">
        <v>206807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2.5</v>
      </c>
      <c r="I1856" s="4">
        <v>0</v>
      </c>
      <c r="J1856" s="4">
        <v>5</v>
      </c>
      <c r="K1856" s="4">
        <v>0</v>
      </c>
      <c r="L1856" s="4">
        <v>0</v>
      </c>
      <c r="M1856" s="4">
        <v>0</v>
      </c>
      <c r="N1856" s="4">
        <v>0</v>
      </c>
    </row>
    <row r="1857" spans="1:14">
      <c r="A1857" s="3">
        <v>814936</v>
      </c>
      <c r="B1857" s="3">
        <v>177787</v>
      </c>
      <c r="C1857" s="4">
        <v>21</v>
      </c>
      <c r="D1857" s="4">
        <v>80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10</v>
      </c>
    </row>
    <row r="1858" spans="1:14">
      <c r="A1858" s="3">
        <v>814939</v>
      </c>
      <c r="B1858" s="3">
        <v>202479</v>
      </c>
      <c r="C1858" s="4">
        <v>115</v>
      </c>
      <c r="D1858" s="4">
        <v>51</v>
      </c>
      <c r="E1858" s="4">
        <v>105</v>
      </c>
      <c r="F1858" s="4">
        <v>95</v>
      </c>
      <c r="G1858" s="4">
        <v>168.75</v>
      </c>
      <c r="H1858" s="4">
        <v>83.5</v>
      </c>
      <c r="I1858" s="4">
        <v>45</v>
      </c>
      <c r="J1858" s="4">
        <v>63.5</v>
      </c>
      <c r="K1858" s="4">
        <v>72</v>
      </c>
      <c r="L1858" s="4">
        <v>40</v>
      </c>
      <c r="M1858" s="4">
        <v>10</v>
      </c>
      <c r="N1858" s="4">
        <v>65.400000000000006</v>
      </c>
    </row>
    <row r="1859" spans="1:14">
      <c r="A1859" s="3">
        <v>814942</v>
      </c>
      <c r="B1859" s="3">
        <v>172150</v>
      </c>
      <c r="C1859" s="4">
        <v>17.75</v>
      </c>
      <c r="D1859" s="4">
        <v>30</v>
      </c>
      <c r="E1859" s="4">
        <v>35.75</v>
      </c>
      <c r="F1859" s="4">
        <v>65</v>
      </c>
      <c r="G1859" s="4">
        <v>57</v>
      </c>
      <c r="H1859" s="4">
        <v>40.5</v>
      </c>
      <c r="I1859" s="4">
        <v>32</v>
      </c>
      <c r="J1859" s="4">
        <v>68.5</v>
      </c>
      <c r="K1859" s="4">
        <v>72.5</v>
      </c>
      <c r="L1859" s="4">
        <v>22</v>
      </c>
      <c r="M1859" s="4">
        <v>43.05</v>
      </c>
      <c r="N1859" s="4">
        <v>38.75</v>
      </c>
    </row>
    <row r="1860" spans="1:14">
      <c r="A1860" s="3">
        <v>814955</v>
      </c>
      <c r="B1860" s="3">
        <v>143301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9</v>
      </c>
      <c r="L1860" s="4">
        <v>0</v>
      </c>
      <c r="M1860" s="4">
        <v>0</v>
      </c>
      <c r="N1860" s="4">
        <v>0</v>
      </c>
    </row>
    <row r="1861" spans="1:14">
      <c r="A1861" s="3">
        <v>814955</v>
      </c>
      <c r="B1861" s="3">
        <v>171591</v>
      </c>
      <c r="C1861" s="4">
        <v>39</v>
      </c>
      <c r="D1861" s="4">
        <v>90.5</v>
      </c>
      <c r="E1861" s="4">
        <v>57.5</v>
      </c>
      <c r="F1861" s="4">
        <v>97.5</v>
      </c>
      <c r="G1861" s="4">
        <v>90</v>
      </c>
      <c r="H1861" s="4">
        <v>70.25</v>
      </c>
      <c r="I1861" s="4">
        <v>60</v>
      </c>
      <c r="J1861" s="4">
        <v>60.5</v>
      </c>
      <c r="K1861" s="4">
        <v>116</v>
      </c>
      <c r="L1861" s="4">
        <v>50.5</v>
      </c>
      <c r="M1861" s="4">
        <v>0</v>
      </c>
      <c r="N1861" s="4">
        <v>0</v>
      </c>
    </row>
    <row r="1862" spans="1:14">
      <c r="A1862" s="3">
        <v>814962</v>
      </c>
      <c r="B1862" s="3">
        <v>119038</v>
      </c>
      <c r="C1862" s="4">
        <v>0</v>
      </c>
      <c r="D1862" s="4">
        <v>0</v>
      </c>
      <c r="E1862" s="4">
        <v>30</v>
      </c>
      <c r="F1862" s="4">
        <v>31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24.5</v>
      </c>
      <c r="M1862" s="4">
        <v>0</v>
      </c>
      <c r="N1862" s="4">
        <v>19</v>
      </c>
    </row>
    <row r="1863" spans="1:14">
      <c r="A1863" s="3">
        <v>814972</v>
      </c>
      <c r="B1863" s="3">
        <v>205591</v>
      </c>
      <c r="C1863" s="4">
        <v>30</v>
      </c>
      <c r="D1863" s="4">
        <v>30</v>
      </c>
      <c r="E1863" s="4">
        <v>60.5</v>
      </c>
      <c r="F1863" s="4">
        <v>143</v>
      </c>
      <c r="G1863" s="4">
        <v>219</v>
      </c>
      <c r="H1863" s="4">
        <v>177</v>
      </c>
      <c r="I1863" s="4">
        <v>90</v>
      </c>
      <c r="J1863" s="4">
        <v>35</v>
      </c>
      <c r="K1863" s="4">
        <v>164.5</v>
      </c>
      <c r="L1863" s="4">
        <v>100</v>
      </c>
      <c r="M1863" s="4">
        <v>51</v>
      </c>
      <c r="N1863" s="4">
        <v>125</v>
      </c>
    </row>
    <row r="1864" spans="1:14">
      <c r="A1864" s="3">
        <v>814977</v>
      </c>
      <c r="B1864" s="3">
        <v>170392</v>
      </c>
      <c r="C1864" s="4">
        <v>55</v>
      </c>
      <c r="D1864" s="4">
        <v>92.5</v>
      </c>
      <c r="E1864" s="4">
        <v>110</v>
      </c>
      <c r="F1864" s="4">
        <v>69</v>
      </c>
      <c r="G1864" s="4">
        <v>31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</row>
    <row r="1865" spans="1:14">
      <c r="A1865" s="3">
        <v>814978</v>
      </c>
      <c r="B1865" s="3">
        <v>207895</v>
      </c>
      <c r="C1865" s="4">
        <v>45</v>
      </c>
      <c r="D1865" s="4">
        <v>80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</row>
    <row r="1866" spans="1:14">
      <c r="A1866" s="3">
        <v>814979</v>
      </c>
      <c r="B1866" s="3">
        <v>205591</v>
      </c>
      <c r="C1866" s="4">
        <v>0</v>
      </c>
      <c r="D1866" s="4">
        <v>0</v>
      </c>
      <c r="E1866" s="4">
        <v>14</v>
      </c>
      <c r="F1866" s="4">
        <v>0</v>
      </c>
      <c r="G1866" s="4">
        <v>0.5</v>
      </c>
      <c r="H1866" s="4">
        <v>4</v>
      </c>
      <c r="I1866" s="4">
        <v>0</v>
      </c>
      <c r="J1866" s="4">
        <v>2</v>
      </c>
      <c r="K1866" s="4">
        <v>0</v>
      </c>
      <c r="L1866" s="4">
        <v>10</v>
      </c>
      <c r="M1866" s="4">
        <v>0</v>
      </c>
      <c r="N1866" s="4">
        <v>0</v>
      </c>
    </row>
    <row r="1867" spans="1:14">
      <c r="A1867" s="3">
        <v>814980</v>
      </c>
      <c r="B1867" s="3">
        <v>205591</v>
      </c>
      <c r="C1867" s="4">
        <v>10</v>
      </c>
      <c r="D1867" s="4">
        <v>15</v>
      </c>
      <c r="E1867" s="4">
        <v>8.25</v>
      </c>
      <c r="F1867" s="4">
        <v>1</v>
      </c>
      <c r="G1867" s="4">
        <v>1</v>
      </c>
      <c r="H1867" s="4">
        <v>4</v>
      </c>
      <c r="I1867" s="4">
        <v>0</v>
      </c>
      <c r="J1867" s="4">
        <v>2</v>
      </c>
      <c r="K1867" s="4">
        <v>1</v>
      </c>
      <c r="L1867" s="4">
        <v>0</v>
      </c>
      <c r="M1867" s="4">
        <v>0</v>
      </c>
      <c r="N1867" s="4">
        <v>0</v>
      </c>
    </row>
    <row r="1868" spans="1:14">
      <c r="A1868" s="3">
        <v>814992</v>
      </c>
      <c r="B1868" s="3">
        <v>205620</v>
      </c>
      <c r="C1868" s="4">
        <v>0</v>
      </c>
      <c r="D1868" s="4">
        <v>0</v>
      </c>
      <c r="E1868" s="4">
        <v>0</v>
      </c>
      <c r="F1868" s="4">
        <v>5.25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</row>
    <row r="1869" spans="1:14">
      <c r="A1869" s="3">
        <v>814992</v>
      </c>
      <c r="B1869" s="3">
        <v>207895</v>
      </c>
      <c r="C1869" s="4">
        <v>331</v>
      </c>
      <c r="D1869" s="4">
        <v>434.5</v>
      </c>
      <c r="E1869" s="4">
        <v>284</v>
      </c>
      <c r="F1869" s="4">
        <v>158.75</v>
      </c>
      <c r="G1869" s="4">
        <v>30</v>
      </c>
      <c r="H1869" s="4">
        <v>223</v>
      </c>
      <c r="I1869" s="4">
        <v>93</v>
      </c>
      <c r="J1869" s="4">
        <v>35</v>
      </c>
      <c r="K1869" s="4">
        <v>146.25</v>
      </c>
      <c r="L1869" s="4">
        <v>164</v>
      </c>
      <c r="M1869" s="4">
        <v>294.5</v>
      </c>
      <c r="N1869" s="4">
        <v>322.25</v>
      </c>
    </row>
    <row r="1870" spans="1:14">
      <c r="A1870" s="3">
        <v>814993</v>
      </c>
      <c r="B1870" s="3">
        <v>173224</v>
      </c>
      <c r="C1870" s="4">
        <v>100</v>
      </c>
      <c r="D1870" s="4">
        <v>146</v>
      </c>
      <c r="E1870" s="4">
        <v>154.5</v>
      </c>
      <c r="F1870" s="4">
        <v>109</v>
      </c>
      <c r="G1870" s="4">
        <v>132.5</v>
      </c>
      <c r="H1870" s="4">
        <v>93.5</v>
      </c>
      <c r="I1870" s="4">
        <v>120</v>
      </c>
      <c r="J1870" s="4">
        <v>55</v>
      </c>
      <c r="K1870" s="4">
        <v>150</v>
      </c>
      <c r="L1870" s="4">
        <v>111</v>
      </c>
      <c r="M1870" s="4">
        <v>123</v>
      </c>
      <c r="N1870" s="4">
        <v>126</v>
      </c>
    </row>
    <row r="1871" spans="1:14">
      <c r="A1871" s="3">
        <v>815002</v>
      </c>
      <c r="B1871" s="3">
        <v>205591</v>
      </c>
      <c r="C1871" s="4">
        <v>20</v>
      </c>
      <c r="D1871" s="4">
        <v>10</v>
      </c>
      <c r="E1871" s="4">
        <v>40</v>
      </c>
      <c r="F1871" s="4">
        <v>1</v>
      </c>
      <c r="G1871" s="4">
        <v>1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</row>
    <row r="1872" spans="1:14">
      <c r="A1872" s="3">
        <v>815016</v>
      </c>
      <c r="B1872" s="3">
        <v>144447</v>
      </c>
      <c r="C1872" s="4">
        <v>10</v>
      </c>
      <c r="D1872" s="4">
        <v>65</v>
      </c>
      <c r="E1872" s="4">
        <v>70</v>
      </c>
      <c r="F1872" s="4">
        <v>33</v>
      </c>
      <c r="G1872" s="4">
        <v>22</v>
      </c>
      <c r="H1872" s="4">
        <v>37.5</v>
      </c>
      <c r="I1872" s="4">
        <v>38</v>
      </c>
      <c r="J1872" s="4">
        <v>30</v>
      </c>
      <c r="K1872" s="4">
        <v>55</v>
      </c>
      <c r="L1872" s="4">
        <v>25</v>
      </c>
      <c r="M1872" s="4">
        <v>57.5</v>
      </c>
      <c r="N1872" s="4">
        <v>5</v>
      </c>
    </row>
    <row r="1873" spans="1:14">
      <c r="A1873" s="3">
        <v>815021</v>
      </c>
      <c r="B1873" s="3">
        <v>207643</v>
      </c>
      <c r="C1873" s="4">
        <v>0</v>
      </c>
      <c r="D1873" s="4">
        <v>20</v>
      </c>
      <c r="E1873" s="4">
        <v>15</v>
      </c>
      <c r="F1873" s="4">
        <v>35</v>
      </c>
      <c r="G1873" s="4">
        <v>0</v>
      </c>
      <c r="H1873" s="4">
        <v>5.5</v>
      </c>
      <c r="I1873" s="4">
        <v>0</v>
      </c>
      <c r="J1873" s="4">
        <v>5</v>
      </c>
      <c r="K1873" s="4">
        <v>0</v>
      </c>
      <c r="L1873" s="4">
        <v>0</v>
      </c>
      <c r="M1873" s="4">
        <v>0</v>
      </c>
      <c r="N1873" s="4">
        <v>0</v>
      </c>
    </row>
    <row r="1874" spans="1:14">
      <c r="A1874" s="3">
        <v>815022</v>
      </c>
      <c r="B1874" s="3">
        <v>119208</v>
      </c>
      <c r="C1874" s="4">
        <v>0</v>
      </c>
      <c r="D1874" s="4">
        <v>150</v>
      </c>
      <c r="E1874" s="4">
        <v>10</v>
      </c>
      <c r="F1874" s="4">
        <v>67.5</v>
      </c>
      <c r="G1874" s="4">
        <v>10.5</v>
      </c>
      <c r="H1874" s="4">
        <v>10</v>
      </c>
      <c r="I1874" s="4">
        <v>40</v>
      </c>
      <c r="J1874" s="4">
        <v>10</v>
      </c>
      <c r="K1874" s="4">
        <v>22.5</v>
      </c>
      <c r="L1874" s="4">
        <v>0</v>
      </c>
      <c r="M1874" s="4">
        <v>0</v>
      </c>
      <c r="N1874" s="4">
        <v>0</v>
      </c>
    </row>
    <row r="1875" spans="1:14">
      <c r="A1875" s="3">
        <v>815027</v>
      </c>
      <c r="B1875" s="3">
        <v>207895</v>
      </c>
      <c r="C1875" s="4">
        <v>0</v>
      </c>
      <c r="D1875" s="4">
        <v>215.5</v>
      </c>
      <c r="E1875" s="4">
        <v>374.5</v>
      </c>
      <c r="F1875" s="4">
        <v>342.25</v>
      </c>
      <c r="G1875" s="4">
        <v>370.5</v>
      </c>
      <c r="H1875" s="4">
        <v>171.25</v>
      </c>
      <c r="I1875" s="4">
        <v>60</v>
      </c>
      <c r="J1875" s="4">
        <v>95</v>
      </c>
      <c r="K1875" s="4">
        <v>108.5</v>
      </c>
      <c r="L1875" s="4">
        <v>164.35</v>
      </c>
      <c r="M1875" s="4">
        <v>173.25</v>
      </c>
      <c r="N1875" s="4">
        <v>325.25</v>
      </c>
    </row>
    <row r="1876" spans="1:14">
      <c r="A1876" s="3">
        <v>815030</v>
      </c>
      <c r="B1876" s="3">
        <v>202850</v>
      </c>
      <c r="C1876" s="4">
        <v>0</v>
      </c>
      <c r="D1876" s="4">
        <v>60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20</v>
      </c>
      <c r="K1876" s="4">
        <v>10</v>
      </c>
      <c r="L1876" s="4">
        <v>0</v>
      </c>
      <c r="M1876" s="4">
        <v>0</v>
      </c>
      <c r="N1876" s="4">
        <v>10</v>
      </c>
    </row>
    <row r="1877" spans="1:14">
      <c r="A1877" s="3">
        <v>815031</v>
      </c>
      <c r="B1877" s="3">
        <v>119038</v>
      </c>
      <c r="C1877" s="4">
        <v>0</v>
      </c>
      <c r="D1877" s="4">
        <v>0</v>
      </c>
      <c r="E1877" s="4">
        <v>10</v>
      </c>
      <c r="F1877" s="4">
        <v>20</v>
      </c>
      <c r="G1877" s="4">
        <v>25</v>
      </c>
      <c r="H1877" s="4">
        <v>0</v>
      </c>
      <c r="I1877" s="4">
        <v>0</v>
      </c>
      <c r="J1877" s="4">
        <v>0</v>
      </c>
      <c r="K1877" s="4">
        <v>14.5</v>
      </c>
      <c r="L1877" s="4">
        <v>34.5</v>
      </c>
      <c r="M1877" s="4">
        <v>0</v>
      </c>
      <c r="N1877" s="4">
        <v>0</v>
      </c>
    </row>
    <row r="1878" spans="1:14">
      <c r="A1878" s="3">
        <v>815046</v>
      </c>
      <c r="B1878" s="3">
        <v>175049</v>
      </c>
      <c r="C1878" s="4">
        <v>0</v>
      </c>
      <c r="D1878" s="4">
        <v>13</v>
      </c>
      <c r="E1878" s="4">
        <v>32</v>
      </c>
      <c r="F1878" s="4">
        <v>8.5</v>
      </c>
      <c r="G1878" s="4">
        <v>4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</row>
    <row r="1879" spans="1:14">
      <c r="A1879" s="3">
        <v>815047</v>
      </c>
      <c r="B1879" s="3">
        <v>175049</v>
      </c>
      <c r="C1879" s="4">
        <v>0</v>
      </c>
      <c r="D1879" s="4">
        <v>20</v>
      </c>
      <c r="E1879" s="4">
        <v>25</v>
      </c>
      <c r="F1879" s="4">
        <v>12.5</v>
      </c>
      <c r="G1879" s="4">
        <v>4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</row>
    <row r="1880" spans="1:14">
      <c r="A1880" s="3">
        <v>815051</v>
      </c>
      <c r="B1880" s="3">
        <v>208074</v>
      </c>
      <c r="C1880" s="4">
        <v>0</v>
      </c>
      <c r="D1880" s="4">
        <v>0</v>
      </c>
      <c r="E1880" s="4">
        <v>208</v>
      </c>
      <c r="F1880" s="4">
        <v>262</v>
      </c>
      <c r="G1880" s="4">
        <v>154.5</v>
      </c>
      <c r="H1880" s="4">
        <v>110</v>
      </c>
      <c r="I1880" s="4">
        <v>90.9</v>
      </c>
      <c r="J1880" s="4">
        <v>111.5</v>
      </c>
      <c r="K1880" s="4">
        <v>160</v>
      </c>
      <c r="L1880" s="4">
        <v>165.5</v>
      </c>
      <c r="M1880" s="4">
        <v>206.25</v>
      </c>
      <c r="N1880" s="4">
        <v>277.35000000000002</v>
      </c>
    </row>
    <row r="1881" spans="1:14">
      <c r="A1881" s="3">
        <v>815052</v>
      </c>
      <c r="B1881" s="3">
        <v>208074</v>
      </c>
      <c r="C1881" s="4">
        <v>0</v>
      </c>
      <c r="D1881" s="4">
        <v>0</v>
      </c>
      <c r="E1881" s="4">
        <v>23</v>
      </c>
      <c r="F1881" s="4">
        <v>10</v>
      </c>
      <c r="G1881" s="4">
        <v>20</v>
      </c>
      <c r="H1881" s="4">
        <v>20</v>
      </c>
      <c r="I1881" s="4">
        <v>60</v>
      </c>
      <c r="J1881" s="4">
        <v>20</v>
      </c>
      <c r="K1881" s="4">
        <v>37.5</v>
      </c>
      <c r="L1881" s="4">
        <v>15</v>
      </c>
      <c r="M1881" s="4">
        <v>18.600000000000001</v>
      </c>
      <c r="N1881" s="4">
        <v>33</v>
      </c>
    </row>
    <row r="1882" spans="1:14">
      <c r="A1882" s="3">
        <v>815057</v>
      </c>
      <c r="B1882" s="3">
        <v>207857</v>
      </c>
      <c r="C1882" s="4">
        <v>0</v>
      </c>
      <c r="D1882" s="4">
        <v>80</v>
      </c>
      <c r="E1882" s="4">
        <v>215</v>
      </c>
      <c r="F1882" s="4">
        <v>125.5</v>
      </c>
      <c r="G1882" s="4">
        <v>82.4</v>
      </c>
      <c r="H1882" s="4">
        <v>224</v>
      </c>
      <c r="I1882" s="4">
        <v>140</v>
      </c>
      <c r="J1882" s="4">
        <v>157.5</v>
      </c>
      <c r="K1882" s="4">
        <v>153.14999999999998</v>
      </c>
      <c r="L1882" s="4">
        <v>148.5</v>
      </c>
      <c r="M1882" s="4">
        <v>85</v>
      </c>
      <c r="N1882" s="4">
        <v>692.5</v>
      </c>
    </row>
    <row r="1883" spans="1:14">
      <c r="A1883" s="3">
        <v>815064</v>
      </c>
      <c r="B1883" s="3">
        <v>208074</v>
      </c>
      <c r="C1883" s="4">
        <v>0</v>
      </c>
      <c r="D1883" s="4">
        <v>0</v>
      </c>
      <c r="E1883" s="4">
        <v>75</v>
      </c>
      <c r="F1883" s="4">
        <v>52.5</v>
      </c>
      <c r="G1883" s="4">
        <v>35</v>
      </c>
      <c r="H1883" s="4">
        <v>65</v>
      </c>
      <c r="I1883" s="4">
        <v>65</v>
      </c>
      <c r="J1883" s="4">
        <v>63</v>
      </c>
      <c r="K1883" s="4">
        <v>32.5</v>
      </c>
      <c r="L1883" s="4">
        <v>62.5</v>
      </c>
      <c r="M1883" s="4">
        <v>37.5</v>
      </c>
      <c r="N1883" s="4">
        <v>50</v>
      </c>
    </row>
    <row r="1884" spans="1:14">
      <c r="A1884" s="3">
        <v>815066</v>
      </c>
      <c r="B1884" s="3">
        <v>208074</v>
      </c>
      <c r="C1884" s="4">
        <v>0</v>
      </c>
      <c r="D1884" s="4">
        <v>0</v>
      </c>
      <c r="E1884" s="4">
        <v>0</v>
      </c>
      <c r="F1884" s="4">
        <v>0</v>
      </c>
      <c r="G1884" s="4">
        <v>10</v>
      </c>
      <c r="H1884" s="4">
        <v>10</v>
      </c>
      <c r="I1884" s="4">
        <v>0</v>
      </c>
      <c r="J1884" s="4">
        <v>20</v>
      </c>
      <c r="K1884" s="4">
        <v>27.5</v>
      </c>
      <c r="L1884" s="4">
        <v>5</v>
      </c>
      <c r="M1884" s="4">
        <v>12.5</v>
      </c>
      <c r="N1884" s="4">
        <v>0</v>
      </c>
    </row>
    <row r="1885" spans="1:14">
      <c r="A1885" s="3">
        <v>815067</v>
      </c>
      <c r="B1885" s="3">
        <v>208074</v>
      </c>
      <c r="C1885" s="4">
        <v>0</v>
      </c>
      <c r="D1885" s="4">
        <v>0</v>
      </c>
      <c r="E1885" s="4">
        <v>10</v>
      </c>
      <c r="F1885" s="4">
        <v>35</v>
      </c>
      <c r="G1885" s="4">
        <v>20</v>
      </c>
      <c r="H1885" s="4">
        <v>20</v>
      </c>
      <c r="I1885" s="4">
        <v>0</v>
      </c>
      <c r="J1885" s="4">
        <v>10</v>
      </c>
      <c r="K1885" s="4">
        <v>25</v>
      </c>
      <c r="L1885" s="4">
        <v>36.950000000000003</v>
      </c>
      <c r="M1885" s="4">
        <v>12.5</v>
      </c>
      <c r="N1885" s="4">
        <v>12.5</v>
      </c>
    </row>
    <row r="1886" spans="1:14">
      <c r="A1886" s="3">
        <v>815068</v>
      </c>
      <c r="B1886" s="3">
        <v>208074</v>
      </c>
      <c r="C1886" s="4">
        <v>0</v>
      </c>
      <c r="D1886" s="4">
        <v>0</v>
      </c>
      <c r="E1886" s="4">
        <v>20</v>
      </c>
      <c r="F1886" s="4">
        <v>47.5</v>
      </c>
      <c r="G1886" s="4">
        <v>26</v>
      </c>
      <c r="H1886" s="4">
        <v>20</v>
      </c>
      <c r="I1886" s="4">
        <v>30</v>
      </c>
      <c r="J1886" s="4">
        <v>10</v>
      </c>
      <c r="K1886" s="4">
        <v>37.5</v>
      </c>
      <c r="L1886" s="4">
        <v>10</v>
      </c>
      <c r="M1886" s="4">
        <v>24.5</v>
      </c>
      <c r="N1886" s="4">
        <v>22.5</v>
      </c>
    </row>
    <row r="1887" spans="1:14">
      <c r="A1887" s="3">
        <v>815084</v>
      </c>
      <c r="B1887" s="3">
        <v>171578</v>
      </c>
      <c r="C1887" s="4">
        <v>0</v>
      </c>
      <c r="D1887" s="4">
        <v>30</v>
      </c>
      <c r="E1887" s="4">
        <v>150</v>
      </c>
      <c r="F1887" s="4">
        <v>78.150000000000006</v>
      </c>
      <c r="G1887" s="4">
        <v>70</v>
      </c>
      <c r="H1887" s="4">
        <v>67</v>
      </c>
      <c r="I1887" s="4">
        <v>99</v>
      </c>
      <c r="J1887" s="4">
        <v>41</v>
      </c>
      <c r="K1887" s="4">
        <v>97.15</v>
      </c>
      <c r="L1887" s="4">
        <v>88</v>
      </c>
      <c r="M1887" s="4">
        <v>213.7</v>
      </c>
      <c r="N1887" s="4">
        <v>40</v>
      </c>
    </row>
    <row r="1888" spans="1:14">
      <c r="A1888" s="3">
        <v>815088</v>
      </c>
      <c r="B1888" s="3">
        <v>119208</v>
      </c>
      <c r="C1888" s="4">
        <v>0</v>
      </c>
      <c r="D1888" s="4">
        <v>0</v>
      </c>
      <c r="E1888" s="4">
        <v>15</v>
      </c>
      <c r="F1888" s="4">
        <v>2.5</v>
      </c>
      <c r="G1888" s="4">
        <v>15</v>
      </c>
      <c r="H1888" s="4">
        <v>0</v>
      </c>
      <c r="I1888" s="4">
        <v>105</v>
      </c>
      <c r="J1888" s="4">
        <v>0</v>
      </c>
      <c r="K1888" s="4">
        <v>2</v>
      </c>
      <c r="L1888" s="4">
        <v>0</v>
      </c>
      <c r="M1888" s="4">
        <v>0</v>
      </c>
      <c r="N1888" s="4">
        <v>0</v>
      </c>
    </row>
    <row r="1889" spans="1:14">
      <c r="A1889" s="3">
        <v>815091</v>
      </c>
      <c r="B1889" s="3">
        <v>149885</v>
      </c>
      <c r="C1889" s="4">
        <v>0</v>
      </c>
      <c r="D1889" s="4">
        <v>10</v>
      </c>
      <c r="E1889" s="4">
        <v>15</v>
      </c>
      <c r="F1889" s="4">
        <v>7.5</v>
      </c>
      <c r="G1889" s="4">
        <v>23.25</v>
      </c>
      <c r="H1889" s="4">
        <v>20.5</v>
      </c>
      <c r="I1889" s="4">
        <v>15</v>
      </c>
      <c r="J1889" s="4">
        <v>7.5</v>
      </c>
      <c r="K1889" s="4">
        <v>71.5</v>
      </c>
      <c r="L1889" s="4">
        <v>25.5</v>
      </c>
      <c r="M1889" s="4">
        <v>27.5</v>
      </c>
      <c r="N1889" s="4">
        <v>50</v>
      </c>
    </row>
    <row r="1890" spans="1:14">
      <c r="A1890" s="3">
        <v>815092</v>
      </c>
      <c r="B1890" s="3">
        <v>119212</v>
      </c>
      <c r="C1890" s="4">
        <v>0</v>
      </c>
      <c r="D1890" s="4">
        <v>20</v>
      </c>
      <c r="E1890" s="4">
        <v>32</v>
      </c>
      <c r="F1890" s="4">
        <v>30</v>
      </c>
      <c r="G1890" s="4">
        <v>68.5</v>
      </c>
      <c r="H1890" s="4">
        <v>0</v>
      </c>
      <c r="I1890" s="4">
        <v>23</v>
      </c>
      <c r="J1890" s="4">
        <v>5</v>
      </c>
      <c r="K1890" s="4">
        <v>85</v>
      </c>
      <c r="L1890" s="4">
        <v>1.75</v>
      </c>
      <c r="M1890" s="4">
        <v>32.5</v>
      </c>
      <c r="N1890" s="4">
        <v>103</v>
      </c>
    </row>
    <row r="1891" spans="1:14">
      <c r="A1891" s="3">
        <v>815093</v>
      </c>
      <c r="B1891" s="3">
        <v>170146</v>
      </c>
      <c r="C1891" s="4">
        <v>0</v>
      </c>
      <c r="D1891" s="4">
        <v>70</v>
      </c>
      <c r="E1891" s="4">
        <v>25</v>
      </c>
      <c r="F1891" s="4">
        <v>10</v>
      </c>
      <c r="G1891" s="4">
        <v>30</v>
      </c>
      <c r="H1891" s="4">
        <v>0</v>
      </c>
      <c r="I1891" s="4">
        <v>35</v>
      </c>
      <c r="J1891" s="4">
        <v>0</v>
      </c>
      <c r="K1891" s="4">
        <v>57</v>
      </c>
      <c r="L1891" s="4">
        <v>5</v>
      </c>
      <c r="M1891" s="4">
        <v>10</v>
      </c>
      <c r="N1891" s="4">
        <v>10</v>
      </c>
    </row>
    <row r="1892" spans="1:14">
      <c r="A1892" s="3">
        <v>815096</v>
      </c>
      <c r="B1892" s="3">
        <v>119212</v>
      </c>
      <c r="C1892" s="4">
        <v>0</v>
      </c>
      <c r="D1892" s="4">
        <v>25</v>
      </c>
      <c r="E1892" s="4">
        <v>101.5</v>
      </c>
      <c r="F1892" s="4">
        <v>89.25</v>
      </c>
      <c r="G1892" s="4">
        <v>34.5</v>
      </c>
      <c r="H1892" s="4">
        <v>25</v>
      </c>
      <c r="I1892" s="4">
        <v>18</v>
      </c>
      <c r="J1892" s="4">
        <v>35</v>
      </c>
      <c r="K1892" s="4">
        <v>82.5</v>
      </c>
      <c r="L1892" s="4">
        <v>23</v>
      </c>
      <c r="M1892" s="4">
        <v>15</v>
      </c>
      <c r="N1892" s="4">
        <v>55</v>
      </c>
    </row>
    <row r="1893" spans="1:14">
      <c r="A1893" s="3">
        <v>815097</v>
      </c>
      <c r="B1893" s="3">
        <v>143301</v>
      </c>
      <c r="C1893" s="4">
        <v>0</v>
      </c>
      <c r="D1893" s="4">
        <v>0</v>
      </c>
      <c r="E1893" s="4">
        <v>65.25</v>
      </c>
      <c r="F1893" s="4">
        <v>67</v>
      </c>
      <c r="G1893" s="4">
        <v>0</v>
      </c>
      <c r="H1893" s="4">
        <v>76.5</v>
      </c>
      <c r="I1893" s="4">
        <v>25</v>
      </c>
      <c r="J1893" s="4">
        <v>0</v>
      </c>
      <c r="K1893" s="4">
        <v>36</v>
      </c>
      <c r="L1893" s="4">
        <v>0</v>
      </c>
      <c r="M1893" s="4">
        <v>35</v>
      </c>
      <c r="N1893" s="4">
        <v>135.5</v>
      </c>
    </row>
    <row r="1894" spans="1:14">
      <c r="A1894" s="3">
        <v>815101</v>
      </c>
      <c r="B1894" s="3">
        <v>119074</v>
      </c>
      <c r="C1894" s="4">
        <v>0</v>
      </c>
      <c r="D1894" s="4">
        <v>0</v>
      </c>
      <c r="E1894" s="4">
        <v>0</v>
      </c>
      <c r="F1894" s="4">
        <v>0</v>
      </c>
      <c r="G1894" s="4">
        <v>10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</row>
    <row r="1895" spans="1:14">
      <c r="A1895" s="3">
        <v>815101</v>
      </c>
      <c r="B1895" s="3">
        <v>208026</v>
      </c>
      <c r="C1895" s="4">
        <v>0</v>
      </c>
      <c r="D1895" s="4">
        <v>0</v>
      </c>
      <c r="E1895" s="4">
        <v>79.5</v>
      </c>
      <c r="F1895" s="4">
        <v>44.5</v>
      </c>
      <c r="G1895" s="4">
        <v>91.5</v>
      </c>
      <c r="H1895" s="4">
        <v>107.5</v>
      </c>
      <c r="I1895" s="4">
        <v>42.25</v>
      </c>
      <c r="J1895" s="4">
        <v>30</v>
      </c>
      <c r="K1895" s="4">
        <v>75</v>
      </c>
      <c r="L1895" s="4">
        <v>20</v>
      </c>
      <c r="M1895" s="4">
        <v>78.5</v>
      </c>
      <c r="N1895" s="4">
        <v>92</v>
      </c>
    </row>
    <row r="1896" spans="1:14">
      <c r="A1896" s="3">
        <v>815102</v>
      </c>
      <c r="B1896" s="3">
        <v>176870</v>
      </c>
      <c r="C1896" s="4">
        <v>0</v>
      </c>
      <c r="D1896" s="4">
        <v>0</v>
      </c>
      <c r="E1896" s="4">
        <v>30</v>
      </c>
      <c r="F1896" s="4">
        <v>55</v>
      </c>
      <c r="G1896" s="4">
        <v>0</v>
      </c>
      <c r="H1896" s="4">
        <v>38</v>
      </c>
      <c r="I1896" s="4">
        <v>20</v>
      </c>
      <c r="J1896" s="4">
        <v>0</v>
      </c>
      <c r="K1896" s="4">
        <v>47.5</v>
      </c>
      <c r="L1896" s="4">
        <v>10</v>
      </c>
      <c r="M1896" s="4">
        <v>7</v>
      </c>
      <c r="N1896" s="4">
        <v>33</v>
      </c>
    </row>
    <row r="1897" spans="1:14">
      <c r="A1897" s="3">
        <v>815104</v>
      </c>
      <c r="B1897" s="3">
        <v>149765</v>
      </c>
      <c r="C1897" s="4">
        <v>0</v>
      </c>
      <c r="D1897" s="4">
        <v>0</v>
      </c>
      <c r="E1897" s="4">
        <v>120</v>
      </c>
      <c r="F1897" s="4">
        <v>20</v>
      </c>
      <c r="G1897" s="4">
        <v>17</v>
      </c>
      <c r="H1897" s="4">
        <v>30</v>
      </c>
      <c r="I1897" s="4">
        <v>10</v>
      </c>
      <c r="J1897" s="4">
        <v>30</v>
      </c>
      <c r="K1897" s="4">
        <v>25</v>
      </c>
      <c r="L1897" s="4">
        <v>30</v>
      </c>
      <c r="M1897" s="4">
        <v>45</v>
      </c>
      <c r="N1897" s="4">
        <v>76.7</v>
      </c>
    </row>
    <row r="1898" spans="1:14">
      <c r="A1898" s="3">
        <v>815105</v>
      </c>
      <c r="B1898" s="3">
        <v>205650</v>
      </c>
      <c r="C1898" s="4">
        <v>0</v>
      </c>
      <c r="D1898" s="4">
        <v>0</v>
      </c>
      <c r="E1898" s="4">
        <v>0</v>
      </c>
      <c r="F1898" s="4">
        <v>63.5</v>
      </c>
      <c r="G1898" s="4">
        <v>15</v>
      </c>
      <c r="H1898" s="4">
        <v>20</v>
      </c>
      <c r="I1898" s="4">
        <v>0</v>
      </c>
      <c r="J1898" s="4">
        <v>0</v>
      </c>
      <c r="K1898" s="4">
        <v>0</v>
      </c>
      <c r="L1898" s="4">
        <v>0</v>
      </c>
      <c r="M1898" s="4">
        <v>11</v>
      </c>
      <c r="N1898" s="4">
        <v>0</v>
      </c>
    </row>
    <row r="1899" spans="1:14">
      <c r="A1899" s="3">
        <v>815111</v>
      </c>
      <c r="B1899" s="3">
        <v>171578</v>
      </c>
      <c r="C1899" s="4">
        <v>0</v>
      </c>
      <c r="D1899" s="4">
        <v>0</v>
      </c>
      <c r="E1899" s="4">
        <v>110</v>
      </c>
      <c r="F1899" s="4">
        <v>107.5</v>
      </c>
      <c r="G1899" s="4">
        <v>50</v>
      </c>
      <c r="H1899" s="4">
        <v>67.5</v>
      </c>
      <c r="I1899" s="4">
        <v>56</v>
      </c>
      <c r="J1899" s="4">
        <v>50</v>
      </c>
      <c r="K1899" s="4">
        <v>76.650000000000006</v>
      </c>
      <c r="L1899" s="4">
        <v>82.6</v>
      </c>
      <c r="M1899" s="4">
        <v>95.1</v>
      </c>
      <c r="N1899" s="4">
        <v>220</v>
      </c>
    </row>
    <row r="1900" spans="1:14">
      <c r="A1900" s="3">
        <v>815123</v>
      </c>
      <c r="B1900" s="3">
        <v>202142</v>
      </c>
      <c r="C1900" s="4">
        <v>0</v>
      </c>
      <c r="D1900" s="4">
        <v>0</v>
      </c>
      <c r="E1900" s="4">
        <v>72.5</v>
      </c>
      <c r="F1900" s="4">
        <v>70</v>
      </c>
      <c r="G1900" s="4">
        <v>15</v>
      </c>
      <c r="H1900" s="4">
        <v>30</v>
      </c>
      <c r="I1900" s="4">
        <v>30</v>
      </c>
      <c r="J1900" s="4">
        <v>17.5</v>
      </c>
      <c r="K1900" s="4">
        <v>70</v>
      </c>
      <c r="L1900" s="4">
        <v>30</v>
      </c>
      <c r="M1900" s="4">
        <v>59</v>
      </c>
      <c r="N1900" s="4">
        <v>34.5</v>
      </c>
    </row>
    <row r="1901" spans="1:14">
      <c r="A1901" s="3">
        <v>815127</v>
      </c>
      <c r="B1901" s="3">
        <v>205591</v>
      </c>
      <c r="C1901" s="4">
        <v>0</v>
      </c>
      <c r="D1901" s="4">
        <v>0</v>
      </c>
      <c r="E1901" s="4">
        <v>30</v>
      </c>
      <c r="F1901" s="4">
        <v>26.5</v>
      </c>
      <c r="G1901" s="4">
        <v>8</v>
      </c>
      <c r="H1901" s="4">
        <v>0</v>
      </c>
      <c r="I1901" s="4">
        <v>20</v>
      </c>
      <c r="J1901" s="4">
        <v>12</v>
      </c>
      <c r="K1901" s="4">
        <v>24</v>
      </c>
      <c r="L1901" s="4">
        <v>10</v>
      </c>
      <c r="M1901" s="4">
        <v>0</v>
      </c>
      <c r="N1901" s="4">
        <v>13</v>
      </c>
    </row>
    <row r="1902" spans="1:14">
      <c r="A1902" s="3">
        <v>815133</v>
      </c>
      <c r="B1902" s="3">
        <v>203455</v>
      </c>
      <c r="C1902" s="4">
        <v>0</v>
      </c>
      <c r="D1902" s="4">
        <v>0</v>
      </c>
      <c r="E1902" s="4">
        <v>60.5</v>
      </c>
      <c r="F1902" s="4">
        <v>113</v>
      </c>
      <c r="G1902" s="4">
        <v>50</v>
      </c>
      <c r="H1902" s="4">
        <v>60</v>
      </c>
      <c r="I1902" s="4">
        <v>79</v>
      </c>
      <c r="J1902" s="4">
        <v>32.5</v>
      </c>
      <c r="K1902" s="4">
        <v>86</v>
      </c>
      <c r="L1902" s="4">
        <v>60</v>
      </c>
      <c r="M1902" s="4">
        <v>70</v>
      </c>
      <c r="N1902" s="4">
        <v>315</v>
      </c>
    </row>
    <row r="1903" spans="1:14">
      <c r="A1903" s="3">
        <v>815134</v>
      </c>
      <c r="B1903" s="3">
        <v>204318</v>
      </c>
      <c r="C1903" s="4">
        <v>0</v>
      </c>
      <c r="D1903" s="4">
        <v>0</v>
      </c>
      <c r="E1903" s="4">
        <v>25</v>
      </c>
      <c r="F1903" s="4">
        <v>36</v>
      </c>
      <c r="G1903" s="4">
        <v>28</v>
      </c>
      <c r="H1903" s="4">
        <v>23</v>
      </c>
      <c r="I1903" s="4">
        <v>15</v>
      </c>
      <c r="J1903" s="4">
        <v>30</v>
      </c>
      <c r="K1903" s="4">
        <v>55</v>
      </c>
      <c r="L1903" s="4">
        <v>42.5</v>
      </c>
      <c r="M1903" s="4">
        <v>27</v>
      </c>
      <c r="N1903" s="4">
        <v>20</v>
      </c>
    </row>
    <row r="1904" spans="1:14">
      <c r="A1904" s="3">
        <v>815135</v>
      </c>
      <c r="B1904" s="3">
        <v>172338</v>
      </c>
      <c r="C1904" s="4">
        <v>0</v>
      </c>
      <c r="D1904" s="4">
        <v>0</v>
      </c>
      <c r="E1904" s="4">
        <v>51</v>
      </c>
      <c r="F1904" s="4">
        <v>30</v>
      </c>
      <c r="G1904" s="4">
        <v>25.1</v>
      </c>
      <c r="H1904" s="4">
        <v>15</v>
      </c>
      <c r="I1904" s="4">
        <v>35</v>
      </c>
      <c r="J1904" s="4">
        <v>0</v>
      </c>
      <c r="K1904" s="4">
        <v>26</v>
      </c>
      <c r="L1904" s="4">
        <v>31</v>
      </c>
      <c r="M1904" s="4">
        <v>32</v>
      </c>
      <c r="N1904" s="4">
        <v>20</v>
      </c>
    </row>
    <row r="1905" spans="1:14">
      <c r="A1905" s="3">
        <v>815136</v>
      </c>
      <c r="B1905" s="3">
        <v>149885</v>
      </c>
      <c r="C1905" s="4">
        <v>0</v>
      </c>
      <c r="D1905" s="4">
        <v>0</v>
      </c>
      <c r="E1905" s="4">
        <v>133</v>
      </c>
      <c r="F1905" s="4">
        <v>126.1</v>
      </c>
      <c r="G1905" s="4">
        <v>51</v>
      </c>
      <c r="H1905" s="4">
        <v>47.5</v>
      </c>
      <c r="I1905" s="4">
        <v>99.5</v>
      </c>
      <c r="J1905" s="4">
        <v>43</v>
      </c>
      <c r="K1905" s="4">
        <v>70.5</v>
      </c>
      <c r="L1905" s="4">
        <v>37.5</v>
      </c>
      <c r="M1905" s="4">
        <v>0</v>
      </c>
      <c r="N1905" s="4">
        <v>21</v>
      </c>
    </row>
    <row r="1906" spans="1:14">
      <c r="A1906" s="3">
        <v>815151</v>
      </c>
      <c r="B1906" s="3">
        <v>119208</v>
      </c>
      <c r="C1906" s="4">
        <v>0</v>
      </c>
      <c r="D1906" s="4">
        <v>0</v>
      </c>
      <c r="E1906" s="4">
        <v>15</v>
      </c>
      <c r="F1906" s="4">
        <v>171</v>
      </c>
      <c r="G1906" s="4">
        <v>22.5</v>
      </c>
      <c r="H1906" s="4">
        <v>0</v>
      </c>
      <c r="I1906" s="4">
        <v>7.5</v>
      </c>
      <c r="J1906" s="4">
        <v>10</v>
      </c>
      <c r="K1906" s="4">
        <v>62.5</v>
      </c>
      <c r="L1906" s="4">
        <v>0</v>
      </c>
      <c r="M1906" s="4">
        <v>0</v>
      </c>
      <c r="N1906" s="4">
        <v>11.5</v>
      </c>
    </row>
    <row r="1907" spans="1:14">
      <c r="A1907" s="3">
        <v>815152</v>
      </c>
      <c r="B1907" s="3">
        <v>170775</v>
      </c>
      <c r="C1907" s="4">
        <v>0</v>
      </c>
      <c r="D1907" s="4">
        <v>0</v>
      </c>
      <c r="E1907" s="4">
        <v>40</v>
      </c>
      <c r="F1907" s="4">
        <v>30</v>
      </c>
      <c r="G1907" s="4">
        <v>15</v>
      </c>
      <c r="H1907" s="4">
        <v>0</v>
      </c>
      <c r="I1907" s="4">
        <v>0</v>
      </c>
      <c r="J1907" s="4">
        <v>0</v>
      </c>
      <c r="K1907" s="4">
        <v>70</v>
      </c>
      <c r="L1907" s="4">
        <v>0</v>
      </c>
      <c r="M1907" s="4">
        <v>25</v>
      </c>
      <c r="N1907" s="4">
        <v>10</v>
      </c>
    </row>
    <row r="1908" spans="1:14">
      <c r="A1908" s="3">
        <v>815155</v>
      </c>
      <c r="B1908" s="3">
        <v>176833</v>
      </c>
      <c r="C1908" s="4">
        <v>0</v>
      </c>
      <c r="D1908" s="4">
        <v>0</v>
      </c>
      <c r="E1908" s="4">
        <v>110</v>
      </c>
      <c r="F1908" s="4">
        <v>20</v>
      </c>
      <c r="G1908" s="4">
        <v>35</v>
      </c>
      <c r="H1908" s="4">
        <v>7</v>
      </c>
      <c r="I1908" s="4">
        <v>35</v>
      </c>
      <c r="J1908" s="4">
        <v>10</v>
      </c>
      <c r="K1908" s="4">
        <v>35</v>
      </c>
      <c r="L1908" s="4">
        <v>64</v>
      </c>
      <c r="M1908" s="4">
        <v>15</v>
      </c>
      <c r="N1908" s="4">
        <v>75</v>
      </c>
    </row>
    <row r="1909" spans="1:14">
      <c r="A1909" s="3">
        <v>815167</v>
      </c>
      <c r="B1909" s="3">
        <v>206219</v>
      </c>
      <c r="C1909" s="4">
        <v>0</v>
      </c>
      <c r="D1909" s="4">
        <v>0</v>
      </c>
      <c r="E1909" s="4">
        <v>121</v>
      </c>
      <c r="F1909" s="4">
        <v>128</v>
      </c>
      <c r="G1909" s="4">
        <v>115</v>
      </c>
      <c r="H1909" s="4">
        <v>127.45</v>
      </c>
      <c r="I1909" s="4">
        <v>52</v>
      </c>
      <c r="J1909" s="4">
        <v>54.7</v>
      </c>
      <c r="K1909" s="4">
        <v>136</v>
      </c>
      <c r="L1909" s="4">
        <v>86</v>
      </c>
      <c r="M1909" s="4">
        <v>102</v>
      </c>
      <c r="N1909" s="4">
        <v>76</v>
      </c>
    </row>
    <row r="1910" spans="1:14">
      <c r="A1910" s="3">
        <v>815168</v>
      </c>
      <c r="B1910" s="3">
        <v>177104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79.5</v>
      </c>
      <c r="I1910" s="4">
        <v>34</v>
      </c>
      <c r="J1910" s="4">
        <v>15</v>
      </c>
      <c r="K1910" s="4">
        <v>67.5</v>
      </c>
      <c r="L1910" s="4">
        <v>0</v>
      </c>
      <c r="M1910" s="4">
        <v>77</v>
      </c>
      <c r="N1910" s="4">
        <v>50</v>
      </c>
    </row>
    <row r="1911" spans="1:14">
      <c r="A1911" s="3">
        <v>815168</v>
      </c>
      <c r="B1911" s="3">
        <v>179944</v>
      </c>
      <c r="C1911" s="4">
        <v>0</v>
      </c>
      <c r="D1911" s="4">
        <v>0</v>
      </c>
      <c r="E1911" s="4">
        <v>35</v>
      </c>
      <c r="F1911" s="4">
        <v>26.5</v>
      </c>
      <c r="G1911" s="4">
        <v>35.5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</row>
    <row r="1912" spans="1:14">
      <c r="A1912" s="3">
        <v>815175</v>
      </c>
      <c r="B1912" s="3">
        <v>149765</v>
      </c>
      <c r="C1912" s="4">
        <v>0</v>
      </c>
      <c r="D1912" s="4">
        <v>0</v>
      </c>
      <c r="E1912" s="4">
        <v>56.5</v>
      </c>
      <c r="F1912" s="4">
        <v>0</v>
      </c>
      <c r="G1912" s="4">
        <v>35</v>
      </c>
      <c r="H1912" s="4">
        <v>30</v>
      </c>
      <c r="I1912" s="4">
        <v>30</v>
      </c>
      <c r="J1912" s="4">
        <v>20</v>
      </c>
      <c r="K1912" s="4">
        <v>40</v>
      </c>
      <c r="L1912" s="4">
        <v>20</v>
      </c>
      <c r="M1912" s="4">
        <v>40</v>
      </c>
      <c r="N1912" s="4">
        <v>129.5</v>
      </c>
    </row>
    <row r="1913" spans="1:14">
      <c r="A1913" s="3">
        <v>815176</v>
      </c>
      <c r="B1913" s="3">
        <v>175288</v>
      </c>
      <c r="C1913" s="4">
        <v>0</v>
      </c>
      <c r="D1913" s="4">
        <v>0</v>
      </c>
      <c r="E1913" s="4">
        <v>0</v>
      </c>
      <c r="F1913" s="4">
        <v>110</v>
      </c>
      <c r="G1913" s="4">
        <v>70</v>
      </c>
      <c r="H1913" s="4">
        <v>90</v>
      </c>
      <c r="I1913" s="4">
        <v>155</v>
      </c>
      <c r="J1913" s="4">
        <v>70</v>
      </c>
      <c r="K1913" s="4">
        <v>72</v>
      </c>
      <c r="L1913" s="4">
        <v>95</v>
      </c>
      <c r="M1913" s="4">
        <v>70</v>
      </c>
      <c r="N1913" s="4">
        <v>125</v>
      </c>
    </row>
    <row r="1914" spans="1:14">
      <c r="A1914" s="3">
        <v>815182</v>
      </c>
      <c r="B1914" s="3">
        <v>174271</v>
      </c>
      <c r="C1914" s="4">
        <v>0</v>
      </c>
      <c r="D1914" s="4">
        <v>0</v>
      </c>
      <c r="E1914" s="4">
        <v>65</v>
      </c>
      <c r="F1914" s="4">
        <v>82.5</v>
      </c>
      <c r="G1914" s="4">
        <v>0</v>
      </c>
      <c r="H1914" s="4">
        <v>30</v>
      </c>
      <c r="I1914" s="4">
        <v>0</v>
      </c>
      <c r="J1914" s="4">
        <v>44.5</v>
      </c>
      <c r="K1914" s="4">
        <v>0</v>
      </c>
      <c r="L1914" s="4">
        <v>0</v>
      </c>
      <c r="M1914" s="4">
        <v>0</v>
      </c>
      <c r="N1914" s="4">
        <v>0</v>
      </c>
    </row>
    <row r="1915" spans="1:14">
      <c r="A1915" s="3">
        <v>815183</v>
      </c>
      <c r="B1915" s="3">
        <v>149971</v>
      </c>
      <c r="C1915" s="4">
        <v>0</v>
      </c>
      <c r="D1915" s="4">
        <v>0</v>
      </c>
      <c r="E1915" s="4">
        <v>0</v>
      </c>
      <c r="F1915" s="4">
        <v>54.15</v>
      </c>
      <c r="G1915" s="4">
        <v>27</v>
      </c>
      <c r="H1915" s="4">
        <v>17.5</v>
      </c>
      <c r="I1915" s="4">
        <v>0</v>
      </c>
      <c r="J1915" s="4">
        <v>2.5</v>
      </c>
      <c r="K1915" s="4">
        <v>47.5</v>
      </c>
      <c r="L1915" s="4">
        <v>73.349999999999994</v>
      </c>
      <c r="M1915" s="4">
        <v>51</v>
      </c>
      <c r="N1915" s="4">
        <v>20</v>
      </c>
    </row>
    <row r="1916" spans="1:14">
      <c r="A1916" s="3">
        <v>815184</v>
      </c>
      <c r="B1916" s="3">
        <v>174631</v>
      </c>
      <c r="C1916" s="4">
        <v>0</v>
      </c>
      <c r="D1916" s="4">
        <v>0</v>
      </c>
      <c r="E1916" s="4">
        <v>46.5</v>
      </c>
      <c r="F1916" s="4">
        <v>66.75</v>
      </c>
      <c r="G1916" s="4">
        <v>30</v>
      </c>
      <c r="H1916" s="4">
        <v>10</v>
      </c>
      <c r="I1916" s="4">
        <v>10</v>
      </c>
      <c r="J1916" s="4">
        <v>0</v>
      </c>
      <c r="K1916" s="4">
        <v>0</v>
      </c>
      <c r="L1916" s="4">
        <v>5</v>
      </c>
      <c r="M1916" s="4">
        <v>10</v>
      </c>
      <c r="N1916" s="4">
        <v>115</v>
      </c>
    </row>
    <row r="1917" spans="1:14">
      <c r="A1917" s="3">
        <v>815199</v>
      </c>
      <c r="B1917" s="3">
        <v>119154</v>
      </c>
      <c r="C1917" s="4">
        <v>0</v>
      </c>
      <c r="D1917" s="4">
        <v>0</v>
      </c>
      <c r="E1917" s="4">
        <v>30</v>
      </c>
      <c r="F1917" s="4">
        <v>60</v>
      </c>
      <c r="G1917" s="4">
        <v>2.5</v>
      </c>
      <c r="H1917" s="4">
        <v>35</v>
      </c>
      <c r="I1917" s="4">
        <v>65</v>
      </c>
      <c r="J1917" s="4">
        <v>0</v>
      </c>
      <c r="K1917" s="4">
        <v>22.5</v>
      </c>
      <c r="L1917" s="4">
        <v>30</v>
      </c>
      <c r="M1917" s="4">
        <v>30</v>
      </c>
      <c r="N1917" s="4">
        <v>20</v>
      </c>
    </row>
    <row r="1918" spans="1:14">
      <c r="A1918" s="3">
        <v>815200</v>
      </c>
      <c r="B1918" s="3">
        <v>119154</v>
      </c>
      <c r="C1918" s="4">
        <v>0</v>
      </c>
      <c r="D1918" s="4">
        <v>0</v>
      </c>
      <c r="E1918" s="4">
        <v>35</v>
      </c>
      <c r="F1918" s="4">
        <v>55</v>
      </c>
      <c r="G1918" s="4">
        <v>25</v>
      </c>
      <c r="H1918" s="4">
        <v>35</v>
      </c>
      <c r="I1918" s="4">
        <v>15</v>
      </c>
      <c r="J1918" s="4">
        <v>0</v>
      </c>
      <c r="K1918" s="4">
        <v>27.5</v>
      </c>
      <c r="L1918" s="4">
        <v>60</v>
      </c>
      <c r="M1918" s="4">
        <v>60</v>
      </c>
      <c r="N1918" s="4">
        <v>90</v>
      </c>
    </row>
    <row r="1919" spans="1:14">
      <c r="A1919" s="3">
        <v>815202</v>
      </c>
      <c r="B1919" s="3">
        <v>179877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10</v>
      </c>
      <c r="J1919" s="4">
        <v>0</v>
      </c>
      <c r="K1919" s="4">
        <v>0</v>
      </c>
      <c r="L1919" s="4">
        <v>0</v>
      </c>
      <c r="M1919" s="4">
        <v>15</v>
      </c>
      <c r="N1919" s="4">
        <v>0</v>
      </c>
    </row>
    <row r="1920" spans="1:14">
      <c r="A1920" s="3">
        <v>815202</v>
      </c>
      <c r="B1920" s="3">
        <v>207405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52.5</v>
      </c>
    </row>
    <row r="1921" spans="1:14">
      <c r="A1921" s="3">
        <v>815210</v>
      </c>
      <c r="B1921" s="3">
        <v>170363</v>
      </c>
      <c r="C1921" s="4">
        <v>0</v>
      </c>
      <c r="D1921" s="4">
        <v>0</v>
      </c>
      <c r="E1921" s="4">
        <v>35</v>
      </c>
      <c r="F1921" s="4">
        <v>0</v>
      </c>
      <c r="G1921" s="4">
        <v>27</v>
      </c>
      <c r="H1921" s="4">
        <v>0</v>
      </c>
      <c r="I1921" s="4">
        <v>10</v>
      </c>
      <c r="J1921" s="4">
        <v>0</v>
      </c>
      <c r="K1921" s="4">
        <v>37.5</v>
      </c>
      <c r="L1921" s="4">
        <v>0</v>
      </c>
      <c r="M1921" s="4">
        <v>17.5</v>
      </c>
      <c r="N1921" s="4">
        <v>16.5</v>
      </c>
    </row>
    <row r="1922" spans="1:14">
      <c r="A1922" s="3">
        <v>815211</v>
      </c>
      <c r="B1922" s="3">
        <v>170132</v>
      </c>
      <c r="C1922" s="4">
        <v>0</v>
      </c>
      <c r="D1922" s="4">
        <v>0</v>
      </c>
      <c r="E1922" s="4">
        <v>0</v>
      </c>
      <c r="F1922" s="4">
        <v>51.5</v>
      </c>
      <c r="G1922" s="4">
        <v>40</v>
      </c>
      <c r="H1922" s="4">
        <v>42.9</v>
      </c>
      <c r="I1922" s="4">
        <v>194</v>
      </c>
      <c r="J1922" s="4">
        <v>35</v>
      </c>
      <c r="K1922" s="4">
        <v>52.5</v>
      </c>
      <c r="L1922" s="4">
        <v>177</v>
      </c>
      <c r="M1922" s="4">
        <v>347</v>
      </c>
      <c r="N1922" s="4">
        <v>239</v>
      </c>
    </row>
    <row r="1923" spans="1:14">
      <c r="A1923" s="3">
        <v>815218</v>
      </c>
      <c r="B1923" s="3">
        <v>170204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20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</row>
    <row r="1924" spans="1:14">
      <c r="A1924" s="3">
        <v>815218</v>
      </c>
      <c r="B1924" s="3">
        <v>171226</v>
      </c>
      <c r="C1924" s="4">
        <v>0</v>
      </c>
      <c r="D1924" s="4">
        <v>0</v>
      </c>
      <c r="E1924" s="4">
        <v>59.5</v>
      </c>
      <c r="F1924" s="4">
        <v>45</v>
      </c>
      <c r="G1924" s="4">
        <v>20</v>
      </c>
      <c r="H1924" s="4">
        <v>0</v>
      </c>
      <c r="I1924" s="4">
        <v>20</v>
      </c>
      <c r="J1924" s="4">
        <v>15</v>
      </c>
      <c r="K1924" s="4">
        <v>48</v>
      </c>
      <c r="L1924" s="4">
        <v>27</v>
      </c>
      <c r="M1924" s="4">
        <v>22</v>
      </c>
      <c r="N1924" s="4">
        <v>42</v>
      </c>
    </row>
    <row r="1925" spans="1:14">
      <c r="A1925" s="3">
        <v>815231</v>
      </c>
      <c r="B1925" s="3">
        <v>206681</v>
      </c>
      <c r="C1925" s="4">
        <v>0</v>
      </c>
      <c r="D1925" s="4">
        <v>0</v>
      </c>
      <c r="E1925" s="4">
        <v>42</v>
      </c>
      <c r="F1925" s="4">
        <v>44.5</v>
      </c>
      <c r="G1925" s="4">
        <v>29.5</v>
      </c>
      <c r="H1925" s="4">
        <v>36</v>
      </c>
      <c r="I1925" s="4">
        <v>18</v>
      </c>
      <c r="J1925" s="4">
        <v>21</v>
      </c>
      <c r="K1925" s="4">
        <v>51.5</v>
      </c>
      <c r="L1925" s="4">
        <v>30</v>
      </c>
      <c r="M1925" s="4">
        <v>10</v>
      </c>
      <c r="N1925" s="4">
        <v>27.5</v>
      </c>
    </row>
    <row r="1926" spans="1:14">
      <c r="A1926" s="3">
        <v>815232</v>
      </c>
      <c r="B1926" s="3">
        <v>144747</v>
      </c>
      <c r="C1926" s="4">
        <v>0</v>
      </c>
      <c r="D1926" s="4">
        <v>0</v>
      </c>
      <c r="E1926" s="4">
        <v>35</v>
      </c>
      <c r="F1926" s="4">
        <v>74</v>
      </c>
      <c r="G1926" s="4">
        <v>52</v>
      </c>
      <c r="H1926" s="4">
        <v>69.5</v>
      </c>
      <c r="I1926" s="4">
        <v>53</v>
      </c>
      <c r="J1926" s="4">
        <v>11</v>
      </c>
      <c r="K1926" s="4">
        <v>102.5</v>
      </c>
      <c r="L1926" s="4">
        <v>100</v>
      </c>
      <c r="M1926" s="4">
        <v>47.5</v>
      </c>
      <c r="N1926" s="4">
        <v>57</v>
      </c>
    </row>
    <row r="1927" spans="1:14">
      <c r="A1927" s="3">
        <v>815236</v>
      </c>
      <c r="B1927" s="3">
        <v>119066</v>
      </c>
      <c r="C1927" s="4">
        <v>0</v>
      </c>
      <c r="D1927" s="4">
        <v>0</v>
      </c>
      <c r="E1927" s="4">
        <v>101.1</v>
      </c>
      <c r="F1927" s="4">
        <v>53</v>
      </c>
      <c r="G1927" s="4">
        <v>51</v>
      </c>
      <c r="H1927" s="4">
        <v>37</v>
      </c>
      <c r="I1927" s="4">
        <v>1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</row>
    <row r="1928" spans="1:14">
      <c r="A1928" s="3">
        <v>815237</v>
      </c>
      <c r="B1928" s="3">
        <v>174176</v>
      </c>
      <c r="C1928" s="4">
        <v>0</v>
      </c>
      <c r="D1928" s="4">
        <v>0</v>
      </c>
      <c r="E1928" s="4">
        <v>10</v>
      </c>
      <c r="F1928" s="4">
        <v>35.35</v>
      </c>
      <c r="G1928" s="4">
        <v>20</v>
      </c>
      <c r="H1928" s="4">
        <v>20</v>
      </c>
      <c r="I1928" s="4">
        <v>33</v>
      </c>
      <c r="J1928" s="4">
        <v>10</v>
      </c>
      <c r="K1928" s="4">
        <v>23</v>
      </c>
      <c r="L1928" s="4">
        <v>30.5</v>
      </c>
      <c r="M1928" s="4">
        <v>10</v>
      </c>
      <c r="N1928" s="4">
        <v>30</v>
      </c>
    </row>
    <row r="1929" spans="1:14">
      <c r="A1929" s="3">
        <v>815253</v>
      </c>
      <c r="B1929" s="3">
        <v>205591</v>
      </c>
      <c r="C1929" s="4">
        <v>0</v>
      </c>
      <c r="D1929" s="4">
        <v>0</v>
      </c>
      <c r="E1929" s="4">
        <v>30</v>
      </c>
      <c r="F1929" s="4">
        <v>112.75</v>
      </c>
      <c r="G1929" s="4">
        <v>103.5</v>
      </c>
      <c r="H1929" s="4">
        <v>59</v>
      </c>
      <c r="I1929" s="4">
        <v>122.5</v>
      </c>
      <c r="J1929" s="4">
        <v>112</v>
      </c>
      <c r="K1929" s="4">
        <v>151</v>
      </c>
      <c r="L1929" s="4">
        <v>150</v>
      </c>
      <c r="M1929" s="4">
        <v>106</v>
      </c>
      <c r="N1929" s="4">
        <v>116.5</v>
      </c>
    </row>
    <row r="1930" spans="1:14">
      <c r="A1930" s="3">
        <v>815254</v>
      </c>
      <c r="B1930" s="3">
        <v>176693</v>
      </c>
      <c r="C1930" s="4">
        <v>0</v>
      </c>
      <c r="D1930" s="4">
        <v>0</v>
      </c>
      <c r="E1930" s="4">
        <v>35</v>
      </c>
      <c r="F1930" s="4">
        <v>144.94999999999999</v>
      </c>
      <c r="G1930" s="4">
        <v>50</v>
      </c>
      <c r="H1930" s="4">
        <v>20</v>
      </c>
      <c r="I1930" s="4">
        <v>15</v>
      </c>
      <c r="J1930" s="4">
        <v>0</v>
      </c>
      <c r="K1930" s="4">
        <v>50</v>
      </c>
      <c r="L1930" s="4">
        <v>65</v>
      </c>
      <c r="M1930" s="4">
        <v>35</v>
      </c>
      <c r="N1930" s="4">
        <v>60.75</v>
      </c>
    </row>
    <row r="1931" spans="1:14">
      <c r="A1931" s="3">
        <v>815256</v>
      </c>
      <c r="B1931" s="3">
        <v>170204</v>
      </c>
      <c r="C1931" s="4">
        <v>0</v>
      </c>
      <c r="D1931" s="4">
        <v>0</v>
      </c>
      <c r="E1931" s="4">
        <v>42</v>
      </c>
      <c r="F1931" s="4">
        <v>260</v>
      </c>
      <c r="G1931" s="4">
        <v>50</v>
      </c>
      <c r="H1931" s="4">
        <v>102.5</v>
      </c>
      <c r="I1931" s="4">
        <v>119</v>
      </c>
      <c r="J1931" s="4">
        <v>42</v>
      </c>
      <c r="K1931" s="4">
        <v>181.85</v>
      </c>
      <c r="L1931" s="4">
        <v>120</v>
      </c>
      <c r="M1931" s="4">
        <v>161</v>
      </c>
      <c r="N1931" s="4">
        <v>229</v>
      </c>
    </row>
    <row r="1932" spans="1:14">
      <c r="A1932" s="3">
        <v>815271</v>
      </c>
      <c r="B1932" s="3">
        <v>170904</v>
      </c>
      <c r="C1932" s="4">
        <v>0</v>
      </c>
      <c r="D1932" s="4">
        <v>0</v>
      </c>
      <c r="E1932" s="4">
        <v>47</v>
      </c>
      <c r="F1932" s="4">
        <v>66</v>
      </c>
      <c r="G1932" s="4">
        <v>81.75</v>
      </c>
      <c r="H1932" s="4">
        <v>65</v>
      </c>
      <c r="I1932" s="4">
        <v>71.650000000000006</v>
      </c>
      <c r="J1932" s="4">
        <v>20</v>
      </c>
      <c r="K1932" s="4">
        <v>62</v>
      </c>
      <c r="L1932" s="4">
        <v>85</v>
      </c>
      <c r="M1932" s="4">
        <v>40</v>
      </c>
      <c r="N1932" s="4">
        <v>71</v>
      </c>
    </row>
    <row r="1933" spans="1:14">
      <c r="A1933" s="3">
        <v>815273</v>
      </c>
      <c r="B1933" s="3">
        <v>207809</v>
      </c>
      <c r="C1933" s="4">
        <v>0</v>
      </c>
      <c r="D1933" s="4">
        <v>0</v>
      </c>
      <c r="E1933" s="4">
        <v>0</v>
      </c>
      <c r="F1933" s="4">
        <v>22.5</v>
      </c>
      <c r="G1933" s="4">
        <v>0</v>
      </c>
      <c r="H1933" s="4">
        <v>7.5</v>
      </c>
      <c r="I1933" s="4">
        <v>22</v>
      </c>
      <c r="J1933" s="4">
        <v>25</v>
      </c>
      <c r="K1933" s="4">
        <v>30</v>
      </c>
      <c r="L1933" s="4">
        <v>30</v>
      </c>
      <c r="M1933" s="4">
        <v>0</v>
      </c>
      <c r="N1933" s="4">
        <v>0</v>
      </c>
    </row>
    <row r="1934" spans="1:14">
      <c r="A1934" s="3">
        <v>815274</v>
      </c>
      <c r="B1934" s="3">
        <v>207977</v>
      </c>
      <c r="C1934" s="4">
        <v>0</v>
      </c>
      <c r="D1934" s="4">
        <v>0</v>
      </c>
      <c r="E1934" s="4">
        <v>0</v>
      </c>
      <c r="F1934" s="4">
        <v>9.5</v>
      </c>
      <c r="G1934" s="4">
        <v>5</v>
      </c>
      <c r="H1934" s="4">
        <v>6</v>
      </c>
      <c r="I1934" s="4">
        <v>5</v>
      </c>
      <c r="J1934" s="4">
        <v>10</v>
      </c>
      <c r="K1934" s="4">
        <v>30</v>
      </c>
      <c r="L1934" s="4">
        <v>35</v>
      </c>
      <c r="M1934" s="4">
        <v>70</v>
      </c>
      <c r="N1934" s="4">
        <v>0</v>
      </c>
    </row>
    <row r="1935" spans="1:14">
      <c r="A1935" s="3">
        <v>815275</v>
      </c>
      <c r="B1935" s="3">
        <v>143114</v>
      </c>
      <c r="C1935" s="4">
        <v>0</v>
      </c>
      <c r="D1935" s="4">
        <v>0</v>
      </c>
      <c r="E1935" s="4">
        <v>0</v>
      </c>
      <c r="F1935" s="4">
        <v>4.5</v>
      </c>
      <c r="G1935" s="4">
        <v>0</v>
      </c>
      <c r="H1935" s="4">
        <v>2</v>
      </c>
      <c r="I1935" s="4">
        <v>0</v>
      </c>
      <c r="J1935" s="4">
        <v>0</v>
      </c>
      <c r="K1935" s="4">
        <v>0</v>
      </c>
      <c r="L1935" s="4">
        <v>10</v>
      </c>
      <c r="M1935" s="4">
        <v>10</v>
      </c>
      <c r="N1935" s="4">
        <v>0</v>
      </c>
    </row>
    <row r="1936" spans="1:14">
      <c r="A1936" s="3">
        <v>815277</v>
      </c>
      <c r="B1936" s="3">
        <v>170775</v>
      </c>
      <c r="C1936" s="4">
        <v>0</v>
      </c>
      <c r="D1936" s="4">
        <v>0</v>
      </c>
      <c r="E1936" s="4">
        <v>0</v>
      </c>
      <c r="F1936" s="4">
        <v>30</v>
      </c>
      <c r="G1936" s="4">
        <v>20</v>
      </c>
      <c r="H1936" s="4">
        <v>0</v>
      </c>
      <c r="I1936" s="4">
        <v>10</v>
      </c>
      <c r="J1936" s="4">
        <v>25</v>
      </c>
      <c r="K1936" s="4">
        <v>35</v>
      </c>
      <c r="L1936" s="4">
        <v>40</v>
      </c>
      <c r="M1936" s="4">
        <v>30</v>
      </c>
      <c r="N1936" s="4">
        <v>20</v>
      </c>
    </row>
    <row r="1937" spans="1:14">
      <c r="A1937" s="3">
        <v>815278</v>
      </c>
      <c r="B1937" s="3">
        <v>206073</v>
      </c>
      <c r="C1937" s="4">
        <v>0</v>
      </c>
      <c r="D1937" s="4">
        <v>0</v>
      </c>
      <c r="E1937" s="4">
        <v>0</v>
      </c>
      <c r="F1937" s="4">
        <v>0</v>
      </c>
      <c r="G1937" s="4">
        <v>50</v>
      </c>
      <c r="H1937" s="4">
        <v>20</v>
      </c>
      <c r="I1937" s="4">
        <v>10</v>
      </c>
      <c r="J1937" s="4">
        <v>5</v>
      </c>
      <c r="K1937" s="4">
        <v>32.5</v>
      </c>
      <c r="L1937" s="4">
        <v>27</v>
      </c>
      <c r="M1937" s="4">
        <v>7.5</v>
      </c>
      <c r="N1937" s="4">
        <v>15</v>
      </c>
    </row>
    <row r="1938" spans="1:14">
      <c r="A1938" s="3">
        <v>815306</v>
      </c>
      <c r="B1938" s="3">
        <v>179891</v>
      </c>
      <c r="C1938" s="4">
        <v>0</v>
      </c>
      <c r="D1938" s="4">
        <v>0</v>
      </c>
      <c r="E1938" s="4">
        <v>45</v>
      </c>
      <c r="F1938" s="4">
        <v>157</v>
      </c>
      <c r="G1938" s="4">
        <v>55</v>
      </c>
      <c r="H1938" s="4">
        <v>65</v>
      </c>
      <c r="I1938" s="4">
        <v>85.35</v>
      </c>
      <c r="J1938" s="4">
        <v>70</v>
      </c>
      <c r="K1938" s="4">
        <v>189</v>
      </c>
      <c r="L1938" s="4">
        <v>65</v>
      </c>
      <c r="M1938" s="4">
        <v>214</v>
      </c>
      <c r="N1938" s="4">
        <v>308</v>
      </c>
    </row>
    <row r="1939" spans="1:14">
      <c r="A1939" s="3">
        <v>815307</v>
      </c>
      <c r="B1939" s="3">
        <v>208638</v>
      </c>
      <c r="C1939" s="4">
        <v>0</v>
      </c>
      <c r="D1939" s="4">
        <v>0</v>
      </c>
      <c r="E1939" s="4">
        <v>5</v>
      </c>
      <c r="F1939" s="4">
        <v>0</v>
      </c>
      <c r="G1939" s="4">
        <v>10</v>
      </c>
      <c r="H1939" s="4">
        <v>12.05</v>
      </c>
      <c r="I1939" s="4">
        <v>8</v>
      </c>
      <c r="J1939" s="4">
        <v>5</v>
      </c>
      <c r="K1939" s="4">
        <v>5</v>
      </c>
      <c r="L1939" s="4">
        <v>0</v>
      </c>
      <c r="M1939" s="4">
        <v>0</v>
      </c>
      <c r="N1939" s="4">
        <v>2</v>
      </c>
    </row>
    <row r="1940" spans="1:14">
      <c r="A1940" s="3">
        <v>815314</v>
      </c>
      <c r="B1940" s="3">
        <v>173298</v>
      </c>
      <c r="C1940" s="4">
        <v>0</v>
      </c>
      <c r="D1940" s="4">
        <v>0</v>
      </c>
      <c r="E1940" s="4">
        <v>0</v>
      </c>
      <c r="F1940" s="4">
        <v>0</v>
      </c>
      <c r="G1940" s="4">
        <v>30</v>
      </c>
      <c r="H1940" s="4">
        <v>20</v>
      </c>
      <c r="I1940" s="4">
        <v>30</v>
      </c>
      <c r="J1940" s="4">
        <v>40</v>
      </c>
      <c r="K1940" s="4">
        <v>0</v>
      </c>
      <c r="L1940" s="4">
        <v>0</v>
      </c>
      <c r="M1940" s="4">
        <v>25</v>
      </c>
      <c r="N1940" s="4">
        <v>0</v>
      </c>
    </row>
    <row r="1941" spans="1:14">
      <c r="A1941" s="3">
        <v>815342</v>
      </c>
      <c r="B1941" s="3">
        <v>205620</v>
      </c>
      <c r="C1941" s="4">
        <v>0</v>
      </c>
      <c r="D1941" s="4">
        <v>0</v>
      </c>
      <c r="E1941" s="4">
        <v>0</v>
      </c>
      <c r="F1941" s="4">
        <v>10.5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</row>
    <row r="1942" spans="1:14">
      <c r="A1942" s="3">
        <v>815342</v>
      </c>
      <c r="B1942" s="3">
        <v>208638</v>
      </c>
      <c r="C1942" s="4">
        <v>0</v>
      </c>
      <c r="D1942" s="4">
        <v>0</v>
      </c>
      <c r="E1942" s="4">
        <v>10</v>
      </c>
      <c r="F1942" s="4">
        <v>76</v>
      </c>
      <c r="G1942" s="4">
        <v>59.5</v>
      </c>
      <c r="H1942" s="4">
        <v>115</v>
      </c>
      <c r="I1942" s="4">
        <v>169.65</v>
      </c>
      <c r="J1942" s="4">
        <v>33</v>
      </c>
      <c r="K1942" s="4">
        <v>54.25</v>
      </c>
      <c r="L1942" s="4">
        <v>140.5</v>
      </c>
      <c r="M1942" s="4">
        <v>216.5</v>
      </c>
      <c r="N1942" s="4">
        <v>310.5</v>
      </c>
    </row>
    <row r="1943" spans="1:14">
      <c r="A1943" s="3">
        <v>815354</v>
      </c>
      <c r="B1943" s="3">
        <v>172497</v>
      </c>
      <c r="C1943" s="4">
        <v>0</v>
      </c>
      <c r="D1943" s="4">
        <v>0</v>
      </c>
      <c r="E1943" s="4">
        <v>0</v>
      </c>
      <c r="F1943" s="4">
        <v>5</v>
      </c>
      <c r="G1943" s="4">
        <v>0</v>
      </c>
      <c r="H1943" s="4">
        <v>10</v>
      </c>
      <c r="I1943" s="4">
        <v>10</v>
      </c>
      <c r="J1943" s="4">
        <v>20</v>
      </c>
      <c r="K1943" s="4">
        <v>2.5</v>
      </c>
      <c r="L1943" s="4">
        <v>0</v>
      </c>
      <c r="M1943" s="4">
        <v>0</v>
      </c>
      <c r="N1943" s="4">
        <v>0</v>
      </c>
    </row>
    <row r="1944" spans="1:14">
      <c r="A1944" s="3">
        <v>815355</v>
      </c>
      <c r="B1944" s="3">
        <v>174271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20</v>
      </c>
      <c r="M1944" s="4">
        <v>157</v>
      </c>
      <c r="N1944" s="4">
        <v>65</v>
      </c>
    </row>
    <row r="1945" spans="1:14">
      <c r="A1945" s="3">
        <v>815356</v>
      </c>
      <c r="B1945" s="3">
        <v>207945</v>
      </c>
      <c r="C1945" s="4">
        <v>0</v>
      </c>
      <c r="D1945" s="4">
        <v>0</v>
      </c>
      <c r="E1945" s="4">
        <v>0</v>
      </c>
      <c r="F1945" s="4">
        <v>101.75</v>
      </c>
      <c r="G1945" s="4">
        <v>15</v>
      </c>
      <c r="H1945" s="4">
        <v>63.5</v>
      </c>
      <c r="I1945" s="4">
        <v>10</v>
      </c>
      <c r="J1945" s="4">
        <v>17.5</v>
      </c>
      <c r="K1945" s="4">
        <v>10</v>
      </c>
      <c r="L1945" s="4">
        <v>0</v>
      </c>
      <c r="M1945" s="4">
        <v>0</v>
      </c>
      <c r="N1945" s="4">
        <v>0</v>
      </c>
    </row>
    <row r="1946" spans="1:14">
      <c r="A1946" s="3">
        <v>815393</v>
      </c>
      <c r="B1946" s="3">
        <v>205225</v>
      </c>
      <c r="C1946" s="4">
        <v>0</v>
      </c>
      <c r="D1946" s="4">
        <v>0</v>
      </c>
      <c r="E1946" s="4">
        <v>0</v>
      </c>
      <c r="F1946" s="4">
        <v>5</v>
      </c>
      <c r="G1946" s="4">
        <v>23.5</v>
      </c>
      <c r="H1946" s="4">
        <v>54.5</v>
      </c>
      <c r="I1946" s="4">
        <v>5</v>
      </c>
      <c r="J1946" s="4">
        <v>92.5</v>
      </c>
      <c r="K1946" s="4">
        <v>122.25</v>
      </c>
      <c r="L1946" s="4">
        <v>84</v>
      </c>
      <c r="M1946" s="4">
        <v>168.75</v>
      </c>
      <c r="N1946" s="4">
        <v>194.1</v>
      </c>
    </row>
    <row r="1947" spans="1:14">
      <c r="A1947" s="3">
        <v>815394</v>
      </c>
      <c r="B1947" s="3">
        <v>172798</v>
      </c>
      <c r="C1947" s="4">
        <v>0</v>
      </c>
      <c r="D1947" s="4">
        <v>0</v>
      </c>
      <c r="E1947" s="4">
        <v>0</v>
      </c>
      <c r="F1947" s="4">
        <v>35</v>
      </c>
      <c r="G1947" s="4">
        <v>80</v>
      </c>
      <c r="H1947" s="4">
        <v>15</v>
      </c>
      <c r="I1947" s="4">
        <v>55</v>
      </c>
      <c r="J1947" s="4">
        <v>0</v>
      </c>
      <c r="K1947" s="4">
        <v>24</v>
      </c>
      <c r="L1947" s="4">
        <v>60</v>
      </c>
      <c r="M1947" s="4">
        <v>80</v>
      </c>
      <c r="N1947" s="4">
        <v>93</v>
      </c>
    </row>
    <row r="1948" spans="1:14">
      <c r="A1948" s="3">
        <v>815395</v>
      </c>
      <c r="B1948" s="3">
        <v>142269</v>
      </c>
      <c r="C1948" s="4">
        <v>0</v>
      </c>
      <c r="D1948" s="4">
        <v>0</v>
      </c>
      <c r="E1948" s="4">
        <v>0</v>
      </c>
      <c r="F1948" s="4">
        <v>0</v>
      </c>
      <c r="G1948" s="4">
        <v>25</v>
      </c>
      <c r="H1948" s="4">
        <v>0</v>
      </c>
      <c r="I1948" s="4">
        <v>35</v>
      </c>
      <c r="J1948" s="4">
        <v>0</v>
      </c>
      <c r="K1948" s="4">
        <v>22.5</v>
      </c>
      <c r="L1948" s="4">
        <v>0</v>
      </c>
      <c r="M1948" s="4">
        <v>10</v>
      </c>
      <c r="N1948" s="4">
        <v>0</v>
      </c>
    </row>
    <row r="1949" spans="1:14">
      <c r="A1949" s="3">
        <v>815400</v>
      </c>
      <c r="B1949" s="3">
        <v>202387</v>
      </c>
      <c r="C1949" s="4">
        <v>0</v>
      </c>
      <c r="D1949" s="4">
        <v>0</v>
      </c>
      <c r="E1949" s="4">
        <v>0</v>
      </c>
      <c r="F1949" s="4">
        <v>21.5</v>
      </c>
      <c r="G1949" s="4">
        <v>38</v>
      </c>
      <c r="H1949" s="4">
        <v>10</v>
      </c>
      <c r="I1949" s="4">
        <v>6</v>
      </c>
      <c r="J1949" s="4">
        <v>10</v>
      </c>
      <c r="K1949" s="4">
        <v>29.5</v>
      </c>
      <c r="L1949" s="4">
        <v>5</v>
      </c>
      <c r="M1949" s="4">
        <v>21</v>
      </c>
      <c r="N1949" s="4">
        <v>36</v>
      </c>
    </row>
    <row r="1950" spans="1:14">
      <c r="A1950" s="3">
        <v>815401</v>
      </c>
      <c r="B1950" s="3">
        <v>204307</v>
      </c>
      <c r="C1950" s="4">
        <v>0</v>
      </c>
      <c r="D1950" s="4">
        <v>0</v>
      </c>
      <c r="E1950" s="4">
        <v>0</v>
      </c>
      <c r="F1950" s="4">
        <v>80</v>
      </c>
      <c r="G1950" s="4">
        <v>113.75</v>
      </c>
      <c r="H1950" s="4">
        <v>67.5</v>
      </c>
      <c r="I1950" s="4">
        <v>33</v>
      </c>
      <c r="J1950" s="4">
        <v>63.5</v>
      </c>
      <c r="K1950" s="4">
        <v>89.5</v>
      </c>
      <c r="L1950" s="4">
        <v>56</v>
      </c>
      <c r="M1950" s="4">
        <v>114.5</v>
      </c>
      <c r="N1950" s="4">
        <v>52.25</v>
      </c>
    </row>
    <row r="1951" spans="1:14">
      <c r="A1951" s="3">
        <v>815402</v>
      </c>
      <c r="B1951" s="3">
        <v>173729</v>
      </c>
      <c r="C1951" s="4">
        <v>0</v>
      </c>
      <c r="D1951" s="4">
        <v>0</v>
      </c>
      <c r="E1951" s="4">
        <v>0</v>
      </c>
      <c r="F1951" s="4">
        <v>70</v>
      </c>
      <c r="G1951" s="4">
        <v>35</v>
      </c>
      <c r="H1951" s="4">
        <v>39.5</v>
      </c>
      <c r="I1951" s="4">
        <v>100</v>
      </c>
      <c r="J1951" s="4">
        <v>0</v>
      </c>
      <c r="K1951" s="4">
        <v>147.5</v>
      </c>
      <c r="L1951" s="4">
        <v>112.5</v>
      </c>
      <c r="M1951" s="4">
        <v>75</v>
      </c>
      <c r="N1951" s="4">
        <v>257.5</v>
      </c>
    </row>
    <row r="1952" spans="1:14">
      <c r="A1952" s="3">
        <v>815408</v>
      </c>
      <c r="B1952" s="3">
        <v>201172</v>
      </c>
      <c r="C1952" s="4">
        <v>0</v>
      </c>
      <c r="D1952" s="4">
        <v>0</v>
      </c>
      <c r="E1952" s="4">
        <v>0</v>
      </c>
      <c r="F1952" s="4">
        <v>47.5</v>
      </c>
      <c r="G1952" s="4">
        <v>46</v>
      </c>
      <c r="H1952" s="4">
        <v>17.5</v>
      </c>
      <c r="I1952" s="4">
        <v>27.5</v>
      </c>
      <c r="J1952" s="4">
        <v>0</v>
      </c>
      <c r="K1952" s="4">
        <v>11</v>
      </c>
      <c r="L1952" s="4">
        <v>10</v>
      </c>
      <c r="M1952" s="4">
        <v>22.5</v>
      </c>
      <c r="N1952" s="4">
        <v>30</v>
      </c>
    </row>
    <row r="1953" spans="1:14">
      <c r="A1953" s="3">
        <v>815416</v>
      </c>
      <c r="B1953" s="3">
        <v>140855</v>
      </c>
      <c r="C1953" s="4">
        <v>0</v>
      </c>
      <c r="D1953" s="4">
        <v>0</v>
      </c>
      <c r="E1953" s="4">
        <v>0</v>
      </c>
      <c r="F1953" s="4">
        <v>39</v>
      </c>
      <c r="G1953" s="4">
        <v>16.5</v>
      </c>
      <c r="H1953" s="4">
        <v>0</v>
      </c>
      <c r="I1953" s="4">
        <v>0</v>
      </c>
      <c r="J1953" s="4">
        <v>0</v>
      </c>
      <c r="K1953" s="4">
        <v>30</v>
      </c>
      <c r="L1953" s="4">
        <v>10</v>
      </c>
      <c r="M1953" s="4">
        <v>15</v>
      </c>
      <c r="N1953" s="4">
        <v>0</v>
      </c>
    </row>
    <row r="1954" spans="1:14">
      <c r="A1954" s="3">
        <v>815417</v>
      </c>
      <c r="B1954" s="3">
        <v>207787</v>
      </c>
      <c r="C1954" s="4">
        <v>0</v>
      </c>
      <c r="D1954" s="4">
        <v>0</v>
      </c>
      <c r="E1954" s="4">
        <v>0</v>
      </c>
      <c r="F1954" s="4">
        <v>3</v>
      </c>
      <c r="G1954" s="4">
        <v>17</v>
      </c>
      <c r="H1954" s="4">
        <v>18</v>
      </c>
      <c r="I1954" s="4">
        <v>20.5</v>
      </c>
      <c r="J1954" s="4">
        <v>28</v>
      </c>
      <c r="K1954" s="4">
        <v>7.5</v>
      </c>
      <c r="L1954" s="4">
        <v>0</v>
      </c>
      <c r="M1954" s="4">
        <v>0</v>
      </c>
      <c r="N1954" s="4">
        <v>0</v>
      </c>
    </row>
    <row r="1955" spans="1:14">
      <c r="A1955" s="3">
        <v>815418</v>
      </c>
      <c r="B1955" s="3">
        <v>140958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70</v>
      </c>
      <c r="L1955" s="4">
        <v>30</v>
      </c>
      <c r="M1955" s="4">
        <v>41</v>
      </c>
      <c r="N1955" s="4">
        <v>35</v>
      </c>
    </row>
    <row r="1956" spans="1:14">
      <c r="A1956" s="3">
        <v>815420</v>
      </c>
      <c r="B1956" s="3">
        <v>170204</v>
      </c>
      <c r="C1956" s="4">
        <v>0</v>
      </c>
      <c r="D1956" s="4">
        <v>0</v>
      </c>
      <c r="E1956" s="4">
        <v>0</v>
      </c>
      <c r="F1956" s="4">
        <v>70</v>
      </c>
      <c r="G1956" s="4">
        <v>20</v>
      </c>
      <c r="H1956" s="4">
        <v>99</v>
      </c>
      <c r="I1956" s="4">
        <v>130</v>
      </c>
      <c r="J1956" s="4">
        <v>15</v>
      </c>
      <c r="K1956" s="4">
        <v>142</v>
      </c>
      <c r="L1956" s="4">
        <v>45</v>
      </c>
      <c r="M1956" s="4">
        <v>84</v>
      </c>
      <c r="N1956" s="4">
        <v>62</v>
      </c>
    </row>
    <row r="1957" spans="1:14">
      <c r="A1957" s="3">
        <v>815421</v>
      </c>
      <c r="B1957" s="3">
        <v>149765</v>
      </c>
      <c r="C1957" s="4">
        <v>0</v>
      </c>
      <c r="D1957" s="4">
        <v>0</v>
      </c>
      <c r="E1957" s="4">
        <v>0</v>
      </c>
      <c r="F1957" s="4">
        <v>50</v>
      </c>
      <c r="G1957" s="4">
        <v>40</v>
      </c>
      <c r="H1957" s="4">
        <v>50</v>
      </c>
      <c r="I1957" s="4">
        <v>37</v>
      </c>
      <c r="J1957" s="4">
        <v>60</v>
      </c>
      <c r="K1957" s="4">
        <v>50</v>
      </c>
      <c r="L1957" s="4">
        <v>40</v>
      </c>
      <c r="M1957" s="4">
        <v>50</v>
      </c>
      <c r="N1957" s="4">
        <v>30</v>
      </c>
    </row>
    <row r="1958" spans="1:14">
      <c r="A1958" s="3">
        <v>815422</v>
      </c>
      <c r="B1958" s="3">
        <v>149885</v>
      </c>
      <c r="C1958" s="4">
        <v>0</v>
      </c>
      <c r="D1958" s="4">
        <v>0</v>
      </c>
      <c r="E1958" s="4">
        <v>0</v>
      </c>
      <c r="F1958" s="4">
        <v>122.5</v>
      </c>
      <c r="G1958" s="4">
        <v>123.25</v>
      </c>
      <c r="H1958" s="4">
        <v>82</v>
      </c>
      <c r="I1958" s="4">
        <v>91.5</v>
      </c>
      <c r="J1958" s="4">
        <v>79</v>
      </c>
      <c r="K1958" s="4">
        <v>67.5</v>
      </c>
      <c r="L1958" s="4">
        <v>67</v>
      </c>
      <c r="M1958" s="4">
        <v>55.45</v>
      </c>
      <c r="N1958" s="4">
        <v>79.5</v>
      </c>
    </row>
    <row r="1959" spans="1:14">
      <c r="A1959" s="3">
        <v>815422</v>
      </c>
      <c r="B1959" s="3">
        <v>202855</v>
      </c>
      <c r="C1959" s="4">
        <v>0</v>
      </c>
      <c r="D1959" s="4">
        <v>0</v>
      </c>
      <c r="E1959" s="4">
        <v>0</v>
      </c>
      <c r="F1959" s="4">
        <v>5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</row>
    <row r="1960" spans="1:14">
      <c r="A1960" s="3">
        <v>815423</v>
      </c>
      <c r="B1960" s="3">
        <v>149885</v>
      </c>
      <c r="C1960" s="4">
        <v>0</v>
      </c>
      <c r="D1960" s="4">
        <v>0</v>
      </c>
      <c r="E1960" s="4">
        <v>0</v>
      </c>
      <c r="F1960" s="4">
        <v>60</v>
      </c>
      <c r="G1960" s="4">
        <v>61</v>
      </c>
      <c r="H1960" s="4">
        <v>7.5</v>
      </c>
      <c r="I1960" s="4">
        <v>53.65</v>
      </c>
      <c r="J1960" s="4">
        <v>7.5</v>
      </c>
      <c r="K1960" s="4">
        <v>60</v>
      </c>
      <c r="L1960" s="4">
        <v>60</v>
      </c>
      <c r="M1960" s="4">
        <v>62.5</v>
      </c>
      <c r="N1960" s="4">
        <v>59.05</v>
      </c>
    </row>
    <row r="1961" spans="1:14">
      <c r="A1961" s="3">
        <v>815424</v>
      </c>
      <c r="B1961" s="3">
        <v>170204</v>
      </c>
      <c r="C1961" s="4">
        <v>0</v>
      </c>
      <c r="D1961" s="4">
        <v>0</v>
      </c>
      <c r="E1961" s="4">
        <v>0</v>
      </c>
      <c r="F1961" s="4">
        <v>97</v>
      </c>
      <c r="G1961" s="4">
        <v>20</v>
      </c>
      <c r="H1961" s="4">
        <v>44</v>
      </c>
      <c r="I1961" s="4">
        <v>0</v>
      </c>
      <c r="J1961" s="4">
        <v>62</v>
      </c>
      <c r="K1961" s="4">
        <v>95</v>
      </c>
      <c r="L1961" s="4">
        <v>45</v>
      </c>
      <c r="M1961" s="4">
        <v>35</v>
      </c>
      <c r="N1961" s="4">
        <v>241</v>
      </c>
    </row>
    <row r="1962" spans="1:14">
      <c r="A1962" s="3">
        <v>815425</v>
      </c>
      <c r="B1962" s="3">
        <v>178236</v>
      </c>
      <c r="C1962" s="4">
        <v>0</v>
      </c>
      <c r="D1962" s="4">
        <v>0</v>
      </c>
      <c r="E1962" s="4">
        <v>0</v>
      </c>
      <c r="F1962" s="4">
        <v>155</v>
      </c>
      <c r="G1962" s="4">
        <v>162.25</v>
      </c>
      <c r="H1962" s="4">
        <v>124.75</v>
      </c>
      <c r="I1962" s="4">
        <v>30</v>
      </c>
      <c r="J1962" s="4">
        <v>58</v>
      </c>
      <c r="K1962" s="4">
        <v>89</v>
      </c>
      <c r="L1962" s="4">
        <v>198</v>
      </c>
      <c r="M1962" s="4">
        <v>97</v>
      </c>
      <c r="N1962" s="4">
        <v>295</v>
      </c>
    </row>
    <row r="1963" spans="1:14">
      <c r="A1963" s="3">
        <v>815426</v>
      </c>
      <c r="B1963" s="3">
        <v>202994</v>
      </c>
      <c r="C1963" s="4">
        <v>0</v>
      </c>
      <c r="D1963" s="4">
        <v>0</v>
      </c>
      <c r="E1963" s="4">
        <v>0</v>
      </c>
      <c r="F1963" s="4">
        <v>16.5</v>
      </c>
      <c r="G1963" s="4">
        <v>24.85</v>
      </c>
      <c r="H1963" s="4">
        <v>28</v>
      </c>
      <c r="I1963" s="4">
        <v>28.5</v>
      </c>
      <c r="J1963" s="4">
        <v>11.5</v>
      </c>
      <c r="K1963" s="4">
        <v>19</v>
      </c>
      <c r="L1963" s="4">
        <v>25</v>
      </c>
      <c r="M1963" s="4">
        <v>12.5</v>
      </c>
      <c r="N1963" s="4">
        <v>37.5</v>
      </c>
    </row>
    <row r="1964" spans="1:14">
      <c r="A1964" s="3">
        <v>815427</v>
      </c>
      <c r="B1964" s="3">
        <v>149885</v>
      </c>
      <c r="C1964" s="4">
        <v>0</v>
      </c>
      <c r="D1964" s="4">
        <v>0</v>
      </c>
      <c r="E1964" s="4">
        <v>0</v>
      </c>
      <c r="F1964" s="4">
        <v>52.5</v>
      </c>
      <c r="G1964" s="4">
        <v>107.5</v>
      </c>
      <c r="H1964" s="4">
        <v>59.5</v>
      </c>
      <c r="I1964" s="4">
        <v>83.5</v>
      </c>
      <c r="J1964" s="4">
        <v>42.5</v>
      </c>
      <c r="K1964" s="4">
        <v>107.5</v>
      </c>
      <c r="L1964" s="4">
        <v>59.5</v>
      </c>
      <c r="M1964" s="4">
        <v>15</v>
      </c>
      <c r="N1964" s="4">
        <v>133.5</v>
      </c>
    </row>
    <row r="1965" spans="1:14">
      <c r="A1965" s="3">
        <v>815427</v>
      </c>
      <c r="B1965" s="3">
        <v>202855</v>
      </c>
      <c r="C1965" s="4">
        <v>0</v>
      </c>
      <c r="D1965" s="4">
        <v>0</v>
      </c>
      <c r="E1965" s="4">
        <v>0</v>
      </c>
      <c r="F1965" s="4">
        <v>5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</row>
    <row r="1966" spans="1:14">
      <c r="A1966" s="3">
        <v>815428</v>
      </c>
      <c r="B1966" s="3">
        <v>170204</v>
      </c>
      <c r="C1966" s="4">
        <v>0</v>
      </c>
      <c r="D1966" s="4">
        <v>0</v>
      </c>
      <c r="E1966" s="4">
        <v>0</v>
      </c>
      <c r="F1966" s="4">
        <v>129</v>
      </c>
      <c r="G1966" s="4">
        <v>40</v>
      </c>
      <c r="H1966" s="4">
        <v>27.5</v>
      </c>
      <c r="I1966" s="4">
        <v>77</v>
      </c>
      <c r="J1966" s="4">
        <v>0</v>
      </c>
      <c r="K1966" s="4">
        <v>10</v>
      </c>
      <c r="L1966" s="4">
        <v>35</v>
      </c>
      <c r="M1966" s="4">
        <v>42</v>
      </c>
      <c r="N1966" s="4">
        <v>50</v>
      </c>
    </row>
    <row r="1967" spans="1:14">
      <c r="A1967" s="3">
        <v>815429</v>
      </c>
      <c r="B1967" s="3">
        <v>170204</v>
      </c>
      <c r="C1967" s="4">
        <v>0</v>
      </c>
      <c r="D1967" s="4">
        <v>0</v>
      </c>
      <c r="E1967" s="4">
        <v>0</v>
      </c>
      <c r="F1967" s="4">
        <v>110</v>
      </c>
      <c r="G1967" s="4">
        <v>20</v>
      </c>
      <c r="H1967" s="4">
        <v>90</v>
      </c>
      <c r="I1967" s="4">
        <v>42</v>
      </c>
      <c r="J1967" s="4">
        <v>0</v>
      </c>
      <c r="K1967" s="4">
        <v>0</v>
      </c>
      <c r="L1967" s="4">
        <v>0</v>
      </c>
      <c r="M1967" s="4">
        <v>0</v>
      </c>
      <c r="N1967" s="4">
        <v>10</v>
      </c>
    </row>
    <row r="1968" spans="1:14">
      <c r="A1968" s="3">
        <v>815430</v>
      </c>
      <c r="B1968" s="3">
        <v>170204</v>
      </c>
      <c r="C1968" s="4">
        <v>0</v>
      </c>
      <c r="D1968" s="4">
        <v>0</v>
      </c>
      <c r="E1968" s="4">
        <v>0</v>
      </c>
      <c r="F1968" s="4">
        <v>158</v>
      </c>
      <c r="G1968" s="4">
        <v>41</v>
      </c>
      <c r="H1968" s="4">
        <v>188</v>
      </c>
      <c r="I1968" s="4">
        <v>246</v>
      </c>
      <c r="J1968" s="4">
        <v>161</v>
      </c>
      <c r="K1968" s="4">
        <v>105</v>
      </c>
      <c r="L1968" s="4">
        <v>209</v>
      </c>
      <c r="M1968" s="4">
        <v>188.5</v>
      </c>
      <c r="N1968" s="4">
        <v>387.5</v>
      </c>
    </row>
    <row r="1969" spans="1:14">
      <c r="A1969" s="3">
        <v>815431</v>
      </c>
      <c r="B1969" s="3">
        <v>205969</v>
      </c>
      <c r="C1969" s="4">
        <v>0</v>
      </c>
      <c r="D1969" s="4">
        <v>0</v>
      </c>
      <c r="E1969" s="4">
        <v>0</v>
      </c>
      <c r="F1969" s="4">
        <v>54.5</v>
      </c>
      <c r="G1969" s="4">
        <v>41.5</v>
      </c>
      <c r="H1969" s="4">
        <v>40</v>
      </c>
      <c r="I1969" s="4">
        <v>35</v>
      </c>
      <c r="J1969" s="4">
        <v>27.6</v>
      </c>
      <c r="K1969" s="4">
        <v>70</v>
      </c>
      <c r="L1969" s="4">
        <v>63.5</v>
      </c>
      <c r="M1969" s="4">
        <v>42.5</v>
      </c>
      <c r="N1969" s="4">
        <v>32.5</v>
      </c>
    </row>
    <row r="1970" spans="1:14">
      <c r="A1970" s="3">
        <v>815438</v>
      </c>
      <c r="B1970" s="3">
        <v>208284</v>
      </c>
      <c r="C1970" s="4">
        <v>0</v>
      </c>
      <c r="D1970" s="4">
        <v>0</v>
      </c>
      <c r="E1970" s="4">
        <v>0</v>
      </c>
      <c r="F1970" s="4">
        <v>21.5</v>
      </c>
      <c r="G1970" s="4">
        <v>10</v>
      </c>
      <c r="H1970" s="4">
        <v>10</v>
      </c>
      <c r="I1970" s="4">
        <v>0</v>
      </c>
      <c r="J1970" s="4">
        <v>0</v>
      </c>
      <c r="K1970" s="4">
        <v>0</v>
      </c>
      <c r="L1970" s="4">
        <v>5.2</v>
      </c>
      <c r="M1970" s="4">
        <v>0</v>
      </c>
      <c r="N1970" s="4">
        <v>8.5</v>
      </c>
    </row>
    <row r="1971" spans="1:14">
      <c r="A1971" s="3">
        <v>815439</v>
      </c>
      <c r="B1971" s="3">
        <v>170392</v>
      </c>
      <c r="C1971" s="4">
        <v>0</v>
      </c>
      <c r="D1971" s="4">
        <v>0</v>
      </c>
      <c r="E1971" s="4">
        <v>0</v>
      </c>
      <c r="F1971" s="4">
        <v>324.5</v>
      </c>
      <c r="G1971" s="4">
        <v>303.5</v>
      </c>
      <c r="H1971" s="4">
        <v>322</v>
      </c>
      <c r="I1971" s="4">
        <v>232.5</v>
      </c>
      <c r="J1971" s="4">
        <v>180.5</v>
      </c>
      <c r="K1971" s="4">
        <v>502.6</v>
      </c>
      <c r="L1971" s="4">
        <v>332</v>
      </c>
      <c r="M1971" s="4">
        <v>377.75</v>
      </c>
      <c r="N1971" s="4">
        <v>337.25</v>
      </c>
    </row>
    <row r="1972" spans="1:14">
      <c r="A1972" s="3">
        <v>815440</v>
      </c>
      <c r="B1972" s="3">
        <v>144996</v>
      </c>
      <c r="C1972" s="4">
        <v>0</v>
      </c>
      <c r="D1972" s="4">
        <v>0</v>
      </c>
      <c r="E1972" s="4">
        <v>0</v>
      </c>
      <c r="F1972" s="4">
        <v>32.5</v>
      </c>
      <c r="G1972" s="4">
        <v>22</v>
      </c>
      <c r="H1972" s="4">
        <v>54</v>
      </c>
      <c r="I1972" s="4">
        <v>21</v>
      </c>
      <c r="J1972" s="4">
        <v>65.5</v>
      </c>
      <c r="K1972" s="4">
        <v>27</v>
      </c>
      <c r="L1972" s="4">
        <v>63</v>
      </c>
      <c r="M1972" s="4">
        <v>73.5</v>
      </c>
      <c r="N1972" s="4">
        <v>66</v>
      </c>
    </row>
    <row r="1973" spans="1:14">
      <c r="A1973" s="3">
        <v>815441</v>
      </c>
      <c r="B1973" s="3">
        <v>172640</v>
      </c>
      <c r="C1973" s="4">
        <v>0</v>
      </c>
      <c r="D1973" s="4">
        <v>0</v>
      </c>
      <c r="E1973" s="4">
        <v>0</v>
      </c>
      <c r="F1973" s="4">
        <v>250</v>
      </c>
      <c r="G1973" s="4">
        <v>135.75</v>
      </c>
      <c r="H1973" s="4">
        <v>173</v>
      </c>
      <c r="I1973" s="4">
        <v>75</v>
      </c>
      <c r="J1973" s="4">
        <v>15</v>
      </c>
      <c r="K1973" s="4">
        <v>51</v>
      </c>
      <c r="L1973" s="4">
        <v>10</v>
      </c>
      <c r="M1973" s="4">
        <v>55</v>
      </c>
      <c r="N1973" s="4">
        <v>160</v>
      </c>
    </row>
    <row r="1974" spans="1:14">
      <c r="A1974" s="3">
        <v>815451</v>
      </c>
      <c r="B1974" s="3">
        <v>207643</v>
      </c>
      <c r="C1974" s="4">
        <v>0</v>
      </c>
      <c r="D1974" s="4">
        <v>0</v>
      </c>
      <c r="E1974" s="4">
        <v>0</v>
      </c>
      <c r="F1974" s="4">
        <v>80.95</v>
      </c>
      <c r="G1974" s="4">
        <v>35</v>
      </c>
      <c r="H1974" s="4">
        <v>30</v>
      </c>
      <c r="I1974" s="4">
        <v>2</v>
      </c>
      <c r="J1974" s="4">
        <v>23</v>
      </c>
      <c r="K1974" s="4">
        <v>47.5</v>
      </c>
      <c r="L1974" s="4">
        <v>43.5</v>
      </c>
      <c r="M1974" s="4">
        <v>20</v>
      </c>
      <c r="N1974" s="4">
        <v>0</v>
      </c>
    </row>
    <row r="1975" spans="1:14">
      <c r="A1975" s="3">
        <v>815466</v>
      </c>
      <c r="B1975" s="3">
        <v>202428</v>
      </c>
      <c r="C1975" s="4">
        <v>0</v>
      </c>
      <c r="D1975" s="4">
        <v>0</v>
      </c>
      <c r="E1975" s="4">
        <v>0</v>
      </c>
      <c r="F1975" s="4">
        <v>60.5</v>
      </c>
      <c r="G1975" s="4">
        <v>47.9</v>
      </c>
      <c r="H1975" s="4">
        <v>31.5</v>
      </c>
      <c r="I1975" s="4">
        <v>17.5</v>
      </c>
      <c r="J1975" s="4">
        <v>0</v>
      </c>
      <c r="K1975" s="4">
        <v>34</v>
      </c>
      <c r="L1975" s="4">
        <v>0</v>
      </c>
      <c r="M1975" s="4">
        <v>0</v>
      </c>
      <c r="N1975" s="4">
        <v>0</v>
      </c>
    </row>
    <row r="1976" spans="1:14">
      <c r="A1976" s="3">
        <v>815467</v>
      </c>
      <c r="B1976" s="3">
        <v>203236</v>
      </c>
      <c r="C1976" s="4">
        <v>0</v>
      </c>
      <c r="D1976" s="4">
        <v>0</v>
      </c>
      <c r="E1976" s="4">
        <v>0</v>
      </c>
      <c r="F1976" s="4">
        <v>44</v>
      </c>
      <c r="G1976" s="4">
        <v>65</v>
      </c>
      <c r="H1976" s="4">
        <v>30</v>
      </c>
      <c r="I1976" s="4">
        <v>65</v>
      </c>
      <c r="J1976" s="4">
        <v>81</v>
      </c>
      <c r="K1976" s="4">
        <v>138</v>
      </c>
      <c r="L1976" s="4">
        <v>33.25</v>
      </c>
      <c r="M1976" s="4">
        <v>85</v>
      </c>
      <c r="N1976" s="4">
        <v>138.25</v>
      </c>
    </row>
    <row r="1977" spans="1:14">
      <c r="A1977" s="3">
        <v>815468</v>
      </c>
      <c r="B1977" s="3">
        <v>178234</v>
      </c>
      <c r="C1977" s="4">
        <v>0</v>
      </c>
      <c r="D1977" s="4">
        <v>0</v>
      </c>
      <c r="E1977" s="4">
        <v>0</v>
      </c>
      <c r="F1977" s="4">
        <v>0</v>
      </c>
      <c r="G1977" s="4">
        <v>15</v>
      </c>
      <c r="H1977" s="4">
        <v>20</v>
      </c>
      <c r="I1977" s="4">
        <v>0</v>
      </c>
      <c r="J1977" s="4">
        <v>0</v>
      </c>
      <c r="K1977" s="4">
        <v>38</v>
      </c>
      <c r="L1977" s="4">
        <v>0</v>
      </c>
      <c r="M1977" s="4">
        <v>14.5</v>
      </c>
      <c r="N1977" s="4">
        <v>38.5</v>
      </c>
    </row>
    <row r="1978" spans="1:14">
      <c r="A1978" s="3">
        <v>815468</v>
      </c>
      <c r="B1978" s="3">
        <v>203236</v>
      </c>
      <c r="C1978" s="4">
        <v>0</v>
      </c>
      <c r="D1978" s="4">
        <v>0</v>
      </c>
      <c r="E1978" s="4">
        <v>0</v>
      </c>
      <c r="F1978" s="4">
        <v>10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</row>
    <row r="1979" spans="1:14">
      <c r="A1979" s="3">
        <v>815469</v>
      </c>
      <c r="B1979" s="3">
        <v>208776</v>
      </c>
      <c r="C1979" s="4">
        <v>0</v>
      </c>
      <c r="D1979" s="4">
        <v>0</v>
      </c>
      <c r="E1979" s="4">
        <v>0</v>
      </c>
      <c r="F1979" s="4">
        <v>20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</row>
    <row r="1980" spans="1:14">
      <c r="A1980" s="3">
        <v>815470</v>
      </c>
      <c r="B1980" s="3">
        <v>206073</v>
      </c>
      <c r="C1980" s="4">
        <v>0</v>
      </c>
      <c r="D1980" s="4">
        <v>0</v>
      </c>
      <c r="E1980" s="4">
        <v>0</v>
      </c>
      <c r="F1980" s="4">
        <v>35</v>
      </c>
      <c r="G1980" s="4">
        <v>10</v>
      </c>
      <c r="H1980" s="4">
        <v>27.5</v>
      </c>
      <c r="I1980" s="4">
        <v>50</v>
      </c>
      <c r="J1980" s="4">
        <v>10</v>
      </c>
      <c r="K1980" s="4">
        <v>82.5</v>
      </c>
      <c r="L1980" s="4">
        <v>10</v>
      </c>
      <c r="M1980" s="4">
        <v>0</v>
      </c>
      <c r="N1980" s="4">
        <v>0</v>
      </c>
    </row>
    <row r="1981" spans="1:14">
      <c r="A1981" s="3">
        <v>815471</v>
      </c>
      <c r="B1981" s="3">
        <v>205992</v>
      </c>
      <c r="C1981" s="4">
        <v>0</v>
      </c>
      <c r="D1981" s="4">
        <v>0</v>
      </c>
      <c r="E1981" s="4">
        <v>0</v>
      </c>
      <c r="F1981" s="4">
        <v>57.5</v>
      </c>
      <c r="G1981" s="4">
        <v>70</v>
      </c>
      <c r="H1981" s="4">
        <v>30</v>
      </c>
      <c r="I1981" s="4">
        <v>20</v>
      </c>
      <c r="J1981" s="4">
        <v>17.5</v>
      </c>
      <c r="K1981" s="4">
        <v>72</v>
      </c>
      <c r="L1981" s="4">
        <v>32.5</v>
      </c>
      <c r="M1981" s="4">
        <v>20</v>
      </c>
      <c r="N1981" s="4">
        <v>15</v>
      </c>
    </row>
    <row r="1982" spans="1:14">
      <c r="A1982" s="3">
        <v>815472</v>
      </c>
      <c r="B1982" s="3">
        <v>179784</v>
      </c>
      <c r="C1982" s="4">
        <v>0</v>
      </c>
      <c r="D1982" s="4">
        <v>0</v>
      </c>
      <c r="E1982" s="4">
        <v>0</v>
      </c>
      <c r="F1982" s="4">
        <v>20</v>
      </c>
      <c r="G1982" s="4">
        <v>24.5</v>
      </c>
      <c r="H1982" s="4">
        <v>15</v>
      </c>
      <c r="I1982" s="4">
        <v>20</v>
      </c>
      <c r="J1982" s="4">
        <v>9</v>
      </c>
      <c r="K1982" s="4">
        <v>15</v>
      </c>
      <c r="L1982" s="4">
        <v>10</v>
      </c>
      <c r="M1982" s="4">
        <v>20</v>
      </c>
      <c r="N1982" s="4">
        <v>0</v>
      </c>
    </row>
    <row r="1983" spans="1:14">
      <c r="A1983" s="3">
        <v>815473</v>
      </c>
      <c r="B1983" s="3">
        <v>205591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4</v>
      </c>
      <c r="I1983" s="4">
        <v>5</v>
      </c>
      <c r="J1983" s="4">
        <v>10</v>
      </c>
      <c r="K1983" s="4">
        <v>2</v>
      </c>
      <c r="L1983" s="4">
        <v>10</v>
      </c>
      <c r="M1983" s="4">
        <v>0</v>
      </c>
      <c r="N1983" s="4">
        <v>0</v>
      </c>
    </row>
    <row r="1984" spans="1:14">
      <c r="A1984" s="3">
        <v>815474</v>
      </c>
      <c r="B1984" s="3">
        <v>170204</v>
      </c>
      <c r="C1984" s="4">
        <v>0</v>
      </c>
      <c r="D1984" s="4">
        <v>0</v>
      </c>
      <c r="E1984" s="4">
        <v>0</v>
      </c>
      <c r="F1984" s="4">
        <v>57</v>
      </c>
      <c r="G1984" s="4">
        <v>15</v>
      </c>
      <c r="H1984" s="4">
        <v>109</v>
      </c>
      <c r="I1984" s="4">
        <v>35</v>
      </c>
      <c r="J1984" s="4">
        <v>0</v>
      </c>
      <c r="K1984" s="4">
        <v>135</v>
      </c>
      <c r="L1984" s="4">
        <v>62</v>
      </c>
      <c r="M1984" s="4">
        <v>105</v>
      </c>
      <c r="N1984" s="4">
        <v>115</v>
      </c>
    </row>
    <row r="1985" spans="1:14">
      <c r="A1985" s="3">
        <v>815479</v>
      </c>
      <c r="B1985" s="3">
        <v>203236</v>
      </c>
      <c r="C1985" s="4">
        <v>0</v>
      </c>
      <c r="D1985" s="4">
        <v>0</v>
      </c>
      <c r="E1985" s="4">
        <v>0</v>
      </c>
      <c r="F1985" s="4">
        <v>10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</row>
    <row r="1986" spans="1:14">
      <c r="A1986" s="3">
        <v>815480</v>
      </c>
      <c r="B1986" s="3">
        <v>207643</v>
      </c>
      <c r="C1986" s="4">
        <v>0</v>
      </c>
      <c r="D1986" s="4">
        <v>0</v>
      </c>
      <c r="E1986" s="4">
        <v>0</v>
      </c>
      <c r="F1986" s="4">
        <v>86.5</v>
      </c>
      <c r="G1986" s="4">
        <v>52</v>
      </c>
      <c r="H1986" s="4">
        <v>30</v>
      </c>
      <c r="I1986" s="4">
        <v>53</v>
      </c>
      <c r="J1986" s="4">
        <v>57.2</v>
      </c>
      <c r="K1986" s="4">
        <v>58.25</v>
      </c>
      <c r="L1986" s="4">
        <v>67.5</v>
      </c>
      <c r="M1986" s="4">
        <v>45</v>
      </c>
      <c r="N1986" s="4">
        <v>15</v>
      </c>
    </row>
    <row r="1987" spans="1:14">
      <c r="A1987" s="3">
        <v>815481</v>
      </c>
      <c r="B1987" s="3">
        <v>205650</v>
      </c>
      <c r="C1987" s="4">
        <v>0</v>
      </c>
      <c r="D1987" s="4">
        <v>0</v>
      </c>
      <c r="E1987" s="4">
        <v>0</v>
      </c>
      <c r="F1987" s="4">
        <v>20</v>
      </c>
      <c r="G1987" s="4">
        <v>10</v>
      </c>
      <c r="H1987" s="4">
        <v>10</v>
      </c>
      <c r="I1987" s="4">
        <v>10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</row>
    <row r="1988" spans="1:14">
      <c r="A1988" s="3">
        <v>815482</v>
      </c>
      <c r="B1988" s="3">
        <v>174631</v>
      </c>
      <c r="C1988" s="4">
        <v>0</v>
      </c>
      <c r="D1988" s="4">
        <v>0</v>
      </c>
      <c r="E1988" s="4">
        <v>0</v>
      </c>
      <c r="F1988" s="4">
        <v>91</v>
      </c>
      <c r="G1988" s="4">
        <v>134.5</v>
      </c>
      <c r="H1988" s="4">
        <v>59.5</v>
      </c>
      <c r="I1988" s="4">
        <v>70.5</v>
      </c>
      <c r="J1988" s="4">
        <v>68</v>
      </c>
      <c r="K1988" s="4">
        <v>50</v>
      </c>
      <c r="L1988" s="4">
        <v>122.5</v>
      </c>
      <c r="M1988" s="4">
        <v>110.05</v>
      </c>
      <c r="N1988" s="4">
        <v>255</v>
      </c>
    </row>
    <row r="1989" spans="1:14">
      <c r="A1989" s="3">
        <v>815483</v>
      </c>
      <c r="B1989" s="3">
        <v>178230</v>
      </c>
      <c r="C1989" s="4">
        <v>0</v>
      </c>
      <c r="D1989" s="4">
        <v>0</v>
      </c>
      <c r="E1989" s="4">
        <v>0</v>
      </c>
      <c r="F1989" s="4">
        <v>27.5</v>
      </c>
      <c r="G1989" s="4">
        <v>69</v>
      </c>
      <c r="H1989" s="4">
        <v>45</v>
      </c>
      <c r="I1989" s="4">
        <v>30</v>
      </c>
      <c r="J1989" s="4">
        <v>30</v>
      </c>
      <c r="K1989" s="4">
        <v>40</v>
      </c>
      <c r="L1989" s="4">
        <v>30</v>
      </c>
      <c r="M1989" s="4">
        <v>30</v>
      </c>
      <c r="N1989" s="4">
        <v>45</v>
      </c>
    </row>
    <row r="1990" spans="1:14">
      <c r="A1990" s="3">
        <v>815484</v>
      </c>
      <c r="B1990" s="3">
        <v>173224</v>
      </c>
      <c r="C1990" s="4">
        <v>0</v>
      </c>
      <c r="D1990" s="4">
        <v>0</v>
      </c>
      <c r="E1990" s="4">
        <v>0</v>
      </c>
      <c r="F1990" s="4">
        <v>100.5</v>
      </c>
      <c r="G1990" s="4">
        <v>46</v>
      </c>
      <c r="H1990" s="4">
        <v>0</v>
      </c>
      <c r="I1990" s="4">
        <v>15</v>
      </c>
      <c r="J1990" s="4">
        <v>40</v>
      </c>
      <c r="K1990" s="4">
        <v>50</v>
      </c>
      <c r="L1990" s="4">
        <v>35</v>
      </c>
      <c r="M1990" s="4">
        <v>30</v>
      </c>
      <c r="N1990" s="4">
        <v>20</v>
      </c>
    </row>
    <row r="1991" spans="1:14">
      <c r="A1991" s="3">
        <v>815485</v>
      </c>
      <c r="B1991" s="3">
        <v>173224</v>
      </c>
      <c r="C1991" s="4">
        <v>0</v>
      </c>
      <c r="D1991" s="4">
        <v>0</v>
      </c>
      <c r="E1991" s="4">
        <v>0</v>
      </c>
      <c r="F1991" s="4">
        <v>100</v>
      </c>
      <c r="G1991" s="4">
        <v>70</v>
      </c>
      <c r="H1991" s="4">
        <v>27.5</v>
      </c>
      <c r="I1991" s="4">
        <v>30</v>
      </c>
      <c r="J1991" s="4">
        <v>10</v>
      </c>
      <c r="K1991" s="4">
        <v>0</v>
      </c>
      <c r="L1991" s="4">
        <v>32.5</v>
      </c>
      <c r="M1991" s="4">
        <v>18.5</v>
      </c>
      <c r="N1991" s="4">
        <v>20</v>
      </c>
    </row>
    <row r="1992" spans="1:14">
      <c r="A1992" s="3">
        <v>815486</v>
      </c>
      <c r="B1992" s="3">
        <v>170775</v>
      </c>
      <c r="C1992" s="4">
        <v>0</v>
      </c>
      <c r="D1992" s="4">
        <v>0</v>
      </c>
      <c r="E1992" s="4">
        <v>0</v>
      </c>
      <c r="F1992" s="4">
        <v>0</v>
      </c>
      <c r="G1992" s="4">
        <v>15</v>
      </c>
      <c r="H1992" s="4">
        <v>0</v>
      </c>
      <c r="I1992" s="4">
        <v>0</v>
      </c>
      <c r="J1992" s="4">
        <v>0</v>
      </c>
      <c r="K1992" s="4">
        <v>10</v>
      </c>
      <c r="L1992" s="4">
        <v>20</v>
      </c>
      <c r="M1992" s="4">
        <v>25</v>
      </c>
      <c r="N1992" s="4">
        <v>20</v>
      </c>
    </row>
    <row r="1993" spans="1:14">
      <c r="A1993" s="3">
        <v>815490</v>
      </c>
      <c r="B1993" s="3">
        <v>174384</v>
      </c>
      <c r="C1993" s="4">
        <v>0</v>
      </c>
      <c r="D1993" s="4">
        <v>0</v>
      </c>
      <c r="E1993" s="4">
        <v>0</v>
      </c>
      <c r="F1993" s="4">
        <v>7</v>
      </c>
      <c r="G1993" s="4">
        <v>10</v>
      </c>
      <c r="H1993" s="4">
        <v>7.5</v>
      </c>
      <c r="I1993" s="4">
        <v>7.5</v>
      </c>
      <c r="J1993" s="4">
        <v>10</v>
      </c>
      <c r="K1993" s="4">
        <v>0</v>
      </c>
      <c r="L1993" s="4">
        <v>0</v>
      </c>
      <c r="M1993" s="4">
        <v>0</v>
      </c>
      <c r="N1993" s="4">
        <v>0</v>
      </c>
    </row>
    <row r="1994" spans="1:14">
      <c r="A1994" s="3">
        <v>815501</v>
      </c>
      <c r="B1994" s="3">
        <v>170147</v>
      </c>
      <c r="C1994" s="4">
        <v>0</v>
      </c>
      <c r="D1994" s="4">
        <v>0</v>
      </c>
      <c r="E1994" s="4">
        <v>0</v>
      </c>
      <c r="F1994" s="4">
        <v>25</v>
      </c>
      <c r="G1994" s="4">
        <v>20</v>
      </c>
      <c r="H1994" s="4">
        <v>14</v>
      </c>
      <c r="I1994" s="4">
        <v>0</v>
      </c>
      <c r="J1994" s="4">
        <v>20</v>
      </c>
      <c r="K1994" s="4">
        <v>0</v>
      </c>
      <c r="L1994" s="4">
        <v>80</v>
      </c>
      <c r="M1994" s="4">
        <v>90</v>
      </c>
      <c r="N1994" s="4">
        <v>70</v>
      </c>
    </row>
    <row r="1995" spans="1:14">
      <c r="A1995" s="3">
        <v>815502</v>
      </c>
      <c r="B1995" s="3">
        <v>208268</v>
      </c>
      <c r="C1995" s="4">
        <v>0</v>
      </c>
      <c r="D1995" s="4">
        <v>0</v>
      </c>
      <c r="E1995" s="4">
        <v>0</v>
      </c>
      <c r="F1995" s="4">
        <v>80.5</v>
      </c>
      <c r="G1995" s="4">
        <v>227</v>
      </c>
      <c r="H1995" s="4">
        <v>195.45</v>
      </c>
      <c r="I1995" s="4">
        <v>153.55000000000001</v>
      </c>
      <c r="J1995" s="4">
        <v>99.5</v>
      </c>
      <c r="K1995" s="4">
        <v>107</v>
      </c>
      <c r="L1995" s="4">
        <v>116.5</v>
      </c>
      <c r="M1995" s="4">
        <v>76.5</v>
      </c>
      <c r="N1995" s="4">
        <v>157.25</v>
      </c>
    </row>
    <row r="1996" spans="1:14">
      <c r="A1996" s="3">
        <v>815503</v>
      </c>
      <c r="B1996" s="3">
        <v>202980</v>
      </c>
      <c r="C1996" s="4">
        <v>0</v>
      </c>
      <c r="D1996" s="4">
        <v>0</v>
      </c>
      <c r="E1996" s="4">
        <v>0</v>
      </c>
      <c r="F1996" s="4">
        <v>35</v>
      </c>
      <c r="G1996" s="4">
        <v>0</v>
      </c>
      <c r="H1996" s="4">
        <v>20</v>
      </c>
      <c r="I1996" s="4">
        <v>15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</row>
    <row r="1997" spans="1:14">
      <c r="A1997" s="3">
        <v>815507</v>
      </c>
      <c r="B1997" s="3">
        <v>176693</v>
      </c>
      <c r="C1997" s="4">
        <v>0</v>
      </c>
      <c r="D1997" s="4">
        <v>0</v>
      </c>
      <c r="E1997" s="4">
        <v>0</v>
      </c>
      <c r="F1997" s="4">
        <v>90</v>
      </c>
      <c r="G1997" s="4">
        <v>20</v>
      </c>
      <c r="H1997" s="4">
        <v>58</v>
      </c>
      <c r="I1997" s="4">
        <v>52</v>
      </c>
      <c r="J1997" s="4">
        <v>10</v>
      </c>
      <c r="K1997" s="4">
        <v>101.5</v>
      </c>
      <c r="L1997" s="4">
        <v>35</v>
      </c>
      <c r="M1997" s="4">
        <v>69</v>
      </c>
      <c r="N1997" s="4">
        <v>50</v>
      </c>
    </row>
    <row r="1998" spans="1:14">
      <c r="A1998" s="3">
        <v>815508</v>
      </c>
      <c r="B1998" s="3">
        <v>178460</v>
      </c>
      <c r="C1998" s="4">
        <v>0</v>
      </c>
      <c r="D1998" s="4">
        <v>0</v>
      </c>
      <c r="E1998" s="4">
        <v>0</v>
      </c>
      <c r="F1998" s="4">
        <v>23.5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</row>
    <row r="1999" spans="1:14">
      <c r="A1999" s="3">
        <v>815508</v>
      </c>
      <c r="B1999" s="3">
        <v>203651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10</v>
      </c>
      <c r="M1999" s="4">
        <v>0</v>
      </c>
      <c r="N1999" s="4">
        <v>0</v>
      </c>
    </row>
    <row r="2000" spans="1:14">
      <c r="A2000" s="3">
        <v>815508</v>
      </c>
      <c r="B2000" s="3">
        <v>206066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189</v>
      </c>
      <c r="L2000" s="4">
        <v>221</v>
      </c>
      <c r="M2000" s="4">
        <v>145</v>
      </c>
      <c r="N2000" s="4">
        <v>144</v>
      </c>
    </row>
    <row r="2001" spans="1:14">
      <c r="A2001" s="3">
        <v>815509</v>
      </c>
      <c r="B2001" s="3">
        <v>203651</v>
      </c>
      <c r="C2001" s="4">
        <v>0</v>
      </c>
      <c r="D2001" s="4">
        <v>0</v>
      </c>
      <c r="E2001" s="4">
        <v>0</v>
      </c>
      <c r="F2001" s="4">
        <v>105</v>
      </c>
      <c r="G2001" s="4">
        <v>138</v>
      </c>
      <c r="H2001" s="4">
        <v>110</v>
      </c>
      <c r="I2001" s="4">
        <v>70</v>
      </c>
      <c r="J2001" s="4">
        <v>64.5</v>
      </c>
      <c r="K2001" s="4">
        <v>75</v>
      </c>
      <c r="L2001" s="4">
        <v>94</v>
      </c>
      <c r="M2001" s="4">
        <v>145</v>
      </c>
      <c r="N2001" s="4">
        <v>79</v>
      </c>
    </row>
    <row r="2002" spans="1:14">
      <c r="A2002" s="3">
        <v>815510</v>
      </c>
      <c r="B2002" s="3">
        <v>206066</v>
      </c>
      <c r="C2002" s="4">
        <v>0</v>
      </c>
      <c r="D2002" s="4">
        <v>0</v>
      </c>
      <c r="E2002" s="4">
        <v>0</v>
      </c>
      <c r="F2002" s="4">
        <v>80</v>
      </c>
      <c r="G2002" s="4">
        <v>70</v>
      </c>
      <c r="H2002" s="4">
        <v>73</v>
      </c>
      <c r="I2002" s="4">
        <v>60</v>
      </c>
      <c r="J2002" s="4">
        <v>25</v>
      </c>
      <c r="K2002" s="4">
        <v>55</v>
      </c>
      <c r="L2002" s="4">
        <v>0</v>
      </c>
      <c r="M2002" s="4">
        <v>30</v>
      </c>
      <c r="N2002" s="4">
        <v>25</v>
      </c>
    </row>
    <row r="2003" spans="1:14">
      <c r="A2003" s="3">
        <v>815511</v>
      </c>
      <c r="B2003" s="3">
        <v>170775</v>
      </c>
      <c r="C2003" s="4">
        <v>0</v>
      </c>
      <c r="D2003" s="4">
        <v>0</v>
      </c>
      <c r="E2003" s="4">
        <v>0</v>
      </c>
      <c r="F2003" s="4">
        <v>0</v>
      </c>
      <c r="G2003" s="4">
        <v>45</v>
      </c>
      <c r="H2003" s="4">
        <v>30</v>
      </c>
      <c r="I2003" s="4">
        <v>0</v>
      </c>
      <c r="J2003" s="4">
        <v>0</v>
      </c>
      <c r="K2003" s="4">
        <v>10</v>
      </c>
      <c r="L2003" s="4">
        <v>0</v>
      </c>
      <c r="M2003" s="4">
        <v>0</v>
      </c>
      <c r="N2003" s="4">
        <v>0</v>
      </c>
    </row>
    <row r="2004" spans="1:14">
      <c r="A2004" s="3">
        <v>815512</v>
      </c>
      <c r="B2004" s="3">
        <v>206219</v>
      </c>
      <c r="C2004" s="4">
        <v>0</v>
      </c>
      <c r="D2004" s="4">
        <v>0</v>
      </c>
      <c r="E2004" s="4">
        <v>0</v>
      </c>
      <c r="F2004" s="4">
        <v>48</v>
      </c>
      <c r="G2004" s="4">
        <v>44.5</v>
      </c>
      <c r="H2004" s="4">
        <v>65.650000000000006</v>
      </c>
      <c r="I2004" s="4">
        <v>10</v>
      </c>
      <c r="J2004" s="4">
        <v>10</v>
      </c>
      <c r="K2004" s="4">
        <v>20</v>
      </c>
      <c r="L2004" s="4">
        <v>15</v>
      </c>
      <c r="M2004" s="4">
        <v>53</v>
      </c>
      <c r="N2004" s="4">
        <v>135.5</v>
      </c>
    </row>
    <row r="2005" spans="1:14">
      <c r="A2005" s="3">
        <v>815514</v>
      </c>
      <c r="B2005" s="3">
        <v>207857</v>
      </c>
      <c r="C2005" s="4">
        <v>0</v>
      </c>
      <c r="D2005" s="4">
        <v>0</v>
      </c>
      <c r="E2005" s="4">
        <v>0</v>
      </c>
      <c r="F2005" s="4">
        <v>30.95</v>
      </c>
      <c r="G2005" s="4">
        <v>35</v>
      </c>
      <c r="H2005" s="4">
        <v>42.5</v>
      </c>
      <c r="I2005" s="4">
        <v>40</v>
      </c>
      <c r="J2005" s="4">
        <v>10</v>
      </c>
      <c r="K2005" s="4">
        <v>44</v>
      </c>
      <c r="L2005" s="4">
        <v>12.45</v>
      </c>
      <c r="M2005" s="4">
        <v>10</v>
      </c>
      <c r="N2005" s="4">
        <v>10</v>
      </c>
    </row>
    <row r="2006" spans="1:14">
      <c r="A2006" s="3">
        <v>815547</v>
      </c>
      <c r="B2006" s="3">
        <v>178062</v>
      </c>
      <c r="C2006" s="4">
        <v>0</v>
      </c>
      <c r="D2006" s="4">
        <v>0</v>
      </c>
      <c r="E2006" s="4">
        <v>0</v>
      </c>
      <c r="F2006" s="4">
        <v>0</v>
      </c>
      <c r="G2006" s="4">
        <v>77</v>
      </c>
      <c r="H2006" s="4">
        <v>26</v>
      </c>
      <c r="I2006" s="4">
        <v>7</v>
      </c>
      <c r="J2006" s="4">
        <v>5</v>
      </c>
      <c r="K2006" s="4">
        <v>71</v>
      </c>
      <c r="L2006" s="4">
        <v>94.5</v>
      </c>
      <c r="M2006" s="4">
        <v>110</v>
      </c>
      <c r="N2006" s="4">
        <v>40.5</v>
      </c>
    </row>
    <row r="2007" spans="1:14">
      <c r="A2007" s="3">
        <v>815557</v>
      </c>
      <c r="B2007" s="3">
        <v>178230</v>
      </c>
      <c r="C2007" s="4">
        <v>0</v>
      </c>
      <c r="D2007" s="4">
        <v>0</v>
      </c>
      <c r="E2007" s="4">
        <v>0</v>
      </c>
      <c r="F2007" s="4">
        <v>55</v>
      </c>
      <c r="G2007" s="4">
        <v>66</v>
      </c>
      <c r="H2007" s="4">
        <v>40</v>
      </c>
      <c r="I2007" s="4">
        <v>15</v>
      </c>
      <c r="J2007" s="4">
        <v>0</v>
      </c>
      <c r="K2007" s="4">
        <v>15</v>
      </c>
      <c r="L2007" s="4">
        <v>25</v>
      </c>
      <c r="M2007" s="4">
        <v>10</v>
      </c>
      <c r="N2007" s="4">
        <v>25</v>
      </c>
    </row>
    <row r="2008" spans="1:14">
      <c r="A2008" s="3">
        <v>815558</v>
      </c>
      <c r="B2008" s="3">
        <v>173224</v>
      </c>
      <c r="C2008" s="4">
        <v>0</v>
      </c>
      <c r="D2008" s="4">
        <v>0</v>
      </c>
      <c r="E2008" s="4">
        <v>0</v>
      </c>
      <c r="F2008" s="4">
        <v>0</v>
      </c>
      <c r="G2008" s="4">
        <v>75</v>
      </c>
      <c r="H2008" s="4">
        <v>47.5</v>
      </c>
      <c r="I2008" s="4">
        <v>30</v>
      </c>
      <c r="J2008" s="4">
        <v>3.5</v>
      </c>
      <c r="K2008" s="4">
        <v>37</v>
      </c>
      <c r="L2008" s="4">
        <v>135</v>
      </c>
      <c r="M2008" s="4">
        <v>105</v>
      </c>
      <c r="N2008" s="4">
        <v>35</v>
      </c>
    </row>
    <row r="2009" spans="1:14">
      <c r="A2009" s="3">
        <v>815567</v>
      </c>
      <c r="B2009" s="3">
        <v>170617</v>
      </c>
      <c r="C2009" s="4">
        <v>0</v>
      </c>
      <c r="D2009" s="4">
        <v>0</v>
      </c>
      <c r="E2009" s="4">
        <v>0</v>
      </c>
      <c r="F2009" s="4">
        <v>7.5</v>
      </c>
      <c r="G2009" s="4">
        <v>5</v>
      </c>
      <c r="H2009" s="4">
        <v>13</v>
      </c>
      <c r="I2009" s="4">
        <v>22.5</v>
      </c>
      <c r="J2009" s="4">
        <v>0</v>
      </c>
      <c r="K2009" s="4">
        <v>49</v>
      </c>
      <c r="L2009" s="4">
        <v>40</v>
      </c>
      <c r="M2009" s="4">
        <v>9</v>
      </c>
      <c r="N2009" s="4">
        <v>23.9</v>
      </c>
    </row>
    <row r="2010" spans="1:14">
      <c r="A2010" s="3">
        <v>815572</v>
      </c>
      <c r="B2010" s="3">
        <v>208156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23</v>
      </c>
      <c r="I2010" s="4">
        <v>10</v>
      </c>
      <c r="J2010" s="4">
        <v>0</v>
      </c>
      <c r="K2010" s="4">
        <v>0</v>
      </c>
      <c r="L2010" s="4">
        <v>0</v>
      </c>
      <c r="M2010" s="4">
        <v>0</v>
      </c>
      <c r="N2010" s="4">
        <v>7.5</v>
      </c>
    </row>
    <row r="2011" spans="1:14">
      <c r="A2011" s="3">
        <v>815573</v>
      </c>
      <c r="B2011" s="3">
        <v>208156</v>
      </c>
      <c r="C2011" s="4">
        <v>0</v>
      </c>
      <c r="D2011" s="4">
        <v>0</v>
      </c>
      <c r="E2011" s="4">
        <v>0</v>
      </c>
      <c r="F2011" s="4">
        <v>0</v>
      </c>
      <c r="G2011" s="4">
        <v>43</v>
      </c>
      <c r="H2011" s="4">
        <v>9</v>
      </c>
      <c r="I2011" s="4">
        <v>0</v>
      </c>
      <c r="J2011" s="4">
        <v>0</v>
      </c>
      <c r="K2011" s="4">
        <v>0</v>
      </c>
      <c r="L2011" s="4">
        <v>15</v>
      </c>
      <c r="M2011" s="4">
        <v>19.5</v>
      </c>
      <c r="N2011" s="4">
        <v>15</v>
      </c>
    </row>
    <row r="2012" spans="1:14">
      <c r="A2012" s="3">
        <v>815575</v>
      </c>
      <c r="B2012" s="3">
        <v>171887</v>
      </c>
      <c r="C2012" s="4">
        <v>0</v>
      </c>
      <c r="D2012" s="4">
        <v>0</v>
      </c>
      <c r="E2012" s="4">
        <v>0</v>
      </c>
      <c r="F2012" s="4">
        <v>20</v>
      </c>
      <c r="G2012" s="4">
        <v>15</v>
      </c>
      <c r="H2012" s="4">
        <v>20</v>
      </c>
      <c r="I2012" s="4">
        <v>30</v>
      </c>
      <c r="J2012" s="4">
        <v>0</v>
      </c>
      <c r="K2012" s="4">
        <v>12.5</v>
      </c>
      <c r="L2012" s="4">
        <v>27.5</v>
      </c>
      <c r="M2012" s="4">
        <v>15</v>
      </c>
      <c r="N2012" s="4">
        <v>50</v>
      </c>
    </row>
    <row r="2013" spans="1:14">
      <c r="A2013" s="3">
        <v>815576</v>
      </c>
      <c r="B2013" s="3">
        <v>119047</v>
      </c>
      <c r="C2013" s="4">
        <v>0</v>
      </c>
      <c r="D2013" s="4">
        <v>0</v>
      </c>
      <c r="E2013" s="4">
        <v>0</v>
      </c>
      <c r="F2013" s="4">
        <v>59.5</v>
      </c>
      <c r="G2013" s="4">
        <v>93</v>
      </c>
      <c r="H2013" s="4">
        <v>90</v>
      </c>
      <c r="I2013" s="4">
        <v>132</v>
      </c>
      <c r="J2013" s="4">
        <v>63</v>
      </c>
      <c r="K2013" s="4">
        <v>40</v>
      </c>
      <c r="L2013" s="4">
        <v>40</v>
      </c>
      <c r="M2013" s="4">
        <v>57</v>
      </c>
      <c r="N2013" s="4">
        <v>99</v>
      </c>
    </row>
    <row r="2014" spans="1:14">
      <c r="A2014" s="3">
        <v>815577</v>
      </c>
      <c r="B2014" s="3">
        <v>207291</v>
      </c>
      <c r="C2014" s="4">
        <v>0</v>
      </c>
      <c r="D2014" s="4">
        <v>0</v>
      </c>
      <c r="E2014" s="4">
        <v>0</v>
      </c>
      <c r="F2014" s="4">
        <v>12.5</v>
      </c>
      <c r="G2014" s="4">
        <v>5</v>
      </c>
      <c r="H2014" s="4">
        <v>7.5</v>
      </c>
      <c r="I2014" s="4">
        <v>10</v>
      </c>
      <c r="J2014" s="4">
        <v>10</v>
      </c>
      <c r="K2014" s="4">
        <v>7.5</v>
      </c>
      <c r="L2014" s="4">
        <v>5</v>
      </c>
      <c r="M2014" s="4">
        <v>22.5</v>
      </c>
      <c r="N2014" s="4">
        <v>5</v>
      </c>
    </row>
    <row r="2015" spans="1:14">
      <c r="A2015" s="3">
        <v>815593</v>
      </c>
      <c r="B2015" s="3">
        <v>203154</v>
      </c>
      <c r="C2015" s="4">
        <v>0</v>
      </c>
      <c r="D2015" s="4">
        <v>0</v>
      </c>
      <c r="E2015" s="4">
        <v>0</v>
      </c>
      <c r="F2015" s="4">
        <v>15</v>
      </c>
      <c r="G2015" s="4">
        <v>0</v>
      </c>
      <c r="H2015" s="4">
        <v>23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</row>
    <row r="2016" spans="1:14">
      <c r="A2016" s="3">
        <v>815594</v>
      </c>
      <c r="B2016" s="3">
        <v>145639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20</v>
      </c>
    </row>
    <row r="2017" spans="1:14">
      <c r="A2017" s="3">
        <v>815594</v>
      </c>
      <c r="B2017" s="3">
        <v>206049</v>
      </c>
      <c r="C2017" s="4">
        <v>0</v>
      </c>
      <c r="D2017" s="4">
        <v>0</v>
      </c>
      <c r="E2017" s="4">
        <v>0</v>
      </c>
      <c r="F2017" s="4">
        <v>27.5</v>
      </c>
      <c r="G2017" s="4">
        <v>28.5</v>
      </c>
      <c r="H2017" s="4">
        <v>64</v>
      </c>
      <c r="I2017" s="4">
        <v>14</v>
      </c>
      <c r="J2017" s="4">
        <v>10.5</v>
      </c>
      <c r="K2017" s="4">
        <v>79</v>
      </c>
      <c r="L2017" s="4">
        <v>10</v>
      </c>
      <c r="M2017" s="4">
        <v>0</v>
      </c>
      <c r="N2017" s="4">
        <v>229</v>
      </c>
    </row>
    <row r="2018" spans="1:14">
      <c r="A2018" s="3">
        <v>815595</v>
      </c>
      <c r="B2018" s="3">
        <v>208184</v>
      </c>
      <c r="C2018" s="4">
        <v>0</v>
      </c>
      <c r="D2018" s="4">
        <v>0</v>
      </c>
      <c r="E2018" s="4">
        <v>0</v>
      </c>
      <c r="F2018" s="4">
        <v>32</v>
      </c>
      <c r="G2018" s="4">
        <v>71.25</v>
      </c>
      <c r="H2018" s="4">
        <v>52.5</v>
      </c>
      <c r="I2018" s="4">
        <v>40</v>
      </c>
      <c r="J2018" s="4">
        <v>21</v>
      </c>
      <c r="K2018" s="4">
        <v>16</v>
      </c>
      <c r="L2018" s="4">
        <v>26</v>
      </c>
      <c r="M2018" s="4">
        <v>0</v>
      </c>
      <c r="N2018" s="4">
        <v>145</v>
      </c>
    </row>
    <row r="2019" spans="1:14">
      <c r="A2019" s="3">
        <v>815597</v>
      </c>
      <c r="B2019" s="3">
        <v>170550</v>
      </c>
      <c r="C2019" s="4">
        <v>0</v>
      </c>
      <c r="D2019" s="4">
        <v>0</v>
      </c>
      <c r="E2019" s="4">
        <v>0</v>
      </c>
      <c r="F2019" s="4">
        <v>36</v>
      </c>
      <c r="G2019" s="4">
        <v>78</v>
      </c>
      <c r="H2019" s="4">
        <v>70</v>
      </c>
      <c r="I2019" s="4">
        <v>47.5</v>
      </c>
      <c r="J2019" s="4">
        <v>42.5</v>
      </c>
      <c r="K2019" s="4">
        <v>116</v>
      </c>
      <c r="L2019" s="4">
        <v>109.5</v>
      </c>
      <c r="M2019" s="4">
        <v>95</v>
      </c>
      <c r="N2019" s="4">
        <v>163</v>
      </c>
    </row>
    <row r="2020" spans="1:14">
      <c r="A2020" s="3">
        <v>815600</v>
      </c>
      <c r="B2020" s="3">
        <v>202913</v>
      </c>
      <c r="C2020" s="4">
        <v>0</v>
      </c>
      <c r="D2020" s="4">
        <v>0</v>
      </c>
      <c r="E2020" s="4">
        <v>0</v>
      </c>
      <c r="F2020" s="4">
        <v>0</v>
      </c>
      <c r="G2020" s="4">
        <v>25</v>
      </c>
      <c r="H2020" s="4">
        <v>15</v>
      </c>
      <c r="I2020" s="4">
        <v>0</v>
      </c>
      <c r="J2020" s="4">
        <v>22.5</v>
      </c>
      <c r="K2020" s="4">
        <v>40</v>
      </c>
      <c r="L2020" s="4">
        <v>76.5</v>
      </c>
      <c r="M2020" s="4">
        <v>0</v>
      </c>
      <c r="N2020" s="4">
        <v>17</v>
      </c>
    </row>
    <row r="2021" spans="1:14">
      <c r="A2021" s="3">
        <v>815600</v>
      </c>
      <c r="B2021" s="3">
        <v>209130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15</v>
      </c>
    </row>
    <row r="2022" spans="1:14">
      <c r="A2022" s="3">
        <v>815601</v>
      </c>
      <c r="B2022" s="3">
        <v>171662</v>
      </c>
      <c r="C2022" s="4">
        <v>0</v>
      </c>
      <c r="D2022" s="4">
        <v>0</v>
      </c>
      <c r="E2022" s="4">
        <v>0</v>
      </c>
      <c r="F2022" s="4">
        <v>37</v>
      </c>
      <c r="G2022" s="4">
        <v>17.5</v>
      </c>
      <c r="H2022" s="4">
        <v>50</v>
      </c>
      <c r="I2022" s="4">
        <v>10</v>
      </c>
      <c r="J2022" s="4">
        <v>25</v>
      </c>
      <c r="K2022" s="4">
        <v>20</v>
      </c>
      <c r="L2022" s="4">
        <v>0</v>
      </c>
      <c r="M2022" s="4">
        <v>45</v>
      </c>
      <c r="N2022" s="4">
        <v>207</v>
      </c>
    </row>
    <row r="2023" spans="1:14">
      <c r="A2023" s="3">
        <v>815602</v>
      </c>
      <c r="B2023" s="3">
        <v>202913</v>
      </c>
      <c r="C2023" s="4">
        <v>0</v>
      </c>
      <c r="D2023" s="4">
        <v>0</v>
      </c>
      <c r="E2023" s="4">
        <v>0</v>
      </c>
      <c r="F2023" s="4">
        <v>0</v>
      </c>
      <c r="G2023" s="4">
        <v>7.5</v>
      </c>
      <c r="H2023" s="4">
        <v>20</v>
      </c>
      <c r="I2023" s="4">
        <v>0</v>
      </c>
      <c r="J2023" s="4">
        <v>13</v>
      </c>
      <c r="K2023" s="4">
        <v>12</v>
      </c>
      <c r="L2023" s="4">
        <v>33</v>
      </c>
      <c r="M2023" s="4">
        <v>37</v>
      </c>
      <c r="N2023" s="4">
        <v>20</v>
      </c>
    </row>
    <row r="2024" spans="1:14">
      <c r="A2024" s="3">
        <v>815609</v>
      </c>
      <c r="B2024" s="3">
        <v>207977</v>
      </c>
      <c r="C2024" s="4">
        <v>0</v>
      </c>
      <c r="D2024" s="4">
        <v>0</v>
      </c>
      <c r="E2024" s="4">
        <v>0</v>
      </c>
      <c r="F2024" s="4">
        <v>0</v>
      </c>
      <c r="G2024" s="4">
        <v>15</v>
      </c>
      <c r="H2024" s="4">
        <v>21</v>
      </c>
      <c r="I2024" s="4">
        <v>0</v>
      </c>
      <c r="J2024" s="4">
        <v>0</v>
      </c>
      <c r="K2024" s="4">
        <v>15</v>
      </c>
      <c r="L2024" s="4">
        <v>0</v>
      </c>
      <c r="M2024" s="4">
        <v>50</v>
      </c>
      <c r="N2024" s="4">
        <v>20</v>
      </c>
    </row>
    <row r="2025" spans="1:14">
      <c r="A2025" s="3">
        <v>815621</v>
      </c>
      <c r="B2025" s="3">
        <v>144848</v>
      </c>
      <c r="C2025" s="4">
        <v>0</v>
      </c>
      <c r="D2025" s="4">
        <v>0</v>
      </c>
      <c r="E2025" s="4">
        <v>0</v>
      </c>
      <c r="F2025" s="4">
        <v>10</v>
      </c>
      <c r="G2025" s="4">
        <v>10</v>
      </c>
      <c r="H2025" s="4">
        <v>12.5</v>
      </c>
      <c r="I2025" s="4">
        <v>2</v>
      </c>
      <c r="J2025" s="4">
        <v>10</v>
      </c>
      <c r="K2025" s="4">
        <v>28</v>
      </c>
      <c r="L2025" s="4">
        <v>20</v>
      </c>
      <c r="M2025" s="4">
        <v>20</v>
      </c>
      <c r="N2025" s="4">
        <v>10</v>
      </c>
    </row>
    <row r="2026" spans="1:14">
      <c r="A2026" s="3">
        <v>815630</v>
      </c>
      <c r="B2026" s="3">
        <v>174166</v>
      </c>
      <c r="C2026" s="4">
        <v>0</v>
      </c>
      <c r="D2026" s="4">
        <v>0</v>
      </c>
      <c r="E2026" s="4">
        <v>0</v>
      </c>
      <c r="F2026" s="4">
        <v>0</v>
      </c>
      <c r="G2026" s="4">
        <v>40</v>
      </c>
      <c r="H2026" s="4">
        <v>17.5</v>
      </c>
      <c r="I2026" s="4">
        <v>20</v>
      </c>
      <c r="J2026" s="4">
        <v>5</v>
      </c>
      <c r="K2026" s="4">
        <v>25</v>
      </c>
      <c r="L2026" s="4">
        <v>6.25</v>
      </c>
      <c r="M2026" s="4">
        <v>0</v>
      </c>
      <c r="N2026" s="4">
        <v>39.25</v>
      </c>
    </row>
    <row r="2027" spans="1:14">
      <c r="A2027" s="3">
        <v>815633</v>
      </c>
      <c r="B2027" s="3">
        <v>208508</v>
      </c>
      <c r="C2027" s="4">
        <v>0</v>
      </c>
      <c r="D2027" s="4">
        <v>0</v>
      </c>
      <c r="E2027" s="4">
        <v>0</v>
      </c>
      <c r="F2027" s="4">
        <v>0</v>
      </c>
      <c r="G2027" s="4">
        <v>115.75</v>
      </c>
      <c r="H2027" s="4">
        <v>183.25</v>
      </c>
      <c r="I2027" s="4">
        <v>132</v>
      </c>
      <c r="J2027" s="4">
        <v>47.5</v>
      </c>
      <c r="K2027" s="4">
        <v>124.75</v>
      </c>
      <c r="L2027" s="4">
        <v>355.5</v>
      </c>
      <c r="M2027" s="4">
        <v>273.25</v>
      </c>
      <c r="N2027" s="4">
        <v>396</v>
      </c>
    </row>
    <row r="2028" spans="1:14">
      <c r="A2028" s="3">
        <v>815634</v>
      </c>
      <c r="B2028" s="3">
        <v>177426</v>
      </c>
      <c r="C2028" s="4">
        <v>0</v>
      </c>
      <c r="D2028" s="4">
        <v>0</v>
      </c>
      <c r="E2028" s="4">
        <v>0</v>
      </c>
      <c r="F2028" s="4">
        <v>15</v>
      </c>
      <c r="G2028" s="4">
        <v>80</v>
      </c>
      <c r="H2028" s="4">
        <v>139</v>
      </c>
      <c r="I2028" s="4">
        <v>87.25</v>
      </c>
      <c r="J2028" s="4">
        <v>70</v>
      </c>
      <c r="K2028" s="4">
        <v>85</v>
      </c>
      <c r="L2028" s="4">
        <v>57.5</v>
      </c>
      <c r="M2028" s="4">
        <v>43</v>
      </c>
      <c r="N2028" s="4">
        <v>24</v>
      </c>
    </row>
    <row r="2029" spans="1:14">
      <c r="A2029" s="3">
        <v>815635</v>
      </c>
      <c r="B2029" s="3">
        <v>173865</v>
      </c>
      <c r="C2029" s="4">
        <v>0</v>
      </c>
      <c r="D2029" s="4">
        <v>0</v>
      </c>
      <c r="E2029" s="4">
        <v>0</v>
      </c>
      <c r="F2029" s="4">
        <v>42</v>
      </c>
      <c r="G2029" s="4">
        <v>40</v>
      </c>
      <c r="H2029" s="4">
        <v>0</v>
      </c>
      <c r="I2029" s="4">
        <v>35</v>
      </c>
      <c r="J2029" s="4">
        <v>20</v>
      </c>
      <c r="K2029" s="4">
        <v>45</v>
      </c>
      <c r="L2029" s="4">
        <v>100</v>
      </c>
      <c r="M2029" s="4">
        <v>97.5</v>
      </c>
      <c r="N2029" s="4">
        <v>45</v>
      </c>
    </row>
    <row r="2030" spans="1:14">
      <c r="A2030" s="3">
        <v>815636</v>
      </c>
      <c r="B2030" s="3">
        <v>202225</v>
      </c>
      <c r="C2030" s="4">
        <v>0</v>
      </c>
      <c r="D2030" s="4">
        <v>0</v>
      </c>
      <c r="E2030" s="4">
        <v>0</v>
      </c>
      <c r="F2030" s="4">
        <v>10</v>
      </c>
      <c r="G2030" s="4">
        <v>0</v>
      </c>
      <c r="H2030" s="4">
        <v>25</v>
      </c>
      <c r="I2030" s="4">
        <v>20</v>
      </c>
      <c r="J2030" s="4">
        <v>0</v>
      </c>
      <c r="K2030" s="4">
        <v>15</v>
      </c>
      <c r="L2030" s="4">
        <v>25</v>
      </c>
      <c r="M2030" s="4">
        <v>35</v>
      </c>
      <c r="N2030" s="4">
        <v>0</v>
      </c>
    </row>
    <row r="2031" spans="1:14">
      <c r="A2031" s="3">
        <v>815643</v>
      </c>
      <c r="B2031" s="3">
        <v>119046</v>
      </c>
      <c r="C2031" s="4">
        <v>0</v>
      </c>
      <c r="D2031" s="4">
        <v>0</v>
      </c>
      <c r="E2031" s="4">
        <v>0</v>
      </c>
      <c r="F2031" s="4">
        <v>10</v>
      </c>
      <c r="G2031" s="4">
        <v>60</v>
      </c>
      <c r="H2031" s="4">
        <v>30</v>
      </c>
      <c r="I2031" s="4">
        <v>22</v>
      </c>
      <c r="J2031" s="4">
        <v>20</v>
      </c>
      <c r="K2031" s="4">
        <v>50</v>
      </c>
      <c r="L2031" s="4">
        <v>6</v>
      </c>
      <c r="M2031" s="4">
        <v>10</v>
      </c>
      <c r="N2031" s="4">
        <v>57</v>
      </c>
    </row>
    <row r="2032" spans="1:14">
      <c r="A2032" s="3">
        <v>815644</v>
      </c>
      <c r="B2032" s="3">
        <v>119046</v>
      </c>
      <c r="C2032" s="4">
        <v>0</v>
      </c>
      <c r="D2032" s="4">
        <v>0</v>
      </c>
      <c r="E2032" s="4">
        <v>0</v>
      </c>
      <c r="F2032" s="4">
        <v>10</v>
      </c>
      <c r="G2032" s="4">
        <v>55</v>
      </c>
      <c r="H2032" s="4">
        <v>60</v>
      </c>
      <c r="I2032" s="4">
        <v>20</v>
      </c>
      <c r="J2032" s="4">
        <v>30</v>
      </c>
      <c r="K2032" s="4">
        <v>26.5</v>
      </c>
      <c r="L2032" s="4">
        <v>20</v>
      </c>
      <c r="M2032" s="4">
        <v>57</v>
      </c>
      <c r="N2032" s="4">
        <v>86.5</v>
      </c>
    </row>
    <row r="2033" spans="1:14">
      <c r="A2033" s="3">
        <v>815645</v>
      </c>
      <c r="B2033" s="3">
        <v>208736</v>
      </c>
      <c r="C2033" s="4">
        <v>0</v>
      </c>
      <c r="D2033" s="4">
        <v>0</v>
      </c>
      <c r="E2033" s="4">
        <v>0</v>
      </c>
      <c r="F2033" s="4">
        <v>14</v>
      </c>
      <c r="G2033" s="4">
        <v>24.6</v>
      </c>
      <c r="H2033" s="4">
        <v>20</v>
      </c>
      <c r="I2033" s="4">
        <v>20</v>
      </c>
      <c r="J2033" s="4">
        <v>0</v>
      </c>
      <c r="K2033" s="4">
        <v>0</v>
      </c>
      <c r="L2033" s="4">
        <v>0</v>
      </c>
      <c r="M2033" s="4">
        <v>10</v>
      </c>
      <c r="N2033" s="4">
        <v>20</v>
      </c>
    </row>
    <row r="2034" spans="1:14">
      <c r="A2034" s="3">
        <v>815646</v>
      </c>
      <c r="B2034" s="3">
        <v>119261</v>
      </c>
      <c r="C2034" s="4">
        <v>0</v>
      </c>
      <c r="D2034" s="4">
        <v>0</v>
      </c>
      <c r="E2034" s="4">
        <v>0</v>
      </c>
      <c r="F2034" s="4">
        <v>0</v>
      </c>
      <c r="G2034" s="4">
        <v>51</v>
      </c>
      <c r="H2034" s="4">
        <v>0</v>
      </c>
      <c r="I2034" s="4">
        <v>51</v>
      </c>
      <c r="J2034" s="4">
        <v>0</v>
      </c>
      <c r="K2034" s="4">
        <v>0</v>
      </c>
      <c r="L2034" s="4">
        <v>20</v>
      </c>
      <c r="M2034" s="4">
        <v>0</v>
      </c>
      <c r="N2034" s="4">
        <v>0</v>
      </c>
    </row>
    <row r="2035" spans="1:14">
      <c r="A2035" s="3">
        <v>815647</v>
      </c>
      <c r="B2035" s="3">
        <v>119261</v>
      </c>
      <c r="C2035" s="4">
        <v>0</v>
      </c>
      <c r="D2035" s="4">
        <v>0</v>
      </c>
      <c r="E2035" s="4">
        <v>0</v>
      </c>
      <c r="F2035" s="4">
        <v>0</v>
      </c>
      <c r="G2035" s="4">
        <v>22.75</v>
      </c>
      <c r="H2035" s="4">
        <v>0</v>
      </c>
      <c r="I2035" s="4">
        <v>10</v>
      </c>
      <c r="J2035" s="4">
        <v>0</v>
      </c>
      <c r="K2035" s="4">
        <v>15.5</v>
      </c>
      <c r="L2035" s="4">
        <v>0</v>
      </c>
      <c r="M2035" s="4">
        <v>0</v>
      </c>
      <c r="N2035" s="4">
        <v>0</v>
      </c>
    </row>
    <row r="2036" spans="1:14">
      <c r="A2036" s="3">
        <v>815654</v>
      </c>
      <c r="B2036" s="3">
        <v>174271</v>
      </c>
      <c r="C2036" s="4">
        <v>0</v>
      </c>
      <c r="D2036" s="4">
        <v>0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40</v>
      </c>
      <c r="M2036" s="4">
        <v>120</v>
      </c>
      <c r="N2036" s="4">
        <v>65</v>
      </c>
    </row>
    <row r="2037" spans="1:14">
      <c r="A2037" s="3">
        <v>815655</v>
      </c>
      <c r="B2037" s="3">
        <v>172597</v>
      </c>
      <c r="C2037" s="4">
        <v>0</v>
      </c>
      <c r="D2037" s="4">
        <v>0</v>
      </c>
      <c r="E2037" s="4">
        <v>0</v>
      </c>
      <c r="F2037" s="4">
        <v>5</v>
      </c>
      <c r="G2037" s="4">
        <v>5</v>
      </c>
      <c r="H2037" s="4">
        <v>25</v>
      </c>
      <c r="I2037" s="4">
        <v>5</v>
      </c>
      <c r="J2037" s="4">
        <v>10</v>
      </c>
      <c r="K2037" s="4">
        <v>10</v>
      </c>
      <c r="L2037" s="4">
        <v>0</v>
      </c>
      <c r="M2037" s="4">
        <v>0</v>
      </c>
      <c r="N2037" s="4">
        <v>0</v>
      </c>
    </row>
    <row r="2038" spans="1:14">
      <c r="A2038" s="3">
        <v>815657</v>
      </c>
      <c r="B2038" s="3">
        <v>207857</v>
      </c>
      <c r="C2038" s="4">
        <v>0</v>
      </c>
      <c r="D2038" s="4">
        <v>0</v>
      </c>
      <c r="E2038" s="4">
        <v>0</v>
      </c>
      <c r="F2038" s="4">
        <v>20</v>
      </c>
      <c r="G2038" s="4">
        <v>79</v>
      </c>
      <c r="H2038" s="4">
        <v>47.5</v>
      </c>
      <c r="I2038" s="4">
        <v>39.5</v>
      </c>
      <c r="J2038" s="4">
        <v>45</v>
      </c>
      <c r="K2038" s="4">
        <v>76.5</v>
      </c>
      <c r="L2038" s="4">
        <v>40</v>
      </c>
      <c r="M2038" s="4">
        <v>22.5</v>
      </c>
      <c r="N2038" s="4">
        <v>57.5</v>
      </c>
    </row>
    <row r="2039" spans="1:14">
      <c r="A2039" s="3">
        <v>815658</v>
      </c>
      <c r="B2039" s="3">
        <v>119261</v>
      </c>
      <c r="C2039" s="4">
        <v>0</v>
      </c>
      <c r="D2039" s="4">
        <v>0</v>
      </c>
      <c r="E2039" s="4">
        <v>0</v>
      </c>
      <c r="F2039" s="4">
        <v>0</v>
      </c>
      <c r="G2039" s="4">
        <v>57.75</v>
      </c>
      <c r="H2039" s="4">
        <v>75</v>
      </c>
      <c r="I2039" s="4">
        <v>51</v>
      </c>
      <c r="J2039" s="4">
        <v>51.25</v>
      </c>
      <c r="K2039" s="4">
        <v>50.5</v>
      </c>
      <c r="L2039" s="4">
        <v>51</v>
      </c>
      <c r="M2039" s="4">
        <v>55</v>
      </c>
      <c r="N2039" s="4">
        <v>20</v>
      </c>
    </row>
    <row r="2040" spans="1:14">
      <c r="A2040" s="3">
        <v>815663</v>
      </c>
      <c r="B2040" s="3">
        <v>207857</v>
      </c>
      <c r="C2040" s="4">
        <v>0</v>
      </c>
      <c r="D2040" s="4">
        <v>0</v>
      </c>
      <c r="E2040" s="4">
        <v>0</v>
      </c>
      <c r="F2040" s="4">
        <v>20</v>
      </c>
      <c r="G2040" s="4">
        <v>20</v>
      </c>
      <c r="H2040" s="4">
        <v>20</v>
      </c>
      <c r="I2040" s="4">
        <v>10</v>
      </c>
      <c r="J2040" s="4">
        <v>20</v>
      </c>
      <c r="K2040" s="4">
        <v>53.5</v>
      </c>
      <c r="L2040" s="4">
        <v>11.4</v>
      </c>
      <c r="M2040" s="4">
        <v>17.5</v>
      </c>
      <c r="N2040" s="4">
        <v>0</v>
      </c>
    </row>
    <row r="2041" spans="1:14">
      <c r="A2041" s="3">
        <v>815664</v>
      </c>
      <c r="B2041" s="3">
        <v>207857</v>
      </c>
      <c r="C2041" s="4">
        <v>0</v>
      </c>
      <c r="D2041" s="4">
        <v>0</v>
      </c>
      <c r="E2041" s="4">
        <v>0</v>
      </c>
      <c r="F2041" s="4">
        <v>10</v>
      </c>
      <c r="G2041" s="4">
        <v>20</v>
      </c>
      <c r="H2041" s="4">
        <v>25.5</v>
      </c>
      <c r="I2041" s="4">
        <v>45</v>
      </c>
      <c r="J2041" s="4">
        <v>20</v>
      </c>
      <c r="K2041" s="4">
        <v>63.5</v>
      </c>
      <c r="L2041" s="4">
        <v>10</v>
      </c>
      <c r="M2041" s="4">
        <v>30</v>
      </c>
      <c r="N2041" s="4">
        <v>177.15</v>
      </c>
    </row>
    <row r="2042" spans="1:14">
      <c r="A2042" s="3">
        <v>815665</v>
      </c>
      <c r="B2042" s="3">
        <v>140967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7.5</v>
      </c>
      <c r="L2042" s="4">
        <v>100</v>
      </c>
      <c r="M2042" s="4">
        <v>0</v>
      </c>
      <c r="N2042" s="4">
        <v>30</v>
      </c>
    </row>
    <row r="2043" spans="1:14">
      <c r="A2043" s="3">
        <v>815666</v>
      </c>
      <c r="B2043" s="3">
        <v>140858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40</v>
      </c>
      <c r="I2043" s="4">
        <v>60</v>
      </c>
      <c r="J2043" s="4">
        <v>60</v>
      </c>
      <c r="K2043" s="4">
        <v>42.5</v>
      </c>
      <c r="L2043" s="4">
        <v>95</v>
      </c>
      <c r="M2043" s="4">
        <v>50</v>
      </c>
      <c r="N2043" s="4">
        <v>52</v>
      </c>
    </row>
    <row r="2044" spans="1:14">
      <c r="A2044" s="3">
        <v>815668</v>
      </c>
      <c r="B2044" s="3">
        <v>170325</v>
      </c>
      <c r="C2044" s="4">
        <v>0</v>
      </c>
      <c r="D2044" s="4">
        <v>0</v>
      </c>
      <c r="E2044" s="4">
        <v>0</v>
      </c>
      <c r="F2044" s="4">
        <v>30</v>
      </c>
      <c r="G2044" s="4">
        <v>15</v>
      </c>
      <c r="H2044" s="4">
        <v>15</v>
      </c>
      <c r="I2044" s="4">
        <v>10</v>
      </c>
      <c r="J2044" s="4">
        <v>10</v>
      </c>
      <c r="K2044" s="4">
        <v>40</v>
      </c>
      <c r="L2044" s="4">
        <v>20</v>
      </c>
      <c r="M2044" s="4">
        <v>41.2</v>
      </c>
      <c r="N2044" s="4">
        <v>75</v>
      </c>
    </row>
    <row r="2045" spans="1:14">
      <c r="A2045" s="3">
        <v>815671</v>
      </c>
      <c r="B2045" s="3">
        <v>171063</v>
      </c>
      <c r="C2045" s="4">
        <v>0</v>
      </c>
      <c r="D2045" s="4">
        <v>0</v>
      </c>
      <c r="E2045" s="4">
        <v>0</v>
      </c>
      <c r="F2045" s="4">
        <v>2</v>
      </c>
      <c r="G2045" s="4">
        <v>10</v>
      </c>
      <c r="H2045" s="4">
        <v>30</v>
      </c>
      <c r="I2045" s="4">
        <v>17.5</v>
      </c>
      <c r="J2045" s="4">
        <v>0</v>
      </c>
      <c r="K2045" s="4">
        <v>0</v>
      </c>
      <c r="L2045" s="4">
        <v>10</v>
      </c>
      <c r="M2045" s="4">
        <v>0</v>
      </c>
      <c r="N2045" s="4">
        <v>20</v>
      </c>
    </row>
    <row r="2046" spans="1:14">
      <c r="A2046" s="3">
        <v>815672</v>
      </c>
      <c r="B2046" s="3">
        <v>119261</v>
      </c>
      <c r="C2046" s="4">
        <v>0</v>
      </c>
      <c r="D2046" s="4">
        <v>0</v>
      </c>
      <c r="E2046" s="4">
        <v>0</v>
      </c>
      <c r="F2046" s="4">
        <v>0</v>
      </c>
      <c r="G2046" s="4">
        <v>51</v>
      </c>
      <c r="H2046" s="4">
        <v>0</v>
      </c>
      <c r="I2046" s="4">
        <v>51</v>
      </c>
      <c r="J2046" s="4">
        <v>50</v>
      </c>
      <c r="K2046" s="4">
        <v>31</v>
      </c>
      <c r="L2046" s="4">
        <v>0</v>
      </c>
      <c r="M2046" s="4">
        <v>0</v>
      </c>
      <c r="N2046" s="4">
        <v>0</v>
      </c>
    </row>
    <row r="2047" spans="1:14">
      <c r="A2047" s="3">
        <v>815713</v>
      </c>
      <c r="B2047" s="3">
        <v>119023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30.5</v>
      </c>
      <c r="M2047" s="4">
        <v>0</v>
      </c>
      <c r="N2047" s="4">
        <v>128</v>
      </c>
    </row>
    <row r="2048" spans="1:14">
      <c r="A2048" s="3">
        <v>815715</v>
      </c>
      <c r="B2048" s="3">
        <v>207945</v>
      </c>
      <c r="C2048" s="4">
        <v>0</v>
      </c>
      <c r="D2048" s="4">
        <v>0</v>
      </c>
      <c r="E2048" s="4">
        <v>0</v>
      </c>
      <c r="F2048" s="4">
        <v>20</v>
      </c>
      <c r="G2048" s="4">
        <v>28</v>
      </c>
      <c r="H2048" s="4">
        <v>21</v>
      </c>
      <c r="I2048" s="4">
        <v>5.9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</row>
    <row r="2049" spans="1:14">
      <c r="A2049" s="3">
        <v>815719</v>
      </c>
      <c r="B2049" s="3">
        <v>207857</v>
      </c>
      <c r="C2049" s="4">
        <v>0</v>
      </c>
      <c r="D2049" s="4">
        <v>0</v>
      </c>
      <c r="E2049" s="4">
        <v>0</v>
      </c>
      <c r="F2049" s="4">
        <v>10</v>
      </c>
      <c r="G2049" s="4">
        <v>16</v>
      </c>
      <c r="H2049" s="4">
        <v>38.5</v>
      </c>
      <c r="I2049" s="4">
        <v>42.5</v>
      </c>
      <c r="J2049" s="4">
        <v>40</v>
      </c>
      <c r="K2049" s="4">
        <v>44</v>
      </c>
      <c r="L2049" s="4">
        <v>20</v>
      </c>
      <c r="M2049" s="4">
        <v>10</v>
      </c>
      <c r="N2049" s="4">
        <v>5</v>
      </c>
    </row>
    <row r="2050" spans="1:14">
      <c r="A2050" s="3">
        <v>815720</v>
      </c>
      <c r="B2050" s="3">
        <v>207857</v>
      </c>
      <c r="C2050" s="4">
        <v>0</v>
      </c>
      <c r="D2050" s="4">
        <v>0</v>
      </c>
      <c r="E2050" s="4">
        <v>0</v>
      </c>
      <c r="F2050" s="4">
        <v>7</v>
      </c>
      <c r="G2050" s="4">
        <v>27.5</v>
      </c>
      <c r="H2050" s="4">
        <v>45</v>
      </c>
      <c r="I2050" s="4">
        <v>63</v>
      </c>
      <c r="J2050" s="4">
        <v>60</v>
      </c>
      <c r="K2050" s="4">
        <v>89.5</v>
      </c>
      <c r="L2050" s="4">
        <v>30</v>
      </c>
      <c r="M2050" s="4">
        <v>30</v>
      </c>
      <c r="N2050" s="4">
        <v>74</v>
      </c>
    </row>
    <row r="2051" spans="1:14">
      <c r="A2051" s="3">
        <v>815755</v>
      </c>
      <c r="B2051" s="3">
        <v>205778</v>
      </c>
      <c r="C2051" s="4">
        <v>0</v>
      </c>
      <c r="D2051" s="4">
        <v>0</v>
      </c>
      <c r="E2051" s="4">
        <v>0</v>
      </c>
      <c r="F2051" s="4">
        <v>5</v>
      </c>
      <c r="G2051" s="4">
        <v>15</v>
      </c>
      <c r="H2051" s="4">
        <v>15</v>
      </c>
      <c r="I2051" s="4">
        <v>0</v>
      </c>
      <c r="J2051" s="4">
        <v>0</v>
      </c>
      <c r="K2051" s="4">
        <v>10</v>
      </c>
      <c r="L2051" s="4">
        <v>0</v>
      </c>
      <c r="M2051" s="4">
        <v>0</v>
      </c>
      <c r="N2051" s="4">
        <v>0</v>
      </c>
    </row>
    <row r="2052" spans="1:14">
      <c r="A2052" s="3">
        <v>815756</v>
      </c>
      <c r="B2052" s="3">
        <v>119028</v>
      </c>
      <c r="C2052" s="4">
        <v>0</v>
      </c>
      <c r="D2052" s="4">
        <v>0</v>
      </c>
      <c r="E2052" s="4">
        <v>0</v>
      </c>
      <c r="F2052" s="4">
        <v>2.5</v>
      </c>
      <c r="G2052" s="4">
        <v>47</v>
      </c>
      <c r="H2052" s="4">
        <v>16.5</v>
      </c>
      <c r="I2052" s="4">
        <v>17.5</v>
      </c>
      <c r="J2052" s="4">
        <v>10</v>
      </c>
      <c r="K2052" s="4">
        <v>21</v>
      </c>
      <c r="L2052" s="4">
        <v>0</v>
      </c>
      <c r="M2052" s="4">
        <v>0</v>
      </c>
      <c r="N2052" s="4">
        <v>0</v>
      </c>
    </row>
    <row r="2053" spans="1:14">
      <c r="A2053" s="3">
        <v>815757</v>
      </c>
      <c r="B2053" s="3">
        <v>119028</v>
      </c>
      <c r="C2053" s="4">
        <v>0</v>
      </c>
      <c r="D2053" s="4">
        <v>0</v>
      </c>
      <c r="E2053" s="4">
        <v>0</v>
      </c>
      <c r="F2053" s="4">
        <v>2.5</v>
      </c>
      <c r="G2053" s="4">
        <v>31</v>
      </c>
      <c r="H2053" s="4">
        <v>10</v>
      </c>
      <c r="I2053" s="4">
        <v>15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</row>
    <row r="2054" spans="1:14">
      <c r="A2054" s="3">
        <v>815773</v>
      </c>
      <c r="B2054" s="3">
        <v>171578</v>
      </c>
      <c r="C2054" s="4">
        <v>0</v>
      </c>
      <c r="D2054" s="4">
        <v>0</v>
      </c>
      <c r="E2054" s="4">
        <v>0</v>
      </c>
      <c r="F2054" s="4">
        <v>0</v>
      </c>
      <c r="G2054" s="4">
        <v>10</v>
      </c>
      <c r="H2054" s="4">
        <v>15</v>
      </c>
      <c r="I2054" s="4">
        <v>5</v>
      </c>
      <c r="J2054" s="4">
        <v>10</v>
      </c>
      <c r="K2054" s="4">
        <v>12.5</v>
      </c>
      <c r="L2054" s="4">
        <v>0</v>
      </c>
      <c r="M2054" s="4">
        <v>5</v>
      </c>
      <c r="N2054" s="4">
        <v>20</v>
      </c>
    </row>
    <row r="2055" spans="1:14">
      <c r="A2055" s="3">
        <v>815774</v>
      </c>
      <c r="B2055" s="3">
        <v>149765</v>
      </c>
      <c r="C2055" s="4">
        <v>0</v>
      </c>
      <c r="D2055" s="4">
        <v>0</v>
      </c>
      <c r="E2055" s="4">
        <v>0</v>
      </c>
      <c r="F2055" s="4">
        <v>0</v>
      </c>
      <c r="G2055" s="4">
        <v>20</v>
      </c>
      <c r="H2055" s="4">
        <v>30</v>
      </c>
      <c r="I2055" s="4">
        <v>22.5</v>
      </c>
      <c r="J2055" s="4">
        <v>20</v>
      </c>
      <c r="K2055" s="4">
        <v>25</v>
      </c>
      <c r="L2055" s="4">
        <v>0</v>
      </c>
      <c r="M2055" s="4">
        <v>20</v>
      </c>
      <c r="N2055" s="4">
        <v>0</v>
      </c>
    </row>
    <row r="2056" spans="1:14">
      <c r="A2056" s="3">
        <v>815777</v>
      </c>
      <c r="B2056" s="3">
        <v>171578</v>
      </c>
      <c r="C2056" s="4">
        <v>0</v>
      </c>
      <c r="D2056" s="4">
        <v>0</v>
      </c>
      <c r="E2056" s="4">
        <v>0</v>
      </c>
      <c r="F2056" s="4">
        <v>0</v>
      </c>
      <c r="G2056" s="4">
        <v>30</v>
      </c>
      <c r="H2056" s="4">
        <v>14</v>
      </c>
      <c r="I2056" s="4">
        <v>51</v>
      </c>
      <c r="J2056" s="4">
        <v>30</v>
      </c>
      <c r="K2056" s="4">
        <v>15</v>
      </c>
      <c r="L2056" s="4">
        <v>20</v>
      </c>
      <c r="M2056" s="4">
        <v>20</v>
      </c>
      <c r="N2056" s="4">
        <v>8</v>
      </c>
    </row>
    <row r="2057" spans="1:14">
      <c r="A2057" s="3">
        <v>815797</v>
      </c>
      <c r="B2057" s="3">
        <v>205742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10</v>
      </c>
      <c r="L2057" s="4">
        <v>15</v>
      </c>
      <c r="M2057" s="4">
        <v>15</v>
      </c>
      <c r="N2057" s="4">
        <v>20</v>
      </c>
    </row>
    <row r="2058" spans="1:14">
      <c r="A2058" s="3">
        <v>815798</v>
      </c>
      <c r="B2058" s="3">
        <v>173224</v>
      </c>
      <c r="C2058" s="4">
        <v>0</v>
      </c>
      <c r="D2058" s="4">
        <v>0</v>
      </c>
      <c r="E2058" s="4">
        <v>0</v>
      </c>
      <c r="F2058" s="4">
        <v>0</v>
      </c>
      <c r="G2058" s="4">
        <v>92.5</v>
      </c>
      <c r="H2058" s="4">
        <v>57.5</v>
      </c>
      <c r="I2058" s="4">
        <v>105</v>
      </c>
      <c r="J2058" s="4">
        <v>45</v>
      </c>
      <c r="K2058" s="4">
        <v>110</v>
      </c>
      <c r="L2058" s="4">
        <v>50</v>
      </c>
      <c r="M2058" s="4">
        <v>62.5</v>
      </c>
      <c r="N2058" s="4">
        <v>95</v>
      </c>
    </row>
    <row r="2059" spans="1:14">
      <c r="A2059" s="3">
        <v>815799</v>
      </c>
      <c r="B2059" s="3">
        <v>175547</v>
      </c>
      <c r="C2059" s="4">
        <v>0</v>
      </c>
      <c r="D2059" s="4">
        <v>0</v>
      </c>
      <c r="E2059" s="4">
        <v>0</v>
      </c>
      <c r="F2059" s="4">
        <v>0</v>
      </c>
      <c r="G2059" s="4">
        <v>122</v>
      </c>
      <c r="H2059" s="4">
        <v>120</v>
      </c>
      <c r="I2059" s="4">
        <v>115</v>
      </c>
      <c r="J2059" s="4">
        <v>35</v>
      </c>
      <c r="K2059" s="4">
        <v>93</v>
      </c>
      <c r="L2059" s="4">
        <v>120</v>
      </c>
      <c r="M2059" s="4">
        <v>45</v>
      </c>
      <c r="N2059" s="4">
        <v>155</v>
      </c>
    </row>
    <row r="2060" spans="1:14">
      <c r="A2060" s="3">
        <v>815815</v>
      </c>
      <c r="B2060" s="3">
        <v>204318</v>
      </c>
      <c r="C2060" s="4">
        <v>0</v>
      </c>
      <c r="D2060" s="4">
        <v>0</v>
      </c>
      <c r="E2060" s="4">
        <v>0</v>
      </c>
      <c r="F2060" s="4">
        <v>0</v>
      </c>
      <c r="G2060" s="4">
        <v>24.5</v>
      </c>
      <c r="H2060" s="4">
        <v>25</v>
      </c>
      <c r="I2060" s="4">
        <v>8</v>
      </c>
      <c r="J2060" s="4">
        <v>6</v>
      </c>
      <c r="K2060" s="4">
        <v>15</v>
      </c>
      <c r="L2060" s="4">
        <v>15</v>
      </c>
      <c r="M2060" s="4">
        <v>7.5</v>
      </c>
      <c r="N2060" s="4">
        <v>0</v>
      </c>
    </row>
    <row r="2061" spans="1:14">
      <c r="A2061" s="3">
        <v>815816</v>
      </c>
      <c r="B2061" s="3">
        <v>175939</v>
      </c>
      <c r="C2061" s="4">
        <v>0</v>
      </c>
      <c r="D2061" s="4">
        <v>0</v>
      </c>
      <c r="E2061" s="4">
        <v>0</v>
      </c>
      <c r="F2061" s="4">
        <v>0</v>
      </c>
      <c r="G2061" s="4">
        <v>1</v>
      </c>
      <c r="H2061" s="4">
        <v>36.5</v>
      </c>
      <c r="I2061" s="4">
        <v>25</v>
      </c>
      <c r="J2061" s="4">
        <v>25</v>
      </c>
      <c r="K2061" s="4">
        <v>42.25</v>
      </c>
      <c r="L2061" s="4">
        <v>30</v>
      </c>
      <c r="M2061" s="4">
        <v>23.75</v>
      </c>
      <c r="N2061" s="4">
        <v>35</v>
      </c>
    </row>
    <row r="2062" spans="1:14">
      <c r="A2062" s="3">
        <v>815817</v>
      </c>
      <c r="B2062" s="3">
        <v>208776</v>
      </c>
      <c r="C2062" s="4">
        <v>0</v>
      </c>
      <c r="D2062" s="4">
        <v>0</v>
      </c>
      <c r="E2062" s="4">
        <v>0</v>
      </c>
      <c r="F2062" s="4">
        <v>0</v>
      </c>
      <c r="G2062" s="4">
        <v>52.5</v>
      </c>
      <c r="H2062" s="4">
        <v>40</v>
      </c>
      <c r="I2062" s="4">
        <v>5</v>
      </c>
      <c r="J2062" s="4">
        <v>10</v>
      </c>
      <c r="K2062" s="4">
        <v>45</v>
      </c>
      <c r="L2062" s="4">
        <v>50</v>
      </c>
      <c r="M2062" s="4">
        <v>50</v>
      </c>
      <c r="N2062" s="4">
        <v>168.2</v>
      </c>
    </row>
    <row r="2063" spans="1:14">
      <c r="A2063" s="3">
        <v>815818</v>
      </c>
      <c r="B2063" s="3">
        <v>208776</v>
      </c>
      <c r="C2063" s="4">
        <v>0</v>
      </c>
      <c r="D2063" s="4">
        <v>0</v>
      </c>
      <c r="E2063" s="4">
        <v>0</v>
      </c>
      <c r="F2063" s="4">
        <v>0</v>
      </c>
      <c r="G2063" s="4">
        <v>122.5</v>
      </c>
      <c r="H2063" s="4">
        <v>87.5</v>
      </c>
      <c r="I2063" s="4">
        <v>31</v>
      </c>
      <c r="J2063" s="4">
        <v>30</v>
      </c>
      <c r="K2063" s="4">
        <v>67.5</v>
      </c>
      <c r="L2063" s="4">
        <v>80</v>
      </c>
      <c r="M2063" s="4">
        <v>55</v>
      </c>
      <c r="N2063" s="4">
        <v>66</v>
      </c>
    </row>
    <row r="2064" spans="1:14">
      <c r="A2064" s="3">
        <v>815819</v>
      </c>
      <c r="B2064" s="3">
        <v>173298</v>
      </c>
      <c r="C2064" s="4">
        <v>0</v>
      </c>
      <c r="D2064" s="4">
        <v>0</v>
      </c>
      <c r="E2064" s="4">
        <v>0</v>
      </c>
      <c r="F2064" s="4">
        <v>0</v>
      </c>
      <c r="G2064" s="4">
        <v>30</v>
      </c>
      <c r="H2064" s="4">
        <v>70</v>
      </c>
      <c r="I2064" s="4">
        <v>130</v>
      </c>
      <c r="J2064" s="4">
        <v>20</v>
      </c>
      <c r="K2064" s="4">
        <v>55.2</v>
      </c>
      <c r="L2064" s="4">
        <v>10</v>
      </c>
      <c r="M2064" s="4">
        <v>10</v>
      </c>
      <c r="N2064" s="4">
        <v>0</v>
      </c>
    </row>
    <row r="2065" spans="1:14">
      <c r="A2065" s="3">
        <v>815819</v>
      </c>
      <c r="B2065" s="3">
        <v>173865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10</v>
      </c>
      <c r="M2065" s="4">
        <v>0</v>
      </c>
      <c r="N2065" s="4">
        <v>0</v>
      </c>
    </row>
    <row r="2066" spans="1:14">
      <c r="A2066" s="3">
        <v>815820</v>
      </c>
      <c r="B2066" s="3">
        <v>203484</v>
      </c>
      <c r="C2066" s="4">
        <v>0</v>
      </c>
      <c r="D2066" s="4">
        <v>0</v>
      </c>
      <c r="E2066" s="4">
        <v>0</v>
      </c>
      <c r="F2066" s="4">
        <v>0</v>
      </c>
      <c r="G2066" s="4">
        <v>50.5</v>
      </c>
      <c r="H2066" s="4">
        <v>30</v>
      </c>
      <c r="I2066" s="4">
        <v>22.5</v>
      </c>
      <c r="J2066" s="4">
        <v>12.5</v>
      </c>
      <c r="K2066" s="4">
        <v>0</v>
      </c>
      <c r="L2066" s="4">
        <v>0</v>
      </c>
      <c r="M2066" s="4">
        <v>0</v>
      </c>
      <c r="N2066" s="4">
        <v>0</v>
      </c>
    </row>
    <row r="2067" spans="1:14">
      <c r="A2067" s="3">
        <v>815820</v>
      </c>
      <c r="B2067" s="3">
        <v>210132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10</v>
      </c>
      <c r="L2067" s="4">
        <v>10</v>
      </c>
      <c r="M2067" s="4">
        <v>0</v>
      </c>
      <c r="N2067" s="4">
        <v>12</v>
      </c>
    </row>
    <row r="2068" spans="1:14">
      <c r="A2068" s="3">
        <v>815821</v>
      </c>
      <c r="B2068" s="3">
        <v>170606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10</v>
      </c>
      <c r="N2068" s="4">
        <v>0</v>
      </c>
    </row>
    <row r="2069" spans="1:14">
      <c r="A2069" s="3">
        <v>815821</v>
      </c>
      <c r="B2069" s="3">
        <v>207643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18</v>
      </c>
      <c r="I2069" s="4">
        <v>15</v>
      </c>
      <c r="J2069" s="4">
        <v>5</v>
      </c>
      <c r="K2069" s="4">
        <v>15</v>
      </c>
      <c r="L2069" s="4">
        <v>5</v>
      </c>
      <c r="M2069" s="4">
        <v>6</v>
      </c>
      <c r="N2069" s="4">
        <v>0</v>
      </c>
    </row>
    <row r="2070" spans="1:14">
      <c r="A2070" s="3">
        <v>815822</v>
      </c>
      <c r="B2070" s="3">
        <v>202980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41.95</v>
      </c>
      <c r="I2070" s="4">
        <v>64</v>
      </c>
      <c r="J2070" s="4">
        <v>20</v>
      </c>
      <c r="K2070" s="4">
        <v>67</v>
      </c>
      <c r="L2070" s="4">
        <v>50</v>
      </c>
      <c r="M2070" s="4">
        <v>75</v>
      </c>
      <c r="N2070" s="4">
        <v>91.5</v>
      </c>
    </row>
    <row r="2071" spans="1:14">
      <c r="A2071" s="3">
        <v>815823</v>
      </c>
      <c r="B2071" s="3">
        <v>205591</v>
      </c>
      <c r="C2071" s="4">
        <v>0</v>
      </c>
      <c r="D2071" s="4">
        <v>0</v>
      </c>
      <c r="E2071" s="4">
        <v>0</v>
      </c>
      <c r="F2071" s="4">
        <v>0</v>
      </c>
      <c r="G2071" s="4">
        <v>2</v>
      </c>
      <c r="H2071" s="4">
        <v>15</v>
      </c>
      <c r="I2071" s="4">
        <v>60</v>
      </c>
      <c r="J2071" s="4">
        <v>12</v>
      </c>
      <c r="K2071" s="4">
        <v>13</v>
      </c>
      <c r="L2071" s="4">
        <v>30</v>
      </c>
      <c r="M2071" s="4">
        <v>30</v>
      </c>
      <c r="N2071" s="4">
        <v>20</v>
      </c>
    </row>
    <row r="2072" spans="1:14">
      <c r="A2072" s="3">
        <v>815824</v>
      </c>
      <c r="B2072" s="3">
        <v>175049</v>
      </c>
      <c r="C2072" s="4">
        <v>0</v>
      </c>
      <c r="D2072" s="4">
        <v>0</v>
      </c>
      <c r="E2072" s="4">
        <v>0</v>
      </c>
      <c r="F2072" s="4">
        <v>0</v>
      </c>
      <c r="G2072" s="4">
        <v>58.5</v>
      </c>
      <c r="H2072" s="4">
        <v>42.5</v>
      </c>
      <c r="I2072" s="4">
        <v>81</v>
      </c>
      <c r="J2072" s="4">
        <v>37.5</v>
      </c>
      <c r="K2072" s="4">
        <v>99.5</v>
      </c>
      <c r="L2072" s="4">
        <v>104.05</v>
      </c>
      <c r="M2072" s="4">
        <v>101</v>
      </c>
      <c r="N2072" s="4">
        <v>86</v>
      </c>
    </row>
    <row r="2073" spans="1:14">
      <c r="A2073" s="3">
        <v>815826</v>
      </c>
      <c r="B2073" s="3">
        <v>204034</v>
      </c>
      <c r="C2073" s="4">
        <v>0</v>
      </c>
      <c r="D2073" s="4">
        <v>0</v>
      </c>
      <c r="E2073" s="4">
        <v>0</v>
      </c>
      <c r="F2073" s="4">
        <v>0</v>
      </c>
      <c r="G2073" s="4">
        <v>71.5</v>
      </c>
      <c r="H2073" s="4">
        <v>27.5</v>
      </c>
      <c r="I2073" s="4">
        <v>20</v>
      </c>
      <c r="J2073" s="4">
        <v>0</v>
      </c>
      <c r="K2073" s="4">
        <v>5</v>
      </c>
      <c r="L2073" s="4">
        <v>0</v>
      </c>
      <c r="M2073" s="4">
        <v>0</v>
      </c>
      <c r="N2073" s="4">
        <v>0</v>
      </c>
    </row>
    <row r="2074" spans="1:14">
      <c r="A2074" s="3">
        <v>815830</v>
      </c>
      <c r="B2074" s="3">
        <v>170958</v>
      </c>
      <c r="C2074" s="4">
        <v>0</v>
      </c>
      <c r="D2074" s="4">
        <v>0</v>
      </c>
      <c r="E2074" s="4">
        <v>0</v>
      </c>
      <c r="F2074" s="4">
        <v>0</v>
      </c>
      <c r="G2074" s="4">
        <v>7.5</v>
      </c>
      <c r="H2074" s="4">
        <v>50</v>
      </c>
      <c r="I2074" s="4">
        <v>25</v>
      </c>
      <c r="J2074" s="4">
        <v>40</v>
      </c>
      <c r="K2074" s="4">
        <v>75</v>
      </c>
      <c r="L2074" s="4">
        <v>97.5</v>
      </c>
      <c r="M2074" s="4">
        <v>45</v>
      </c>
      <c r="N2074" s="4">
        <v>201</v>
      </c>
    </row>
    <row r="2075" spans="1:14">
      <c r="A2075" s="3">
        <v>815831</v>
      </c>
      <c r="B2075" s="3">
        <v>207290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15</v>
      </c>
      <c r="I2075" s="4">
        <v>0</v>
      </c>
      <c r="J2075" s="4">
        <v>0</v>
      </c>
      <c r="K2075" s="4">
        <v>10</v>
      </c>
      <c r="L2075" s="4">
        <v>0</v>
      </c>
      <c r="M2075" s="4">
        <v>30</v>
      </c>
      <c r="N2075" s="4">
        <v>20</v>
      </c>
    </row>
    <row r="2076" spans="1:14">
      <c r="A2076" s="3">
        <v>815832</v>
      </c>
      <c r="B2076" s="3">
        <v>178266</v>
      </c>
      <c r="C2076" s="4">
        <v>0</v>
      </c>
      <c r="D2076" s="4">
        <v>0</v>
      </c>
      <c r="E2076" s="4">
        <v>0</v>
      </c>
      <c r="F2076" s="4">
        <v>0</v>
      </c>
      <c r="G2076" s="4">
        <v>60</v>
      </c>
      <c r="H2076" s="4">
        <v>60</v>
      </c>
      <c r="I2076" s="4">
        <v>20</v>
      </c>
      <c r="J2076" s="4">
        <v>20</v>
      </c>
      <c r="K2076" s="4">
        <v>76</v>
      </c>
      <c r="L2076" s="4">
        <v>80</v>
      </c>
      <c r="M2076" s="4">
        <v>61</v>
      </c>
      <c r="N2076" s="4">
        <v>77</v>
      </c>
    </row>
    <row r="2077" spans="1:14">
      <c r="A2077" s="3">
        <v>815834</v>
      </c>
      <c r="B2077" s="3">
        <v>143148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20</v>
      </c>
      <c r="I2077" s="4">
        <v>50</v>
      </c>
      <c r="J2077" s="4">
        <v>0</v>
      </c>
      <c r="K2077" s="4">
        <v>7.5</v>
      </c>
      <c r="L2077" s="4">
        <v>10</v>
      </c>
      <c r="M2077" s="4">
        <v>35</v>
      </c>
      <c r="N2077" s="4">
        <v>37.5</v>
      </c>
    </row>
    <row r="2078" spans="1:14">
      <c r="A2078" s="3">
        <v>815835</v>
      </c>
      <c r="B2078" s="3">
        <v>201838</v>
      </c>
      <c r="C2078" s="4">
        <v>0</v>
      </c>
      <c r="D2078" s="4">
        <v>0</v>
      </c>
      <c r="E2078" s="4">
        <v>0</v>
      </c>
      <c r="F2078" s="4">
        <v>0</v>
      </c>
      <c r="G2078" s="4">
        <v>20</v>
      </c>
      <c r="H2078" s="4">
        <v>33.75</v>
      </c>
      <c r="I2078" s="4">
        <v>10</v>
      </c>
      <c r="J2078" s="4">
        <v>0</v>
      </c>
      <c r="K2078" s="4">
        <v>40</v>
      </c>
      <c r="L2078" s="4">
        <v>21</v>
      </c>
      <c r="M2078" s="4">
        <v>0</v>
      </c>
      <c r="N2078" s="4">
        <v>10</v>
      </c>
    </row>
    <row r="2079" spans="1:14">
      <c r="A2079" s="3">
        <v>815835</v>
      </c>
      <c r="B2079" s="3">
        <v>210135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5</v>
      </c>
      <c r="L2079" s="4">
        <v>0</v>
      </c>
      <c r="M2079" s="4">
        <v>0</v>
      </c>
      <c r="N2079" s="4">
        <v>0</v>
      </c>
    </row>
    <row r="2080" spans="1:14">
      <c r="A2080" s="3">
        <v>815836</v>
      </c>
      <c r="B2080" s="3">
        <v>142332</v>
      </c>
      <c r="C2080" s="4">
        <v>0</v>
      </c>
      <c r="D2080" s="4">
        <v>0</v>
      </c>
      <c r="E2080" s="4">
        <v>0</v>
      </c>
      <c r="F2080" s="4">
        <v>0</v>
      </c>
      <c r="G2080" s="4">
        <v>40</v>
      </c>
      <c r="H2080" s="4">
        <v>22.5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8</v>
      </c>
    </row>
    <row r="2081" spans="1:14">
      <c r="A2081" s="3">
        <v>815837</v>
      </c>
      <c r="B2081" s="3">
        <v>174756</v>
      </c>
      <c r="C2081" s="4">
        <v>0</v>
      </c>
      <c r="D2081" s="4">
        <v>0</v>
      </c>
      <c r="E2081" s="4">
        <v>0</v>
      </c>
      <c r="F2081" s="4">
        <v>0</v>
      </c>
      <c r="G2081" s="4">
        <v>5</v>
      </c>
      <c r="H2081" s="4">
        <v>3</v>
      </c>
      <c r="I2081" s="4">
        <v>0</v>
      </c>
      <c r="J2081" s="4">
        <v>6</v>
      </c>
      <c r="K2081" s="4">
        <v>17.5</v>
      </c>
      <c r="L2081" s="4">
        <v>0</v>
      </c>
      <c r="M2081" s="4">
        <v>20</v>
      </c>
      <c r="N2081" s="4">
        <v>10</v>
      </c>
    </row>
    <row r="2082" spans="1:14">
      <c r="A2082" s="3">
        <v>815838</v>
      </c>
      <c r="B2082" s="3">
        <v>143530</v>
      </c>
      <c r="C2082" s="4">
        <v>0</v>
      </c>
      <c r="D2082" s="4">
        <v>0</v>
      </c>
      <c r="E2082" s="4">
        <v>0</v>
      </c>
      <c r="F2082" s="4">
        <v>0</v>
      </c>
      <c r="G2082" s="4">
        <v>35</v>
      </c>
      <c r="H2082" s="4">
        <v>0</v>
      </c>
      <c r="I2082" s="4">
        <v>15</v>
      </c>
      <c r="J2082" s="4">
        <v>0</v>
      </c>
      <c r="K2082" s="4">
        <v>12.5</v>
      </c>
      <c r="L2082" s="4">
        <v>25</v>
      </c>
      <c r="M2082" s="4">
        <v>0</v>
      </c>
      <c r="N2082" s="4">
        <v>25</v>
      </c>
    </row>
    <row r="2083" spans="1:14">
      <c r="A2083" s="3">
        <v>815839</v>
      </c>
      <c r="B2083" s="3">
        <v>206102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5.8</v>
      </c>
      <c r="L2083" s="4">
        <v>0</v>
      </c>
      <c r="M2083" s="4">
        <v>0</v>
      </c>
      <c r="N2083" s="4">
        <v>0</v>
      </c>
    </row>
    <row r="2084" spans="1:14">
      <c r="A2084" s="3">
        <v>815839</v>
      </c>
      <c r="B2084" s="3">
        <v>207379</v>
      </c>
      <c r="C2084" s="4">
        <v>0</v>
      </c>
      <c r="D2084" s="4">
        <v>0</v>
      </c>
      <c r="E2084" s="4">
        <v>0</v>
      </c>
      <c r="F2084" s="4">
        <v>0</v>
      </c>
      <c r="G2084" s="4">
        <v>40</v>
      </c>
      <c r="H2084" s="4">
        <v>25</v>
      </c>
      <c r="I2084" s="4">
        <v>30</v>
      </c>
      <c r="J2084" s="4">
        <v>30</v>
      </c>
      <c r="K2084" s="4">
        <v>85</v>
      </c>
      <c r="L2084" s="4">
        <v>55</v>
      </c>
      <c r="M2084" s="4">
        <v>0</v>
      </c>
      <c r="N2084" s="4">
        <v>0</v>
      </c>
    </row>
    <row r="2085" spans="1:14">
      <c r="A2085" s="3">
        <v>815840</v>
      </c>
      <c r="B2085" s="3">
        <v>208776</v>
      </c>
      <c r="C2085" s="4">
        <v>0</v>
      </c>
      <c r="D2085" s="4">
        <v>0</v>
      </c>
      <c r="E2085" s="4">
        <v>0</v>
      </c>
      <c r="F2085" s="4">
        <v>0</v>
      </c>
      <c r="G2085" s="4">
        <v>142.5</v>
      </c>
      <c r="H2085" s="4">
        <v>187.5</v>
      </c>
      <c r="I2085" s="4">
        <v>206.5</v>
      </c>
      <c r="J2085" s="4">
        <v>92.5</v>
      </c>
      <c r="K2085" s="4">
        <v>285</v>
      </c>
      <c r="L2085" s="4">
        <v>271.5</v>
      </c>
      <c r="M2085" s="4">
        <v>189</v>
      </c>
      <c r="N2085" s="4">
        <v>327.5</v>
      </c>
    </row>
    <row r="2086" spans="1:14">
      <c r="A2086" s="3">
        <v>815841</v>
      </c>
      <c r="B2086" s="3">
        <v>147364</v>
      </c>
      <c r="C2086" s="4">
        <v>0</v>
      </c>
      <c r="D2086" s="4">
        <v>0</v>
      </c>
      <c r="E2086" s="4">
        <v>0</v>
      </c>
      <c r="F2086" s="4">
        <v>0</v>
      </c>
      <c r="G2086" s="4">
        <v>37.5</v>
      </c>
      <c r="H2086" s="4">
        <v>50</v>
      </c>
      <c r="I2086" s="4">
        <v>32.5</v>
      </c>
      <c r="J2086" s="4">
        <v>25</v>
      </c>
      <c r="K2086" s="4">
        <v>52.5</v>
      </c>
      <c r="L2086" s="4">
        <v>50</v>
      </c>
      <c r="M2086" s="4">
        <v>34</v>
      </c>
      <c r="N2086" s="4">
        <v>65</v>
      </c>
    </row>
    <row r="2087" spans="1:14">
      <c r="A2087" s="3">
        <v>815844</v>
      </c>
      <c r="B2087" s="3">
        <v>179486</v>
      </c>
      <c r="C2087" s="4">
        <v>0</v>
      </c>
      <c r="D2087" s="4">
        <v>0</v>
      </c>
      <c r="E2087" s="4">
        <v>0</v>
      </c>
      <c r="F2087" s="4">
        <v>0</v>
      </c>
      <c r="G2087" s="4">
        <v>40</v>
      </c>
      <c r="H2087" s="4">
        <v>40</v>
      </c>
      <c r="I2087" s="4">
        <v>0</v>
      </c>
      <c r="J2087" s="4">
        <v>10</v>
      </c>
      <c r="K2087" s="4">
        <v>55</v>
      </c>
      <c r="L2087" s="4">
        <v>36</v>
      </c>
      <c r="M2087" s="4">
        <v>55</v>
      </c>
      <c r="N2087" s="4">
        <v>64.5</v>
      </c>
    </row>
    <row r="2088" spans="1:14">
      <c r="A2088" s="3">
        <v>815845</v>
      </c>
      <c r="B2088" s="3">
        <v>119038</v>
      </c>
      <c r="C2088" s="4">
        <v>0</v>
      </c>
      <c r="D2088" s="4">
        <v>0</v>
      </c>
      <c r="E2088" s="4">
        <v>0</v>
      </c>
      <c r="F2088" s="4">
        <v>0</v>
      </c>
      <c r="G2088" s="4">
        <v>50</v>
      </c>
      <c r="H2088" s="4">
        <v>25</v>
      </c>
      <c r="I2088" s="4">
        <v>40</v>
      </c>
      <c r="J2088" s="4">
        <v>30</v>
      </c>
      <c r="K2088" s="4">
        <v>110</v>
      </c>
      <c r="L2088" s="4">
        <v>25.5</v>
      </c>
      <c r="M2088" s="4">
        <v>80</v>
      </c>
      <c r="N2088" s="4">
        <v>45.5</v>
      </c>
    </row>
    <row r="2089" spans="1:14">
      <c r="A2089" s="3">
        <v>815849</v>
      </c>
      <c r="B2089" s="3">
        <v>205591</v>
      </c>
      <c r="C2089" s="4">
        <v>0</v>
      </c>
      <c r="D2089" s="4">
        <v>0</v>
      </c>
      <c r="E2089" s="4">
        <v>0</v>
      </c>
      <c r="F2089" s="4">
        <v>0</v>
      </c>
      <c r="G2089" s="4">
        <v>25.5</v>
      </c>
      <c r="H2089" s="4">
        <v>4</v>
      </c>
      <c r="I2089" s="4">
        <v>16.2</v>
      </c>
      <c r="J2089" s="4">
        <v>10</v>
      </c>
      <c r="K2089" s="4">
        <v>0</v>
      </c>
      <c r="L2089" s="4">
        <v>10</v>
      </c>
      <c r="M2089" s="4">
        <v>13</v>
      </c>
      <c r="N2089" s="4">
        <v>0</v>
      </c>
    </row>
    <row r="2090" spans="1:14">
      <c r="A2090" s="3">
        <v>815850</v>
      </c>
      <c r="B2090" s="3">
        <v>174166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17.5</v>
      </c>
      <c r="I2090" s="4">
        <v>30</v>
      </c>
      <c r="J2090" s="4">
        <v>55</v>
      </c>
      <c r="K2090" s="4">
        <v>54</v>
      </c>
      <c r="L2090" s="4">
        <v>55</v>
      </c>
      <c r="M2090" s="4">
        <v>85</v>
      </c>
      <c r="N2090" s="4">
        <v>168</v>
      </c>
    </row>
    <row r="2091" spans="1:14">
      <c r="A2091" s="3">
        <v>815863</v>
      </c>
      <c r="B2091" s="3">
        <v>140850</v>
      </c>
      <c r="C2091" s="4">
        <v>0</v>
      </c>
      <c r="D2091" s="4">
        <v>0</v>
      </c>
      <c r="E2091" s="4">
        <v>0</v>
      </c>
      <c r="F2091" s="4">
        <v>0</v>
      </c>
      <c r="G2091" s="4">
        <v>65</v>
      </c>
      <c r="H2091" s="4">
        <v>35</v>
      </c>
      <c r="I2091" s="4">
        <v>10</v>
      </c>
      <c r="J2091" s="4">
        <v>15</v>
      </c>
      <c r="K2091" s="4">
        <v>54.5</v>
      </c>
      <c r="L2091" s="4">
        <v>20</v>
      </c>
      <c r="M2091" s="4">
        <v>57</v>
      </c>
      <c r="N2091" s="4">
        <v>39</v>
      </c>
    </row>
    <row r="2092" spans="1:14">
      <c r="A2092" s="3">
        <v>815864</v>
      </c>
      <c r="B2092" s="3">
        <v>205650</v>
      </c>
      <c r="C2092" s="4">
        <v>0</v>
      </c>
      <c r="D2092" s="4">
        <v>0</v>
      </c>
      <c r="E2092" s="4">
        <v>0</v>
      </c>
      <c r="F2092" s="4">
        <v>0</v>
      </c>
      <c r="G2092" s="4">
        <v>15</v>
      </c>
      <c r="H2092" s="4">
        <v>37.5</v>
      </c>
      <c r="I2092" s="4">
        <v>38.25</v>
      </c>
      <c r="J2092" s="4">
        <v>10.5</v>
      </c>
      <c r="K2092" s="4">
        <v>0</v>
      </c>
      <c r="L2092" s="4">
        <v>0</v>
      </c>
      <c r="M2092" s="4">
        <v>43</v>
      </c>
      <c r="N2092" s="4">
        <v>100</v>
      </c>
    </row>
    <row r="2093" spans="1:14">
      <c r="A2093" s="3">
        <v>815865</v>
      </c>
      <c r="B2093" s="3">
        <v>205343</v>
      </c>
      <c r="C2093" s="4">
        <v>0</v>
      </c>
      <c r="D2093" s="4">
        <v>0</v>
      </c>
      <c r="E2093" s="4">
        <v>0</v>
      </c>
      <c r="F2093" s="4">
        <v>0</v>
      </c>
      <c r="G2093" s="4">
        <v>104</v>
      </c>
      <c r="H2093" s="4">
        <v>113</v>
      </c>
      <c r="I2093" s="4">
        <v>68.5</v>
      </c>
      <c r="J2093" s="4">
        <v>25</v>
      </c>
      <c r="K2093" s="4">
        <v>35</v>
      </c>
      <c r="L2093" s="4">
        <v>80</v>
      </c>
      <c r="M2093" s="4">
        <v>51</v>
      </c>
      <c r="N2093" s="4">
        <v>219</v>
      </c>
    </row>
    <row r="2094" spans="1:14">
      <c r="A2094" s="3">
        <v>815866</v>
      </c>
      <c r="B2094" s="3">
        <v>202941</v>
      </c>
      <c r="C2094" s="4">
        <v>0</v>
      </c>
      <c r="D2094" s="4">
        <v>0</v>
      </c>
      <c r="E2094" s="4">
        <v>0</v>
      </c>
      <c r="F2094" s="4">
        <v>0</v>
      </c>
      <c r="G2094" s="4">
        <v>40</v>
      </c>
      <c r="H2094" s="4">
        <v>10</v>
      </c>
      <c r="I2094" s="4">
        <v>0</v>
      </c>
      <c r="J2094" s="4">
        <v>15</v>
      </c>
      <c r="K2094" s="4">
        <v>30</v>
      </c>
      <c r="L2094" s="4">
        <v>25</v>
      </c>
      <c r="M2094" s="4">
        <v>20</v>
      </c>
      <c r="N2094" s="4">
        <v>46.25</v>
      </c>
    </row>
    <row r="2095" spans="1:14">
      <c r="A2095" s="3">
        <v>815867</v>
      </c>
      <c r="B2095" s="3">
        <v>202941</v>
      </c>
      <c r="C2095" s="4">
        <v>0</v>
      </c>
      <c r="D2095" s="4">
        <v>0</v>
      </c>
      <c r="E2095" s="4">
        <v>0</v>
      </c>
      <c r="F2095" s="4">
        <v>0</v>
      </c>
      <c r="G2095" s="4">
        <v>10</v>
      </c>
      <c r="H2095" s="4">
        <v>10</v>
      </c>
      <c r="I2095" s="4">
        <v>35</v>
      </c>
      <c r="J2095" s="4">
        <v>15</v>
      </c>
      <c r="K2095" s="4">
        <v>45</v>
      </c>
      <c r="L2095" s="4">
        <v>41.5</v>
      </c>
      <c r="M2095" s="4">
        <v>37</v>
      </c>
      <c r="N2095" s="4">
        <v>39.25</v>
      </c>
    </row>
    <row r="2096" spans="1:14">
      <c r="A2096" s="3">
        <v>815868</v>
      </c>
      <c r="B2096" s="3">
        <v>171839</v>
      </c>
      <c r="C2096" s="4">
        <v>0</v>
      </c>
      <c r="D2096" s="4">
        <v>0</v>
      </c>
      <c r="E2096" s="4">
        <v>0</v>
      </c>
      <c r="F2096" s="4">
        <v>0</v>
      </c>
      <c r="G2096" s="4">
        <v>74.5</v>
      </c>
      <c r="H2096" s="4">
        <v>110</v>
      </c>
      <c r="I2096" s="4">
        <v>70</v>
      </c>
      <c r="J2096" s="4">
        <v>45</v>
      </c>
      <c r="K2096" s="4">
        <v>75</v>
      </c>
      <c r="L2096" s="4">
        <v>65</v>
      </c>
      <c r="M2096" s="4">
        <v>41.5</v>
      </c>
      <c r="N2096" s="4">
        <v>15</v>
      </c>
    </row>
    <row r="2097" spans="1:14">
      <c r="A2097" s="3">
        <v>815869</v>
      </c>
      <c r="B2097" s="3">
        <v>179928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42.75</v>
      </c>
      <c r="I2097" s="4">
        <v>57</v>
      </c>
      <c r="J2097" s="4">
        <v>40</v>
      </c>
      <c r="K2097" s="4">
        <v>15</v>
      </c>
      <c r="L2097" s="4">
        <v>47.65</v>
      </c>
      <c r="M2097" s="4">
        <v>51.5</v>
      </c>
      <c r="N2097" s="4">
        <v>12.5</v>
      </c>
    </row>
    <row r="2098" spans="1:14">
      <c r="A2098" s="3">
        <v>815870</v>
      </c>
      <c r="B2098" s="3">
        <v>209130</v>
      </c>
      <c r="C2098" s="4">
        <v>0</v>
      </c>
      <c r="D2098" s="4">
        <v>0</v>
      </c>
      <c r="E2098" s="4">
        <v>0</v>
      </c>
      <c r="F2098" s="4">
        <v>0</v>
      </c>
      <c r="G2098" s="4">
        <v>70</v>
      </c>
      <c r="H2098" s="4">
        <v>112.5</v>
      </c>
      <c r="I2098" s="4">
        <v>100</v>
      </c>
      <c r="J2098" s="4">
        <v>40</v>
      </c>
      <c r="K2098" s="4">
        <v>111.5</v>
      </c>
      <c r="L2098" s="4">
        <v>71.5</v>
      </c>
      <c r="M2098" s="4">
        <v>85</v>
      </c>
      <c r="N2098" s="4">
        <v>120</v>
      </c>
    </row>
    <row r="2099" spans="1:14">
      <c r="A2099" s="3">
        <v>815871</v>
      </c>
      <c r="B2099" s="3">
        <v>149764</v>
      </c>
      <c r="C2099" s="4">
        <v>0</v>
      </c>
      <c r="D2099" s="4">
        <v>0</v>
      </c>
      <c r="E2099" s="4">
        <v>0</v>
      </c>
      <c r="F2099" s="4">
        <v>0</v>
      </c>
      <c r="G2099" s="4">
        <v>127</v>
      </c>
      <c r="H2099" s="4">
        <v>145.5</v>
      </c>
      <c r="I2099" s="4">
        <v>188</v>
      </c>
      <c r="J2099" s="4">
        <v>115</v>
      </c>
      <c r="K2099" s="4">
        <v>55.5</v>
      </c>
      <c r="L2099" s="4">
        <v>80</v>
      </c>
      <c r="M2099" s="4">
        <v>150.5</v>
      </c>
      <c r="N2099" s="4">
        <v>95</v>
      </c>
    </row>
    <row r="2100" spans="1:14">
      <c r="A2100" s="3">
        <v>815882</v>
      </c>
      <c r="B2100" s="3">
        <v>174271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20</v>
      </c>
      <c r="M2100" s="4">
        <v>30</v>
      </c>
      <c r="N2100" s="4">
        <v>0</v>
      </c>
    </row>
    <row r="2101" spans="1:14">
      <c r="A2101" s="3">
        <v>815887</v>
      </c>
      <c r="B2101" s="3">
        <v>142512</v>
      </c>
      <c r="C2101" s="4">
        <v>0</v>
      </c>
      <c r="D2101" s="4">
        <v>0</v>
      </c>
      <c r="E2101" s="4">
        <v>0</v>
      </c>
      <c r="F2101" s="4">
        <v>0</v>
      </c>
      <c r="G2101" s="4">
        <v>38.5</v>
      </c>
      <c r="H2101" s="4">
        <v>0</v>
      </c>
      <c r="I2101" s="4">
        <v>31</v>
      </c>
      <c r="J2101" s="4">
        <v>17.5</v>
      </c>
      <c r="K2101" s="4">
        <v>10</v>
      </c>
      <c r="L2101" s="4">
        <v>31</v>
      </c>
      <c r="M2101" s="4">
        <v>17.5</v>
      </c>
      <c r="N2101" s="4">
        <v>80</v>
      </c>
    </row>
    <row r="2102" spans="1:14">
      <c r="A2102" s="3">
        <v>815899</v>
      </c>
      <c r="B2102" s="3">
        <v>175340</v>
      </c>
      <c r="C2102" s="4">
        <v>0</v>
      </c>
      <c r="D2102" s="4">
        <v>0</v>
      </c>
      <c r="E2102" s="4">
        <v>0</v>
      </c>
      <c r="F2102" s="4">
        <v>0</v>
      </c>
      <c r="G2102" s="4">
        <v>50</v>
      </c>
      <c r="H2102" s="4">
        <v>60.05</v>
      </c>
      <c r="I2102" s="4">
        <v>38.5</v>
      </c>
      <c r="J2102" s="4">
        <v>0</v>
      </c>
      <c r="K2102" s="4">
        <v>68.3</v>
      </c>
      <c r="L2102" s="4">
        <v>20</v>
      </c>
      <c r="M2102" s="4">
        <v>0</v>
      </c>
      <c r="N2102" s="4">
        <v>0</v>
      </c>
    </row>
    <row r="2103" spans="1:14">
      <c r="A2103" s="3">
        <v>815900</v>
      </c>
      <c r="B2103" s="3">
        <v>171662</v>
      </c>
      <c r="C2103" s="4">
        <v>0</v>
      </c>
      <c r="D2103" s="4">
        <v>0</v>
      </c>
      <c r="E2103" s="4">
        <v>0</v>
      </c>
      <c r="F2103" s="4">
        <v>0</v>
      </c>
      <c r="G2103" s="4">
        <v>15</v>
      </c>
      <c r="H2103" s="4">
        <v>20</v>
      </c>
      <c r="I2103" s="4">
        <v>28</v>
      </c>
      <c r="J2103" s="4">
        <v>10</v>
      </c>
      <c r="K2103" s="4">
        <v>0</v>
      </c>
      <c r="L2103" s="4">
        <v>0</v>
      </c>
      <c r="M2103" s="4">
        <v>0</v>
      </c>
      <c r="N2103" s="4">
        <v>0</v>
      </c>
    </row>
    <row r="2104" spans="1:14">
      <c r="A2104" s="3">
        <v>815901</v>
      </c>
      <c r="B2104" s="3">
        <v>171662</v>
      </c>
      <c r="C2104" s="4">
        <v>0</v>
      </c>
      <c r="D2104" s="4">
        <v>0</v>
      </c>
      <c r="E2104" s="4">
        <v>0</v>
      </c>
      <c r="F2104" s="4">
        <v>0</v>
      </c>
      <c r="G2104" s="4">
        <v>15</v>
      </c>
      <c r="H2104" s="4">
        <v>22.5</v>
      </c>
      <c r="I2104" s="4">
        <v>29.45</v>
      </c>
      <c r="J2104" s="4">
        <v>10</v>
      </c>
      <c r="K2104" s="4">
        <v>25</v>
      </c>
      <c r="L2104" s="4">
        <v>20</v>
      </c>
      <c r="M2104" s="4">
        <v>0</v>
      </c>
      <c r="N2104" s="4">
        <v>25</v>
      </c>
    </row>
    <row r="2105" spans="1:14">
      <c r="A2105" s="3">
        <v>815904</v>
      </c>
      <c r="B2105" s="3">
        <v>175340</v>
      </c>
      <c r="C2105" s="4">
        <v>0</v>
      </c>
      <c r="D2105" s="4">
        <v>0</v>
      </c>
      <c r="E2105" s="4">
        <v>0</v>
      </c>
      <c r="F2105" s="4">
        <v>0</v>
      </c>
      <c r="G2105" s="4">
        <v>52</v>
      </c>
      <c r="H2105" s="4">
        <v>60</v>
      </c>
      <c r="I2105" s="4">
        <v>91.5</v>
      </c>
      <c r="J2105" s="4">
        <v>0</v>
      </c>
      <c r="K2105" s="4">
        <v>77.5</v>
      </c>
      <c r="L2105" s="4">
        <v>98</v>
      </c>
      <c r="M2105" s="4">
        <v>31</v>
      </c>
      <c r="N2105" s="4">
        <v>50</v>
      </c>
    </row>
    <row r="2106" spans="1:14">
      <c r="A2106" s="3">
        <v>815905</v>
      </c>
      <c r="B2106" s="3">
        <v>201654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87.5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</row>
    <row r="2107" spans="1:14">
      <c r="A2107" s="3">
        <v>815906</v>
      </c>
      <c r="B2107" s="3">
        <v>174377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42.5</v>
      </c>
      <c r="I2107" s="4">
        <v>18.5</v>
      </c>
      <c r="J2107" s="4">
        <v>0</v>
      </c>
      <c r="K2107" s="4">
        <v>0</v>
      </c>
      <c r="L2107" s="4">
        <v>0</v>
      </c>
      <c r="M2107" s="4">
        <v>15</v>
      </c>
      <c r="N2107" s="4">
        <v>0</v>
      </c>
    </row>
    <row r="2108" spans="1:14">
      <c r="A2108" s="3">
        <v>815907</v>
      </c>
      <c r="B2108" s="3">
        <v>147364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7.5</v>
      </c>
      <c r="L2108" s="4">
        <v>0</v>
      </c>
      <c r="M2108" s="4">
        <v>0</v>
      </c>
      <c r="N2108" s="4">
        <v>0</v>
      </c>
    </row>
    <row r="2109" spans="1:14">
      <c r="A2109" s="3">
        <v>815907</v>
      </c>
      <c r="B2109" s="3">
        <v>208776</v>
      </c>
      <c r="C2109" s="4">
        <v>0</v>
      </c>
      <c r="D2109" s="4">
        <v>0</v>
      </c>
      <c r="E2109" s="4">
        <v>0</v>
      </c>
      <c r="F2109" s="4">
        <v>0</v>
      </c>
      <c r="G2109" s="4">
        <v>32.5</v>
      </c>
      <c r="H2109" s="4">
        <v>52.5</v>
      </c>
      <c r="I2109" s="4">
        <v>27.5</v>
      </c>
      <c r="J2109" s="4">
        <v>51.5</v>
      </c>
      <c r="K2109" s="4">
        <v>57.5</v>
      </c>
      <c r="L2109" s="4">
        <v>70</v>
      </c>
      <c r="M2109" s="4">
        <v>50</v>
      </c>
      <c r="N2109" s="4">
        <v>70</v>
      </c>
    </row>
    <row r="2110" spans="1:14">
      <c r="A2110" s="3">
        <v>815909</v>
      </c>
      <c r="B2110" s="3">
        <v>209146</v>
      </c>
      <c r="C2110" s="4">
        <v>0</v>
      </c>
      <c r="D2110" s="4">
        <v>0</v>
      </c>
      <c r="E2110" s="4">
        <v>0</v>
      </c>
      <c r="F2110" s="4">
        <v>0</v>
      </c>
      <c r="G2110" s="4">
        <v>79.25</v>
      </c>
      <c r="H2110" s="4">
        <v>82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</row>
    <row r="2111" spans="1:14">
      <c r="A2111" s="3">
        <v>815924</v>
      </c>
      <c r="B2111" s="3">
        <v>178237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20</v>
      </c>
      <c r="J2111" s="4">
        <v>30</v>
      </c>
      <c r="K2111" s="4">
        <v>46.75</v>
      </c>
      <c r="L2111" s="4">
        <v>37</v>
      </c>
      <c r="M2111" s="4">
        <v>30.5</v>
      </c>
      <c r="N2111" s="4">
        <v>52.5</v>
      </c>
    </row>
    <row r="2112" spans="1:14">
      <c r="A2112" s="3">
        <v>815929</v>
      </c>
      <c r="B2112" s="3">
        <v>202870</v>
      </c>
      <c r="C2112" s="4">
        <v>0</v>
      </c>
      <c r="D2112" s="4">
        <v>0</v>
      </c>
      <c r="E2112" s="4">
        <v>0</v>
      </c>
      <c r="F2112" s="4">
        <v>0</v>
      </c>
      <c r="G2112" s="4">
        <v>20</v>
      </c>
      <c r="H2112" s="4">
        <v>91</v>
      </c>
      <c r="I2112" s="4">
        <v>83</v>
      </c>
      <c r="J2112" s="4">
        <v>50</v>
      </c>
      <c r="K2112" s="4">
        <v>20</v>
      </c>
      <c r="L2112" s="4">
        <v>49</v>
      </c>
      <c r="M2112" s="4">
        <v>0</v>
      </c>
      <c r="N2112" s="4">
        <v>15</v>
      </c>
    </row>
    <row r="2113" spans="1:14">
      <c r="A2113" s="3">
        <v>815930</v>
      </c>
      <c r="B2113" s="3">
        <v>172702</v>
      </c>
      <c r="C2113" s="4">
        <v>0</v>
      </c>
      <c r="D2113" s="4">
        <v>0</v>
      </c>
      <c r="E2113" s="4">
        <v>0</v>
      </c>
      <c r="F2113" s="4">
        <v>0</v>
      </c>
      <c r="G2113" s="4">
        <v>42</v>
      </c>
      <c r="H2113" s="4">
        <v>15</v>
      </c>
      <c r="I2113" s="4">
        <v>15</v>
      </c>
      <c r="J2113" s="4">
        <v>0</v>
      </c>
      <c r="K2113" s="4">
        <v>105</v>
      </c>
      <c r="L2113" s="4">
        <v>50</v>
      </c>
      <c r="M2113" s="4">
        <v>15</v>
      </c>
      <c r="N2113" s="4">
        <v>40</v>
      </c>
    </row>
    <row r="2114" spans="1:14">
      <c r="A2114" s="3">
        <v>815934</v>
      </c>
      <c r="B2114" s="3">
        <v>206302</v>
      </c>
      <c r="C2114" s="4">
        <v>0</v>
      </c>
      <c r="D2114" s="4">
        <v>0</v>
      </c>
      <c r="E2114" s="4">
        <v>0</v>
      </c>
      <c r="F2114" s="4">
        <v>0</v>
      </c>
      <c r="G2114" s="4">
        <v>98</v>
      </c>
      <c r="H2114" s="4">
        <v>97.5</v>
      </c>
      <c r="I2114" s="4">
        <v>70</v>
      </c>
      <c r="J2114" s="4">
        <v>93</v>
      </c>
      <c r="K2114" s="4">
        <v>118.9</v>
      </c>
      <c r="L2114" s="4">
        <v>151</v>
      </c>
      <c r="M2114" s="4">
        <v>84</v>
      </c>
      <c r="N2114" s="4">
        <v>204</v>
      </c>
    </row>
    <row r="2115" spans="1:14">
      <c r="A2115" s="3">
        <v>815935</v>
      </c>
      <c r="B2115" s="3">
        <v>208809</v>
      </c>
      <c r="C2115" s="4">
        <v>0</v>
      </c>
      <c r="D2115" s="4">
        <v>0</v>
      </c>
      <c r="E2115" s="4">
        <v>0</v>
      </c>
      <c r="F2115" s="4">
        <v>0</v>
      </c>
      <c r="G2115" s="4">
        <v>135</v>
      </c>
      <c r="H2115" s="4">
        <v>130.5</v>
      </c>
      <c r="I2115" s="4">
        <v>40</v>
      </c>
      <c r="J2115" s="4">
        <v>50</v>
      </c>
      <c r="K2115" s="4">
        <v>28</v>
      </c>
      <c r="L2115" s="4">
        <v>10</v>
      </c>
      <c r="M2115" s="4">
        <v>80</v>
      </c>
      <c r="N2115" s="4">
        <v>167.5</v>
      </c>
    </row>
    <row r="2116" spans="1:14">
      <c r="A2116" s="3">
        <v>815936</v>
      </c>
      <c r="B2116" s="3">
        <v>208074</v>
      </c>
      <c r="C2116" s="4">
        <v>0</v>
      </c>
      <c r="D2116" s="4">
        <v>0</v>
      </c>
      <c r="E2116" s="4">
        <v>0</v>
      </c>
      <c r="F2116" s="4">
        <v>0</v>
      </c>
      <c r="G2116" s="4">
        <v>50</v>
      </c>
      <c r="H2116" s="4">
        <v>55</v>
      </c>
      <c r="I2116" s="4">
        <v>10</v>
      </c>
      <c r="J2116" s="4">
        <v>7.5</v>
      </c>
      <c r="K2116" s="4">
        <v>44</v>
      </c>
      <c r="L2116" s="4">
        <v>5</v>
      </c>
      <c r="M2116" s="4">
        <v>12.5</v>
      </c>
      <c r="N2116" s="4">
        <v>7.5</v>
      </c>
    </row>
    <row r="2117" spans="1:14">
      <c r="A2117" s="3">
        <v>815938</v>
      </c>
      <c r="B2117" s="3">
        <v>143530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15</v>
      </c>
      <c r="N2117" s="4">
        <v>0</v>
      </c>
    </row>
    <row r="2118" spans="1:14">
      <c r="A2118" s="3">
        <v>815938</v>
      </c>
      <c r="B2118" s="3">
        <v>209017</v>
      </c>
      <c r="C2118" s="4">
        <v>0</v>
      </c>
      <c r="D2118" s="4">
        <v>0</v>
      </c>
      <c r="E2118" s="4">
        <v>0</v>
      </c>
      <c r="F2118" s="4">
        <v>0</v>
      </c>
      <c r="G2118" s="4">
        <v>62</v>
      </c>
      <c r="H2118" s="4">
        <v>107.5</v>
      </c>
      <c r="I2118" s="4">
        <v>135</v>
      </c>
      <c r="J2118" s="4">
        <v>80</v>
      </c>
      <c r="K2118" s="4">
        <v>125</v>
      </c>
      <c r="L2118" s="4">
        <v>116.4</v>
      </c>
      <c r="M2118" s="4">
        <v>172</v>
      </c>
      <c r="N2118" s="4">
        <v>253</v>
      </c>
    </row>
    <row r="2119" spans="1:14">
      <c r="A2119" s="3">
        <v>815946</v>
      </c>
      <c r="B2119" s="3">
        <v>179928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31</v>
      </c>
      <c r="I2119" s="4">
        <v>58</v>
      </c>
      <c r="J2119" s="4">
        <v>6</v>
      </c>
      <c r="K2119" s="4">
        <v>0</v>
      </c>
      <c r="L2119" s="4">
        <v>0</v>
      </c>
      <c r="M2119" s="4">
        <v>0</v>
      </c>
      <c r="N2119" s="4">
        <v>15.5</v>
      </c>
    </row>
    <row r="2120" spans="1:14">
      <c r="A2120" s="3">
        <v>815947</v>
      </c>
      <c r="B2120" s="3">
        <v>172942</v>
      </c>
      <c r="C2120" s="4">
        <v>0</v>
      </c>
      <c r="D2120" s="4">
        <v>0</v>
      </c>
      <c r="E2120" s="4">
        <v>0</v>
      </c>
      <c r="F2120" s="4">
        <v>0</v>
      </c>
      <c r="G2120" s="4">
        <v>85</v>
      </c>
      <c r="H2120" s="4">
        <v>65</v>
      </c>
      <c r="I2120" s="4">
        <v>35</v>
      </c>
      <c r="J2120" s="4">
        <v>30</v>
      </c>
      <c r="K2120" s="4">
        <v>55</v>
      </c>
      <c r="L2120" s="4">
        <v>26.5</v>
      </c>
      <c r="M2120" s="4">
        <v>10</v>
      </c>
      <c r="N2120" s="4">
        <v>10</v>
      </c>
    </row>
    <row r="2121" spans="1:14">
      <c r="A2121" s="3">
        <v>815958</v>
      </c>
      <c r="B2121" s="3">
        <v>204034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39.5</v>
      </c>
      <c r="I2121" s="4">
        <v>58.25</v>
      </c>
      <c r="J2121" s="4">
        <v>25</v>
      </c>
      <c r="K2121" s="4">
        <v>15</v>
      </c>
      <c r="L2121" s="4">
        <v>15</v>
      </c>
      <c r="M2121" s="4">
        <v>20</v>
      </c>
      <c r="N2121" s="4">
        <v>37.5</v>
      </c>
    </row>
    <row r="2122" spans="1:14">
      <c r="A2122" s="3">
        <v>815961</v>
      </c>
      <c r="B2122" s="3">
        <v>177069</v>
      </c>
      <c r="C2122" s="4">
        <v>0</v>
      </c>
      <c r="D2122" s="4">
        <v>0</v>
      </c>
      <c r="E2122" s="4">
        <v>0</v>
      </c>
      <c r="F2122" s="4">
        <v>0</v>
      </c>
      <c r="G2122" s="4">
        <v>25</v>
      </c>
      <c r="H2122" s="4">
        <v>35</v>
      </c>
      <c r="I2122" s="4">
        <v>25</v>
      </c>
      <c r="J2122" s="4">
        <v>0</v>
      </c>
      <c r="K2122" s="4">
        <v>45</v>
      </c>
      <c r="L2122" s="4">
        <v>65</v>
      </c>
      <c r="M2122" s="4">
        <v>60</v>
      </c>
      <c r="N2122" s="4">
        <v>52</v>
      </c>
    </row>
    <row r="2123" spans="1:14">
      <c r="A2123" s="3">
        <v>815962</v>
      </c>
      <c r="B2123" s="3">
        <v>149971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20</v>
      </c>
      <c r="J2123" s="4">
        <v>0</v>
      </c>
      <c r="K2123" s="4">
        <v>20.5</v>
      </c>
      <c r="L2123" s="4">
        <v>25</v>
      </c>
      <c r="M2123" s="4">
        <v>0</v>
      </c>
      <c r="N2123" s="4">
        <v>10</v>
      </c>
    </row>
    <row r="2124" spans="1:14">
      <c r="A2124" s="3">
        <v>815963</v>
      </c>
      <c r="B2124" s="3">
        <v>207713</v>
      </c>
      <c r="C2124" s="4">
        <v>0</v>
      </c>
      <c r="D2124" s="4">
        <v>0</v>
      </c>
      <c r="E2124" s="4">
        <v>0</v>
      </c>
      <c r="F2124" s="4">
        <v>0</v>
      </c>
      <c r="G2124" s="4">
        <v>148.5</v>
      </c>
      <c r="H2124" s="4">
        <v>193.75</v>
      </c>
      <c r="I2124" s="4">
        <v>180.75</v>
      </c>
      <c r="J2124" s="4">
        <v>122.5</v>
      </c>
      <c r="K2124" s="4">
        <v>111.35</v>
      </c>
      <c r="L2124" s="4">
        <v>113</v>
      </c>
      <c r="M2124" s="4">
        <v>125</v>
      </c>
      <c r="N2124" s="4">
        <v>133.5</v>
      </c>
    </row>
    <row r="2125" spans="1:14">
      <c r="A2125" s="3">
        <v>815982</v>
      </c>
      <c r="B2125" s="3">
        <v>178109</v>
      </c>
      <c r="C2125" s="4">
        <v>0</v>
      </c>
      <c r="D2125" s="4">
        <v>0</v>
      </c>
      <c r="E2125" s="4">
        <v>0</v>
      </c>
      <c r="F2125" s="4">
        <v>0</v>
      </c>
      <c r="G2125" s="4">
        <v>50</v>
      </c>
      <c r="H2125" s="4">
        <v>35</v>
      </c>
      <c r="I2125" s="4">
        <v>23.5</v>
      </c>
      <c r="J2125" s="4">
        <v>10</v>
      </c>
      <c r="K2125" s="4">
        <v>20</v>
      </c>
      <c r="L2125" s="4">
        <v>76</v>
      </c>
      <c r="M2125" s="4">
        <v>38.5</v>
      </c>
      <c r="N2125" s="4">
        <v>36.5</v>
      </c>
    </row>
    <row r="2126" spans="1:14">
      <c r="A2126" s="3">
        <v>815983</v>
      </c>
      <c r="B2126" s="3">
        <v>140960</v>
      </c>
      <c r="C2126" s="4">
        <v>0</v>
      </c>
      <c r="D2126" s="4">
        <v>0</v>
      </c>
      <c r="E2126" s="4">
        <v>0</v>
      </c>
      <c r="F2126" s="4">
        <v>0</v>
      </c>
      <c r="G2126" s="4">
        <v>50</v>
      </c>
      <c r="H2126" s="4">
        <v>60</v>
      </c>
      <c r="I2126" s="4">
        <v>0</v>
      </c>
      <c r="J2126" s="4">
        <v>15</v>
      </c>
      <c r="K2126" s="4">
        <v>17.5</v>
      </c>
      <c r="L2126" s="4">
        <v>0</v>
      </c>
      <c r="M2126" s="4">
        <v>0</v>
      </c>
      <c r="N2126" s="4">
        <v>35</v>
      </c>
    </row>
    <row r="2127" spans="1:14">
      <c r="A2127" s="3">
        <v>815984</v>
      </c>
      <c r="B2127" s="3">
        <v>140960</v>
      </c>
      <c r="C2127" s="4">
        <v>0</v>
      </c>
      <c r="D2127" s="4">
        <v>0</v>
      </c>
      <c r="E2127" s="4">
        <v>0</v>
      </c>
      <c r="F2127" s="4">
        <v>0</v>
      </c>
      <c r="G2127" s="4">
        <v>55</v>
      </c>
      <c r="H2127" s="4">
        <v>40</v>
      </c>
      <c r="I2127" s="4">
        <v>0</v>
      </c>
      <c r="J2127" s="4">
        <v>50</v>
      </c>
      <c r="K2127" s="4">
        <v>50</v>
      </c>
      <c r="L2127" s="4">
        <v>20</v>
      </c>
      <c r="M2127" s="4">
        <v>65</v>
      </c>
      <c r="N2127" s="4">
        <v>85</v>
      </c>
    </row>
    <row r="2128" spans="1:14">
      <c r="A2128" s="3">
        <v>815985</v>
      </c>
      <c r="B2128" s="3">
        <v>170204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23</v>
      </c>
      <c r="I2128" s="4">
        <v>34</v>
      </c>
      <c r="J2128" s="4">
        <v>0</v>
      </c>
      <c r="K2128" s="4">
        <v>0</v>
      </c>
      <c r="L2128" s="4">
        <v>0</v>
      </c>
      <c r="M2128" s="4">
        <v>0</v>
      </c>
      <c r="N2128" s="4">
        <v>10</v>
      </c>
    </row>
    <row r="2129" spans="1:14">
      <c r="A2129" s="3">
        <v>815986</v>
      </c>
      <c r="B2129" s="3">
        <v>170204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50</v>
      </c>
      <c r="I2129" s="4">
        <v>35</v>
      </c>
      <c r="J2129" s="4">
        <v>0</v>
      </c>
      <c r="K2129" s="4">
        <v>10</v>
      </c>
      <c r="L2129" s="4">
        <v>0</v>
      </c>
      <c r="M2129" s="4">
        <v>63</v>
      </c>
      <c r="N2129" s="4">
        <v>57</v>
      </c>
    </row>
    <row r="2130" spans="1:14">
      <c r="A2130" s="3">
        <v>815987</v>
      </c>
      <c r="B2130" s="3">
        <v>178003</v>
      </c>
      <c r="C2130" s="4">
        <v>0</v>
      </c>
      <c r="D2130" s="4">
        <v>0</v>
      </c>
      <c r="E2130" s="4">
        <v>0</v>
      </c>
      <c r="F2130" s="4">
        <v>0</v>
      </c>
      <c r="G2130" s="4">
        <v>10</v>
      </c>
      <c r="H2130" s="4">
        <v>37</v>
      </c>
      <c r="I2130" s="4">
        <v>25.5</v>
      </c>
      <c r="J2130" s="4">
        <v>26.5</v>
      </c>
      <c r="K2130" s="4">
        <v>22.5</v>
      </c>
      <c r="L2130" s="4">
        <v>43.75</v>
      </c>
      <c r="M2130" s="4">
        <v>41</v>
      </c>
      <c r="N2130" s="4">
        <v>14.5</v>
      </c>
    </row>
    <row r="2131" spans="1:14">
      <c r="A2131" s="3">
        <v>815988</v>
      </c>
      <c r="B2131" s="3">
        <v>179486</v>
      </c>
      <c r="C2131" s="4">
        <v>0</v>
      </c>
      <c r="D2131" s="4">
        <v>0</v>
      </c>
      <c r="E2131" s="4">
        <v>0</v>
      </c>
      <c r="F2131" s="4">
        <v>0</v>
      </c>
      <c r="G2131" s="4">
        <v>20</v>
      </c>
      <c r="H2131" s="4">
        <v>15</v>
      </c>
      <c r="I2131" s="4">
        <v>0</v>
      </c>
      <c r="J2131" s="4">
        <v>0</v>
      </c>
      <c r="K2131" s="4">
        <v>0</v>
      </c>
      <c r="L2131" s="4">
        <v>10</v>
      </c>
      <c r="M2131" s="4">
        <v>0</v>
      </c>
      <c r="N2131" s="4">
        <v>30</v>
      </c>
    </row>
    <row r="2132" spans="1:14">
      <c r="A2132" s="3">
        <v>815993</v>
      </c>
      <c r="B2132" s="3">
        <v>176773</v>
      </c>
      <c r="C2132" s="4">
        <v>0</v>
      </c>
      <c r="D2132" s="4">
        <v>0</v>
      </c>
      <c r="E2132" s="4">
        <v>0</v>
      </c>
      <c r="F2132" s="4">
        <v>0</v>
      </c>
      <c r="G2132" s="4">
        <v>70</v>
      </c>
      <c r="H2132" s="4">
        <v>60</v>
      </c>
      <c r="I2132" s="4">
        <v>86.65</v>
      </c>
      <c r="J2132" s="4">
        <v>74</v>
      </c>
      <c r="K2132" s="4">
        <v>113.14999999999999</v>
      </c>
      <c r="L2132" s="4">
        <v>86.5</v>
      </c>
      <c r="M2132" s="4">
        <v>96.5</v>
      </c>
      <c r="N2132" s="4">
        <v>62.5</v>
      </c>
    </row>
    <row r="2133" spans="1:14">
      <c r="A2133" s="3">
        <v>815993</v>
      </c>
      <c r="B2133" s="3">
        <v>208123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20</v>
      </c>
      <c r="M2133" s="4">
        <v>0</v>
      </c>
      <c r="N2133" s="4">
        <v>0</v>
      </c>
    </row>
    <row r="2134" spans="1:14">
      <c r="A2134" s="3">
        <v>816013</v>
      </c>
      <c r="B2134" s="3">
        <v>202225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7.5</v>
      </c>
      <c r="I2134" s="4">
        <v>0</v>
      </c>
      <c r="J2134" s="4">
        <v>0</v>
      </c>
      <c r="K2134" s="4">
        <v>10</v>
      </c>
      <c r="L2134" s="4">
        <v>20</v>
      </c>
      <c r="M2134" s="4">
        <v>10</v>
      </c>
      <c r="N2134" s="4">
        <v>0</v>
      </c>
    </row>
    <row r="2135" spans="1:14">
      <c r="A2135" s="3">
        <v>816014</v>
      </c>
      <c r="B2135" s="3">
        <v>205591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14</v>
      </c>
      <c r="I2135" s="4">
        <v>20</v>
      </c>
      <c r="J2135" s="4">
        <v>2</v>
      </c>
      <c r="K2135" s="4">
        <v>8</v>
      </c>
      <c r="L2135" s="4">
        <v>0</v>
      </c>
      <c r="M2135" s="4">
        <v>0</v>
      </c>
      <c r="N2135" s="4">
        <v>10</v>
      </c>
    </row>
    <row r="2136" spans="1:14">
      <c r="A2136" s="3">
        <v>816015</v>
      </c>
      <c r="B2136" s="3">
        <v>205591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4</v>
      </c>
      <c r="I2136" s="4">
        <v>40</v>
      </c>
      <c r="J2136" s="4">
        <v>2</v>
      </c>
      <c r="K2136" s="4">
        <v>25</v>
      </c>
      <c r="L2136" s="4">
        <v>30</v>
      </c>
      <c r="M2136" s="4">
        <v>23</v>
      </c>
      <c r="N2136" s="4">
        <v>53</v>
      </c>
    </row>
    <row r="2137" spans="1:14">
      <c r="A2137" s="3">
        <v>816021</v>
      </c>
      <c r="B2137" s="3">
        <v>208074</v>
      </c>
      <c r="C2137" s="4">
        <v>0</v>
      </c>
      <c r="D2137" s="4">
        <v>0</v>
      </c>
      <c r="E2137" s="4">
        <v>0</v>
      </c>
      <c r="F2137" s="4">
        <v>0</v>
      </c>
      <c r="G2137" s="4">
        <v>25</v>
      </c>
      <c r="H2137" s="4">
        <v>35</v>
      </c>
      <c r="I2137" s="4">
        <v>25</v>
      </c>
      <c r="J2137" s="4">
        <v>10</v>
      </c>
      <c r="K2137" s="4">
        <v>34</v>
      </c>
      <c r="L2137" s="4">
        <v>10</v>
      </c>
      <c r="M2137" s="4">
        <v>0</v>
      </c>
      <c r="N2137" s="4">
        <v>17.5</v>
      </c>
    </row>
    <row r="2138" spans="1:14">
      <c r="A2138" s="3">
        <v>816022</v>
      </c>
      <c r="B2138" s="3">
        <v>208074</v>
      </c>
      <c r="C2138" s="4">
        <v>0</v>
      </c>
      <c r="D2138" s="4">
        <v>0</v>
      </c>
      <c r="E2138" s="4">
        <v>0</v>
      </c>
      <c r="F2138" s="4">
        <v>0</v>
      </c>
      <c r="G2138" s="4">
        <v>10</v>
      </c>
      <c r="H2138" s="4">
        <v>15</v>
      </c>
      <c r="I2138" s="4">
        <v>10</v>
      </c>
      <c r="J2138" s="4">
        <v>0</v>
      </c>
      <c r="K2138" s="4">
        <v>12.5</v>
      </c>
      <c r="L2138" s="4">
        <v>0</v>
      </c>
      <c r="M2138" s="4">
        <v>0</v>
      </c>
      <c r="N2138" s="4">
        <v>0</v>
      </c>
    </row>
    <row r="2139" spans="1:14">
      <c r="A2139" s="3">
        <v>816037</v>
      </c>
      <c r="B2139" s="3">
        <v>179894</v>
      </c>
      <c r="C2139" s="4">
        <v>0</v>
      </c>
      <c r="D2139" s="4">
        <v>0</v>
      </c>
      <c r="E2139" s="4">
        <v>0</v>
      </c>
      <c r="F2139" s="4">
        <v>0</v>
      </c>
      <c r="G2139" s="4">
        <v>119</v>
      </c>
      <c r="H2139" s="4">
        <v>164.5</v>
      </c>
      <c r="I2139" s="4">
        <v>92</v>
      </c>
      <c r="J2139" s="4">
        <v>57.5</v>
      </c>
      <c r="K2139" s="4">
        <v>93.5</v>
      </c>
      <c r="L2139" s="4">
        <v>57.5</v>
      </c>
      <c r="M2139" s="4">
        <v>85</v>
      </c>
      <c r="N2139" s="4">
        <v>100</v>
      </c>
    </row>
    <row r="2140" spans="1:14">
      <c r="A2140" s="3">
        <v>816038</v>
      </c>
      <c r="B2140" s="3">
        <v>170204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97.5</v>
      </c>
      <c r="I2140" s="4">
        <v>35</v>
      </c>
      <c r="J2140" s="4">
        <v>42</v>
      </c>
      <c r="K2140" s="4">
        <v>102</v>
      </c>
      <c r="L2140" s="4">
        <v>70</v>
      </c>
      <c r="M2140" s="4">
        <v>140</v>
      </c>
      <c r="N2140" s="4">
        <v>142</v>
      </c>
    </row>
    <row r="2141" spans="1:14">
      <c r="A2141" s="3">
        <v>816047</v>
      </c>
      <c r="B2141" s="3">
        <v>205840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70</v>
      </c>
      <c r="M2141" s="4">
        <v>44</v>
      </c>
      <c r="N2141" s="4">
        <v>43</v>
      </c>
    </row>
    <row r="2142" spans="1:14">
      <c r="A2142" s="3">
        <v>816047</v>
      </c>
      <c r="B2142" s="3">
        <v>207945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30</v>
      </c>
      <c r="J2142" s="4">
        <v>37.5</v>
      </c>
      <c r="K2142" s="4">
        <v>54</v>
      </c>
      <c r="L2142" s="4">
        <v>10</v>
      </c>
      <c r="M2142" s="4">
        <v>0</v>
      </c>
      <c r="N2142" s="4">
        <v>0</v>
      </c>
    </row>
    <row r="2143" spans="1:14">
      <c r="A2143" s="3">
        <v>816055</v>
      </c>
      <c r="B2143" s="3">
        <v>119044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10</v>
      </c>
      <c r="J2143" s="4">
        <v>0</v>
      </c>
      <c r="K2143" s="4">
        <v>80</v>
      </c>
      <c r="L2143" s="4">
        <v>61</v>
      </c>
      <c r="M2143" s="4">
        <v>60</v>
      </c>
      <c r="N2143" s="4">
        <v>0</v>
      </c>
    </row>
    <row r="2144" spans="1:14">
      <c r="A2144" s="3">
        <v>816056</v>
      </c>
      <c r="B2144" s="3">
        <v>170775</v>
      </c>
      <c r="C2144" s="4">
        <v>0</v>
      </c>
      <c r="D2144" s="4">
        <v>0</v>
      </c>
      <c r="E2144" s="4">
        <v>0</v>
      </c>
      <c r="F2144" s="4">
        <v>0</v>
      </c>
      <c r="G2144" s="4">
        <v>30</v>
      </c>
      <c r="H2144" s="4">
        <v>45</v>
      </c>
      <c r="I2144" s="4">
        <v>55</v>
      </c>
      <c r="J2144" s="4">
        <v>0</v>
      </c>
      <c r="K2144" s="4">
        <v>15</v>
      </c>
      <c r="L2144" s="4">
        <v>35</v>
      </c>
      <c r="M2144" s="4">
        <v>98</v>
      </c>
      <c r="N2144" s="4">
        <v>125</v>
      </c>
    </row>
    <row r="2145" spans="1:14">
      <c r="A2145" s="3">
        <v>816088</v>
      </c>
      <c r="B2145" s="3">
        <v>203968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10</v>
      </c>
      <c r="I2145" s="4">
        <v>40</v>
      </c>
      <c r="J2145" s="4">
        <v>30</v>
      </c>
      <c r="K2145" s="4">
        <v>35</v>
      </c>
      <c r="L2145" s="4">
        <v>0</v>
      </c>
      <c r="M2145" s="4">
        <v>0</v>
      </c>
      <c r="N2145" s="4">
        <v>15</v>
      </c>
    </row>
    <row r="2146" spans="1:14">
      <c r="A2146" s="3">
        <v>816093</v>
      </c>
      <c r="B2146" s="3">
        <v>172338</v>
      </c>
      <c r="C2146" s="4">
        <v>0</v>
      </c>
      <c r="D2146" s="4">
        <v>0</v>
      </c>
      <c r="E2146" s="4">
        <v>0</v>
      </c>
      <c r="F2146" s="4">
        <v>0</v>
      </c>
      <c r="G2146" s="4">
        <v>25</v>
      </c>
      <c r="H2146" s="4">
        <v>71</v>
      </c>
      <c r="I2146" s="4">
        <v>25</v>
      </c>
      <c r="J2146" s="4">
        <v>0</v>
      </c>
      <c r="K2146" s="4">
        <v>35</v>
      </c>
      <c r="L2146" s="4">
        <v>115</v>
      </c>
      <c r="M2146" s="4">
        <v>55</v>
      </c>
      <c r="N2146" s="4">
        <v>74</v>
      </c>
    </row>
    <row r="2147" spans="1:14">
      <c r="A2147" s="3">
        <v>816094</v>
      </c>
      <c r="B2147" s="3">
        <v>141556</v>
      </c>
      <c r="C2147" s="4">
        <v>0</v>
      </c>
      <c r="D2147" s="4">
        <v>0</v>
      </c>
      <c r="E2147" s="4">
        <v>0</v>
      </c>
      <c r="F2147" s="4">
        <v>0</v>
      </c>
      <c r="G2147" s="4">
        <v>49</v>
      </c>
      <c r="H2147" s="4">
        <v>51.5</v>
      </c>
      <c r="I2147" s="4">
        <v>30</v>
      </c>
      <c r="J2147" s="4">
        <v>10</v>
      </c>
      <c r="K2147" s="4">
        <v>53</v>
      </c>
      <c r="L2147" s="4">
        <v>53</v>
      </c>
      <c r="M2147" s="4">
        <v>10</v>
      </c>
      <c r="N2147" s="4">
        <v>102.5</v>
      </c>
    </row>
    <row r="2148" spans="1:14">
      <c r="A2148" s="3">
        <v>816095</v>
      </c>
      <c r="B2148" s="3">
        <v>141556</v>
      </c>
      <c r="C2148" s="4">
        <v>0</v>
      </c>
      <c r="D2148" s="4">
        <v>0</v>
      </c>
      <c r="E2148" s="4">
        <v>0</v>
      </c>
      <c r="F2148" s="4">
        <v>0</v>
      </c>
      <c r="G2148" s="4">
        <v>15</v>
      </c>
      <c r="H2148" s="4">
        <v>0</v>
      </c>
      <c r="I2148" s="4">
        <v>30</v>
      </c>
      <c r="J2148" s="4">
        <v>10</v>
      </c>
      <c r="K2148" s="4">
        <v>35</v>
      </c>
      <c r="L2148" s="4">
        <v>25</v>
      </c>
      <c r="M2148" s="4">
        <v>85</v>
      </c>
      <c r="N2148" s="4">
        <v>30</v>
      </c>
    </row>
    <row r="2149" spans="1:14">
      <c r="A2149" s="3">
        <v>816096</v>
      </c>
      <c r="B2149" s="3">
        <v>119208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144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</row>
    <row r="2150" spans="1:14">
      <c r="A2150" s="3">
        <v>816097</v>
      </c>
      <c r="B2150" s="3">
        <v>171662</v>
      </c>
      <c r="C2150" s="4">
        <v>0</v>
      </c>
      <c r="D2150" s="4">
        <v>0</v>
      </c>
      <c r="E2150" s="4">
        <v>0</v>
      </c>
      <c r="F2150" s="4">
        <v>0</v>
      </c>
      <c r="G2150" s="4">
        <v>20</v>
      </c>
      <c r="H2150" s="4">
        <v>37.5</v>
      </c>
      <c r="I2150" s="4">
        <v>0</v>
      </c>
      <c r="J2150" s="4">
        <v>0</v>
      </c>
      <c r="K2150" s="4">
        <v>20</v>
      </c>
      <c r="L2150" s="4">
        <v>7.5</v>
      </c>
      <c r="M2150" s="4">
        <v>20</v>
      </c>
      <c r="N2150" s="4">
        <v>35</v>
      </c>
    </row>
    <row r="2151" spans="1:14">
      <c r="A2151" s="3">
        <v>816098</v>
      </c>
      <c r="B2151" s="3">
        <v>119208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124</v>
      </c>
      <c r="I2151" s="4">
        <v>74.5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</row>
    <row r="2152" spans="1:14">
      <c r="A2152" s="3">
        <v>816109</v>
      </c>
      <c r="B2152" s="3">
        <v>206302</v>
      </c>
      <c r="C2152" s="4">
        <v>0</v>
      </c>
      <c r="D2152" s="4">
        <v>0</v>
      </c>
      <c r="E2152" s="4">
        <v>0</v>
      </c>
      <c r="F2152" s="4">
        <v>0</v>
      </c>
      <c r="G2152" s="4">
        <v>20</v>
      </c>
      <c r="H2152" s="4">
        <v>131.5</v>
      </c>
      <c r="I2152" s="4">
        <v>85</v>
      </c>
      <c r="J2152" s="4">
        <v>47</v>
      </c>
      <c r="K2152" s="4">
        <v>93</v>
      </c>
      <c r="L2152" s="4">
        <v>60</v>
      </c>
      <c r="M2152" s="4">
        <v>60</v>
      </c>
      <c r="N2152" s="4">
        <v>62.5</v>
      </c>
    </row>
    <row r="2153" spans="1:14">
      <c r="A2153" s="3">
        <v>816111</v>
      </c>
      <c r="B2153" s="3">
        <v>208156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30</v>
      </c>
      <c r="K2153" s="4">
        <v>0</v>
      </c>
      <c r="L2153" s="4">
        <v>15</v>
      </c>
      <c r="M2153" s="4">
        <v>9</v>
      </c>
      <c r="N2153" s="4">
        <v>7.5</v>
      </c>
    </row>
    <row r="2154" spans="1:14">
      <c r="A2154" s="3">
        <v>816114</v>
      </c>
      <c r="B2154" s="3">
        <v>204243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20</v>
      </c>
      <c r="I2154" s="4">
        <v>0</v>
      </c>
      <c r="J2154" s="4">
        <v>10</v>
      </c>
      <c r="K2154" s="4">
        <v>20</v>
      </c>
      <c r="L2154" s="4">
        <v>0</v>
      </c>
      <c r="M2154" s="4">
        <v>0</v>
      </c>
      <c r="N2154" s="4">
        <v>0</v>
      </c>
    </row>
    <row r="2155" spans="1:14">
      <c r="A2155" s="3">
        <v>816116</v>
      </c>
      <c r="B2155" s="3">
        <v>206049</v>
      </c>
      <c r="C2155" s="4">
        <v>0</v>
      </c>
      <c r="D2155" s="4">
        <v>0</v>
      </c>
      <c r="E2155" s="4">
        <v>0</v>
      </c>
      <c r="F2155" s="4">
        <v>0</v>
      </c>
      <c r="G2155" s="4">
        <v>5</v>
      </c>
      <c r="H2155" s="4">
        <v>33</v>
      </c>
      <c r="I2155" s="4">
        <v>0</v>
      </c>
      <c r="J2155" s="4">
        <v>5</v>
      </c>
      <c r="K2155" s="4">
        <v>72.5</v>
      </c>
      <c r="L2155" s="4">
        <v>50</v>
      </c>
      <c r="M2155" s="4">
        <v>0</v>
      </c>
      <c r="N2155" s="4">
        <v>0</v>
      </c>
    </row>
    <row r="2156" spans="1:14">
      <c r="A2156" s="3">
        <v>816128</v>
      </c>
      <c r="B2156" s="3">
        <v>174176</v>
      </c>
      <c r="C2156" s="4">
        <v>0</v>
      </c>
      <c r="D2156" s="4">
        <v>0</v>
      </c>
      <c r="E2156" s="4">
        <v>0</v>
      </c>
      <c r="F2156" s="4">
        <v>0</v>
      </c>
      <c r="G2156" s="4">
        <v>10</v>
      </c>
      <c r="H2156" s="4">
        <v>20</v>
      </c>
      <c r="I2156" s="4">
        <v>49</v>
      </c>
      <c r="J2156" s="4">
        <v>24</v>
      </c>
      <c r="K2156" s="4">
        <v>48.25</v>
      </c>
      <c r="L2156" s="4">
        <v>36</v>
      </c>
      <c r="M2156" s="4">
        <v>16.25</v>
      </c>
      <c r="N2156" s="4">
        <v>32.5</v>
      </c>
    </row>
    <row r="2157" spans="1:14">
      <c r="A2157" s="3">
        <v>816129</v>
      </c>
      <c r="B2157" s="3">
        <v>177068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65</v>
      </c>
      <c r="I2157" s="4">
        <v>30</v>
      </c>
      <c r="J2157" s="4">
        <v>15</v>
      </c>
      <c r="K2157" s="4">
        <v>73.5</v>
      </c>
      <c r="L2157" s="4">
        <v>15</v>
      </c>
      <c r="M2157" s="4">
        <v>16</v>
      </c>
      <c r="N2157" s="4">
        <v>10</v>
      </c>
    </row>
    <row r="2158" spans="1:14">
      <c r="A2158" s="3">
        <v>816129</v>
      </c>
      <c r="B2158" s="3">
        <v>177662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30</v>
      </c>
    </row>
    <row r="2159" spans="1:14">
      <c r="A2159" s="3">
        <v>816139</v>
      </c>
      <c r="B2159" s="3">
        <v>140860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30</v>
      </c>
      <c r="L2159" s="4">
        <v>10</v>
      </c>
      <c r="M2159" s="4">
        <v>10</v>
      </c>
      <c r="N2159" s="4">
        <v>10</v>
      </c>
    </row>
    <row r="2160" spans="1:14">
      <c r="A2160" s="3">
        <v>816140</v>
      </c>
      <c r="B2160" s="3">
        <v>140856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10</v>
      </c>
      <c r="J2160" s="4">
        <v>0</v>
      </c>
      <c r="K2160" s="4">
        <v>92</v>
      </c>
      <c r="L2160" s="4">
        <v>68</v>
      </c>
      <c r="M2160" s="4">
        <v>91</v>
      </c>
      <c r="N2160" s="4">
        <v>141.5</v>
      </c>
    </row>
    <row r="2161" spans="1:14">
      <c r="A2161" s="3">
        <v>816142</v>
      </c>
      <c r="B2161" s="3">
        <v>172946</v>
      </c>
      <c r="C2161" s="4">
        <v>0</v>
      </c>
      <c r="D2161" s="4">
        <v>0</v>
      </c>
      <c r="E2161" s="4">
        <v>0</v>
      </c>
      <c r="F2161" s="4">
        <v>0</v>
      </c>
      <c r="G2161" s="4">
        <v>30</v>
      </c>
      <c r="H2161" s="4">
        <v>45</v>
      </c>
      <c r="I2161" s="4">
        <v>20</v>
      </c>
      <c r="J2161" s="4">
        <v>12</v>
      </c>
      <c r="K2161" s="4">
        <v>47</v>
      </c>
      <c r="L2161" s="4">
        <v>25</v>
      </c>
      <c r="M2161" s="4">
        <v>0</v>
      </c>
      <c r="N2161" s="4">
        <v>0</v>
      </c>
    </row>
    <row r="2162" spans="1:14">
      <c r="A2162" s="3">
        <v>816144</v>
      </c>
      <c r="B2162" s="3">
        <v>119031</v>
      </c>
      <c r="C2162" s="4">
        <v>0</v>
      </c>
      <c r="D2162" s="4">
        <v>0</v>
      </c>
      <c r="E2162" s="4">
        <v>0</v>
      </c>
      <c r="F2162" s="4">
        <v>0</v>
      </c>
      <c r="G2162" s="4">
        <v>32.700000000000003</v>
      </c>
      <c r="H2162" s="4">
        <v>85</v>
      </c>
      <c r="I2162" s="4">
        <v>95</v>
      </c>
      <c r="J2162" s="4">
        <v>0</v>
      </c>
      <c r="K2162" s="4">
        <v>0</v>
      </c>
      <c r="L2162" s="4">
        <v>20</v>
      </c>
      <c r="M2162" s="4">
        <v>57</v>
      </c>
      <c r="N2162" s="4">
        <v>55</v>
      </c>
    </row>
    <row r="2163" spans="1:14">
      <c r="A2163" s="3">
        <v>816154</v>
      </c>
      <c r="B2163" s="3">
        <v>171578</v>
      </c>
      <c r="C2163" s="4">
        <v>0</v>
      </c>
      <c r="D2163" s="4">
        <v>0</v>
      </c>
      <c r="E2163" s="4">
        <v>0</v>
      </c>
      <c r="F2163" s="4">
        <v>0</v>
      </c>
      <c r="G2163" s="4">
        <v>10</v>
      </c>
      <c r="H2163" s="4">
        <v>20</v>
      </c>
      <c r="I2163" s="4">
        <v>35</v>
      </c>
      <c r="J2163" s="4">
        <v>35</v>
      </c>
      <c r="K2163" s="4">
        <v>59</v>
      </c>
      <c r="L2163" s="4">
        <v>13.75</v>
      </c>
      <c r="M2163" s="4">
        <v>29.65</v>
      </c>
      <c r="N2163" s="4">
        <v>15</v>
      </c>
    </row>
    <row r="2164" spans="1:14">
      <c r="A2164" s="3">
        <v>816156</v>
      </c>
      <c r="B2164" s="3">
        <v>174316</v>
      </c>
      <c r="C2164" s="4">
        <v>0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25</v>
      </c>
      <c r="J2164" s="4">
        <v>10</v>
      </c>
      <c r="K2164" s="4">
        <v>20</v>
      </c>
      <c r="L2164" s="4">
        <v>10</v>
      </c>
      <c r="M2164" s="4">
        <v>10</v>
      </c>
      <c r="N2164" s="4">
        <v>0</v>
      </c>
    </row>
    <row r="2165" spans="1:14">
      <c r="A2165" s="3">
        <v>816157</v>
      </c>
      <c r="B2165" s="3">
        <v>174166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60</v>
      </c>
      <c r="I2165" s="4">
        <v>63</v>
      </c>
      <c r="J2165" s="4">
        <v>30</v>
      </c>
      <c r="K2165" s="4">
        <v>76</v>
      </c>
      <c r="L2165" s="4">
        <v>45.5</v>
      </c>
      <c r="M2165" s="4">
        <v>36</v>
      </c>
      <c r="N2165" s="4">
        <v>90</v>
      </c>
    </row>
    <row r="2166" spans="1:14">
      <c r="A2166" s="3">
        <v>816167</v>
      </c>
      <c r="B2166" s="3">
        <v>174271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20</v>
      </c>
      <c r="M2166" s="4">
        <v>75</v>
      </c>
      <c r="N2166" s="4">
        <v>25</v>
      </c>
    </row>
    <row r="2167" spans="1:14">
      <c r="A2167" s="3">
        <v>816189</v>
      </c>
      <c r="B2167" s="3">
        <v>144279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50</v>
      </c>
      <c r="I2167" s="4">
        <v>30</v>
      </c>
      <c r="J2167" s="4">
        <v>30</v>
      </c>
      <c r="K2167" s="4">
        <v>70</v>
      </c>
      <c r="L2167" s="4">
        <v>50</v>
      </c>
      <c r="M2167" s="4">
        <v>70</v>
      </c>
      <c r="N2167" s="4">
        <v>75</v>
      </c>
    </row>
    <row r="2168" spans="1:14">
      <c r="A2168" s="3">
        <v>816210</v>
      </c>
      <c r="B2168" s="3">
        <v>171578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7.5</v>
      </c>
      <c r="I2168" s="4">
        <v>15</v>
      </c>
      <c r="J2168" s="4">
        <v>15</v>
      </c>
      <c r="K2168" s="4">
        <v>12.5</v>
      </c>
      <c r="L2168" s="4">
        <v>10</v>
      </c>
      <c r="M2168" s="4">
        <v>10</v>
      </c>
      <c r="N2168" s="4">
        <v>5</v>
      </c>
    </row>
    <row r="2169" spans="1:14">
      <c r="A2169" s="3">
        <v>816239</v>
      </c>
      <c r="B2169" s="3">
        <v>207977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18</v>
      </c>
      <c r="I2169" s="4">
        <v>53</v>
      </c>
      <c r="J2169" s="4">
        <v>40</v>
      </c>
      <c r="K2169" s="4">
        <v>10</v>
      </c>
      <c r="L2169" s="4">
        <v>0</v>
      </c>
      <c r="M2169" s="4">
        <v>40</v>
      </c>
      <c r="N2169" s="4">
        <v>50</v>
      </c>
    </row>
    <row r="2170" spans="1:14">
      <c r="A2170" s="3">
        <v>816240</v>
      </c>
      <c r="B2170" s="3">
        <v>208874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33</v>
      </c>
      <c r="I2170" s="4">
        <v>25</v>
      </c>
      <c r="J2170" s="4">
        <v>0</v>
      </c>
      <c r="K2170" s="4">
        <v>51.5</v>
      </c>
      <c r="L2170" s="4">
        <v>17.25</v>
      </c>
      <c r="M2170" s="4">
        <v>45</v>
      </c>
      <c r="N2170" s="4">
        <v>52</v>
      </c>
    </row>
    <row r="2171" spans="1:14">
      <c r="A2171" s="3">
        <v>816241</v>
      </c>
      <c r="B2171" s="3">
        <v>208183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214.5</v>
      </c>
      <c r="I2171" s="4">
        <v>39</v>
      </c>
      <c r="J2171" s="4">
        <v>0</v>
      </c>
      <c r="K2171" s="4">
        <v>6.75</v>
      </c>
      <c r="L2171" s="4">
        <v>10</v>
      </c>
      <c r="M2171" s="4">
        <v>30</v>
      </c>
      <c r="N2171" s="4">
        <v>10</v>
      </c>
    </row>
    <row r="2172" spans="1:14">
      <c r="A2172" s="3">
        <v>816247</v>
      </c>
      <c r="B2172" s="3">
        <v>141115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50</v>
      </c>
      <c r="I2172" s="4">
        <v>90</v>
      </c>
      <c r="J2172" s="4">
        <v>80</v>
      </c>
      <c r="K2172" s="4">
        <v>45</v>
      </c>
      <c r="L2172" s="4">
        <v>38</v>
      </c>
      <c r="M2172" s="4">
        <v>60</v>
      </c>
      <c r="N2172" s="4">
        <v>38.5</v>
      </c>
    </row>
    <row r="2173" spans="1:14">
      <c r="A2173" s="3">
        <v>816248</v>
      </c>
      <c r="B2173" s="3">
        <v>179560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42.5</v>
      </c>
      <c r="I2173" s="4">
        <v>65</v>
      </c>
      <c r="J2173" s="4">
        <v>55</v>
      </c>
      <c r="K2173" s="4">
        <v>85</v>
      </c>
      <c r="L2173" s="4">
        <v>75.25</v>
      </c>
      <c r="M2173" s="4">
        <v>76.25</v>
      </c>
      <c r="N2173" s="4">
        <v>115</v>
      </c>
    </row>
    <row r="2174" spans="1:14">
      <c r="A2174" s="3">
        <v>816249</v>
      </c>
      <c r="B2174" s="3">
        <v>178661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40</v>
      </c>
      <c r="I2174" s="4">
        <v>84.5</v>
      </c>
      <c r="J2174" s="4">
        <v>35</v>
      </c>
      <c r="K2174" s="4">
        <v>58</v>
      </c>
      <c r="L2174" s="4">
        <v>60</v>
      </c>
      <c r="M2174" s="4">
        <v>20</v>
      </c>
      <c r="N2174" s="4">
        <v>112</v>
      </c>
    </row>
    <row r="2175" spans="1:14">
      <c r="A2175" s="3">
        <v>816250</v>
      </c>
      <c r="B2175" s="3">
        <v>140967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47.5</v>
      </c>
      <c r="L2175" s="4">
        <v>25</v>
      </c>
      <c r="M2175" s="4">
        <v>50</v>
      </c>
      <c r="N2175" s="4">
        <v>88</v>
      </c>
    </row>
    <row r="2176" spans="1:14">
      <c r="A2176" s="3">
        <v>816251</v>
      </c>
      <c r="B2176" s="3">
        <v>140858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20</v>
      </c>
      <c r="N2176" s="4">
        <v>40</v>
      </c>
    </row>
    <row r="2177" spans="1:14">
      <c r="A2177" s="3">
        <v>816251</v>
      </c>
      <c r="B2177" s="3">
        <v>140859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5</v>
      </c>
      <c r="I2177" s="4">
        <v>0</v>
      </c>
      <c r="J2177" s="4">
        <v>0</v>
      </c>
      <c r="K2177" s="4">
        <v>0</v>
      </c>
      <c r="L2177" s="4">
        <v>135</v>
      </c>
      <c r="M2177" s="4">
        <v>60</v>
      </c>
      <c r="N2177" s="4">
        <v>60</v>
      </c>
    </row>
    <row r="2178" spans="1:14">
      <c r="A2178" s="3">
        <v>816252</v>
      </c>
      <c r="B2178" s="3">
        <v>176773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40</v>
      </c>
      <c r="I2178" s="4">
        <v>30</v>
      </c>
      <c r="J2178" s="4">
        <v>15</v>
      </c>
      <c r="K2178" s="4">
        <v>35.5</v>
      </c>
      <c r="L2178" s="4">
        <v>38</v>
      </c>
      <c r="M2178" s="4">
        <v>25.7</v>
      </c>
      <c r="N2178" s="4">
        <v>32.5</v>
      </c>
    </row>
    <row r="2179" spans="1:14">
      <c r="A2179" s="3">
        <v>816253</v>
      </c>
      <c r="B2179" s="3">
        <v>201172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7.5</v>
      </c>
      <c r="I2179" s="4">
        <v>0</v>
      </c>
      <c r="J2179" s="4">
        <v>0</v>
      </c>
      <c r="K2179" s="4">
        <v>1</v>
      </c>
      <c r="L2179" s="4">
        <v>2.5</v>
      </c>
      <c r="M2179" s="4">
        <v>31.25</v>
      </c>
      <c r="N2179" s="4">
        <v>0</v>
      </c>
    </row>
    <row r="2180" spans="1:14">
      <c r="A2180" s="3">
        <v>816255</v>
      </c>
      <c r="B2180" s="3">
        <v>179869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19.5</v>
      </c>
      <c r="L2180" s="4">
        <v>17.5</v>
      </c>
      <c r="M2180" s="4">
        <v>27</v>
      </c>
      <c r="N2180" s="4">
        <v>30.5</v>
      </c>
    </row>
    <row r="2181" spans="1:14">
      <c r="A2181" s="3">
        <v>816256</v>
      </c>
      <c r="B2181" s="3">
        <v>140881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27.5</v>
      </c>
      <c r="K2181" s="4">
        <v>0</v>
      </c>
      <c r="L2181" s="4">
        <v>45</v>
      </c>
      <c r="M2181" s="4">
        <v>0</v>
      </c>
      <c r="N2181" s="4">
        <v>50</v>
      </c>
    </row>
    <row r="2182" spans="1:14">
      <c r="A2182" s="3">
        <v>816261</v>
      </c>
      <c r="B2182" s="3">
        <v>149825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20</v>
      </c>
      <c r="I2182" s="4">
        <v>25</v>
      </c>
      <c r="J2182" s="4">
        <v>59</v>
      </c>
      <c r="K2182" s="4">
        <v>85.5</v>
      </c>
      <c r="L2182" s="4">
        <v>25</v>
      </c>
      <c r="M2182" s="4">
        <v>25</v>
      </c>
      <c r="N2182" s="4">
        <v>101</v>
      </c>
    </row>
    <row r="2183" spans="1:14">
      <c r="A2183" s="3">
        <v>816262</v>
      </c>
      <c r="B2183" s="3">
        <v>176276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10</v>
      </c>
      <c r="I2183" s="4">
        <v>20</v>
      </c>
      <c r="J2183" s="4">
        <v>0</v>
      </c>
      <c r="K2183" s="4">
        <v>32.5</v>
      </c>
      <c r="L2183" s="4">
        <v>27.5</v>
      </c>
      <c r="M2183" s="4">
        <v>39</v>
      </c>
      <c r="N2183" s="4">
        <v>34</v>
      </c>
    </row>
    <row r="2184" spans="1:14">
      <c r="A2184" s="3">
        <v>816263</v>
      </c>
      <c r="B2184" s="3">
        <v>176015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20</v>
      </c>
      <c r="I2184" s="4">
        <v>5</v>
      </c>
      <c r="J2184" s="4">
        <v>15</v>
      </c>
      <c r="K2184" s="4">
        <v>13</v>
      </c>
      <c r="L2184" s="4">
        <v>37.5</v>
      </c>
      <c r="M2184" s="4">
        <v>49</v>
      </c>
      <c r="N2184" s="4">
        <v>96.5</v>
      </c>
    </row>
    <row r="2185" spans="1:14">
      <c r="A2185" s="3">
        <v>816270</v>
      </c>
      <c r="B2185" s="3">
        <v>178661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52</v>
      </c>
      <c r="I2185" s="4">
        <v>62</v>
      </c>
      <c r="J2185" s="4">
        <v>50</v>
      </c>
      <c r="K2185" s="4">
        <v>83</v>
      </c>
      <c r="L2185" s="4">
        <v>40</v>
      </c>
      <c r="M2185" s="4">
        <v>50</v>
      </c>
      <c r="N2185" s="4">
        <v>84.5</v>
      </c>
    </row>
    <row r="2186" spans="1:14">
      <c r="A2186" s="3">
        <v>816272</v>
      </c>
      <c r="B2186" s="3">
        <v>119071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40</v>
      </c>
      <c r="I2186" s="4">
        <v>20</v>
      </c>
      <c r="J2186" s="4">
        <v>5</v>
      </c>
      <c r="K2186" s="4">
        <v>10</v>
      </c>
      <c r="L2186" s="4">
        <v>0</v>
      </c>
      <c r="M2186" s="4">
        <v>0</v>
      </c>
      <c r="N2186" s="4">
        <v>0</v>
      </c>
    </row>
    <row r="2187" spans="1:14">
      <c r="A2187" s="3">
        <v>816275</v>
      </c>
      <c r="B2187" s="3">
        <v>178226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20</v>
      </c>
      <c r="I2187" s="4">
        <v>20.5</v>
      </c>
      <c r="J2187" s="4">
        <v>40</v>
      </c>
      <c r="K2187" s="4">
        <v>55.75</v>
      </c>
      <c r="L2187" s="4">
        <v>62.5</v>
      </c>
      <c r="M2187" s="4">
        <v>60</v>
      </c>
      <c r="N2187" s="4">
        <v>50</v>
      </c>
    </row>
    <row r="2188" spans="1:14">
      <c r="A2188" s="3">
        <v>816276</v>
      </c>
      <c r="B2188" s="3">
        <v>209166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10</v>
      </c>
      <c r="M2188" s="4">
        <v>10</v>
      </c>
      <c r="N2188" s="4">
        <v>40</v>
      </c>
    </row>
    <row r="2189" spans="1:14">
      <c r="A2189" s="3">
        <v>816289</v>
      </c>
      <c r="B2189" s="3">
        <v>202387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7</v>
      </c>
      <c r="I2189" s="4">
        <v>14</v>
      </c>
      <c r="J2189" s="4">
        <v>10</v>
      </c>
      <c r="K2189" s="4">
        <v>33</v>
      </c>
      <c r="L2189" s="4">
        <v>60</v>
      </c>
      <c r="M2189" s="4">
        <v>33</v>
      </c>
      <c r="N2189" s="4">
        <v>30</v>
      </c>
    </row>
    <row r="2190" spans="1:14">
      <c r="A2190" s="3">
        <v>816290</v>
      </c>
      <c r="B2190" s="3">
        <v>209497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70</v>
      </c>
      <c r="I2190" s="4">
        <v>37</v>
      </c>
      <c r="J2190" s="4">
        <v>0</v>
      </c>
      <c r="K2190" s="4">
        <v>140</v>
      </c>
      <c r="L2190" s="4">
        <v>165</v>
      </c>
      <c r="M2190" s="4">
        <v>58</v>
      </c>
      <c r="N2190" s="4">
        <v>135.5</v>
      </c>
    </row>
    <row r="2191" spans="1:14">
      <c r="A2191" s="3">
        <v>816298</v>
      </c>
      <c r="B2191" s="3">
        <v>119028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10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</row>
    <row r="2192" spans="1:14">
      <c r="A2192" s="3">
        <v>816299</v>
      </c>
      <c r="B2192" s="3">
        <v>175049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42.5</v>
      </c>
      <c r="I2192" s="4">
        <v>35</v>
      </c>
      <c r="J2192" s="4">
        <v>10</v>
      </c>
      <c r="K2192" s="4">
        <v>24</v>
      </c>
      <c r="L2192" s="4">
        <v>26</v>
      </c>
      <c r="M2192" s="4">
        <v>23</v>
      </c>
      <c r="N2192" s="4">
        <v>23</v>
      </c>
    </row>
    <row r="2193" spans="1:14">
      <c r="A2193" s="3">
        <v>816301</v>
      </c>
      <c r="B2193" s="3">
        <v>205686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12.5</v>
      </c>
      <c r="I2193" s="4">
        <v>53</v>
      </c>
      <c r="J2193" s="4">
        <v>50.5</v>
      </c>
      <c r="K2193" s="4">
        <v>15</v>
      </c>
      <c r="L2193" s="4">
        <v>49.5</v>
      </c>
      <c r="M2193" s="4">
        <v>0</v>
      </c>
      <c r="N2193" s="4">
        <v>0</v>
      </c>
    </row>
    <row r="2194" spans="1:14">
      <c r="A2194" s="3">
        <v>816309</v>
      </c>
      <c r="B2194" s="3">
        <v>176773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42</v>
      </c>
      <c r="I2194" s="4">
        <v>69.25</v>
      </c>
      <c r="J2194" s="4">
        <v>25</v>
      </c>
      <c r="K2194" s="4">
        <v>27.5</v>
      </c>
      <c r="L2194" s="4">
        <v>40</v>
      </c>
      <c r="M2194" s="4">
        <v>10</v>
      </c>
      <c r="N2194" s="4">
        <v>40</v>
      </c>
    </row>
    <row r="2195" spans="1:14">
      <c r="A2195" s="3">
        <v>816314</v>
      </c>
      <c r="B2195" s="3">
        <v>179911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24.75</v>
      </c>
      <c r="I2195" s="4">
        <v>6.25</v>
      </c>
      <c r="J2195" s="4">
        <v>26.5</v>
      </c>
      <c r="K2195" s="4">
        <v>27</v>
      </c>
      <c r="L2195" s="4">
        <v>30.1</v>
      </c>
      <c r="M2195" s="4">
        <v>0</v>
      </c>
      <c r="N2195" s="4">
        <v>0</v>
      </c>
    </row>
    <row r="2196" spans="1:14">
      <c r="A2196" s="3">
        <v>816315</v>
      </c>
      <c r="B2196" s="3">
        <v>208183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82</v>
      </c>
      <c r="I2196" s="4">
        <v>0</v>
      </c>
      <c r="J2196" s="4">
        <v>63.75</v>
      </c>
      <c r="K2196" s="4">
        <v>0</v>
      </c>
      <c r="L2196" s="4">
        <v>25</v>
      </c>
      <c r="M2196" s="4">
        <v>25</v>
      </c>
      <c r="N2196" s="4">
        <v>22</v>
      </c>
    </row>
    <row r="2197" spans="1:14">
      <c r="A2197" s="3">
        <v>816324</v>
      </c>
      <c r="B2197" s="3">
        <v>146910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5</v>
      </c>
      <c r="J2197" s="4">
        <v>20</v>
      </c>
      <c r="K2197" s="4">
        <v>15</v>
      </c>
      <c r="L2197" s="4">
        <v>10</v>
      </c>
      <c r="M2197" s="4">
        <v>0</v>
      </c>
      <c r="N2197" s="4">
        <v>0</v>
      </c>
    </row>
    <row r="2198" spans="1:14">
      <c r="A2198" s="3">
        <v>816328</v>
      </c>
      <c r="B2198" s="3">
        <v>171457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20</v>
      </c>
      <c r="I2198" s="4">
        <v>0</v>
      </c>
      <c r="J2198" s="4">
        <v>0</v>
      </c>
      <c r="K2198" s="4">
        <v>0</v>
      </c>
      <c r="L2198" s="4">
        <v>10</v>
      </c>
      <c r="M2198" s="4">
        <v>35</v>
      </c>
      <c r="N2198" s="4">
        <v>8</v>
      </c>
    </row>
    <row r="2199" spans="1:14">
      <c r="A2199" s="3">
        <v>816329</v>
      </c>
      <c r="B2199" s="3">
        <v>119066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157</v>
      </c>
      <c r="I2199" s="4">
        <v>202</v>
      </c>
      <c r="J2199" s="4">
        <v>101</v>
      </c>
      <c r="K2199" s="4">
        <v>204</v>
      </c>
      <c r="L2199" s="4">
        <v>135</v>
      </c>
      <c r="M2199" s="4">
        <v>85</v>
      </c>
      <c r="N2199" s="4">
        <v>137.5</v>
      </c>
    </row>
    <row r="2200" spans="1:14">
      <c r="A2200" s="3">
        <v>816330</v>
      </c>
      <c r="B2200" s="3">
        <v>119066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1</v>
      </c>
      <c r="J2200" s="4">
        <v>0</v>
      </c>
      <c r="K2200" s="4">
        <v>75</v>
      </c>
      <c r="L2200" s="4">
        <v>0</v>
      </c>
      <c r="M2200" s="4">
        <v>0</v>
      </c>
      <c r="N2200" s="4">
        <v>0</v>
      </c>
    </row>
    <row r="2201" spans="1:14">
      <c r="A2201" s="3">
        <v>816348</v>
      </c>
      <c r="B2201" s="3">
        <v>207857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40</v>
      </c>
      <c r="I2201" s="4">
        <v>62</v>
      </c>
      <c r="J2201" s="4">
        <v>60</v>
      </c>
      <c r="K2201" s="4">
        <v>52</v>
      </c>
      <c r="L2201" s="4">
        <v>30</v>
      </c>
      <c r="M2201" s="4">
        <v>65</v>
      </c>
      <c r="N2201" s="4">
        <v>113</v>
      </c>
    </row>
    <row r="2202" spans="1:14">
      <c r="A2202" s="3">
        <v>816351</v>
      </c>
      <c r="B2202" s="3">
        <v>145135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41</v>
      </c>
      <c r="I2202" s="4">
        <v>70.400000000000006</v>
      </c>
      <c r="J2202" s="4">
        <v>148.1</v>
      </c>
      <c r="K2202" s="4">
        <v>259.55</v>
      </c>
      <c r="L2202" s="4">
        <v>287.8</v>
      </c>
      <c r="M2202" s="4">
        <v>323.64999999999998</v>
      </c>
      <c r="N2202" s="4">
        <v>274.10000000000002</v>
      </c>
    </row>
    <row r="2203" spans="1:14">
      <c r="A2203" s="3">
        <v>816352</v>
      </c>
      <c r="B2203" s="3">
        <v>119047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22</v>
      </c>
      <c r="J2203" s="4">
        <v>30</v>
      </c>
      <c r="K2203" s="4">
        <v>22</v>
      </c>
      <c r="L2203" s="4">
        <v>44</v>
      </c>
      <c r="M2203" s="4">
        <v>41.5</v>
      </c>
      <c r="N2203" s="4">
        <v>35</v>
      </c>
    </row>
    <row r="2204" spans="1:14">
      <c r="A2204" s="3">
        <v>816353</v>
      </c>
      <c r="B2204" s="3">
        <v>174166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20.5</v>
      </c>
      <c r="K2204" s="4">
        <v>118.4</v>
      </c>
      <c r="L2204" s="4">
        <v>87</v>
      </c>
      <c r="M2204" s="4">
        <v>120</v>
      </c>
      <c r="N2204" s="4">
        <v>74</v>
      </c>
    </row>
    <row r="2205" spans="1:14">
      <c r="A2205" s="3">
        <v>816356</v>
      </c>
      <c r="B2205" s="3">
        <v>176870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10</v>
      </c>
      <c r="J2205" s="4">
        <v>0</v>
      </c>
      <c r="K2205" s="4">
        <v>0</v>
      </c>
      <c r="L2205" s="4">
        <v>7.5</v>
      </c>
      <c r="M2205" s="4">
        <v>12.5</v>
      </c>
      <c r="N2205" s="4">
        <v>10</v>
      </c>
    </row>
    <row r="2206" spans="1:14">
      <c r="A2206" s="3">
        <v>816363</v>
      </c>
      <c r="B2206" s="3">
        <v>173374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80</v>
      </c>
      <c r="J2206" s="4">
        <v>76</v>
      </c>
      <c r="K2206" s="4">
        <v>0</v>
      </c>
      <c r="L2206" s="4">
        <v>20</v>
      </c>
      <c r="M2206" s="4">
        <v>40</v>
      </c>
      <c r="N2206" s="4">
        <v>100</v>
      </c>
    </row>
    <row r="2207" spans="1:14">
      <c r="A2207" s="3">
        <v>816366</v>
      </c>
      <c r="B2207" s="3">
        <v>176693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53</v>
      </c>
      <c r="I2207" s="4">
        <v>35</v>
      </c>
      <c r="J2207" s="4">
        <v>10</v>
      </c>
      <c r="K2207" s="4">
        <v>35</v>
      </c>
      <c r="L2207" s="4">
        <v>40</v>
      </c>
      <c r="M2207" s="4">
        <v>0</v>
      </c>
      <c r="N2207" s="4">
        <v>55</v>
      </c>
    </row>
    <row r="2208" spans="1:14">
      <c r="A2208" s="3">
        <v>816367</v>
      </c>
      <c r="B2208" s="3">
        <v>143301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20</v>
      </c>
      <c r="I2208" s="4">
        <v>30</v>
      </c>
      <c r="J2208" s="4">
        <v>0</v>
      </c>
      <c r="K2208" s="4">
        <v>77.5</v>
      </c>
      <c r="L2208" s="4">
        <v>20</v>
      </c>
      <c r="M2208" s="4">
        <v>66</v>
      </c>
      <c r="N2208" s="4">
        <v>10</v>
      </c>
    </row>
    <row r="2209" spans="1:14">
      <c r="A2209" s="3">
        <v>816368</v>
      </c>
      <c r="B2209" s="3">
        <v>122377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20</v>
      </c>
      <c r="I2209" s="4">
        <v>95</v>
      </c>
      <c r="J2209" s="4">
        <v>65</v>
      </c>
      <c r="K2209" s="4">
        <v>77.5</v>
      </c>
      <c r="L2209" s="4">
        <v>77.5</v>
      </c>
      <c r="M2209" s="4">
        <v>25</v>
      </c>
      <c r="N2209" s="4">
        <v>55</v>
      </c>
    </row>
    <row r="2210" spans="1:14">
      <c r="A2210" s="3">
        <v>816388</v>
      </c>
      <c r="B2210" s="3">
        <v>208028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37</v>
      </c>
      <c r="I2210" s="4">
        <v>33</v>
      </c>
      <c r="J2210" s="4">
        <v>38</v>
      </c>
      <c r="K2210" s="4">
        <v>36.5</v>
      </c>
      <c r="L2210" s="4">
        <v>84</v>
      </c>
      <c r="M2210" s="4">
        <v>61</v>
      </c>
      <c r="N2210" s="4">
        <v>116.5</v>
      </c>
    </row>
    <row r="2211" spans="1:14">
      <c r="A2211" s="3">
        <v>816389</v>
      </c>
      <c r="B2211" s="3">
        <v>172747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30</v>
      </c>
      <c r="K2211" s="4">
        <v>25</v>
      </c>
      <c r="L2211" s="4">
        <v>0</v>
      </c>
      <c r="M2211" s="4">
        <v>0</v>
      </c>
      <c r="N2211" s="4">
        <v>10</v>
      </c>
    </row>
    <row r="2212" spans="1:14">
      <c r="A2212" s="3">
        <v>816390</v>
      </c>
      <c r="B2212" s="3">
        <v>140858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35</v>
      </c>
      <c r="M2212" s="4">
        <v>30</v>
      </c>
      <c r="N2212" s="4">
        <v>0</v>
      </c>
    </row>
    <row r="2213" spans="1:14">
      <c r="A2213" s="3">
        <v>816405</v>
      </c>
      <c r="B2213" s="3">
        <v>205591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10</v>
      </c>
      <c r="J2213" s="4">
        <v>22</v>
      </c>
      <c r="K2213" s="4">
        <v>15</v>
      </c>
      <c r="L2213" s="4">
        <v>20</v>
      </c>
      <c r="M2213" s="4">
        <v>0</v>
      </c>
      <c r="N2213" s="4">
        <v>0</v>
      </c>
    </row>
    <row r="2214" spans="1:14">
      <c r="A2214" s="3">
        <v>816407</v>
      </c>
      <c r="B2214" s="3">
        <v>140859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20</v>
      </c>
      <c r="I2214" s="4">
        <v>0</v>
      </c>
      <c r="J2214" s="4">
        <v>10</v>
      </c>
      <c r="K2214" s="4">
        <v>25</v>
      </c>
      <c r="L2214" s="4">
        <v>10</v>
      </c>
      <c r="M2214" s="4">
        <v>0</v>
      </c>
      <c r="N2214" s="4">
        <v>0</v>
      </c>
    </row>
    <row r="2215" spans="1:14">
      <c r="A2215" s="3">
        <v>816408</v>
      </c>
      <c r="B2215" s="3">
        <v>206073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25</v>
      </c>
      <c r="M2215" s="4">
        <v>10</v>
      </c>
      <c r="N2215" s="4">
        <v>30</v>
      </c>
    </row>
    <row r="2216" spans="1:14">
      <c r="A2216" s="3">
        <v>816409</v>
      </c>
      <c r="B2216" s="3">
        <v>140481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31</v>
      </c>
      <c r="I2216" s="4">
        <v>22.85</v>
      </c>
      <c r="J2216" s="4">
        <v>51</v>
      </c>
      <c r="K2216" s="4">
        <v>62.5</v>
      </c>
      <c r="L2216" s="4">
        <v>55</v>
      </c>
      <c r="M2216" s="4">
        <v>88.6</v>
      </c>
      <c r="N2216" s="4">
        <v>110</v>
      </c>
    </row>
    <row r="2217" spans="1:14">
      <c r="A2217" s="3">
        <v>816424</v>
      </c>
      <c r="B2217" s="3">
        <v>178109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35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</row>
    <row r="2218" spans="1:14">
      <c r="A2218" s="3">
        <v>816425</v>
      </c>
      <c r="B2218" s="3">
        <v>208183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91.5</v>
      </c>
      <c r="I2218" s="4">
        <v>8</v>
      </c>
      <c r="J2218" s="4">
        <v>66.55</v>
      </c>
      <c r="K2218" s="4">
        <v>15</v>
      </c>
      <c r="L2218" s="4">
        <v>40</v>
      </c>
      <c r="M2218" s="4">
        <v>45</v>
      </c>
      <c r="N2218" s="4">
        <v>37</v>
      </c>
    </row>
    <row r="2219" spans="1:14">
      <c r="A2219" s="3">
        <v>816426</v>
      </c>
      <c r="B2219" s="3">
        <v>149885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79.5</v>
      </c>
      <c r="J2219" s="4">
        <v>0</v>
      </c>
      <c r="K2219" s="4">
        <v>55.5</v>
      </c>
      <c r="L2219" s="4">
        <v>17.5</v>
      </c>
      <c r="M2219" s="4">
        <v>0</v>
      </c>
      <c r="N2219" s="4">
        <v>27</v>
      </c>
    </row>
    <row r="2220" spans="1:14">
      <c r="A2220" s="3">
        <v>816426</v>
      </c>
      <c r="B2220" s="3">
        <v>208183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20</v>
      </c>
    </row>
    <row r="2221" spans="1:14">
      <c r="A2221" s="3">
        <v>816427</v>
      </c>
      <c r="B2221" s="3">
        <v>173849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28</v>
      </c>
      <c r="J2221" s="4">
        <v>37.5</v>
      </c>
      <c r="K2221" s="4">
        <v>55</v>
      </c>
      <c r="L2221" s="4">
        <v>58.25</v>
      </c>
      <c r="M2221" s="4">
        <v>105</v>
      </c>
      <c r="N2221" s="4">
        <v>52.25</v>
      </c>
    </row>
    <row r="2222" spans="1:14">
      <c r="A2222" s="3">
        <v>816430</v>
      </c>
      <c r="B2222" s="3">
        <v>209146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28</v>
      </c>
      <c r="I2222" s="4">
        <v>37.5</v>
      </c>
      <c r="J2222" s="4">
        <v>5</v>
      </c>
      <c r="K2222" s="4">
        <v>0</v>
      </c>
      <c r="L2222" s="4">
        <v>5</v>
      </c>
      <c r="M2222" s="4">
        <v>0</v>
      </c>
      <c r="N2222" s="4">
        <v>0</v>
      </c>
    </row>
    <row r="2223" spans="1:14">
      <c r="A2223" s="3">
        <v>816435</v>
      </c>
      <c r="B2223" s="3">
        <v>143301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30</v>
      </c>
      <c r="J2223" s="4">
        <v>0</v>
      </c>
      <c r="K2223" s="4">
        <v>60.5</v>
      </c>
      <c r="L2223" s="4">
        <v>0</v>
      </c>
      <c r="M2223" s="4">
        <v>54.5</v>
      </c>
      <c r="N2223" s="4">
        <v>25</v>
      </c>
    </row>
    <row r="2224" spans="1:14">
      <c r="A2224" s="3">
        <v>816436</v>
      </c>
      <c r="B2224" s="3">
        <v>171578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10</v>
      </c>
      <c r="J2224" s="4">
        <v>15</v>
      </c>
      <c r="K2224" s="4">
        <v>37.549999999999997</v>
      </c>
      <c r="L2224" s="4">
        <v>11</v>
      </c>
      <c r="M2224" s="4">
        <v>10</v>
      </c>
      <c r="N2224" s="4">
        <v>12</v>
      </c>
    </row>
    <row r="2225" spans="1:14">
      <c r="A2225" s="3">
        <v>816437</v>
      </c>
      <c r="B2225" s="3">
        <v>177245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32</v>
      </c>
      <c r="J2225" s="4">
        <v>10</v>
      </c>
      <c r="K2225" s="4">
        <v>0</v>
      </c>
      <c r="L2225" s="4">
        <v>0</v>
      </c>
      <c r="M2225" s="4">
        <v>0</v>
      </c>
      <c r="N2225" s="4">
        <v>0</v>
      </c>
    </row>
    <row r="2226" spans="1:14">
      <c r="A2226" s="3">
        <v>816442</v>
      </c>
      <c r="B2226" s="3">
        <v>172872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20</v>
      </c>
      <c r="J2226" s="4">
        <v>20</v>
      </c>
      <c r="K2226" s="4">
        <v>32.5</v>
      </c>
      <c r="L2226" s="4">
        <v>35</v>
      </c>
      <c r="M2226" s="4">
        <v>55</v>
      </c>
      <c r="N2226" s="4">
        <v>40</v>
      </c>
    </row>
    <row r="2227" spans="1:14">
      <c r="A2227" s="3">
        <v>816469</v>
      </c>
      <c r="B2227" s="3">
        <v>208074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12.5</v>
      </c>
      <c r="I2227" s="4">
        <v>10</v>
      </c>
      <c r="J2227" s="4">
        <v>21.5</v>
      </c>
      <c r="K2227" s="4">
        <v>30</v>
      </c>
      <c r="L2227" s="4">
        <v>20</v>
      </c>
      <c r="M2227" s="4">
        <v>15</v>
      </c>
      <c r="N2227" s="4">
        <v>15</v>
      </c>
    </row>
    <row r="2228" spans="1:14">
      <c r="A2228" s="3">
        <v>816471</v>
      </c>
      <c r="B2228" s="3">
        <v>208074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17.5</v>
      </c>
      <c r="I2228" s="4">
        <v>60</v>
      </c>
      <c r="J2228" s="4">
        <v>60</v>
      </c>
      <c r="K2228" s="4">
        <v>42.5</v>
      </c>
      <c r="L2228" s="4">
        <v>97</v>
      </c>
      <c r="M2228" s="4">
        <v>85</v>
      </c>
      <c r="N2228" s="4">
        <v>106.15</v>
      </c>
    </row>
    <row r="2229" spans="1:14">
      <c r="A2229" s="3">
        <v>816477</v>
      </c>
      <c r="B2229" s="3">
        <v>119031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83.35</v>
      </c>
      <c r="I2229" s="4">
        <v>80</v>
      </c>
      <c r="J2229" s="4">
        <v>15</v>
      </c>
      <c r="K2229" s="4">
        <v>125</v>
      </c>
      <c r="L2229" s="4">
        <v>105</v>
      </c>
      <c r="M2229" s="4">
        <v>98</v>
      </c>
      <c r="N2229" s="4">
        <v>97.5</v>
      </c>
    </row>
    <row r="2230" spans="1:14">
      <c r="A2230" s="3">
        <v>816483</v>
      </c>
      <c r="B2230" s="3">
        <v>170115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35</v>
      </c>
      <c r="I2230" s="4">
        <v>0</v>
      </c>
      <c r="J2230" s="4">
        <v>9</v>
      </c>
      <c r="K2230" s="4">
        <v>13</v>
      </c>
      <c r="L2230" s="4">
        <v>35</v>
      </c>
      <c r="M2230" s="4">
        <v>100</v>
      </c>
      <c r="N2230" s="4">
        <v>120</v>
      </c>
    </row>
    <row r="2231" spans="1:14">
      <c r="A2231" s="3">
        <v>816494</v>
      </c>
      <c r="B2231" s="3">
        <v>119028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31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</row>
    <row r="2232" spans="1:14">
      <c r="A2232" s="3">
        <v>816496</v>
      </c>
      <c r="B2232" s="3">
        <v>170197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105</v>
      </c>
      <c r="J2232" s="4">
        <v>80</v>
      </c>
      <c r="K2232" s="4">
        <v>84</v>
      </c>
      <c r="L2232" s="4">
        <v>132</v>
      </c>
      <c r="M2232" s="4">
        <v>119</v>
      </c>
      <c r="N2232" s="4">
        <v>0</v>
      </c>
    </row>
    <row r="2233" spans="1:14">
      <c r="A2233" s="3">
        <v>816496</v>
      </c>
      <c r="B2233" s="3">
        <v>208183</v>
      </c>
      <c r="C2233" s="4">
        <v>0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27.75</v>
      </c>
      <c r="M2233" s="4">
        <v>0</v>
      </c>
      <c r="N2233" s="4">
        <v>0</v>
      </c>
    </row>
    <row r="2234" spans="1:14">
      <c r="A2234" s="3">
        <v>816497</v>
      </c>
      <c r="B2234" s="3">
        <v>140881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6</v>
      </c>
      <c r="K2234" s="4">
        <v>32.5</v>
      </c>
      <c r="L2234" s="4">
        <v>0</v>
      </c>
      <c r="M2234" s="4">
        <v>15</v>
      </c>
      <c r="N2234" s="4">
        <v>0</v>
      </c>
    </row>
    <row r="2235" spans="1:14">
      <c r="A2235" s="3">
        <v>816497</v>
      </c>
      <c r="B2235" s="3">
        <v>174034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40</v>
      </c>
      <c r="L2235" s="4">
        <v>56.25</v>
      </c>
      <c r="M2235" s="4">
        <v>47.5</v>
      </c>
      <c r="N2235" s="4">
        <v>80</v>
      </c>
    </row>
    <row r="2236" spans="1:14">
      <c r="A2236" s="3">
        <v>816498</v>
      </c>
      <c r="B2236" s="3">
        <v>209017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35</v>
      </c>
      <c r="I2236" s="4">
        <v>83</v>
      </c>
      <c r="J2236" s="4">
        <v>31</v>
      </c>
      <c r="K2236" s="4">
        <v>82</v>
      </c>
      <c r="L2236" s="4">
        <v>41</v>
      </c>
      <c r="M2236" s="4">
        <v>12.5</v>
      </c>
      <c r="N2236" s="4">
        <v>10</v>
      </c>
    </row>
    <row r="2237" spans="1:14">
      <c r="A2237" s="3">
        <v>816499</v>
      </c>
      <c r="B2237" s="3">
        <v>205591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20</v>
      </c>
      <c r="K2237" s="4">
        <v>0</v>
      </c>
      <c r="L2237" s="4">
        <v>10</v>
      </c>
      <c r="M2237" s="4">
        <v>30</v>
      </c>
      <c r="N2237" s="4">
        <v>40</v>
      </c>
    </row>
    <row r="2238" spans="1:14">
      <c r="A2238" s="3">
        <v>816500</v>
      </c>
      <c r="B2238" s="3">
        <v>176869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81</v>
      </c>
      <c r="I2238" s="4">
        <v>0</v>
      </c>
      <c r="J2238" s="4">
        <v>0</v>
      </c>
      <c r="K2238" s="4">
        <v>76</v>
      </c>
      <c r="L2238" s="4">
        <v>35</v>
      </c>
      <c r="M2238" s="4">
        <v>87.5</v>
      </c>
      <c r="N2238" s="4">
        <v>67.5</v>
      </c>
    </row>
    <row r="2239" spans="1:14">
      <c r="A2239" s="3">
        <v>816501</v>
      </c>
      <c r="B2239" s="3">
        <v>119050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15</v>
      </c>
      <c r="I2239" s="4">
        <v>10</v>
      </c>
      <c r="J2239" s="4">
        <v>0</v>
      </c>
      <c r="K2239" s="4">
        <v>7.5</v>
      </c>
      <c r="L2239" s="4">
        <v>0</v>
      </c>
      <c r="M2239" s="4">
        <v>0</v>
      </c>
      <c r="N2239" s="4">
        <v>0</v>
      </c>
    </row>
    <row r="2240" spans="1:14">
      <c r="A2240" s="3">
        <v>816522</v>
      </c>
      <c r="B2240" s="3">
        <v>140881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20</v>
      </c>
      <c r="J2240" s="4">
        <v>25</v>
      </c>
      <c r="K2240" s="4">
        <v>40</v>
      </c>
      <c r="L2240" s="4">
        <v>35</v>
      </c>
      <c r="M2240" s="4">
        <v>15</v>
      </c>
      <c r="N2240" s="4">
        <v>20</v>
      </c>
    </row>
    <row r="2241" spans="1:14">
      <c r="A2241" s="3">
        <v>816522</v>
      </c>
      <c r="B2241" s="3">
        <v>210566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47.5</v>
      </c>
      <c r="L2241" s="4">
        <v>45.15</v>
      </c>
      <c r="M2241" s="4">
        <v>25</v>
      </c>
      <c r="N2241" s="4">
        <v>42.5</v>
      </c>
    </row>
    <row r="2242" spans="1:14">
      <c r="A2242" s="3">
        <v>816525</v>
      </c>
      <c r="B2242" s="3">
        <v>210566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42.5</v>
      </c>
      <c r="L2242" s="4">
        <v>50</v>
      </c>
      <c r="M2242" s="4">
        <v>12.5</v>
      </c>
      <c r="N2242" s="4">
        <v>25</v>
      </c>
    </row>
    <row r="2243" spans="1:14">
      <c r="A2243" s="3">
        <v>816529</v>
      </c>
      <c r="B2243" s="3">
        <v>204307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25</v>
      </c>
      <c r="K2243" s="4">
        <v>47.5</v>
      </c>
      <c r="L2243" s="4">
        <v>30</v>
      </c>
      <c r="M2243" s="4">
        <v>75</v>
      </c>
      <c r="N2243" s="4">
        <v>45</v>
      </c>
    </row>
    <row r="2244" spans="1:14">
      <c r="A2244" s="3">
        <v>816534</v>
      </c>
      <c r="B2244" s="3">
        <v>119047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87</v>
      </c>
      <c r="J2244" s="4">
        <v>68</v>
      </c>
      <c r="K2244" s="4">
        <v>81</v>
      </c>
      <c r="L2244" s="4">
        <v>84</v>
      </c>
      <c r="M2244" s="4">
        <v>54</v>
      </c>
      <c r="N2244" s="4">
        <v>84</v>
      </c>
    </row>
    <row r="2245" spans="1:14">
      <c r="A2245" s="3">
        <v>816536</v>
      </c>
      <c r="B2245" s="3">
        <v>119044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175</v>
      </c>
      <c r="I2245" s="4">
        <v>30</v>
      </c>
      <c r="J2245" s="4">
        <v>122</v>
      </c>
      <c r="K2245" s="4">
        <v>105.5</v>
      </c>
      <c r="L2245" s="4">
        <v>60</v>
      </c>
      <c r="M2245" s="4">
        <v>50</v>
      </c>
      <c r="N2245" s="4">
        <v>102</v>
      </c>
    </row>
    <row r="2246" spans="1:14">
      <c r="A2246" s="3">
        <v>816536</v>
      </c>
      <c r="B2246" s="3">
        <v>144154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45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</row>
    <row r="2247" spans="1:14">
      <c r="A2247" s="3">
        <v>816536</v>
      </c>
      <c r="B2247" s="3">
        <v>208955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12.5</v>
      </c>
      <c r="K2247" s="4">
        <v>0</v>
      </c>
      <c r="L2247" s="4">
        <v>0</v>
      </c>
      <c r="M2247" s="4">
        <v>0</v>
      </c>
      <c r="N2247" s="4">
        <v>0</v>
      </c>
    </row>
    <row r="2248" spans="1:14">
      <c r="A2248" s="3">
        <v>816546</v>
      </c>
      <c r="B2248" s="3">
        <v>209652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27</v>
      </c>
      <c r="J2248" s="4">
        <v>10</v>
      </c>
      <c r="K2248" s="4">
        <v>40</v>
      </c>
      <c r="L2248" s="4">
        <v>53</v>
      </c>
      <c r="M2248" s="4">
        <v>10</v>
      </c>
      <c r="N2248" s="4">
        <v>58</v>
      </c>
    </row>
    <row r="2249" spans="1:14">
      <c r="A2249" s="3">
        <v>816547</v>
      </c>
      <c r="B2249" s="3">
        <v>209652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15</v>
      </c>
      <c r="I2249" s="4">
        <v>79.5</v>
      </c>
      <c r="J2249" s="4">
        <v>33.5</v>
      </c>
      <c r="K2249" s="4">
        <v>108.5</v>
      </c>
      <c r="L2249" s="4">
        <v>87</v>
      </c>
      <c r="M2249" s="4">
        <v>54</v>
      </c>
      <c r="N2249" s="4">
        <v>40</v>
      </c>
    </row>
    <row r="2250" spans="1:14">
      <c r="A2250" s="3">
        <v>816551</v>
      </c>
      <c r="B2250" s="3">
        <v>202225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20</v>
      </c>
      <c r="I2250" s="4">
        <v>0</v>
      </c>
      <c r="J2250" s="4">
        <v>10</v>
      </c>
      <c r="K2250" s="4">
        <v>55</v>
      </c>
      <c r="L2250" s="4">
        <v>5</v>
      </c>
      <c r="M2250" s="4">
        <v>40</v>
      </c>
      <c r="N2250" s="4">
        <v>0</v>
      </c>
    </row>
    <row r="2251" spans="1:14">
      <c r="A2251" s="3">
        <v>816554</v>
      </c>
      <c r="B2251" s="3">
        <v>172252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22</v>
      </c>
      <c r="K2251" s="4">
        <v>0</v>
      </c>
      <c r="L2251" s="4">
        <v>0</v>
      </c>
      <c r="M2251" s="4">
        <v>0</v>
      </c>
      <c r="N2251" s="4">
        <v>0</v>
      </c>
    </row>
    <row r="2252" spans="1:14">
      <c r="A2252" s="3">
        <v>816555</v>
      </c>
      <c r="B2252" s="3">
        <v>170708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10</v>
      </c>
      <c r="I2252" s="4">
        <v>100</v>
      </c>
      <c r="J2252" s="4">
        <v>41</v>
      </c>
      <c r="K2252" s="4">
        <v>12.5</v>
      </c>
      <c r="L2252" s="4">
        <v>82</v>
      </c>
      <c r="M2252" s="4">
        <v>20</v>
      </c>
      <c r="N2252" s="4">
        <v>148</v>
      </c>
    </row>
    <row r="2253" spans="1:14">
      <c r="A2253" s="3">
        <v>816561</v>
      </c>
      <c r="B2253" s="3">
        <v>140881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35</v>
      </c>
      <c r="J2253" s="4">
        <v>35</v>
      </c>
      <c r="K2253" s="4">
        <v>95</v>
      </c>
      <c r="L2253" s="4">
        <v>70</v>
      </c>
      <c r="M2253" s="4">
        <v>55</v>
      </c>
      <c r="N2253" s="4">
        <v>20</v>
      </c>
    </row>
    <row r="2254" spans="1:14">
      <c r="A2254" s="3">
        <v>816566</v>
      </c>
      <c r="B2254" s="3">
        <v>209652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20</v>
      </c>
      <c r="I2254" s="4">
        <v>50</v>
      </c>
      <c r="J2254" s="4">
        <v>33.5</v>
      </c>
      <c r="K2254" s="4">
        <v>20.5</v>
      </c>
      <c r="L2254" s="4">
        <v>67</v>
      </c>
      <c r="M2254" s="4">
        <v>60</v>
      </c>
      <c r="N2254" s="4">
        <v>30</v>
      </c>
    </row>
    <row r="2255" spans="1:14">
      <c r="A2255" s="3">
        <v>816574</v>
      </c>
      <c r="B2255" s="3">
        <v>170149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40</v>
      </c>
      <c r="J2255" s="4">
        <v>0</v>
      </c>
      <c r="K2255" s="4">
        <v>35</v>
      </c>
      <c r="L2255" s="4">
        <v>0</v>
      </c>
      <c r="M2255" s="4">
        <v>35</v>
      </c>
      <c r="N2255" s="4">
        <v>20</v>
      </c>
    </row>
    <row r="2256" spans="1:14">
      <c r="A2256" s="3">
        <v>816575</v>
      </c>
      <c r="B2256" s="3">
        <v>201741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136.5</v>
      </c>
      <c r="J2256" s="4">
        <v>35</v>
      </c>
      <c r="K2256" s="4">
        <v>182.5</v>
      </c>
      <c r="L2256" s="4">
        <v>133</v>
      </c>
      <c r="M2256" s="4">
        <v>207</v>
      </c>
      <c r="N2256" s="4">
        <v>317</v>
      </c>
    </row>
    <row r="2257" spans="1:14">
      <c r="A2257" s="3">
        <v>816576</v>
      </c>
      <c r="B2257" s="3">
        <v>143114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5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</row>
    <row r="2258" spans="1:14">
      <c r="A2258" s="3">
        <v>816580</v>
      </c>
      <c r="B2258" s="3">
        <v>175848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65</v>
      </c>
      <c r="J2258" s="4">
        <v>25</v>
      </c>
      <c r="K2258" s="4">
        <v>39</v>
      </c>
      <c r="L2258" s="4">
        <v>23</v>
      </c>
      <c r="M2258" s="4">
        <v>21</v>
      </c>
      <c r="N2258" s="4">
        <v>24</v>
      </c>
    </row>
    <row r="2259" spans="1:14">
      <c r="A2259" s="3">
        <v>816592</v>
      </c>
      <c r="B2259" s="3">
        <v>202850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30</v>
      </c>
      <c r="I2259" s="4">
        <v>15</v>
      </c>
      <c r="J2259" s="4">
        <v>10</v>
      </c>
      <c r="K2259" s="4">
        <v>0</v>
      </c>
      <c r="L2259" s="4">
        <v>30</v>
      </c>
      <c r="M2259" s="4">
        <v>15</v>
      </c>
      <c r="N2259" s="4">
        <v>25</v>
      </c>
    </row>
    <row r="2260" spans="1:14">
      <c r="A2260" s="3">
        <v>816594</v>
      </c>
      <c r="B2260" s="3">
        <v>205742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20</v>
      </c>
      <c r="J2260" s="4">
        <v>0</v>
      </c>
      <c r="K2260" s="4">
        <v>20</v>
      </c>
      <c r="L2260" s="4">
        <v>0</v>
      </c>
      <c r="M2260" s="4">
        <v>0</v>
      </c>
      <c r="N2260" s="4">
        <v>0</v>
      </c>
    </row>
    <row r="2261" spans="1:14">
      <c r="A2261" s="3">
        <v>816595</v>
      </c>
      <c r="B2261" s="3">
        <v>175856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13</v>
      </c>
      <c r="L2261" s="4">
        <v>0</v>
      </c>
      <c r="M2261" s="4">
        <v>0</v>
      </c>
      <c r="N2261" s="4">
        <v>10</v>
      </c>
    </row>
    <row r="2262" spans="1:14">
      <c r="A2262" s="3">
        <v>816601</v>
      </c>
      <c r="B2262" s="3">
        <v>208638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47.5</v>
      </c>
      <c r="J2262" s="4">
        <v>5</v>
      </c>
      <c r="K2262" s="4">
        <v>0</v>
      </c>
      <c r="L2262" s="4">
        <v>0</v>
      </c>
      <c r="M2262" s="4">
        <v>0</v>
      </c>
      <c r="N2262" s="4">
        <v>2</v>
      </c>
    </row>
    <row r="2263" spans="1:14">
      <c r="A2263" s="3">
        <v>816606</v>
      </c>
      <c r="B2263" s="3">
        <v>174166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15</v>
      </c>
      <c r="K2263" s="4">
        <v>10</v>
      </c>
      <c r="L2263" s="4">
        <v>0</v>
      </c>
      <c r="M2263" s="4">
        <v>0</v>
      </c>
      <c r="N2263" s="4">
        <v>0</v>
      </c>
    </row>
    <row r="2264" spans="1:14">
      <c r="A2264" s="3">
        <v>816625</v>
      </c>
      <c r="B2264" s="3">
        <v>171506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21</v>
      </c>
      <c r="K2264" s="4">
        <v>10</v>
      </c>
      <c r="L2264" s="4">
        <v>8</v>
      </c>
      <c r="M2264" s="4">
        <v>20</v>
      </c>
      <c r="N2264" s="4">
        <v>0</v>
      </c>
    </row>
    <row r="2265" spans="1:14">
      <c r="A2265" s="3">
        <v>816626</v>
      </c>
      <c r="B2265" s="3">
        <v>170248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20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</row>
    <row r="2266" spans="1:14">
      <c r="A2266" s="3">
        <v>816627</v>
      </c>
      <c r="B2266" s="3">
        <v>209563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46.15</v>
      </c>
      <c r="J2266" s="4">
        <v>54.2</v>
      </c>
      <c r="K2266" s="4">
        <v>72.150000000000006</v>
      </c>
      <c r="L2266" s="4">
        <v>25</v>
      </c>
      <c r="M2266" s="4">
        <v>83.5</v>
      </c>
      <c r="N2266" s="4">
        <v>140</v>
      </c>
    </row>
    <row r="2267" spans="1:14">
      <c r="A2267" s="3">
        <v>816631</v>
      </c>
      <c r="B2267" s="3">
        <v>203600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35</v>
      </c>
      <c r="J2267" s="4">
        <v>10</v>
      </c>
      <c r="K2267" s="4">
        <v>15</v>
      </c>
      <c r="L2267" s="4">
        <v>26</v>
      </c>
      <c r="M2267" s="4">
        <v>10</v>
      </c>
      <c r="N2267" s="4">
        <v>30.5</v>
      </c>
    </row>
    <row r="2268" spans="1:14">
      <c r="A2268" s="3">
        <v>816634</v>
      </c>
      <c r="B2268" s="3">
        <v>142243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15</v>
      </c>
      <c r="K2268" s="4">
        <v>0</v>
      </c>
      <c r="L2268" s="4">
        <v>0</v>
      </c>
      <c r="M2268" s="4">
        <v>0</v>
      </c>
      <c r="N2268" s="4">
        <v>0</v>
      </c>
    </row>
    <row r="2269" spans="1:14">
      <c r="A2269" s="3">
        <v>816639</v>
      </c>
      <c r="B2269" s="3">
        <v>203971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38.5</v>
      </c>
      <c r="J2269" s="4">
        <v>13.5</v>
      </c>
      <c r="K2269" s="4">
        <v>50.5</v>
      </c>
      <c r="L2269" s="4">
        <v>38.4</v>
      </c>
      <c r="M2269" s="4">
        <v>19.5</v>
      </c>
      <c r="N2269" s="4">
        <v>31.5</v>
      </c>
    </row>
    <row r="2270" spans="1:14">
      <c r="A2270" s="3">
        <v>816642</v>
      </c>
      <c r="B2270" s="3">
        <v>173224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65</v>
      </c>
      <c r="J2270" s="4">
        <v>15</v>
      </c>
      <c r="K2270" s="4">
        <v>32.5</v>
      </c>
      <c r="L2270" s="4">
        <v>8.5</v>
      </c>
      <c r="M2270" s="4">
        <v>15</v>
      </c>
      <c r="N2270" s="4">
        <v>57.5</v>
      </c>
    </row>
    <row r="2271" spans="1:14">
      <c r="A2271" s="3">
        <v>816651</v>
      </c>
      <c r="B2271" s="3">
        <v>209990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20</v>
      </c>
      <c r="J2271" s="4">
        <v>0</v>
      </c>
      <c r="K2271" s="4">
        <v>25</v>
      </c>
      <c r="L2271" s="4">
        <v>10</v>
      </c>
      <c r="M2271" s="4">
        <v>55</v>
      </c>
      <c r="N2271" s="4">
        <v>20</v>
      </c>
    </row>
    <row r="2272" spans="1:14">
      <c r="A2272" s="3">
        <v>816652</v>
      </c>
      <c r="B2272" s="3">
        <v>171578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20</v>
      </c>
      <c r="K2272" s="4">
        <v>19</v>
      </c>
      <c r="L2272" s="4">
        <v>7.5</v>
      </c>
      <c r="M2272" s="4">
        <v>0</v>
      </c>
      <c r="N2272" s="4">
        <v>10</v>
      </c>
    </row>
    <row r="2273" spans="1:14">
      <c r="A2273" s="3">
        <v>816652</v>
      </c>
      <c r="B2273" s="3">
        <v>174166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10</v>
      </c>
      <c r="N2273" s="4">
        <v>0</v>
      </c>
    </row>
    <row r="2274" spans="1:14">
      <c r="A2274" s="3">
        <v>816685</v>
      </c>
      <c r="B2274" s="3">
        <v>201172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91.5</v>
      </c>
      <c r="J2274" s="4">
        <v>26.75</v>
      </c>
      <c r="K2274" s="4">
        <v>121</v>
      </c>
      <c r="L2274" s="4">
        <v>114.5</v>
      </c>
      <c r="M2274" s="4">
        <v>244.25</v>
      </c>
      <c r="N2274" s="4">
        <v>306.64999999999998</v>
      </c>
    </row>
    <row r="2275" spans="1:14">
      <c r="A2275" s="3">
        <v>816687</v>
      </c>
      <c r="B2275" s="3">
        <v>208055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10</v>
      </c>
      <c r="J2275" s="4">
        <v>30</v>
      </c>
      <c r="K2275" s="4">
        <v>120</v>
      </c>
      <c r="L2275" s="4">
        <v>36</v>
      </c>
      <c r="M2275" s="4">
        <v>20</v>
      </c>
      <c r="N2275" s="4">
        <v>95</v>
      </c>
    </row>
    <row r="2276" spans="1:14">
      <c r="A2276" s="3">
        <v>816689</v>
      </c>
      <c r="B2276" s="3">
        <v>174271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80</v>
      </c>
      <c r="M2276" s="4">
        <v>60</v>
      </c>
      <c r="N2276" s="4">
        <v>95</v>
      </c>
    </row>
    <row r="2277" spans="1:14">
      <c r="A2277" s="3">
        <v>816690</v>
      </c>
      <c r="B2277" s="3">
        <v>209017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62</v>
      </c>
      <c r="J2277" s="4">
        <v>20</v>
      </c>
      <c r="K2277" s="4">
        <v>30.5</v>
      </c>
      <c r="L2277" s="4">
        <v>35</v>
      </c>
      <c r="M2277" s="4">
        <v>30.1</v>
      </c>
      <c r="N2277" s="4">
        <v>10</v>
      </c>
    </row>
    <row r="2278" spans="1:14">
      <c r="A2278" s="3">
        <v>816691</v>
      </c>
      <c r="B2278" s="3">
        <v>209017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25</v>
      </c>
      <c r="J2278" s="4">
        <v>35</v>
      </c>
      <c r="K2278" s="4">
        <v>35.5</v>
      </c>
      <c r="L2278" s="4">
        <v>30</v>
      </c>
      <c r="M2278" s="4">
        <v>40</v>
      </c>
      <c r="N2278" s="4">
        <v>50</v>
      </c>
    </row>
    <row r="2279" spans="1:14">
      <c r="A2279" s="3">
        <v>816694</v>
      </c>
      <c r="B2279" s="3">
        <v>174034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70</v>
      </c>
      <c r="M2279" s="4">
        <v>0</v>
      </c>
      <c r="N2279" s="4">
        <v>22</v>
      </c>
    </row>
    <row r="2280" spans="1:14">
      <c r="A2280" s="3">
        <v>816705</v>
      </c>
      <c r="B2280" s="3">
        <v>170617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62</v>
      </c>
      <c r="J2280" s="4">
        <v>87.5</v>
      </c>
      <c r="K2280" s="4">
        <v>108.75</v>
      </c>
      <c r="L2280" s="4">
        <v>50</v>
      </c>
      <c r="M2280" s="4">
        <v>20</v>
      </c>
      <c r="N2280" s="4">
        <v>72</v>
      </c>
    </row>
    <row r="2281" spans="1:14">
      <c r="A2281" s="3">
        <v>816716</v>
      </c>
      <c r="B2281" s="3">
        <v>207713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29.5</v>
      </c>
      <c r="J2281" s="4">
        <v>50</v>
      </c>
      <c r="K2281" s="4">
        <v>27.5</v>
      </c>
      <c r="L2281" s="4">
        <v>20.5</v>
      </c>
      <c r="M2281" s="4">
        <v>28.5</v>
      </c>
      <c r="N2281" s="4">
        <v>40</v>
      </c>
    </row>
    <row r="2282" spans="1:14">
      <c r="A2282" s="3">
        <v>816718</v>
      </c>
      <c r="B2282" s="3">
        <v>170617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178</v>
      </c>
      <c r="J2282" s="4">
        <v>57.5</v>
      </c>
      <c r="K2282" s="4">
        <v>98</v>
      </c>
      <c r="L2282" s="4">
        <v>78.5</v>
      </c>
      <c r="M2282" s="4">
        <v>10</v>
      </c>
      <c r="N2282" s="4">
        <v>67</v>
      </c>
    </row>
    <row r="2283" spans="1:14">
      <c r="A2283" s="3">
        <v>816719</v>
      </c>
      <c r="B2283" s="3">
        <v>209130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70</v>
      </c>
      <c r="J2283" s="4">
        <v>40</v>
      </c>
      <c r="K2283" s="4">
        <v>32.5</v>
      </c>
      <c r="L2283" s="4">
        <v>15</v>
      </c>
      <c r="M2283" s="4">
        <v>25</v>
      </c>
      <c r="N2283" s="4">
        <v>41.5</v>
      </c>
    </row>
    <row r="2284" spans="1:14">
      <c r="A2284" s="3">
        <v>816735</v>
      </c>
      <c r="B2284" s="3">
        <v>140967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6.5</v>
      </c>
      <c r="M2284" s="4">
        <v>20</v>
      </c>
      <c r="N2284" s="4">
        <v>20</v>
      </c>
    </row>
    <row r="2285" spans="1:14">
      <c r="A2285" s="3">
        <v>816736</v>
      </c>
      <c r="B2285" s="3">
        <v>209796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63.5</v>
      </c>
      <c r="J2285" s="4">
        <v>25</v>
      </c>
      <c r="K2285" s="4">
        <v>131.25</v>
      </c>
      <c r="L2285" s="4">
        <v>90.5</v>
      </c>
      <c r="M2285" s="4">
        <v>61</v>
      </c>
      <c r="N2285" s="4">
        <v>107</v>
      </c>
    </row>
    <row r="2286" spans="1:14">
      <c r="A2286" s="3">
        <v>816738</v>
      </c>
      <c r="B2286" s="3">
        <v>205992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10.75</v>
      </c>
      <c r="J2286" s="4">
        <v>102</v>
      </c>
      <c r="K2286" s="4">
        <v>77.5</v>
      </c>
      <c r="L2286" s="4">
        <v>75</v>
      </c>
      <c r="M2286" s="4">
        <v>20</v>
      </c>
      <c r="N2286" s="4">
        <v>15</v>
      </c>
    </row>
    <row r="2287" spans="1:14">
      <c r="A2287" s="3">
        <v>816739</v>
      </c>
      <c r="B2287" s="3">
        <v>205966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15</v>
      </c>
      <c r="K2287" s="4">
        <v>40</v>
      </c>
      <c r="L2287" s="4">
        <v>56</v>
      </c>
      <c r="M2287" s="4">
        <v>25</v>
      </c>
      <c r="N2287" s="4">
        <v>51</v>
      </c>
    </row>
    <row r="2288" spans="1:14">
      <c r="A2288" s="3">
        <v>816740</v>
      </c>
      <c r="B2288" s="3">
        <v>140848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19.25</v>
      </c>
      <c r="N2288" s="4">
        <v>50</v>
      </c>
    </row>
    <row r="2289" spans="1:14">
      <c r="A2289" s="3">
        <v>816742</v>
      </c>
      <c r="B2289" s="3">
        <v>170708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20</v>
      </c>
      <c r="J2289" s="4">
        <v>20.5</v>
      </c>
      <c r="K2289" s="4">
        <v>12.5</v>
      </c>
      <c r="L2289" s="4">
        <v>40</v>
      </c>
      <c r="M2289" s="4">
        <v>0</v>
      </c>
      <c r="N2289" s="4">
        <v>0</v>
      </c>
    </row>
    <row r="2290" spans="1:14">
      <c r="A2290" s="3">
        <v>816760</v>
      </c>
      <c r="B2290" s="3">
        <v>119038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33</v>
      </c>
      <c r="K2290" s="4">
        <v>0</v>
      </c>
      <c r="L2290" s="4">
        <v>0</v>
      </c>
      <c r="M2290" s="4">
        <v>15</v>
      </c>
      <c r="N2290" s="4">
        <v>0</v>
      </c>
    </row>
    <row r="2291" spans="1:14">
      <c r="A2291" s="3">
        <v>816764</v>
      </c>
      <c r="B2291" s="3">
        <v>206066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67</v>
      </c>
      <c r="J2291" s="4">
        <v>285</v>
      </c>
      <c r="K2291" s="4">
        <v>180</v>
      </c>
      <c r="L2291" s="4">
        <v>142</v>
      </c>
      <c r="M2291" s="4">
        <v>65</v>
      </c>
      <c r="N2291" s="4">
        <v>147</v>
      </c>
    </row>
    <row r="2292" spans="1:14">
      <c r="A2292" s="3">
        <v>816765</v>
      </c>
      <c r="B2292" s="3">
        <v>206066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30</v>
      </c>
      <c r="J2292" s="4">
        <v>173</v>
      </c>
      <c r="K2292" s="4">
        <v>60</v>
      </c>
      <c r="L2292" s="4">
        <v>45</v>
      </c>
      <c r="M2292" s="4">
        <v>77</v>
      </c>
      <c r="N2292" s="4">
        <v>15</v>
      </c>
    </row>
    <row r="2293" spans="1:14">
      <c r="A2293" s="3">
        <v>816767</v>
      </c>
      <c r="B2293" s="3">
        <v>208074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20</v>
      </c>
      <c r="K2293" s="4">
        <v>20</v>
      </c>
      <c r="L2293" s="4">
        <v>0</v>
      </c>
      <c r="M2293" s="4">
        <v>0</v>
      </c>
      <c r="N2293" s="4">
        <v>0</v>
      </c>
    </row>
    <row r="2294" spans="1:14">
      <c r="A2294" s="3">
        <v>816781</v>
      </c>
      <c r="B2294" s="3">
        <v>173224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47</v>
      </c>
      <c r="J2294" s="4">
        <v>30</v>
      </c>
      <c r="K2294" s="4">
        <v>107</v>
      </c>
      <c r="L2294" s="4">
        <v>31</v>
      </c>
      <c r="M2294" s="4">
        <v>52.5</v>
      </c>
      <c r="N2294" s="4">
        <v>140</v>
      </c>
    </row>
    <row r="2295" spans="1:14">
      <c r="A2295" s="3">
        <v>816785</v>
      </c>
      <c r="B2295" s="3">
        <v>208809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10</v>
      </c>
      <c r="J2295" s="4">
        <v>20</v>
      </c>
      <c r="K2295" s="4">
        <v>38</v>
      </c>
      <c r="L2295" s="4">
        <v>20</v>
      </c>
      <c r="M2295" s="4">
        <v>10</v>
      </c>
      <c r="N2295" s="4">
        <v>0</v>
      </c>
    </row>
    <row r="2296" spans="1:14">
      <c r="A2296" s="3">
        <v>816786</v>
      </c>
      <c r="B2296" s="3">
        <v>208809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20</v>
      </c>
      <c r="J2296" s="4">
        <v>30</v>
      </c>
      <c r="K2296" s="4">
        <v>65</v>
      </c>
      <c r="L2296" s="4">
        <v>0</v>
      </c>
      <c r="M2296" s="4">
        <v>40</v>
      </c>
      <c r="N2296" s="4">
        <v>57.5</v>
      </c>
    </row>
    <row r="2297" spans="1:14">
      <c r="A2297" s="3">
        <v>816787</v>
      </c>
      <c r="B2297" s="3">
        <v>203455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10</v>
      </c>
      <c r="M2297" s="4">
        <v>20</v>
      </c>
      <c r="N2297" s="4">
        <v>0</v>
      </c>
    </row>
    <row r="2298" spans="1:14">
      <c r="A2298" s="3">
        <v>816796</v>
      </c>
      <c r="B2298" s="3">
        <v>207713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35</v>
      </c>
      <c r="J2298" s="4">
        <v>43</v>
      </c>
      <c r="K2298" s="4">
        <v>44.1</v>
      </c>
      <c r="L2298" s="4">
        <v>25</v>
      </c>
      <c r="M2298" s="4">
        <v>49.5</v>
      </c>
      <c r="N2298" s="4">
        <v>70</v>
      </c>
    </row>
    <row r="2299" spans="1:14">
      <c r="A2299" s="3">
        <v>816829</v>
      </c>
      <c r="B2299" s="3">
        <v>201280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24</v>
      </c>
      <c r="J2299" s="4">
        <v>0</v>
      </c>
      <c r="K2299" s="4">
        <v>47</v>
      </c>
      <c r="L2299" s="4">
        <v>57</v>
      </c>
      <c r="M2299" s="4">
        <v>21</v>
      </c>
      <c r="N2299" s="4">
        <v>0</v>
      </c>
    </row>
    <row r="2300" spans="1:14">
      <c r="A2300" s="3">
        <v>816836</v>
      </c>
      <c r="B2300" s="3">
        <v>147936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10</v>
      </c>
      <c r="K2300" s="4">
        <v>20</v>
      </c>
      <c r="L2300" s="4">
        <v>0</v>
      </c>
      <c r="M2300" s="4">
        <v>30</v>
      </c>
      <c r="N2300" s="4">
        <v>30</v>
      </c>
    </row>
    <row r="2301" spans="1:14">
      <c r="A2301" s="3">
        <v>816859</v>
      </c>
      <c r="B2301" s="3">
        <v>206956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109</v>
      </c>
      <c r="L2301" s="4">
        <v>93</v>
      </c>
      <c r="M2301" s="4">
        <v>18</v>
      </c>
      <c r="N2301" s="4">
        <v>97</v>
      </c>
    </row>
    <row r="2302" spans="1:14">
      <c r="A2302" s="3">
        <v>816882</v>
      </c>
      <c r="B2302" s="3">
        <v>203156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15</v>
      </c>
      <c r="J2302" s="4">
        <v>53</v>
      </c>
      <c r="K2302" s="4">
        <v>128</v>
      </c>
      <c r="L2302" s="4">
        <v>115.5</v>
      </c>
      <c r="M2302" s="4">
        <v>147</v>
      </c>
      <c r="N2302" s="4">
        <v>144.44999999999999</v>
      </c>
    </row>
    <row r="2303" spans="1:14">
      <c r="A2303" s="3">
        <v>816882</v>
      </c>
      <c r="B2303" s="3">
        <v>208123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20</v>
      </c>
      <c r="K2303" s="4">
        <v>0</v>
      </c>
      <c r="L2303" s="4">
        <v>0</v>
      </c>
      <c r="M2303" s="4">
        <v>0</v>
      </c>
      <c r="N2303" s="4">
        <v>0</v>
      </c>
    </row>
    <row r="2304" spans="1:14">
      <c r="A2304" s="3">
        <v>816895</v>
      </c>
      <c r="B2304" s="3">
        <v>144747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10</v>
      </c>
      <c r="L2304" s="4">
        <v>37.5</v>
      </c>
      <c r="M2304" s="4">
        <v>32.5</v>
      </c>
      <c r="N2304" s="4">
        <v>15</v>
      </c>
    </row>
    <row r="2305" spans="1:14">
      <c r="A2305" s="3">
        <v>816896</v>
      </c>
      <c r="B2305" s="3">
        <v>172084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27</v>
      </c>
      <c r="K2305" s="4">
        <v>80</v>
      </c>
      <c r="L2305" s="4">
        <v>160</v>
      </c>
      <c r="M2305" s="4">
        <v>97.5</v>
      </c>
      <c r="N2305" s="4">
        <v>55</v>
      </c>
    </row>
    <row r="2306" spans="1:14">
      <c r="A2306" s="3">
        <v>816897</v>
      </c>
      <c r="B2306" s="3">
        <v>173728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25</v>
      </c>
      <c r="K2306" s="4">
        <v>105</v>
      </c>
      <c r="L2306" s="4">
        <v>82.05</v>
      </c>
      <c r="M2306" s="4">
        <v>73.5</v>
      </c>
      <c r="N2306" s="4">
        <v>133.5</v>
      </c>
    </row>
    <row r="2307" spans="1:14">
      <c r="A2307" s="3">
        <v>816898</v>
      </c>
      <c r="B2307" s="3">
        <v>205747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5</v>
      </c>
      <c r="K2307" s="4">
        <v>10</v>
      </c>
      <c r="L2307" s="4">
        <v>10</v>
      </c>
      <c r="M2307" s="4">
        <v>10</v>
      </c>
      <c r="N2307" s="4">
        <v>10</v>
      </c>
    </row>
    <row r="2308" spans="1:14">
      <c r="A2308" s="3">
        <v>816905</v>
      </c>
      <c r="B2308" s="3">
        <v>204307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58</v>
      </c>
      <c r="K2308" s="4">
        <v>55</v>
      </c>
      <c r="L2308" s="4">
        <v>34.5</v>
      </c>
      <c r="M2308" s="4">
        <v>75</v>
      </c>
      <c r="N2308" s="4">
        <v>45</v>
      </c>
    </row>
    <row r="2309" spans="1:14">
      <c r="A2309" s="3">
        <v>816906</v>
      </c>
      <c r="B2309" s="3">
        <v>207857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20</v>
      </c>
      <c r="J2309" s="4">
        <v>85</v>
      </c>
      <c r="K2309" s="4">
        <v>52</v>
      </c>
      <c r="L2309" s="4">
        <v>10</v>
      </c>
      <c r="M2309" s="4">
        <v>32.5</v>
      </c>
      <c r="N2309" s="4">
        <v>83.75</v>
      </c>
    </row>
    <row r="2310" spans="1:14">
      <c r="A2310" s="3">
        <v>816917</v>
      </c>
      <c r="B2310" s="3">
        <v>179907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20</v>
      </c>
      <c r="K2310" s="4">
        <v>10</v>
      </c>
      <c r="L2310" s="4">
        <v>0</v>
      </c>
      <c r="M2310" s="4">
        <v>0</v>
      </c>
      <c r="N2310" s="4">
        <v>0</v>
      </c>
    </row>
    <row r="2311" spans="1:14">
      <c r="A2311" s="3">
        <v>816918</v>
      </c>
      <c r="B2311" s="3">
        <v>208032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50.5</v>
      </c>
      <c r="L2311" s="4">
        <v>10</v>
      </c>
      <c r="M2311" s="4">
        <v>32.15</v>
      </c>
      <c r="N2311" s="4">
        <v>0</v>
      </c>
    </row>
    <row r="2312" spans="1:14">
      <c r="A2312" s="3">
        <v>816921</v>
      </c>
      <c r="B2312" s="3">
        <v>144747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15</v>
      </c>
      <c r="K2312" s="4">
        <v>32.5</v>
      </c>
      <c r="L2312" s="4">
        <v>42.5</v>
      </c>
      <c r="M2312" s="4">
        <v>45</v>
      </c>
      <c r="N2312" s="4">
        <v>20</v>
      </c>
    </row>
    <row r="2313" spans="1:14">
      <c r="A2313" s="3">
        <v>816922</v>
      </c>
      <c r="B2313" s="3">
        <v>206412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20</v>
      </c>
      <c r="K2313" s="4">
        <v>20</v>
      </c>
      <c r="L2313" s="4">
        <v>60</v>
      </c>
      <c r="M2313" s="4">
        <v>30</v>
      </c>
      <c r="N2313" s="4">
        <v>50</v>
      </c>
    </row>
    <row r="2314" spans="1:14">
      <c r="A2314" s="3">
        <v>816923</v>
      </c>
      <c r="B2314" s="3">
        <v>144747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10</v>
      </c>
      <c r="K2314" s="4">
        <v>40</v>
      </c>
      <c r="L2314" s="4">
        <v>90.9</v>
      </c>
      <c r="M2314" s="4">
        <v>80</v>
      </c>
      <c r="N2314" s="4">
        <v>110</v>
      </c>
    </row>
    <row r="2315" spans="1:14">
      <c r="A2315" s="3">
        <v>816931</v>
      </c>
      <c r="B2315" s="3">
        <v>170617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12</v>
      </c>
      <c r="L2315" s="4">
        <v>0</v>
      </c>
      <c r="M2315" s="4">
        <v>0</v>
      </c>
      <c r="N2315" s="4">
        <v>0</v>
      </c>
    </row>
    <row r="2316" spans="1:14">
      <c r="A2316" s="3">
        <v>816932</v>
      </c>
      <c r="B2316" s="3">
        <v>207907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97.5</v>
      </c>
      <c r="K2316" s="4">
        <v>10</v>
      </c>
      <c r="L2316" s="4">
        <v>0</v>
      </c>
      <c r="M2316" s="4">
        <v>27.5</v>
      </c>
      <c r="N2316" s="4">
        <v>0</v>
      </c>
    </row>
    <row r="2317" spans="1:14">
      <c r="A2317" s="3">
        <v>816933</v>
      </c>
      <c r="B2317" s="3">
        <v>202870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11</v>
      </c>
      <c r="K2317" s="4">
        <v>10</v>
      </c>
      <c r="L2317" s="4">
        <v>0</v>
      </c>
      <c r="M2317" s="4">
        <v>0</v>
      </c>
      <c r="N2317" s="4">
        <v>0</v>
      </c>
    </row>
    <row r="2318" spans="1:14">
      <c r="A2318" s="3">
        <v>816940</v>
      </c>
      <c r="B2318" s="3">
        <v>208074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50</v>
      </c>
      <c r="K2318" s="4">
        <v>50</v>
      </c>
      <c r="L2318" s="4">
        <v>52.85</v>
      </c>
      <c r="M2318" s="4">
        <v>25</v>
      </c>
      <c r="N2318" s="4">
        <v>22.650000000000002</v>
      </c>
    </row>
    <row r="2319" spans="1:14">
      <c r="A2319" s="3">
        <v>816941</v>
      </c>
      <c r="B2319" s="3">
        <v>178268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10</v>
      </c>
      <c r="K2319" s="4">
        <v>0</v>
      </c>
      <c r="L2319" s="4">
        <v>0</v>
      </c>
      <c r="M2319" s="4">
        <v>0</v>
      </c>
      <c r="N2319" s="4">
        <v>4</v>
      </c>
    </row>
    <row r="2320" spans="1:14">
      <c r="A2320" s="3">
        <v>816946</v>
      </c>
      <c r="B2320" s="3">
        <v>208638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10</v>
      </c>
      <c r="K2320" s="4">
        <v>23.5</v>
      </c>
      <c r="L2320" s="4">
        <v>27.5</v>
      </c>
      <c r="M2320" s="4">
        <v>10</v>
      </c>
      <c r="N2320" s="4">
        <v>2</v>
      </c>
    </row>
    <row r="2321" spans="1:14">
      <c r="A2321" s="3">
        <v>816947</v>
      </c>
      <c r="B2321" s="3">
        <v>173310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10</v>
      </c>
      <c r="K2321" s="4">
        <v>20.2</v>
      </c>
      <c r="L2321" s="4">
        <v>0</v>
      </c>
      <c r="M2321" s="4">
        <v>20</v>
      </c>
      <c r="N2321" s="4">
        <v>13</v>
      </c>
    </row>
    <row r="2322" spans="1:14">
      <c r="A2322" s="3">
        <v>816948</v>
      </c>
      <c r="B2322" s="3">
        <v>208638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50</v>
      </c>
      <c r="K2322" s="4">
        <v>58.75</v>
      </c>
      <c r="L2322" s="4">
        <v>47.5</v>
      </c>
      <c r="M2322" s="4">
        <v>23</v>
      </c>
      <c r="N2322" s="4">
        <v>2</v>
      </c>
    </row>
    <row r="2323" spans="1:14">
      <c r="A2323" s="3">
        <v>816949</v>
      </c>
      <c r="B2323" s="3">
        <v>204320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5</v>
      </c>
      <c r="K2323" s="4">
        <v>35</v>
      </c>
      <c r="L2323" s="4">
        <v>92.5</v>
      </c>
      <c r="M2323" s="4">
        <v>57.5</v>
      </c>
      <c r="N2323" s="4">
        <v>44</v>
      </c>
    </row>
    <row r="2324" spans="1:14">
      <c r="A2324" s="3">
        <v>816950</v>
      </c>
      <c r="B2324" s="3">
        <v>119066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35</v>
      </c>
      <c r="K2324" s="4">
        <v>54</v>
      </c>
      <c r="L2324" s="4">
        <v>0</v>
      </c>
      <c r="M2324" s="4">
        <v>95</v>
      </c>
      <c r="N2324" s="4">
        <v>0</v>
      </c>
    </row>
    <row r="2325" spans="1:14">
      <c r="A2325" s="3">
        <v>816970</v>
      </c>
      <c r="B2325" s="3">
        <v>143464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15</v>
      </c>
      <c r="M2325" s="4">
        <v>55</v>
      </c>
      <c r="N2325" s="4">
        <v>35</v>
      </c>
    </row>
    <row r="2326" spans="1:14">
      <c r="A2326" s="3">
        <v>816975</v>
      </c>
      <c r="B2326" s="3">
        <v>142332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20</v>
      </c>
      <c r="K2326" s="4">
        <v>20</v>
      </c>
      <c r="L2326" s="4">
        <v>40</v>
      </c>
      <c r="M2326" s="4">
        <v>5</v>
      </c>
      <c r="N2326" s="4">
        <v>77.5</v>
      </c>
    </row>
    <row r="2327" spans="1:14">
      <c r="A2327" s="3">
        <v>816984</v>
      </c>
      <c r="B2327" s="3">
        <v>208183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70</v>
      </c>
      <c r="K2327" s="4">
        <v>0</v>
      </c>
      <c r="L2327" s="4">
        <v>5</v>
      </c>
      <c r="M2327" s="4">
        <v>52</v>
      </c>
      <c r="N2327" s="4">
        <v>40</v>
      </c>
    </row>
    <row r="2328" spans="1:14">
      <c r="A2328" s="3">
        <v>816986</v>
      </c>
      <c r="B2328" s="3">
        <v>170204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20</v>
      </c>
      <c r="L2328" s="4">
        <v>10</v>
      </c>
      <c r="M2328" s="4">
        <v>0</v>
      </c>
      <c r="N2328" s="4">
        <v>78.5</v>
      </c>
    </row>
    <row r="2329" spans="1:14">
      <c r="A2329" s="3">
        <v>816987</v>
      </c>
      <c r="B2329" s="3">
        <v>170204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120</v>
      </c>
      <c r="L2329" s="4">
        <v>77</v>
      </c>
      <c r="M2329" s="4">
        <v>85</v>
      </c>
      <c r="N2329" s="4">
        <v>200</v>
      </c>
    </row>
    <row r="2330" spans="1:14">
      <c r="A2330" s="3">
        <v>816989</v>
      </c>
      <c r="B2330" s="3">
        <v>178236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10</v>
      </c>
      <c r="K2330" s="4">
        <v>102.3</v>
      </c>
      <c r="L2330" s="4">
        <v>50</v>
      </c>
      <c r="M2330" s="4">
        <v>40</v>
      </c>
      <c r="N2330" s="4">
        <v>50</v>
      </c>
    </row>
    <row r="2331" spans="1:14">
      <c r="A2331" s="3">
        <v>816991</v>
      </c>
      <c r="B2331" s="3">
        <v>209954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219</v>
      </c>
      <c r="M2331" s="4">
        <v>112</v>
      </c>
      <c r="N2331" s="4">
        <v>119</v>
      </c>
    </row>
    <row r="2332" spans="1:14">
      <c r="A2332" s="3">
        <v>816996</v>
      </c>
      <c r="B2332" s="3">
        <v>209146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20</v>
      </c>
      <c r="K2332" s="4">
        <v>0</v>
      </c>
      <c r="L2332" s="4">
        <v>0</v>
      </c>
      <c r="M2332" s="4">
        <v>0</v>
      </c>
      <c r="N2332" s="4">
        <v>0</v>
      </c>
    </row>
    <row r="2333" spans="1:14">
      <c r="A2333" s="3">
        <v>817005</v>
      </c>
      <c r="B2333" s="3">
        <v>170204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10</v>
      </c>
      <c r="L2333" s="4">
        <v>35</v>
      </c>
      <c r="M2333" s="4">
        <v>21</v>
      </c>
      <c r="N2333" s="4">
        <v>35</v>
      </c>
    </row>
    <row r="2334" spans="1:14">
      <c r="A2334" s="3">
        <v>817014</v>
      </c>
      <c r="B2334" s="3">
        <v>170204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10</v>
      </c>
      <c r="L2334" s="4">
        <v>0</v>
      </c>
      <c r="M2334" s="4">
        <v>0</v>
      </c>
      <c r="N2334" s="4">
        <v>45</v>
      </c>
    </row>
    <row r="2335" spans="1:14">
      <c r="A2335" s="3">
        <v>817029</v>
      </c>
      <c r="B2335" s="3">
        <v>208976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32.5</v>
      </c>
      <c r="K2335" s="4">
        <v>25</v>
      </c>
      <c r="L2335" s="4">
        <v>59</v>
      </c>
      <c r="M2335" s="4">
        <v>72.5</v>
      </c>
      <c r="N2335" s="4">
        <v>82.5</v>
      </c>
    </row>
    <row r="2336" spans="1:14">
      <c r="A2336" s="3">
        <v>817030</v>
      </c>
      <c r="B2336" s="3">
        <v>209816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17</v>
      </c>
      <c r="K2336" s="4">
        <v>100</v>
      </c>
      <c r="L2336" s="4">
        <v>125.75</v>
      </c>
      <c r="M2336" s="4">
        <v>91</v>
      </c>
      <c r="N2336" s="4">
        <v>83.5</v>
      </c>
    </row>
    <row r="2337" spans="1:14">
      <c r="A2337" s="3">
        <v>817030</v>
      </c>
      <c r="B2337" s="3">
        <v>210855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7.75</v>
      </c>
    </row>
    <row r="2338" spans="1:14">
      <c r="A2338" s="3">
        <v>817031</v>
      </c>
      <c r="B2338" s="3">
        <v>208268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50</v>
      </c>
      <c r="K2338" s="4">
        <v>36.5</v>
      </c>
      <c r="L2338" s="4">
        <v>10</v>
      </c>
      <c r="M2338" s="4">
        <v>35</v>
      </c>
      <c r="N2338" s="4">
        <v>17.5</v>
      </c>
    </row>
    <row r="2339" spans="1:14">
      <c r="A2339" s="3">
        <v>817032</v>
      </c>
      <c r="B2339" s="3">
        <v>206049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10</v>
      </c>
      <c r="K2339" s="4">
        <v>53</v>
      </c>
      <c r="L2339" s="4">
        <v>10</v>
      </c>
      <c r="M2339" s="4">
        <v>0</v>
      </c>
      <c r="N2339" s="4">
        <v>0</v>
      </c>
    </row>
    <row r="2340" spans="1:14">
      <c r="A2340" s="3">
        <v>817038</v>
      </c>
      <c r="B2340" s="3">
        <v>149764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65</v>
      </c>
      <c r="K2340" s="4">
        <v>37.5</v>
      </c>
      <c r="L2340" s="4">
        <v>0</v>
      </c>
      <c r="M2340" s="4">
        <v>41</v>
      </c>
      <c r="N2340" s="4">
        <v>110</v>
      </c>
    </row>
    <row r="2341" spans="1:14">
      <c r="A2341" s="3">
        <v>817039</v>
      </c>
      <c r="B2341" s="3">
        <v>175547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78</v>
      </c>
      <c r="K2341" s="4">
        <v>75</v>
      </c>
      <c r="L2341" s="4">
        <v>135</v>
      </c>
      <c r="M2341" s="4">
        <v>30</v>
      </c>
      <c r="N2341" s="4">
        <v>0</v>
      </c>
    </row>
    <row r="2342" spans="1:14">
      <c r="A2342" s="3">
        <v>817041</v>
      </c>
      <c r="B2342" s="3">
        <v>119031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7.5</v>
      </c>
      <c r="M2342" s="4">
        <v>18</v>
      </c>
      <c r="N2342" s="4">
        <v>10</v>
      </c>
    </row>
    <row r="2343" spans="1:14">
      <c r="A2343" s="3">
        <v>817045</v>
      </c>
      <c r="B2343" s="3">
        <v>177426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32.5</v>
      </c>
      <c r="L2343" s="4">
        <v>35</v>
      </c>
      <c r="M2343" s="4">
        <v>25</v>
      </c>
      <c r="N2343" s="4">
        <v>40</v>
      </c>
    </row>
    <row r="2344" spans="1:14">
      <c r="A2344" s="3">
        <v>817046</v>
      </c>
      <c r="B2344" s="3">
        <v>210132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8</v>
      </c>
      <c r="K2344" s="4">
        <v>94.5</v>
      </c>
      <c r="L2344" s="4">
        <v>20.5</v>
      </c>
      <c r="M2344" s="4">
        <v>0</v>
      </c>
      <c r="N2344" s="4">
        <v>37</v>
      </c>
    </row>
    <row r="2345" spans="1:14">
      <c r="A2345" s="3">
        <v>817052</v>
      </c>
      <c r="B2345" s="3">
        <v>145639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25</v>
      </c>
    </row>
    <row r="2346" spans="1:14">
      <c r="A2346" s="3">
        <v>817052</v>
      </c>
      <c r="B2346" s="3">
        <v>206049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33.75</v>
      </c>
      <c r="K2346" s="4">
        <v>90.5</v>
      </c>
      <c r="L2346" s="4">
        <v>17.5</v>
      </c>
      <c r="M2346" s="4">
        <v>67.5</v>
      </c>
      <c r="N2346" s="4">
        <v>367.15</v>
      </c>
    </row>
    <row r="2347" spans="1:14">
      <c r="A2347" s="3">
        <v>817053</v>
      </c>
      <c r="B2347" s="3">
        <v>208268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51.25</v>
      </c>
      <c r="L2347" s="4">
        <v>10.25</v>
      </c>
      <c r="M2347" s="4">
        <v>7.5</v>
      </c>
      <c r="N2347" s="4">
        <v>0</v>
      </c>
    </row>
    <row r="2348" spans="1:14">
      <c r="A2348" s="3">
        <v>817054</v>
      </c>
      <c r="B2348" s="3">
        <v>148557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88.5</v>
      </c>
      <c r="K2348" s="4">
        <v>64</v>
      </c>
      <c r="L2348" s="4">
        <v>42</v>
      </c>
      <c r="M2348" s="4">
        <v>54</v>
      </c>
      <c r="N2348" s="4">
        <v>0</v>
      </c>
    </row>
    <row r="2349" spans="1:14">
      <c r="A2349" s="3">
        <v>817055</v>
      </c>
      <c r="B2349" s="3">
        <v>206066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135</v>
      </c>
      <c r="K2349" s="4">
        <v>105</v>
      </c>
      <c r="L2349" s="4">
        <v>75.5</v>
      </c>
      <c r="M2349" s="4">
        <v>95</v>
      </c>
      <c r="N2349" s="4">
        <v>15</v>
      </c>
    </row>
    <row r="2350" spans="1:14">
      <c r="A2350" s="3">
        <v>817056</v>
      </c>
      <c r="B2350" s="3">
        <v>206066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97</v>
      </c>
    </row>
    <row r="2351" spans="1:14">
      <c r="A2351" s="3">
        <v>817057</v>
      </c>
      <c r="B2351" s="3">
        <v>206066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289</v>
      </c>
    </row>
    <row r="2352" spans="1:14">
      <c r="A2352" s="3">
        <v>817057</v>
      </c>
      <c r="B2352" s="3">
        <v>209036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10</v>
      </c>
      <c r="K2352" s="4">
        <v>0</v>
      </c>
      <c r="L2352" s="4">
        <v>0</v>
      </c>
      <c r="M2352" s="4">
        <v>0</v>
      </c>
      <c r="N2352" s="4">
        <v>0</v>
      </c>
    </row>
    <row r="2353" spans="1:14">
      <c r="A2353" s="3">
        <v>817060</v>
      </c>
      <c r="B2353" s="3">
        <v>206529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43</v>
      </c>
      <c r="L2353" s="4">
        <v>21</v>
      </c>
      <c r="M2353" s="4">
        <v>23</v>
      </c>
      <c r="N2353" s="4">
        <v>33</v>
      </c>
    </row>
    <row r="2354" spans="1:14">
      <c r="A2354" s="3">
        <v>817063</v>
      </c>
      <c r="B2354" s="3">
        <v>171226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160</v>
      </c>
      <c r="L2354" s="4">
        <v>92</v>
      </c>
      <c r="M2354" s="4">
        <v>105</v>
      </c>
      <c r="N2354" s="4">
        <v>64</v>
      </c>
    </row>
    <row r="2355" spans="1:14">
      <c r="A2355" s="3">
        <v>817064</v>
      </c>
      <c r="B2355" s="3">
        <v>208183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35</v>
      </c>
      <c r="L2355" s="4">
        <v>0</v>
      </c>
      <c r="M2355" s="4">
        <v>26.5</v>
      </c>
      <c r="N2355" s="4">
        <v>0</v>
      </c>
    </row>
    <row r="2356" spans="1:14">
      <c r="A2356" s="3">
        <v>817065</v>
      </c>
      <c r="B2356" s="3">
        <v>175848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16</v>
      </c>
      <c r="L2356" s="4">
        <v>13</v>
      </c>
      <c r="M2356" s="4">
        <v>11</v>
      </c>
      <c r="N2356" s="4">
        <v>11</v>
      </c>
    </row>
    <row r="2357" spans="1:14">
      <c r="A2357" s="3">
        <v>817073</v>
      </c>
      <c r="B2357" s="3">
        <v>144747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87.5</v>
      </c>
      <c r="L2357" s="4">
        <v>55</v>
      </c>
      <c r="M2357" s="4">
        <v>50</v>
      </c>
      <c r="N2357" s="4">
        <v>65.5</v>
      </c>
    </row>
    <row r="2358" spans="1:14">
      <c r="A2358" s="3">
        <v>817078</v>
      </c>
      <c r="B2358" s="3">
        <v>206529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43</v>
      </c>
      <c r="L2358" s="4">
        <v>21</v>
      </c>
      <c r="M2358" s="4">
        <v>25</v>
      </c>
      <c r="N2358" s="4">
        <v>31</v>
      </c>
    </row>
    <row r="2359" spans="1:14">
      <c r="A2359" s="3">
        <v>817081</v>
      </c>
      <c r="B2359" s="3">
        <v>149991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66.5</v>
      </c>
      <c r="L2359" s="4">
        <v>42.5</v>
      </c>
      <c r="M2359" s="4">
        <v>41.5</v>
      </c>
      <c r="N2359" s="4">
        <v>20</v>
      </c>
    </row>
    <row r="2360" spans="1:14">
      <c r="A2360" s="3">
        <v>817087</v>
      </c>
      <c r="B2360" s="3">
        <v>142332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25</v>
      </c>
      <c r="K2360" s="4">
        <v>32.5</v>
      </c>
      <c r="L2360" s="4">
        <v>60</v>
      </c>
      <c r="M2360" s="4">
        <v>35</v>
      </c>
      <c r="N2360" s="4">
        <v>60</v>
      </c>
    </row>
    <row r="2361" spans="1:14">
      <c r="A2361" s="3">
        <v>817093</v>
      </c>
      <c r="B2361" s="3">
        <v>170197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74</v>
      </c>
    </row>
    <row r="2362" spans="1:14">
      <c r="A2362" s="3">
        <v>817093</v>
      </c>
      <c r="B2362" s="3">
        <v>208183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84</v>
      </c>
      <c r="L2362" s="4">
        <v>128</v>
      </c>
      <c r="M2362" s="4">
        <v>113.85</v>
      </c>
      <c r="N2362" s="4">
        <v>110</v>
      </c>
    </row>
    <row r="2363" spans="1:14">
      <c r="A2363" s="3">
        <v>817094</v>
      </c>
      <c r="B2363" s="3">
        <v>171578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20</v>
      </c>
      <c r="K2363" s="4">
        <v>45</v>
      </c>
      <c r="L2363" s="4">
        <v>79.55</v>
      </c>
      <c r="M2363" s="4">
        <v>28.25</v>
      </c>
      <c r="N2363" s="4">
        <v>5</v>
      </c>
    </row>
    <row r="2364" spans="1:14">
      <c r="A2364" s="3">
        <v>817094</v>
      </c>
      <c r="B2364" s="3">
        <v>211138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34.5</v>
      </c>
      <c r="N2364" s="4">
        <v>0</v>
      </c>
    </row>
    <row r="2365" spans="1:14">
      <c r="A2365" s="3">
        <v>817095</v>
      </c>
      <c r="B2365" s="3">
        <v>178003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66</v>
      </c>
      <c r="K2365" s="4">
        <v>20</v>
      </c>
      <c r="L2365" s="4">
        <v>15</v>
      </c>
      <c r="M2365" s="4">
        <v>32.75</v>
      </c>
      <c r="N2365" s="4">
        <v>5</v>
      </c>
    </row>
    <row r="2366" spans="1:14">
      <c r="A2366" s="3">
        <v>817102</v>
      </c>
      <c r="B2366" s="3">
        <v>207857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45</v>
      </c>
      <c r="K2366" s="4">
        <v>80</v>
      </c>
      <c r="L2366" s="4">
        <v>10</v>
      </c>
      <c r="M2366" s="4">
        <v>47.5</v>
      </c>
      <c r="N2366" s="4">
        <v>102</v>
      </c>
    </row>
    <row r="2367" spans="1:14">
      <c r="A2367" s="3">
        <v>817103</v>
      </c>
      <c r="B2367" s="3">
        <v>170606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6.55</v>
      </c>
      <c r="N2367" s="4">
        <v>0</v>
      </c>
    </row>
    <row r="2368" spans="1:14">
      <c r="A2368" s="3">
        <v>817103</v>
      </c>
      <c r="B2368" s="3">
        <v>207643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6</v>
      </c>
      <c r="L2368" s="4">
        <v>33</v>
      </c>
      <c r="M2368" s="4">
        <v>0</v>
      </c>
      <c r="N2368" s="4">
        <v>88.5</v>
      </c>
    </row>
    <row r="2369" spans="1:14">
      <c r="A2369" s="3">
        <v>817106</v>
      </c>
      <c r="B2369" s="3">
        <v>170775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20</v>
      </c>
      <c r="L2369" s="4">
        <v>20</v>
      </c>
      <c r="M2369" s="4">
        <v>70</v>
      </c>
      <c r="N2369" s="4">
        <v>55</v>
      </c>
    </row>
    <row r="2370" spans="1:14">
      <c r="A2370" s="3">
        <v>817108</v>
      </c>
      <c r="B2370" s="3">
        <v>119038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96.2</v>
      </c>
      <c r="L2370" s="4">
        <v>60.5</v>
      </c>
      <c r="M2370" s="4">
        <v>100</v>
      </c>
      <c r="N2370" s="4">
        <v>145.75</v>
      </c>
    </row>
    <row r="2371" spans="1:14">
      <c r="A2371" s="3">
        <v>817121</v>
      </c>
      <c r="B2371" s="3">
        <v>174756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19</v>
      </c>
      <c r="K2371" s="4">
        <v>30.5</v>
      </c>
      <c r="L2371" s="4">
        <v>42</v>
      </c>
      <c r="M2371" s="4">
        <v>25.5</v>
      </c>
      <c r="N2371" s="4">
        <v>36</v>
      </c>
    </row>
    <row r="2372" spans="1:14">
      <c r="A2372" s="3">
        <v>817122</v>
      </c>
      <c r="B2372" s="3">
        <v>209599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10</v>
      </c>
      <c r="K2372" s="4">
        <v>71</v>
      </c>
      <c r="L2372" s="4">
        <v>118.25</v>
      </c>
      <c r="M2372" s="4">
        <v>88.95</v>
      </c>
      <c r="N2372" s="4">
        <v>129.35000000000002</v>
      </c>
    </row>
    <row r="2373" spans="1:14">
      <c r="A2373" s="3">
        <v>817123</v>
      </c>
      <c r="B2373" s="3">
        <v>119066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7.5</v>
      </c>
      <c r="L2373" s="4">
        <v>0</v>
      </c>
      <c r="M2373" s="4">
        <v>0</v>
      </c>
      <c r="N2373" s="4">
        <v>50</v>
      </c>
    </row>
    <row r="2374" spans="1:14">
      <c r="A2374" s="3">
        <v>817124</v>
      </c>
      <c r="B2374" s="3">
        <v>140960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35</v>
      </c>
      <c r="K2374" s="4">
        <v>73.5</v>
      </c>
      <c r="L2374" s="4">
        <v>0</v>
      </c>
      <c r="M2374" s="4">
        <v>25</v>
      </c>
      <c r="N2374" s="4">
        <v>0</v>
      </c>
    </row>
    <row r="2375" spans="1:14">
      <c r="A2375" s="3">
        <v>817127</v>
      </c>
      <c r="B2375" s="3">
        <v>206049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55</v>
      </c>
      <c r="L2375" s="4">
        <v>10</v>
      </c>
      <c r="M2375" s="4">
        <v>0</v>
      </c>
      <c r="N2375" s="4">
        <v>0</v>
      </c>
    </row>
    <row r="2376" spans="1:14">
      <c r="A2376" s="3">
        <v>817136</v>
      </c>
      <c r="B2376" s="3">
        <v>205225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43</v>
      </c>
      <c r="K2376" s="4">
        <v>203.25</v>
      </c>
      <c r="L2376" s="4">
        <v>197</v>
      </c>
      <c r="M2376" s="4">
        <v>181</v>
      </c>
      <c r="N2376" s="4">
        <v>370.1</v>
      </c>
    </row>
    <row r="2377" spans="1:14">
      <c r="A2377" s="3">
        <v>817143</v>
      </c>
      <c r="B2377" s="3">
        <v>172282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81.5</v>
      </c>
      <c r="L2377" s="4">
        <v>133.5</v>
      </c>
      <c r="M2377" s="4">
        <v>69</v>
      </c>
      <c r="N2377" s="4">
        <v>52</v>
      </c>
    </row>
    <row r="2378" spans="1:14">
      <c r="A2378" s="3">
        <v>817144</v>
      </c>
      <c r="B2378" s="3">
        <v>209017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20</v>
      </c>
      <c r="K2378" s="4">
        <v>50.5</v>
      </c>
      <c r="L2378" s="4">
        <v>80</v>
      </c>
      <c r="M2378" s="4">
        <v>45</v>
      </c>
      <c r="N2378" s="4">
        <v>96</v>
      </c>
    </row>
    <row r="2379" spans="1:14">
      <c r="A2379" s="3">
        <v>817146</v>
      </c>
      <c r="B2379" s="3">
        <v>119212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45.5</v>
      </c>
      <c r="K2379" s="4">
        <v>78</v>
      </c>
      <c r="L2379" s="4">
        <v>27.5</v>
      </c>
      <c r="M2379" s="4">
        <v>35</v>
      </c>
      <c r="N2379" s="4">
        <v>75.5</v>
      </c>
    </row>
    <row r="2380" spans="1:14">
      <c r="A2380" s="3">
        <v>817152</v>
      </c>
      <c r="B2380" s="3">
        <v>144868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62</v>
      </c>
      <c r="L2380" s="4">
        <v>29</v>
      </c>
      <c r="M2380" s="4">
        <v>27.5</v>
      </c>
      <c r="N2380" s="4">
        <v>37.5</v>
      </c>
    </row>
    <row r="2381" spans="1:14">
      <c r="A2381" s="3">
        <v>817153</v>
      </c>
      <c r="B2381" s="3">
        <v>119261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21</v>
      </c>
      <c r="L2381" s="4">
        <v>20</v>
      </c>
      <c r="M2381" s="4">
        <v>0</v>
      </c>
      <c r="N2381" s="4">
        <v>0</v>
      </c>
    </row>
    <row r="2382" spans="1:14">
      <c r="A2382" s="3">
        <v>817159</v>
      </c>
      <c r="B2382" s="3">
        <v>119038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25</v>
      </c>
      <c r="N2382" s="4">
        <v>0</v>
      </c>
    </row>
    <row r="2383" spans="1:14">
      <c r="A2383" s="3">
        <v>817163</v>
      </c>
      <c r="B2383" s="3">
        <v>177426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11</v>
      </c>
      <c r="L2383" s="4">
        <v>35</v>
      </c>
      <c r="M2383" s="4">
        <v>50</v>
      </c>
      <c r="N2383" s="4">
        <v>45</v>
      </c>
    </row>
    <row r="2384" spans="1:14">
      <c r="A2384" s="3">
        <v>817164</v>
      </c>
      <c r="B2384" s="3">
        <v>172597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53.5</v>
      </c>
      <c r="L2384" s="4">
        <v>20</v>
      </c>
      <c r="M2384" s="4">
        <v>12.5</v>
      </c>
      <c r="N2384" s="4">
        <v>0</v>
      </c>
    </row>
    <row r="2385" spans="1:14">
      <c r="A2385" s="3">
        <v>817165</v>
      </c>
      <c r="B2385" s="3">
        <v>119028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10</v>
      </c>
      <c r="L2385" s="4">
        <v>0</v>
      </c>
      <c r="M2385" s="4">
        <v>0</v>
      </c>
      <c r="N2385" s="4">
        <v>93</v>
      </c>
    </row>
    <row r="2386" spans="1:14">
      <c r="A2386" s="3">
        <v>817167</v>
      </c>
      <c r="B2386" s="3">
        <v>210440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27.5</v>
      </c>
      <c r="L2386" s="4">
        <v>39</v>
      </c>
      <c r="M2386" s="4">
        <v>32</v>
      </c>
      <c r="N2386" s="4">
        <v>0</v>
      </c>
    </row>
    <row r="2387" spans="1:14">
      <c r="A2387" s="3">
        <v>817168</v>
      </c>
      <c r="B2387" s="3">
        <v>119050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51.5</v>
      </c>
      <c r="L2387" s="4">
        <v>68</v>
      </c>
      <c r="M2387" s="4">
        <v>75</v>
      </c>
      <c r="N2387" s="4">
        <v>33.85</v>
      </c>
    </row>
    <row r="2388" spans="1:14">
      <c r="A2388" s="3">
        <v>817172</v>
      </c>
      <c r="B2388" s="3">
        <v>119044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70</v>
      </c>
      <c r="L2388" s="4">
        <v>108</v>
      </c>
      <c r="M2388" s="4">
        <v>90</v>
      </c>
      <c r="N2388" s="4">
        <v>135</v>
      </c>
    </row>
    <row r="2389" spans="1:14">
      <c r="A2389" s="3">
        <v>817188</v>
      </c>
      <c r="B2389" s="3">
        <v>178219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47.5</v>
      </c>
      <c r="L2389" s="4">
        <v>85</v>
      </c>
      <c r="M2389" s="4">
        <v>72</v>
      </c>
      <c r="N2389" s="4">
        <v>101.5</v>
      </c>
    </row>
    <row r="2390" spans="1:14">
      <c r="A2390" s="3">
        <v>817189</v>
      </c>
      <c r="B2390" s="3">
        <v>119261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100</v>
      </c>
      <c r="L2390" s="4">
        <v>120</v>
      </c>
      <c r="M2390" s="4">
        <v>0</v>
      </c>
      <c r="N2390" s="4">
        <v>182</v>
      </c>
    </row>
    <row r="2391" spans="1:14">
      <c r="A2391" s="3">
        <v>817192</v>
      </c>
      <c r="B2391" s="3">
        <v>210452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95</v>
      </c>
      <c r="L2391" s="4">
        <v>42</v>
      </c>
      <c r="M2391" s="4">
        <v>39</v>
      </c>
      <c r="N2391" s="4">
        <v>40</v>
      </c>
    </row>
    <row r="2392" spans="1:14">
      <c r="A2392" s="3">
        <v>817196</v>
      </c>
      <c r="B2392" s="3">
        <v>204208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145</v>
      </c>
      <c r="L2392" s="4">
        <v>33</v>
      </c>
      <c r="M2392" s="4">
        <v>30</v>
      </c>
      <c r="N2392" s="4">
        <v>20</v>
      </c>
    </row>
    <row r="2393" spans="1:14">
      <c r="A2393" s="3">
        <v>817203</v>
      </c>
      <c r="B2393" s="3">
        <v>209599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76.5</v>
      </c>
      <c r="L2393" s="4">
        <v>115.8</v>
      </c>
      <c r="M2393" s="4">
        <v>76.5</v>
      </c>
      <c r="N2393" s="4">
        <v>75</v>
      </c>
    </row>
    <row r="2394" spans="1:14">
      <c r="A2394" s="3">
        <v>817206</v>
      </c>
      <c r="B2394" s="3">
        <v>170846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31.5</v>
      </c>
      <c r="L2394" s="4">
        <v>52</v>
      </c>
      <c r="M2394" s="4">
        <v>30</v>
      </c>
      <c r="N2394" s="4">
        <v>0</v>
      </c>
    </row>
    <row r="2395" spans="1:14">
      <c r="A2395" s="3">
        <v>817208</v>
      </c>
      <c r="B2395" s="3">
        <v>145394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19</v>
      </c>
      <c r="L2395" s="4">
        <v>10</v>
      </c>
      <c r="M2395" s="4">
        <v>30</v>
      </c>
      <c r="N2395" s="4">
        <v>0</v>
      </c>
    </row>
    <row r="2396" spans="1:14">
      <c r="A2396" s="3">
        <v>817211</v>
      </c>
      <c r="B2396" s="3">
        <v>204034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81.599999999999994</v>
      </c>
      <c r="L2396" s="4">
        <v>76</v>
      </c>
      <c r="M2396" s="4">
        <v>85</v>
      </c>
      <c r="N2396" s="4">
        <v>157</v>
      </c>
    </row>
    <row r="2397" spans="1:14">
      <c r="A2397" s="3">
        <v>817212</v>
      </c>
      <c r="B2397" s="3">
        <v>149991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57.5</v>
      </c>
      <c r="L2397" s="4">
        <v>22.5</v>
      </c>
      <c r="M2397" s="4">
        <v>35</v>
      </c>
      <c r="N2397" s="4">
        <v>43.5</v>
      </c>
    </row>
    <row r="2398" spans="1:14">
      <c r="A2398" s="3">
        <v>817213</v>
      </c>
      <c r="B2398" s="3">
        <v>119026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60</v>
      </c>
      <c r="M2398" s="4">
        <v>72.5</v>
      </c>
      <c r="N2398" s="4">
        <v>30</v>
      </c>
    </row>
    <row r="2399" spans="1:14">
      <c r="A2399" s="3">
        <v>817217</v>
      </c>
      <c r="B2399" s="3">
        <v>209652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40</v>
      </c>
      <c r="L2399" s="4">
        <v>63</v>
      </c>
      <c r="M2399" s="4">
        <v>60</v>
      </c>
      <c r="N2399" s="4">
        <v>60</v>
      </c>
    </row>
    <row r="2400" spans="1:14">
      <c r="A2400" s="3">
        <v>817218</v>
      </c>
      <c r="B2400" s="3">
        <v>209652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152</v>
      </c>
      <c r="L2400" s="4">
        <v>79</v>
      </c>
      <c r="M2400" s="4">
        <v>70</v>
      </c>
      <c r="N2400" s="4">
        <v>123.5</v>
      </c>
    </row>
    <row r="2401" spans="1:14">
      <c r="A2401" s="3">
        <v>817219</v>
      </c>
      <c r="B2401" s="3">
        <v>209652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45</v>
      </c>
      <c r="L2401" s="4">
        <v>40</v>
      </c>
      <c r="M2401" s="4">
        <v>0</v>
      </c>
      <c r="N2401" s="4">
        <v>30</v>
      </c>
    </row>
    <row r="2402" spans="1:14">
      <c r="A2402" s="3">
        <v>817221</v>
      </c>
      <c r="B2402" s="3">
        <v>209702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20</v>
      </c>
      <c r="L2402" s="4">
        <v>60</v>
      </c>
      <c r="M2402" s="4">
        <v>0</v>
      </c>
      <c r="N2402" s="4">
        <v>15</v>
      </c>
    </row>
    <row r="2403" spans="1:14">
      <c r="A2403" s="3">
        <v>817223</v>
      </c>
      <c r="B2403" s="3">
        <v>170392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35</v>
      </c>
    </row>
    <row r="2404" spans="1:14">
      <c r="A2404" s="3">
        <v>817223</v>
      </c>
      <c r="B2404" s="3">
        <v>172640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273.25</v>
      </c>
      <c r="L2404" s="4">
        <v>312.5</v>
      </c>
      <c r="M2404" s="4">
        <v>252</v>
      </c>
      <c r="N2404" s="4">
        <v>349.5</v>
      </c>
    </row>
    <row r="2405" spans="1:14">
      <c r="A2405" s="3">
        <v>817224</v>
      </c>
      <c r="B2405" s="3">
        <v>201678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40</v>
      </c>
      <c r="L2405" s="4">
        <v>65.5</v>
      </c>
      <c r="M2405" s="4">
        <v>20</v>
      </c>
      <c r="N2405" s="4">
        <v>0</v>
      </c>
    </row>
    <row r="2406" spans="1:14">
      <c r="A2406" s="3">
        <v>817225</v>
      </c>
      <c r="B2406" s="3">
        <v>178004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20</v>
      </c>
      <c r="L2406" s="4">
        <v>40</v>
      </c>
      <c r="M2406" s="4">
        <v>30</v>
      </c>
      <c r="N2406" s="4">
        <v>51</v>
      </c>
    </row>
    <row r="2407" spans="1:14">
      <c r="A2407" s="3">
        <v>817233</v>
      </c>
      <c r="B2407" s="3">
        <v>179560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38.5</v>
      </c>
      <c r="L2407" s="4">
        <v>45</v>
      </c>
      <c r="M2407" s="4">
        <v>48.5</v>
      </c>
      <c r="N2407" s="4">
        <v>30</v>
      </c>
    </row>
    <row r="2408" spans="1:14">
      <c r="A2408" s="3">
        <v>817235</v>
      </c>
      <c r="B2408" s="3">
        <v>170958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50</v>
      </c>
      <c r="L2408" s="4">
        <v>17.5</v>
      </c>
      <c r="M2408" s="4">
        <v>0</v>
      </c>
      <c r="N2408" s="4">
        <v>0</v>
      </c>
    </row>
    <row r="2409" spans="1:14">
      <c r="A2409" s="3">
        <v>817238</v>
      </c>
      <c r="B2409" s="3">
        <v>171578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63</v>
      </c>
      <c r="L2409" s="4">
        <v>87.5</v>
      </c>
      <c r="M2409" s="4">
        <v>72.150000000000006</v>
      </c>
      <c r="N2409" s="4">
        <v>178.25</v>
      </c>
    </row>
    <row r="2410" spans="1:14">
      <c r="A2410" s="3">
        <v>817239</v>
      </c>
      <c r="B2410" s="3">
        <v>171578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5</v>
      </c>
      <c r="L2410" s="4">
        <v>5</v>
      </c>
      <c r="M2410" s="4">
        <v>20</v>
      </c>
      <c r="N2410" s="4">
        <v>10</v>
      </c>
    </row>
    <row r="2411" spans="1:14">
      <c r="A2411" s="3">
        <v>817251</v>
      </c>
      <c r="B2411" s="3">
        <v>210566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62.5</v>
      </c>
      <c r="L2411" s="4">
        <v>108.5</v>
      </c>
      <c r="M2411" s="4">
        <v>0</v>
      </c>
      <c r="N2411" s="4">
        <v>130</v>
      </c>
    </row>
    <row r="2412" spans="1:14">
      <c r="A2412" s="3">
        <v>817252</v>
      </c>
      <c r="B2412" s="3">
        <v>209017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55</v>
      </c>
      <c r="L2412" s="4">
        <v>50</v>
      </c>
      <c r="M2412" s="4">
        <v>50.1</v>
      </c>
      <c r="N2412" s="4">
        <v>91</v>
      </c>
    </row>
    <row r="2413" spans="1:14">
      <c r="A2413" s="3">
        <v>817254</v>
      </c>
      <c r="B2413" s="3">
        <v>207713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32.5</v>
      </c>
      <c r="L2413" s="4">
        <v>12.5</v>
      </c>
      <c r="M2413" s="4">
        <v>33.5</v>
      </c>
      <c r="N2413" s="4">
        <v>37.5</v>
      </c>
    </row>
    <row r="2414" spans="1:14">
      <c r="A2414" s="3">
        <v>817263</v>
      </c>
      <c r="B2414" s="3">
        <v>170204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129</v>
      </c>
      <c r="L2414" s="4">
        <v>20</v>
      </c>
      <c r="M2414" s="4">
        <v>133</v>
      </c>
      <c r="N2414" s="4">
        <v>180.5</v>
      </c>
    </row>
    <row r="2415" spans="1:14">
      <c r="A2415" s="3">
        <v>817264</v>
      </c>
      <c r="B2415" s="3">
        <v>170200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35</v>
      </c>
      <c r="L2415" s="4">
        <v>35</v>
      </c>
      <c r="M2415" s="4">
        <v>35</v>
      </c>
      <c r="N2415" s="4">
        <v>34</v>
      </c>
    </row>
    <row r="2416" spans="1:14">
      <c r="A2416" s="3">
        <v>817268</v>
      </c>
      <c r="B2416" s="3">
        <v>202867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109</v>
      </c>
      <c r="L2416" s="4">
        <v>26</v>
      </c>
      <c r="M2416" s="4">
        <v>48</v>
      </c>
      <c r="N2416" s="4">
        <v>126</v>
      </c>
    </row>
    <row r="2417" spans="1:14">
      <c r="A2417" s="3">
        <v>817270</v>
      </c>
      <c r="B2417" s="3">
        <v>176929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20</v>
      </c>
      <c r="L2417" s="4">
        <v>41</v>
      </c>
      <c r="M2417" s="4">
        <v>40</v>
      </c>
      <c r="N2417" s="4">
        <v>45</v>
      </c>
    </row>
    <row r="2418" spans="1:14">
      <c r="A2418" s="3">
        <v>817271</v>
      </c>
      <c r="B2418" s="3">
        <v>170204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87</v>
      </c>
      <c r="L2418" s="4">
        <v>67</v>
      </c>
      <c r="M2418" s="4">
        <v>0</v>
      </c>
      <c r="N2418" s="4">
        <v>10</v>
      </c>
    </row>
    <row r="2419" spans="1:14">
      <c r="A2419" s="3">
        <v>817272</v>
      </c>
      <c r="B2419" s="3">
        <v>202870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68</v>
      </c>
      <c r="L2419" s="4">
        <v>96</v>
      </c>
      <c r="M2419" s="4">
        <v>40</v>
      </c>
      <c r="N2419" s="4">
        <v>52</v>
      </c>
    </row>
    <row r="2420" spans="1:14">
      <c r="A2420" s="3">
        <v>817273</v>
      </c>
      <c r="B2420" s="3">
        <v>204034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15</v>
      </c>
      <c r="L2420" s="4">
        <v>15</v>
      </c>
      <c r="M2420" s="4">
        <v>28</v>
      </c>
      <c r="N2420" s="4">
        <v>62</v>
      </c>
    </row>
    <row r="2421" spans="1:14">
      <c r="A2421" s="3">
        <v>817275</v>
      </c>
      <c r="B2421" s="3">
        <v>172640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200</v>
      </c>
      <c r="L2421" s="4">
        <v>151</v>
      </c>
      <c r="M2421" s="4">
        <v>176.75</v>
      </c>
      <c r="N2421" s="4">
        <v>119.5</v>
      </c>
    </row>
    <row r="2422" spans="1:14">
      <c r="A2422" s="3">
        <v>817276</v>
      </c>
      <c r="B2422" s="3">
        <v>149991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40</v>
      </c>
      <c r="L2422" s="4">
        <v>22.5</v>
      </c>
      <c r="M2422" s="4">
        <v>18.75</v>
      </c>
      <c r="N2422" s="4">
        <v>10</v>
      </c>
    </row>
    <row r="2423" spans="1:14">
      <c r="A2423" s="3">
        <v>817276</v>
      </c>
      <c r="B2423" s="3">
        <v>177956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14</v>
      </c>
      <c r="L2423" s="4">
        <v>0</v>
      </c>
      <c r="M2423" s="4">
        <v>0</v>
      </c>
      <c r="N2423" s="4">
        <v>0</v>
      </c>
    </row>
    <row r="2424" spans="1:14">
      <c r="A2424" s="3">
        <v>817277</v>
      </c>
      <c r="B2424" s="3">
        <v>174756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27</v>
      </c>
      <c r="L2424" s="4">
        <v>25</v>
      </c>
      <c r="M2424" s="4">
        <v>17.5</v>
      </c>
      <c r="N2424" s="4">
        <v>22</v>
      </c>
    </row>
    <row r="2425" spans="1:14">
      <c r="A2425" s="3">
        <v>817283</v>
      </c>
      <c r="B2425" s="3">
        <v>203352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53.800000000000004</v>
      </c>
      <c r="M2425" s="4">
        <v>152.5</v>
      </c>
      <c r="N2425" s="4">
        <v>194.5</v>
      </c>
    </row>
    <row r="2426" spans="1:14">
      <c r="A2426" s="3">
        <v>817302</v>
      </c>
      <c r="B2426" s="3">
        <v>121706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30</v>
      </c>
      <c r="L2426" s="4">
        <v>10</v>
      </c>
      <c r="M2426" s="4">
        <v>15</v>
      </c>
      <c r="N2426" s="4">
        <v>0</v>
      </c>
    </row>
    <row r="2427" spans="1:14">
      <c r="A2427" s="3">
        <v>817308</v>
      </c>
      <c r="B2427" s="3">
        <v>209586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40</v>
      </c>
      <c r="L2427" s="4">
        <v>0</v>
      </c>
      <c r="M2427" s="4">
        <v>3.5</v>
      </c>
      <c r="N2427" s="4">
        <v>0</v>
      </c>
    </row>
    <row r="2428" spans="1:14">
      <c r="A2428" s="3">
        <v>817319</v>
      </c>
      <c r="B2428" s="3">
        <v>170617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20</v>
      </c>
      <c r="L2428" s="4">
        <v>45</v>
      </c>
      <c r="M2428" s="4">
        <v>61.5</v>
      </c>
      <c r="N2428" s="4">
        <v>0</v>
      </c>
    </row>
    <row r="2429" spans="1:14">
      <c r="A2429" s="3">
        <v>817320</v>
      </c>
      <c r="B2429" s="3">
        <v>178105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40.5</v>
      </c>
      <c r="L2429" s="4">
        <v>56</v>
      </c>
      <c r="M2429" s="4">
        <v>87.5</v>
      </c>
      <c r="N2429" s="4">
        <v>96</v>
      </c>
    </row>
    <row r="2430" spans="1:14">
      <c r="A2430" s="3">
        <v>817322</v>
      </c>
      <c r="B2430" s="3">
        <v>149885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75.45</v>
      </c>
      <c r="L2430" s="4">
        <v>52</v>
      </c>
      <c r="M2430" s="4">
        <v>27</v>
      </c>
      <c r="N2430" s="4">
        <v>37</v>
      </c>
    </row>
    <row r="2431" spans="1:14">
      <c r="A2431" s="3">
        <v>817329</v>
      </c>
      <c r="B2431" s="3">
        <v>207713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8</v>
      </c>
      <c r="L2431" s="4">
        <v>7.5</v>
      </c>
      <c r="M2431" s="4">
        <v>25</v>
      </c>
      <c r="N2431" s="4">
        <v>25</v>
      </c>
    </row>
    <row r="2432" spans="1:14">
      <c r="A2432" s="3">
        <v>817337</v>
      </c>
      <c r="B2432" s="3">
        <v>177379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30</v>
      </c>
      <c r="L2432" s="4">
        <v>50</v>
      </c>
      <c r="M2432" s="4">
        <v>35</v>
      </c>
      <c r="N2432" s="4">
        <v>65</v>
      </c>
    </row>
    <row r="2433" spans="1:14">
      <c r="A2433" s="3">
        <v>817342</v>
      </c>
      <c r="B2433" s="3">
        <v>179396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11.25</v>
      </c>
      <c r="L2433" s="4">
        <v>8</v>
      </c>
      <c r="M2433" s="4">
        <v>0</v>
      </c>
      <c r="N2433" s="4">
        <v>30</v>
      </c>
    </row>
    <row r="2434" spans="1:14">
      <c r="A2434" s="3">
        <v>817343</v>
      </c>
      <c r="B2434" s="3">
        <v>149825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15</v>
      </c>
      <c r="L2434" s="4">
        <v>0</v>
      </c>
      <c r="M2434" s="4">
        <v>0</v>
      </c>
      <c r="N2434" s="4">
        <v>0</v>
      </c>
    </row>
    <row r="2435" spans="1:14">
      <c r="A2435" s="3">
        <v>817349</v>
      </c>
      <c r="B2435" s="3">
        <v>205742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10</v>
      </c>
      <c r="M2435" s="4">
        <v>0</v>
      </c>
      <c r="N2435" s="4">
        <v>15</v>
      </c>
    </row>
    <row r="2436" spans="1:14">
      <c r="A2436" s="3">
        <v>817350</v>
      </c>
      <c r="B2436" s="3">
        <v>174034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32.5</v>
      </c>
      <c r="N2436" s="4">
        <v>35</v>
      </c>
    </row>
    <row r="2437" spans="1:14">
      <c r="A2437" s="3">
        <v>817352</v>
      </c>
      <c r="B2437" s="3">
        <v>171479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52.5</v>
      </c>
      <c r="L2437" s="4">
        <v>60</v>
      </c>
      <c r="M2437" s="4">
        <v>54</v>
      </c>
      <c r="N2437" s="4">
        <v>70</v>
      </c>
    </row>
    <row r="2438" spans="1:14">
      <c r="A2438" s="3">
        <v>817364</v>
      </c>
      <c r="B2438" s="3">
        <v>148934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28.5</v>
      </c>
      <c r="L2438" s="4">
        <v>89</v>
      </c>
      <c r="M2438" s="4">
        <v>109.5</v>
      </c>
      <c r="N2438" s="4">
        <v>145.30000000000001</v>
      </c>
    </row>
    <row r="2439" spans="1:14">
      <c r="A2439" s="3">
        <v>817365</v>
      </c>
      <c r="B2439" s="3">
        <v>148934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28.5</v>
      </c>
      <c r="L2439" s="4">
        <v>86</v>
      </c>
      <c r="M2439" s="4">
        <v>127.5</v>
      </c>
      <c r="N2439" s="4">
        <v>115</v>
      </c>
    </row>
    <row r="2440" spans="1:14">
      <c r="A2440" s="3">
        <v>817366</v>
      </c>
      <c r="B2440" s="3">
        <v>210355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15</v>
      </c>
      <c r="L2440" s="4">
        <v>114</v>
      </c>
      <c r="M2440" s="4">
        <v>0</v>
      </c>
      <c r="N2440" s="4">
        <v>20</v>
      </c>
    </row>
    <row r="2441" spans="1:14">
      <c r="A2441" s="3">
        <v>817368</v>
      </c>
      <c r="B2441" s="3">
        <v>143608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25</v>
      </c>
      <c r="L2441" s="4">
        <v>53</v>
      </c>
      <c r="M2441" s="4">
        <v>41</v>
      </c>
      <c r="N2441" s="4">
        <v>3</v>
      </c>
    </row>
    <row r="2442" spans="1:14">
      <c r="A2442" s="3">
        <v>817372</v>
      </c>
      <c r="B2442" s="3">
        <v>173224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100</v>
      </c>
      <c r="L2442" s="4">
        <v>30</v>
      </c>
      <c r="M2442" s="4">
        <v>131</v>
      </c>
      <c r="N2442" s="4">
        <v>140</v>
      </c>
    </row>
    <row r="2443" spans="1:14">
      <c r="A2443" s="3">
        <v>817377</v>
      </c>
      <c r="B2443" s="3">
        <v>178105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39.5</v>
      </c>
      <c r="L2443" s="4">
        <v>66</v>
      </c>
      <c r="M2443" s="4">
        <v>23</v>
      </c>
      <c r="N2443" s="4">
        <v>48.5</v>
      </c>
    </row>
    <row r="2444" spans="1:14">
      <c r="A2444" s="3">
        <v>817382</v>
      </c>
      <c r="B2444" s="3">
        <v>119065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32.5</v>
      </c>
      <c r="M2444" s="4">
        <v>27.5</v>
      </c>
      <c r="N2444" s="4">
        <v>37.5</v>
      </c>
    </row>
    <row r="2445" spans="1:14">
      <c r="A2445" s="3">
        <v>817384</v>
      </c>
      <c r="B2445" s="3">
        <v>204622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42.5</v>
      </c>
      <c r="L2445" s="4">
        <v>36</v>
      </c>
      <c r="M2445" s="4">
        <v>54.75</v>
      </c>
      <c r="N2445" s="4">
        <v>51</v>
      </c>
    </row>
    <row r="2446" spans="1:14">
      <c r="A2446" s="3">
        <v>817386</v>
      </c>
      <c r="B2446" s="3">
        <v>179911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15</v>
      </c>
      <c r="L2446" s="4">
        <v>10</v>
      </c>
      <c r="M2446" s="4">
        <v>0</v>
      </c>
      <c r="N2446" s="4">
        <v>20</v>
      </c>
    </row>
    <row r="2447" spans="1:14">
      <c r="A2447" s="3">
        <v>817403</v>
      </c>
      <c r="B2447" s="3">
        <v>176869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100.5</v>
      </c>
      <c r="L2447" s="4">
        <v>129</v>
      </c>
      <c r="M2447" s="4">
        <v>125</v>
      </c>
      <c r="N2447" s="4">
        <v>175</v>
      </c>
    </row>
    <row r="2448" spans="1:14">
      <c r="A2448" s="3">
        <v>817403</v>
      </c>
      <c r="B2448" s="3">
        <v>177787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7.5</v>
      </c>
      <c r="N2448" s="4">
        <v>0</v>
      </c>
    </row>
    <row r="2449" spans="1:14">
      <c r="A2449" s="3">
        <v>817404</v>
      </c>
      <c r="B2449" s="3">
        <v>178234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101.5</v>
      </c>
      <c r="L2449" s="4">
        <v>171.6</v>
      </c>
      <c r="M2449" s="4">
        <v>81.55</v>
      </c>
      <c r="N2449" s="4">
        <v>111</v>
      </c>
    </row>
    <row r="2450" spans="1:14">
      <c r="A2450" s="3">
        <v>817411</v>
      </c>
      <c r="B2450" s="3">
        <v>177295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40</v>
      </c>
      <c r="L2450" s="4">
        <v>75</v>
      </c>
      <c r="M2450" s="4">
        <v>10</v>
      </c>
      <c r="N2450" s="4">
        <v>44</v>
      </c>
    </row>
    <row r="2451" spans="1:14">
      <c r="A2451" s="3">
        <v>817412</v>
      </c>
      <c r="B2451" s="3">
        <v>176833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125</v>
      </c>
      <c r="L2451" s="4">
        <v>95</v>
      </c>
      <c r="M2451" s="4">
        <v>40</v>
      </c>
      <c r="N2451" s="4">
        <v>20</v>
      </c>
    </row>
    <row r="2452" spans="1:14">
      <c r="A2452" s="3">
        <v>817413</v>
      </c>
      <c r="B2452" s="3">
        <v>177295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35</v>
      </c>
      <c r="L2452" s="4">
        <v>75</v>
      </c>
      <c r="M2452" s="4">
        <v>20</v>
      </c>
      <c r="N2452" s="4">
        <v>40</v>
      </c>
    </row>
    <row r="2453" spans="1:14">
      <c r="A2453" s="3">
        <v>817417</v>
      </c>
      <c r="B2453" s="3">
        <v>119261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20</v>
      </c>
      <c r="L2453" s="4">
        <v>20.5</v>
      </c>
      <c r="M2453" s="4">
        <v>0</v>
      </c>
      <c r="N2453" s="4">
        <v>0</v>
      </c>
    </row>
    <row r="2454" spans="1:14">
      <c r="A2454" s="3">
        <v>817426</v>
      </c>
      <c r="B2454" s="3">
        <v>177426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11</v>
      </c>
      <c r="L2454" s="4">
        <v>0</v>
      </c>
      <c r="M2454" s="4">
        <v>10</v>
      </c>
      <c r="N2454" s="4">
        <v>38</v>
      </c>
    </row>
    <row r="2455" spans="1:14">
      <c r="A2455" s="3">
        <v>817427</v>
      </c>
      <c r="B2455" s="3">
        <v>210452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43</v>
      </c>
      <c r="M2455" s="4">
        <v>59</v>
      </c>
      <c r="N2455" s="4">
        <v>68.849999999999994</v>
      </c>
    </row>
    <row r="2456" spans="1:14">
      <c r="A2456" s="3">
        <v>817454</v>
      </c>
      <c r="B2456" s="3">
        <v>178268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51</v>
      </c>
      <c r="M2456" s="4">
        <v>64</v>
      </c>
      <c r="N2456" s="4">
        <v>126</v>
      </c>
    </row>
    <row r="2457" spans="1:14">
      <c r="A2457" s="3">
        <v>817459</v>
      </c>
      <c r="B2457" s="3">
        <v>143607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10</v>
      </c>
      <c r="M2457" s="4">
        <v>31</v>
      </c>
      <c r="N2457" s="4">
        <v>27</v>
      </c>
    </row>
    <row r="2458" spans="1:14">
      <c r="A2458" s="3">
        <v>817461</v>
      </c>
      <c r="B2458" s="3">
        <v>177301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25</v>
      </c>
      <c r="M2458" s="4">
        <v>35</v>
      </c>
      <c r="N2458" s="4">
        <v>48.5</v>
      </c>
    </row>
    <row r="2459" spans="1:14">
      <c r="A2459" s="3">
        <v>817480</v>
      </c>
      <c r="B2459" s="3">
        <v>119038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30</v>
      </c>
      <c r="L2459" s="4">
        <v>55</v>
      </c>
      <c r="M2459" s="4">
        <v>40</v>
      </c>
      <c r="N2459" s="4">
        <v>0</v>
      </c>
    </row>
    <row r="2460" spans="1:14">
      <c r="A2460" s="3">
        <v>817482</v>
      </c>
      <c r="B2460" s="3">
        <v>119029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25</v>
      </c>
      <c r="N2460" s="4">
        <v>9</v>
      </c>
    </row>
    <row r="2461" spans="1:14">
      <c r="A2461" s="3">
        <v>817489</v>
      </c>
      <c r="B2461" s="3">
        <v>170775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10</v>
      </c>
      <c r="L2461" s="4">
        <v>40</v>
      </c>
      <c r="M2461" s="4">
        <v>10</v>
      </c>
      <c r="N2461" s="4">
        <v>65</v>
      </c>
    </row>
    <row r="2462" spans="1:14">
      <c r="A2462" s="3">
        <v>817513</v>
      </c>
      <c r="B2462" s="3">
        <v>205004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18</v>
      </c>
      <c r="L2462" s="4">
        <v>43.5</v>
      </c>
      <c r="M2462" s="4">
        <v>23.5</v>
      </c>
      <c r="N2462" s="4">
        <v>69</v>
      </c>
    </row>
    <row r="2463" spans="1:14">
      <c r="A2463" s="3">
        <v>817514</v>
      </c>
      <c r="B2463" s="3">
        <v>119261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82</v>
      </c>
      <c r="M2463" s="4">
        <v>100</v>
      </c>
      <c r="N2463" s="4">
        <v>50</v>
      </c>
    </row>
    <row r="2464" spans="1:14">
      <c r="A2464" s="3">
        <v>817515</v>
      </c>
      <c r="B2464" s="3">
        <v>204030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26</v>
      </c>
      <c r="L2464" s="4">
        <v>0</v>
      </c>
      <c r="M2464" s="4">
        <v>52</v>
      </c>
      <c r="N2464" s="4">
        <v>65.5</v>
      </c>
    </row>
    <row r="2465" spans="1:14">
      <c r="A2465" s="3">
        <v>817542</v>
      </c>
      <c r="B2465" s="3">
        <v>171578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70</v>
      </c>
      <c r="M2465" s="4">
        <v>67.400000000000006</v>
      </c>
      <c r="N2465" s="4">
        <v>270.75</v>
      </c>
    </row>
    <row r="2466" spans="1:14">
      <c r="A2466" s="3">
        <v>817543</v>
      </c>
      <c r="B2466" s="3">
        <v>210123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152.5</v>
      </c>
      <c r="M2466" s="4">
        <v>50</v>
      </c>
      <c r="N2466" s="4">
        <v>172</v>
      </c>
    </row>
    <row r="2467" spans="1:14">
      <c r="A2467" s="3">
        <v>817546</v>
      </c>
      <c r="B2467" s="3">
        <v>141512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55</v>
      </c>
      <c r="L2467" s="4">
        <v>59.75</v>
      </c>
      <c r="M2467" s="4">
        <v>56.5</v>
      </c>
      <c r="N2467" s="4">
        <v>61</v>
      </c>
    </row>
    <row r="2468" spans="1:14">
      <c r="A2468" s="3">
        <v>817549</v>
      </c>
      <c r="B2468" s="3">
        <v>179486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30</v>
      </c>
      <c r="M2468" s="4">
        <v>10</v>
      </c>
      <c r="N2468" s="4">
        <v>47</v>
      </c>
    </row>
    <row r="2469" spans="1:14">
      <c r="A2469" s="3">
        <v>817585</v>
      </c>
      <c r="B2469" s="3">
        <v>202204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90</v>
      </c>
      <c r="M2469" s="4">
        <v>35</v>
      </c>
      <c r="N2469" s="4">
        <v>35</v>
      </c>
    </row>
    <row r="2470" spans="1:14">
      <c r="A2470" s="3">
        <v>817586</v>
      </c>
      <c r="B2470" s="3">
        <v>119066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101</v>
      </c>
      <c r="M2470" s="4">
        <v>80</v>
      </c>
      <c r="N2470" s="4">
        <v>102.5</v>
      </c>
    </row>
    <row r="2471" spans="1:14">
      <c r="A2471" s="3">
        <v>817587</v>
      </c>
      <c r="B2471" s="3">
        <v>208183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41.5</v>
      </c>
      <c r="M2471" s="4">
        <v>10</v>
      </c>
      <c r="N2471" s="4">
        <v>44.25</v>
      </c>
    </row>
    <row r="2472" spans="1:14">
      <c r="A2472" s="3">
        <v>817588</v>
      </c>
      <c r="B2472" s="3">
        <v>172338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66</v>
      </c>
      <c r="M2472" s="4">
        <v>25</v>
      </c>
      <c r="N2472" s="4">
        <v>12.5</v>
      </c>
    </row>
    <row r="2473" spans="1:14">
      <c r="A2473" s="3">
        <v>817589</v>
      </c>
      <c r="B2473" s="3">
        <v>172338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25</v>
      </c>
      <c r="M2473" s="4">
        <v>0</v>
      </c>
      <c r="N2473" s="4">
        <v>0</v>
      </c>
    </row>
    <row r="2474" spans="1:14">
      <c r="A2474" s="3">
        <v>817591</v>
      </c>
      <c r="B2474" s="3">
        <v>119261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50</v>
      </c>
      <c r="M2474" s="4">
        <v>149</v>
      </c>
      <c r="N2474" s="4">
        <v>0</v>
      </c>
    </row>
    <row r="2475" spans="1:14">
      <c r="A2475" s="3">
        <v>817595</v>
      </c>
      <c r="B2475" s="3">
        <v>142269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180</v>
      </c>
      <c r="M2475" s="4">
        <v>50</v>
      </c>
      <c r="N2475" s="4">
        <v>70</v>
      </c>
    </row>
    <row r="2476" spans="1:14">
      <c r="A2476" s="3">
        <v>817598</v>
      </c>
      <c r="B2476" s="3">
        <v>171839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113.5</v>
      </c>
      <c r="M2476" s="4">
        <v>100</v>
      </c>
      <c r="N2476" s="4">
        <v>45</v>
      </c>
    </row>
    <row r="2477" spans="1:14">
      <c r="A2477" s="3">
        <v>817609</v>
      </c>
      <c r="B2477" s="3">
        <v>210132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88</v>
      </c>
      <c r="M2477" s="4">
        <v>135.75</v>
      </c>
      <c r="N2477" s="4">
        <v>177</v>
      </c>
    </row>
    <row r="2478" spans="1:14">
      <c r="A2478" s="3">
        <v>817610</v>
      </c>
      <c r="B2478" s="3">
        <v>148557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28</v>
      </c>
      <c r="M2478" s="4">
        <v>55</v>
      </c>
      <c r="N2478" s="4">
        <v>50</v>
      </c>
    </row>
    <row r="2479" spans="1:14">
      <c r="A2479" s="3">
        <v>817611</v>
      </c>
      <c r="B2479" s="3">
        <v>119071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52.5</v>
      </c>
      <c r="M2479" s="4">
        <v>10</v>
      </c>
      <c r="N2479" s="4">
        <v>20</v>
      </c>
    </row>
    <row r="2480" spans="1:14">
      <c r="A2480" s="3">
        <v>817614</v>
      </c>
      <c r="B2480" s="3">
        <v>206367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10</v>
      </c>
      <c r="M2480" s="4">
        <v>30</v>
      </c>
      <c r="N2480" s="4">
        <v>10</v>
      </c>
    </row>
    <row r="2481" spans="1:14">
      <c r="A2481" s="3">
        <v>817628</v>
      </c>
      <c r="B2481" s="3">
        <v>207857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20</v>
      </c>
      <c r="M2481" s="4">
        <v>10</v>
      </c>
      <c r="N2481" s="4">
        <v>0</v>
      </c>
    </row>
    <row r="2482" spans="1:14">
      <c r="A2482" s="3">
        <v>817644</v>
      </c>
      <c r="B2482" s="3">
        <v>172942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60</v>
      </c>
      <c r="M2482" s="4">
        <v>55</v>
      </c>
      <c r="N2482" s="4">
        <v>40</v>
      </c>
    </row>
    <row r="2483" spans="1:14">
      <c r="A2483" s="3">
        <v>817646</v>
      </c>
      <c r="B2483" s="3">
        <v>175856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25</v>
      </c>
      <c r="N2483" s="4">
        <v>15</v>
      </c>
    </row>
    <row r="2484" spans="1:14">
      <c r="A2484" s="3">
        <v>817647</v>
      </c>
      <c r="B2484" s="3">
        <v>170204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10</v>
      </c>
      <c r="M2484" s="4">
        <v>10</v>
      </c>
      <c r="N2484" s="4">
        <v>12.5</v>
      </c>
    </row>
    <row r="2485" spans="1:14">
      <c r="A2485" s="3">
        <v>817650</v>
      </c>
      <c r="B2485" s="3">
        <v>171839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136.5</v>
      </c>
      <c r="M2485" s="4">
        <v>55</v>
      </c>
      <c r="N2485" s="4">
        <v>24</v>
      </c>
    </row>
    <row r="2486" spans="1:14">
      <c r="A2486" s="3">
        <v>817659</v>
      </c>
      <c r="B2486" s="3">
        <v>140984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55</v>
      </c>
      <c r="M2486" s="4">
        <v>104.5</v>
      </c>
      <c r="N2486" s="4">
        <v>75</v>
      </c>
    </row>
    <row r="2487" spans="1:14">
      <c r="A2487" s="3">
        <v>817665</v>
      </c>
      <c r="B2487" s="3">
        <v>208874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45</v>
      </c>
      <c r="M2487" s="4">
        <v>20</v>
      </c>
      <c r="N2487" s="4">
        <v>52</v>
      </c>
    </row>
    <row r="2488" spans="1:14">
      <c r="A2488" s="3">
        <v>817666</v>
      </c>
      <c r="B2488" s="3">
        <v>170197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49.5</v>
      </c>
      <c r="M2488" s="4">
        <v>35</v>
      </c>
      <c r="N2488" s="4">
        <v>195</v>
      </c>
    </row>
    <row r="2489" spans="1:14">
      <c r="A2489" s="3">
        <v>817668</v>
      </c>
      <c r="B2489" s="3">
        <v>174166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10.8</v>
      </c>
      <c r="M2489" s="4">
        <v>40</v>
      </c>
      <c r="N2489" s="4">
        <v>5</v>
      </c>
    </row>
    <row r="2490" spans="1:14">
      <c r="A2490" s="3">
        <v>817677</v>
      </c>
      <c r="B2490" s="3">
        <v>142843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27</v>
      </c>
      <c r="M2490" s="4">
        <v>15</v>
      </c>
      <c r="N2490" s="4">
        <v>47</v>
      </c>
    </row>
    <row r="2491" spans="1:14">
      <c r="A2491" s="3">
        <v>817679</v>
      </c>
      <c r="B2491" s="3">
        <v>170617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30</v>
      </c>
      <c r="M2491" s="4">
        <v>15</v>
      </c>
      <c r="N2491" s="4">
        <v>274</v>
      </c>
    </row>
    <row r="2492" spans="1:14">
      <c r="A2492" s="3">
        <v>817684</v>
      </c>
      <c r="B2492" s="3">
        <v>209796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30</v>
      </c>
      <c r="M2492" s="4">
        <v>30</v>
      </c>
      <c r="N2492" s="4">
        <v>40</v>
      </c>
    </row>
    <row r="2493" spans="1:14">
      <c r="A2493" s="3">
        <v>817709</v>
      </c>
      <c r="B2493" s="3">
        <v>208032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56</v>
      </c>
      <c r="M2493" s="4">
        <v>78</v>
      </c>
      <c r="N2493" s="4">
        <v>146.5</v>
      </c>
    </row>
    <row r="2494" spans="1:14">
      <c r="A2494" s="3">
        <v>817715</v>
      </c>
      <c r="B2494" s="3">
        <v>142241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101</v>
      </c>
      <c r="M2494" s="4">
        <v>0</v>
      </c>
      <c r="N2494" s="4">
        <v>298.5</v>
      </c>
    </row>
    <row r="2495" spans="1:14">
      <c r="A2495" s="3">
        <v>817730</v>
      </c>
      <c r="B2495" s="3">
        <v>207379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40</v>
      </c>
      <c r="M2495" s="4">
        <v>70</v>
      </c>
      <c r="N2495" s="4">
        <v>188.5</v>
      </c>
    </row>
    <row r="2496" spans="1:14">
      <c r="A2496" s="3">
        <v>817732</v>
      </c>
      <c r="B2496" s="3">
        <v>208628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20</v>
      </c>
      <c r="M2496" s="4">
        <v>45</v>
      </c>
      <c r="N2496" s="4">
        <v>115</v>
      </c>
    </row>
    <row r="2497" spans="1:14">
      <c r="A2497" s="3">
        <v>817735</v>
      </c>
      <c r="B2497" s="3">
        <v>173224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19</v>
      </c>
      <c r="M2497" s="4">
        <v>10</v>
      </c>
      <c r="N2497" s="4">
        <v>30</v>
      </c>
    </row>
    <row r="2498" spans="1:14">
      <c r="A2498" s="3">
        <v>817739</v>
      </c>
      <c r="B2498" s="3">
        <v>209796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105</v>
      </c>
      <c r="M2498" s="4">
        <v>270</v>
      </c>
      <c r="N2498" s="4">
        <v>363</v>
      </c>
    </row>
    <row r="2499" spans="1:14">
      <c r="A2499" s="3">
        <v>817740</v>
      </c>
      <c r="B2499" s="3">
        <v>204034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10</v>
      </c>
      <c r="N2499" s="4">
        <v>30</v>
      </c>
    </row>
    <row r="2500" spans="1:14">
      <c r="A2500" s="3">
        <v>817742</v>
      </c>
      <c r="B2500" s="3">
        <v>125022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8</v>
      </c>
      <c r="M2500" s="4">
        <v>112.5</v>
      </c>
      <c r="N2500" s="4">
        <v>147.75</v>
      </c>
    </row>
    <row r="2501" spans="1:14">
      <c r="A2501" s="3">
        <v>817743</v>
      </c>
      <c r="B2501" s="3">
        <v>177092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70</v>
      </c>
      <c r="N2501" s="4">
        <v>127.5</v>
      </c>
    </row>
    <row r="2502" spans="1:14">
      <c r="A2502" s="3">
        <v>817744</v>
      </c>
      <c r="B2502" s="3">
        <v>144747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38</v>
      </c>
      <c r="N2502" s="4">
        <v>57.5</v>
      </c>
    </row>
    <row r="2503" spans="1:14">
      <c r="A2503" s="3">
        <v>817746</v>
      </c>
      <c r="B2503" s="3">
        <v>210163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38</v>
      </c>
      <c r="N2503" s="4">
        <v>10</v>
      </c>
    </row>
    <row r="2504" spans="1:14">
      <c r="A2504" s="3">
        <v>817757</v>
      </c>
      <c r="B2504" s="3">
        <v>171834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77.150000000000006</v>
      </c>
      <c r="M2504" s="4">
        <v>88</v>
      </c>
      <c r="N2504" s="4">
        <v>110</v>
      </c>
    </row>
    <row r="2505" spans="1:14">
      <c r="A2505" s="3">
        <v>817763</v>
      </c>
      <c r="B2505" s="3">
        <v>203520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35</v>
      </c>
      <c r="M2505" s="4">
        <v>0</v>
      </c>
      <c r="N2505" s="4">
        <v>0</v>
      </c>
    </row>
    <row r="2506" spans="1:14">
      <c r="A2506" s="3">
        <v>817774</v>
      </c>
      <c r="B2506" s="3">
        <v>170200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35</v>
      </c>
      <c r="M2506" s="4">
        <v>70</v>
      </c>
      <c r="N2506" s="4">
        <v>0</v>
      </c>
    </row>
    <row r="2507" spans="1:14">
      <c r="A2507" s="3">
        <v>817775</v>
      </c>
      <c r="B2507" s="3">
        <v>179486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48.9</v>
      </c>
      <c r="N2507" s="4">
        <v>67.5</v>
      </c>
    </row>
    <row r="2508" spans="1:14">
      <c r="A2508" s="3">
        <v>817787</v>
      </c>
      <c r="B2508" s="3">
        <v>205004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20</v>
      </c>
      <c r="M2508" s="4">
        <v>64</v>
      </c>
      <c r="N2508" s="4">
        <v>72</v>
      </c>
    </row>
    <row r="2509" spans="1:14">
      <c r="A2509" s="3">
        <v>817788</v>
      </c>
      <c r="B2509" s="3">
        <v>205969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30</v>
      </c>
      <c r="N2509" s="4">
        <v>27.5</v>
      </c>
    </row>
    <row r="2510" spans="1:14">
      <c r="A2510" s="3">
        <v>817789</v>
      </c>
      <c r="B2510" s="3">
        <v>179894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40</v>
      </c>
      <c r="N2510" s="4">
        <v>0</v>
      </c>
    </row>
    <row r="2511" spans="1:14">
      <c r="A2511" s="3">
        <v>817791</v>
      </c>
      <c r="B2511" s="3">
        <v>208183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21</v>
      </c>
      <c r="M2511" s="4">
        <v>21.5</v>
      </c>
      <c r="N2511" s="4">
        <v>21</v>
      </c>
    </row>
    <row r="2512" spans="1:14">
      <c r="A2512" s="3">
        <v>817792</v>
      </c>
      <c r="B2512" s="3">
        <v>178661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40</v>
      </c>
      <c r="M2512" s="4">
        <v>35</v>
      </c>
      <c r="N2512" s="4">
        <v>51.5</v>
      </c>
    </row>
    <row r="2513" spans="1:14">
      <c r="A2513" s="3">
        <v>817794</v>
      </c>
      <c r="B2513" s="3">
        <v>207782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35</v>
      </c>
      <c r="N2513" s="4">
        <v>45</v>
      </c>
    </row>
    <row r="2514" spans="1:14">
      <c r="A2514" s="3">
        <v>817795</v>
      </c>
      <c r="B2514" s="3">
        <v>209652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20</v>
      </c>
      <c r="M2514" s="4">
        <v>56</v>
      </c>
      <c r="N2514" s="4">
        <v>104</v>
      </c>
    </row>
    <row r="2515" spans="1:14">
      <c r="A2515" s="3">
        <v>817796</v>
      </c>
      <c r="B2515" s="3">
        <v>176833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39</v>
      </c>
      <c r="M2515" s="4">
        <v>0</v>
      </c>
      <c r="N2515" s="4">
        <v>80</v>
      </c>
    </row>
    <row r="2516" spans="1:14">
      <c r="A2516" s="3">
        <v>817797</v>
      </c>
      <c r="B2516" s="3">
        <v>209652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20</v>
      </c>
      <c r="M2516" s="4">
        <v>65</v>
      </c>
      <c r="N2516" s="4">
        <v>82</v>
      </c>
    </row>
    <row r="2517" spans="1:14">
      <c r="A2517" s="3">
        <v>817799</v>
      </c>
      <c r="B2517" s="3">
        <v>202850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65</v>
      </c>
      <c r="M2517" s="4">
        <v>120</v>
      </c>
      <c r="N2517" s="4">
        <v>45</v>
      </c>
    </row>
    <row r="2518" spans="1:14">
      <c r="A2518" s="3">
        <v>817809</v>
      </c>
      <c r="B2518" s="3">
        <v>141115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102.5</v>
      </c>
      <c r="M2518" s="4">
        <v>151</v>
      </c>
      <c r="N2518" s="4">
        <v>151.5</v>
      </c>
    </row>
    <row r="2519" spans="1:14">
      <c r="A2519" s="3">
        <v>817811</v>
      </c>
      <c r="B2519" s="3">
        <v>210566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17.5</v>
      </c>
      <c r="M2519" s="4">
        <v>32.5</v>
      </c>
      <c r="N2519" s="4">
        <v>27.5</v>
      </c>
    </row>
    <row r="2520" spans="1:14">
      <c r="A2520" s="3">
        <v>817812</v>
      </c>
      <c r="B2520" s="3">
        <v>209652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65</v>
      </c>
      <c r="M2520" s="4">
        <v>113</v>
      </c>
      <c r="N2520" s="4">
        <v>112</v>
      </c>
    </row>
    <row r="2521" spans="1:14">
      <c r="A2521" s="3">
        <v>817813</v>
      </c>
      <c r="B2521" s="3">
        <v>175547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71</v>
      </c>
      <c r="M2521" s="4">
        <v>85</v>
      </c>
      <c r="N2521" s="4">
        <v>90</v>
      </c>
    </row>
    <row r="2522" spans="1:14">
      <c r="A2522" s="3">
        <v>817814</v>
      </c>
      <c r="B2522" s="3">
        <v>140860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10</v>
      </c>
      <c r="N2522" s="4">
        <v>0</v>
      </c>
    </row>
    <row r="2523" spans="1:14">
      <c r="A2523" s="3">
        <v>817819</v>
      </c>
      <c r="B2523" s="3">
        <v>147640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5</v>
      </c>
      <c r="M2523" s="4">
        <v>135</v>
      </c>
      <c r="N2523" s="4">
        <v>136</v>
      </c>
    </row>
    <row r="2524" spans="1:14">
      <c r="A2524" s="3">
        <v>817820</v>
      </c>
      <c r="B2524" s="3">
        <v>210566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15</v>
      </c>
      <c r="M2524" s="4">
        <v>27.5</v>
      </c>
      <c r="N2524" s="4">
        <v>20</v>
      </c>
    </row>
    <row r="2525" spans="1:14">
      <c r="A2525" s="3">
        <v>817831</v>
      </c>
      <c r="B2525" s="3">
        <v>208776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20</v>
      </c>
      <c r="M2525" s="4">
        <v>102.5</v>
      </c>
      <c r="N2525" s="4">
        <v>30</v>
      </c>
    </row>
    <row r="2526" spans="1:14">
      <c r="A2526" s="3">
        <v>817833</v>
      </c>
      <c r="B2526" s="3">
        <v>171578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20</v>
      </c>
      <c r="M2526" s="4">
        <v>20</v>
      </c>
      <c r="N2526" s="4">
        <v>10</v>
      </c>
    </row>
    <row r="2527" spans="1:14">
      <c r="A2527" s="3">
        <v>817834</v>
      </c>
      <c r="B2527" s="3">
        <v>149885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55</v>
      </c>
      <c r="M2527" s="4">
        <v>62.5</v>
      </c>
      <c r="N2527" s="4">
        <v>112</v>
      </c>
    </row>
    <row r="2528" spans="1:14">
      <c r="A2528" s="3">
        <v>817835</v>
      </c>
      <c r="B2528" s="3">
        <v>119023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106</v>
      </c>
      <c r="N2528" s="4">
        <v>112</v>
      </c>
    </row>
    <row r="2529" spans="1:14">
      <c r="A2529" s="3">
        <v>817838</v>
      </c>
      <c r="B2529" s="3">
        <v>149885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50</v>
      </c>
      <c r="M2529" s="4">
        <v>27.5</v>
      </c>
      <c r="N2529" s="4">
        <v>22.5</v>
      </c>
    </row>
    <row r="2530" spans="1:14">
      <c r="A2530" s="3">
        <v>817839</v>
      </c>
      <c r="B2530" s="3">
        <v>174271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30</v>
      </c>
      <c r="M2530" s="4">
        <v>115</v>
      </c>
      <c r="N2530" s="4">
        <v>90</v>
      </c>
    </row>
    <row r="2531" spans="1:14">
      <c r="A2531" s="3">
        <v>817847</v>
      </c>
      <c r="B2531" s="3">
        <v>206302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30</v>
      </c>
      <c r="M2531" s="4">
        <v>74</v>
      </c>
      <c r="N2531" s="4">
        <v>73.5</v>
      </c>
    </row>
    <row r="2532" spans="1:14">
      <c r="A2532" s="3">
        <v>817848</v>
      </c>
      <c r="B2532" s="3">
        <v>149859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10</v>
      </c>
      <c r="M2532" s="4">
        <v>21.5</v>
      </c>
      <c r="N2532" s="4">
        <v>37.5</v>
      </c>
    </row>
    <row r="2533" spans="1:14">
      <c r="A2533" s="3">
        <v>817858</v>
      </c>
      <c r="B2533" s="3">
        <v>171591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20</v>
      </c>
      <c r="M2533" s="4">
        <v>101.95</v>
      </c>
      <c r="N2533" s="4">
        <v>150</v>
      </c>
    </row>
    <row r="2534" spans="1:14">
      <c r="A2534" s="3">
        <v>817864</v>
      </c>
      <c r="B2534" s="3">
        <v>174271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30</v>
      </c>
      <c r="M2534" s="4">
        <v>150</v>
      </c>
      <c r="N2534" s="4">
        <v>220</v>
      </c>
    </row>
    <row r="2535" spans="1:14">
      <c r="A2535" s="3">
        <v>817866</v>
      </c>
      <c r="B2535" s="3">
        <v>174378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20</v>
      </c>
    </row>
    <row r="2536" spans="1:14">
      <c r="A2536" s="3">
        <v>817868</v>
      </c>
      <c r="B2536" s="3">
        <v>202941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30</v>
      </c>
      <c r="N2536" s="4">
        <v>35</v>
      </c>
    </row>
    <row r="2537" spans="1:14">
      <c r="A2537" s="3">
        <v>817870</v>
      </c>
      <c r="B2537" s="3">
        <v>207809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35</v>
      </c>
      <c r="M2537" s="4">
        <v>95</v>
      </c>
      <c r="N2537" s="4">
        <v>105</v>
      </c>
    </row>
    <row r="2538" spans="1:14">
      <c r="A2538" s="3">
        <v>817871</v>
      </c>
      <c r="B2538" s="3">
        <v>174713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20</v>
      </c>
      <c r="N2538" s="4">
        <v>12</v>
      </c>
    </row>
    <row r="2539" spans="1:14">
      <c r="A2539" s="3">
        <v>817872</v>
      </c>
      <c r="B2539" s="3">
        <v>173310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10</v>
      </c>
      <c r="N2539" s="4">
        <v>13</v>
      </c>
    </row>
    <row r="2540" spans="1:14">
      <c r="A2540" s="3">
        <v>817876</v>
      </c>
      <c r="B2540" s="3">
        <v>209652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15</v>
      </c>
      <c r="M2540" s="4">
        <v>50</v>
      </c>
      <c r="N2540" s="4">
        <v>28</v>
      </c>
    </row>
    <row r="2541" spans="1:14">
      <c r="A2541" s="3">
        <v>817878</v>
      </c>
      <c r="B2541" s="3">
        <v>141714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35</v>
      </c>
      <c r="M2541" s="4">
        <v>129</v>
      </c>
      <c r="N2541" s="4">
        <v>120</v>
      </c>
    </row>
    <row r="2542" spans="1:14">
      <c r="A2542" s="3">
        <v>817880</v>
      </c>
      <c r="B2542" s="3">
        <v>210566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28.5</v>
      </c>
      <c r="N2542" s="4">
        <v>25</v>
      </c>
    </row>
    <row r="2543" spans="1:14">
      <c r="A2543" s="3">
        <v>817881</v>
      </c>
      <c r="B2543" s="3">
        <v>176833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30</v>
      </c>
      <c r="M2543" s="4">
        <v>87</v>
      </c>
      <c r="N2543" s="4">
        <v>90</v>
      </c>
    </row>
    <row r="2544" spans="1:14">
      <c r="A2544" s="3">
        <v>817882</v>
      </c>
      <c r="B2544" s="3">
        <v>207019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35</v>
      </c>
      <c r="N2544" s="4">
        <v>35</v>
      </c>
    </row>
    <row r="2545" spans="1:14">
      <c r="A2545" s="3">
        <v>817891</v>
      </c>
      <c r="B2545" s="3">
        <v>176833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30</v>
      </c>
      <c r="N2545" s="4">
        <v>0</v>
      </c>
    </row>
    <row r="2546" spans="1:14">
      <c r="A2546" s="3">
        <v>817894</v>
      </c>
      <c r="B2546" s="3">
        <v>203811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110</v>
      </c>
      <c r="N2546" s="4">
        <v>35</v>
      </c>
    </row>
    <row r="2547" spans="1:14">
      <c r="A2547" s="3">
        <v>817900</v>
      </c>
      <c r="B2547" s="3">
        <v>119208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143</v>
      </c>
      <c r="N2547" s="4">
        <v>0</v>
      </c>
    </row>
    <row r="2548" spans="1:14">
      <c r="A2548" s="3">
        <v>817901</v>
      </c>
      <c r="B2548" s="3">
        <v>119038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55</v>
      </c>
      <c r="N2548" s="4">
        <v>123.25</v>
      </c>
    </row>
    <row r="2549" spans="1:14">
      <c r="A2549" s="3">
        <v>817902</v>
      </c>
      <c r="B2549" s="3">
        <v>172706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95</v>
      </c>
      <c r="N2549" s="4">
        <v>40</v>
      </c>
    </row>
    <row r="2550" spans="1:14">
      <c r="A2550" s="3">
        <v>817905</v>
      </c>
      <c r="B2550" s="3">
        <v>211138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70</v>
      </c>
      <c r="N2550" s="4">
        <v>112</v>
      </c>
    </row>
    <row r="2551" spans="1:14">
      <c r="A2551" s="3">
        <v>817913</v>
      </c>
      <c r="B2551" s="3">
        <v>178298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50</v>
      </c>
      <c r="N2551" s="4">
        <v>44</v>
      </c>
    </row>
    <row r="2552" spans="1:14">
      <c r="A2552" s="3">
        <v>817914</v>
      </c>
      <c r="B2552" s="3">
        <v>178298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13</v>
      </c>
    </row>
    <row r="2553" spans="1:14">
      <c r="A2553" s="3">
        <v>817914</v>
      </c>
      <c r="B2553" s="3">
        <v>210355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70</v>
      </c>
      <c r="M2553" s="4">
        <v>150</v>
      </c>
      <c r="N2553" s="4">
        <v>397.5</v>
      </c>
    </row>
    <row r="2554" spans="1:14">
      <c r="A2554" s="3">
        <v>817915</v>
      </c>
      <c r="B2554" s="3">
        <v>119261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110.5</v>
      </c>
      <c r="N2554" s="4">
        <v>20</v>
      </c>
    </row>
    <row r="2555" spans="1:14">
      <c r="A2555" s="3">
        <v>817916</v>
      </c>
      <c r="B2555" s="3">
        <v>178298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67</v>
      </c>
      <c r="N2555" s="4">
        <v>51.5</v>
      </c>
    </row>
    <row r="2556" spans="1:14">
      <c r="A2556" s="3">
        <v>817917</v>
      </c>
      <c r="B2556" s="3">
        <v>207857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37.5</v>
      </c>
      <c r="N2556" s="4">
        <v>124.8</v>
      </c>
    </row>
    <row r="2557" spans="1:14">
      <c r="A2557" s="3">
        <v>817917</v>
      </c>
      <c r="B2557" s="3">
        <v>211256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10</v>
      </c>
      <c r="N2557" s="4">
        <v>0</v>
      </c>
    </row>
    <row r="2558" spans="1:14">
      <c r="A2558" s="3">
        <v>817933</v>
      </c>
      <c r="B2558" s="3">
        <v>202870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74</v>
      </c>
      <c r="N2558" s="4">
        <v>134.5</v>
      </c>
    </row>
    <row r="2559" spans="1:14">
      <c r="A2559" s="3">
        <v>817934</v>
      </c>
      <c r="B2559" s="3">
        <v>210355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40</v>
      </c>
      <c r="N2559" s="4">
        <v>0</v>
      </c>
    </row>
    <row r="2560" spans="1:14">
      <c r="A2560" s="3">
        <v>817940</v>
      </c>
      <c r="B2560" s="3">
        <v>202142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55</v>
      </c>
      <c r="N2560" s="4">
        <v>34</v>
      </c>
    </row>
    <row r="2561" spans="1:14">
      <c r="A2561" s="3">
        <v>817941</v>
      </c>
      <c r="B2561" s="3">
        <v>206529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41</v>
      </c>
      <c r="N2561" s="4">
        <v>31</v>
      </c>
    </row>
    <row r="2562" spans="1:14">
      <c r="A2562" s="3">
        <v>817943</v>
      </c>
      <c r="B2562" s="3">
        <v>210619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165</v>
      </c>
      <c r="N2562" s="4">
        <v>163</v>
      </c>
    </row>
    <row r="2563" spans="1:14">
      <c r="A2563" s="3">
        <v>817945</v>
      </c>
      <c r="B2563" s="3">
        <v>173528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17.5</v>
      </c>
      <c r="N2563" s="4">
        <v>30</v>
      </c>
    </row>
    <row r="2564" spans="1:14">
      <c r="A2564" s="3">
        <v>817947</v>
      </c>
      <c r="B2564" s="3">
        <v>119026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15</v>
      </c>
      <c r="N2564" s="4">
        <v>38.5</v>
      </c>
    </row>
    <row r="2565" spans="1:14">
      <c r="A2565" s="3">
        <v>817958</v>
      </c>
      <c r="B2565" s="3">
        <v>208638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10</v>
      </c>
      <c r="N2565" s="4">
        <v>2</v>
      </c>
    </row>
    <row r="2566" spans="1:14">
      <c r="A2566" s="3">
        <v>817972</v>
      </c>
      <c r="B2566" s="3">
        <v>201280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66</v>
      </c>
      <c r="N2566" s="4">
        <v>41</v>
      </c>
    </row>
    <row r="2567" spans="1:14">
      <c r="A2567" s="3">
        <v>817976</v>
      </c>
      <c r="B2567" s="3">
        <v>211137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205</v>
      </c>
      <c r="N2567" s="4">
        <v>325.5</v>
      </c>
    </row>
    <row r="2568" spans="1:14">
      <c r="A2568" s="3">
        <v>817977</v>
      </c>
      <c r="B2568" s="3">
        <v>175049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55</v>
      </c>
      <c r="N2568" s="4">
        <v>31</v>
      </c>
    </row>
    <row r="2569" spans="1:14">
      <c r="A2569" s="3">
        <v>817979</v>
      </c>
      <c r="B2569" s="3">
        <v>176833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85</v>
      </c>
      <c r="N2569" s="4">
        <v>60</v>
      </c>
    </row>
    <row r="2570" spans="1:14">
      <c r="A2570" s="3">
        <v>817980</v>
      </c>
      <c r="B2570" s="3">
        <v>170904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101.3</v>
      </c>
      <c r="N2570" s="4">
        <v>156.05000000000001</v>
      </c>
    </row>
    <row r="2571" spans="1:14">
      <c r="A2571" s="3">
        <v>818004</v>
      </c>
      <c r="B2571" s="3">
        <v>149764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20</v>
      </c>
      <c r="N2571" s="4">
        <v>60</v>
      </c>
    </row>
    <row r="2572" spans="1:14">
      <c r="A2572" s="3">
        <v>818017</v>
      </c>
      <c r="B2572" s="3">
        <v>141115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51</v>
      </c>
      <c r="N2572" s="4">
        <v>81</v>
      </c>
    </row>
    <row r="2573" spans="1:14">
      <c r="A2573" s="3">
        <v>818018</v>
      </c>
      <c r="B2573" s="3">
        <v>204375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30</v>
      </c>
    </row>
    <row r="2574" spans="1:14">
      <c r="A2574" s="3">
        <v>818021</v>
      </c>
      <c r="B2574" s="3">
        <v>174756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42</v>
      </c>
      <c r="N2574" s="4">
        <v>45</v>
      </c>
    </row>
    <row r="2575" spans="1:14">
      <c r="A2575" s="3">
        <v>818023</v>
      </c>
      <c r="B2575" s="3">
        <v>172640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94.5</v>
      </c>
      <c r="N2575" s="4">
        <v>2</v>
      </c>
    </row>
    <row r="2576" spans="1:14">
      <c r="A2576" s="3">
        <v>818043</v>
      </c>
      <c r="B2576" s="3">
        <v>171685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52</v>
      </c>
      <c r="N2576" s="4">
        <v>83</v>
      </c>
    </row>
    <row r="2577" spans="1:14">
      <c r="A2577" s="3">
        <v>818063</v>
      </c>
      <c r="B2577" s="3">
        <v>170606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89</v>
      </c>
    </row>
    <row r="2578" spans="1:14">
      <c r="A2578" s="3">
        <v>818066</v>
      </c>
      <c r="B2578" s="3">
        <v>119261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100</v>
      </c>
      <c r="N2578" s="4">
        <v>100</v>
      </c>
    </row>
    <row r="2579" spans="1:14">
      <c r="A2579" s="3">
        <v>818071</v>
      </c>
      <c r="B2579" s="3">
        <v>202478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28</v>
      </c>
      <c r="N2579" s="4">
        <v>20</v>
      </c>
    </row>
    <row r="2580" spans="1:14">
      <c r="A2580" s="3">
        <v>818073</v>
      </c>
      <c r="B2580" s="3">
        <v>208516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50</v>
      </c>
      <c r="N2580" s="4">
        <v>52</v>
      </c>
    </row>
    <row r="2581" spans="1:14">
      <c r="A2581" s="3">
        <v>818077</v>
      </c>
      <c r="B2581" s="3">
        <v>119044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50</v>
      </c>
    </row>
    <row r="2582" spans="1:14">
      <c r="A2582" s="3">
        <v>818098</v>
      </c>
      <c r="B2582" s="3">
        <v>204034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20</v>
      </c>
    </row>
    <row r="2583" spans="1:14">
      <c r="A2583" s="3">
        <v>818099</v>
      </c>
      <c r="B2583" s="3">
        <v>175049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31</v>
      </c>
    </row>
    <row r="2584" spans="1:14">
      <c r="A2584" s="3">
        <v>818101</v>
      </c>
      <c r="B2584" s="3">
        <v>141115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62.25</v>
      </c>
      <c r="N2584" s="4">
        <v>120.75</v>
      </c>
    </row>
    <row r="2585" spans="1:14">
      <c r="A2585" s="3">
        <v>818102</v>
      </c>
      <c r="B2585" s="3">
        <v>170846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10</v>
      </c>
    </row>
    <row r="2586" spans="1:14">
      <c r="A2586" s="3">
        <v>818124</v>
      </c>
      <c r="B2586" s="3">
        <v>210691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20.149999999999999</v>
      </c>
      <c r="N2586" s="4">
        <v>174.5</v>
      </c>
    </row>
    <row r="2587" spans="1:14">
      <c r="A2587" s="3">
        <v>818131</v>
      </c>
      <c r="B2587" s="3">
        <v>206066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25</v>
      </c>
      <c r="N2587" s="4">
        <v>264</v>
      </c>
    </row>
    <row r="2588" spans="1:14">
      <c r="A2588" s="3">
        <v>818132</v>
      </c>
      <c r="B2588" s="3">
        <v>206066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10</v>
      </c>
      <c r="N2588" s="4">
        <v>105</v>
      </c>
    </row>
    <row r="2589" spans="1:14">
      <c r="A2589" s="3">
        <v>818133</v>
      </c>
      <c r="B2589" s="3">
        <v>206066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50</v>
      </c>
      <c r="N2589" s="4">
        <v>60</v>
      </c>
    </row>
    <row r="2590" spans="1:14">
      <c r="A2590" s="3">
        <v>818134</v>
      </c>
      <c r="B2590" s="3">
        <v>171839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35</v>
      </c>
    </row>
    <row r="2591" spans="1:14">
      <c r="A2591" s="3">
        <v>818135</v>
      </c>
      <c r="B2591" s="3">
        <v>170204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46.95</v>
      </c>
    </row>
    <row r="2592" spans="1:14">
      <c r="A2592" s="3">
        <v>818136</v>
      </c>
      <c r="B2592" s="3">
        <v>177742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35</v>
      </c>
    </row>
    <row r="2593" spans="1:14">
      <c r="A2593" s="3">
        <v>818137</v>
      </c>
      <c r="B2593" s="3">
        <v>119212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45</v>
      </c>
      <c r="N2593" s="4">
        <v>35</v>
      </c>
    </row>
    <row r="2594" spans="1:14">
      <c r="A2594" s="3">
        <v>818140</v>
      </c>
      <c r="B2594" s="3">
        <v>209990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20</v>
      </c>
      <c r="N2594" s="4">
        <v>55</v>
      </c>
    </row>
    <row r="2595" spans="1:14">
      <c r="A2595" s="3">
        <v>818141</v>
      </c>
      <c r="B2595" s="3">
        <v>178764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35</v>
      </c>
      <c r="N2595" s="4">
        <v>35</v>
      </c>
    </row>
    <row r="2596" spans="1:14">
      <c r="A2596" s="3">
        <v>818142</v>
      </c>
      <c r="B2596" s="3">
        <v>175547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70</v>
      </c>
      <c r="N2596" s="4">
        <v>135</v>
      </c>
    </row>
    <row r="2597" spans="1:14">
      <c r="A2597" s="3">
        <v>818153</v>
      </c>
      <c r="B2597" s="3">
        <v>205591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10</v>
      </c>
    </row>
    <row r="2598" spans="1:14">
      <c r="A2598" s="3">
        <v>818155</v>
      </c>
      <c r="B2598" s="3">
        <v>141115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94.75</v>
      </c>
      <c r="N2598" s="4">
        <v>105.25</v>
      </c>
    </row>
    <row r="2599" spans="1:14">
      <c r="A2599" s="3">
        <v>818156</v>
      </c>
      <c r="B2599" s="3">
        <v>209599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22</v>
      </c>
      <c r="N2599" s="4">
        <v>70</v>
      </c>
    </row>
    <row r="2600" spans="1:14">
      <c r="A2600" s="3">
        <v>818159</v>
      </c>
      <c r="B2600" s="3">
        <v>211282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45</v>
      </c>
      <c r="N2600" s="4">
        <v>101</v>
      </c>
    </row>
    <row r="2601" spans="1:14">
      <c r="A2601" s="3">
        <v>818161</v>
      </c>
      <c r="B2601" s="3">
        <v>211282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115</v>
      </c>
      <c r="N2601" s="4">
        <v>190</v>
      </c>
    </row>
    <row r="2602" spans="1:14">
      <c r="A2602" s="3">
        <v>818163</v>
      </c>
      <c r="B2602" s="3">
        <v>119071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20</v>
      </c>
      <c r="N2602" s="4">
        <v>172</v>
      </c>
    </row>
    <row r="2603" spans="1:14">
      <c r="A2603" s="3">
        <v>818164</v>
      </c>
      <c r="B2603" s="3">
        <v>206066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25</v>
      </c>
    </row>
    <row r="2604" spans="1:14">
      <c r="A2604" s="3">
        <v>818177</v>
      </c>
      <c r="B2604" s="3">
        <v>170775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10</v>
      </c>
      <c r="N2604" s="4">
        <v>35</v>
      </c>
    </row>
    <row r="2605" spans="1:14">
      <c r="A2605" s="3">
        <v>818181</v>
      </c>
      <c r="B2605" s="3">
        <v>170775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55</v>
      </c>
      <c r="N2605" s="4">
        <v>145</v>
      </c>
    </row>
    <row r="2606" spans="1:14">
      <c r="A2606" s="3">
        <v>818192</v>
      </c>
      <c r="B2606" s="3">
        <v>172798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50</v>
      </c>
    </row>
    <row r="2607" spans="1:14">
      <c r="A2607" s="3">
        <v>818194</v>
      </c>
      <c r="B2607" s="3">
        <v>141512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60.5</v>
      </c>
    </row>
    <row r="2608" spans="1:14">
      <c r="A2608" s="3">
        <v>818201</v>
      </c>
      <c r="B2608" s="3">
        <v>201117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2.85</v>
      </c>
      <c r="N2608" s="4">
        <v>114.5</v>
      </c>
    </row>
    <row r="2609" spans="1:14">
      <c r="A2609" s="3">
        <v>818207</v>
      </c>
      <c r="B2609" s="3">
        <v>207192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35.5</v>
      </c>
    </row>
    <row r="2610" spans="1:14">
      <c r="A2610" s="3">
        <v>818212</v>
      </c>
      <c r="B2610" s="3">
        <v>119038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15</v>
      </c>
    </row>
    <row r="2611" spans="1:14">
      <c r="A2611" s="3">
        <v>818213</v>
      </c>
      <c r="B2611" s="3">
        <v>210210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15</v>
      </c>
    </row>
    <row r="2612" spans="1:14">
      <c r="A2612" s="3">
        <v>818214</v>
      </c>
      <c r="B2612" s="3">
        <v>209599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102</v>
      </c>
    </row>
    <row r="2613" spans="1:14">
      <c r="A2613" s="3">
        <v>818216</v>
      </c>
      <c r="B2613" s="3">
        <v>170325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85</v>
      </c>
    </row>
    <row r="2614" spans="1:14">
      <c r="A2614" s="3">
        <v>818217</v>
      </c>
      <c r="B2614" s="3">
        <v>173865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55</v>
      </c>
    </row>
    <row r="2615" spans="1:14">
      <c r="A2615" s="3">
        <v>818218</v>
      </c>
      <c r="B2615" s="3">
        <v>206986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10</v>
      </c>
    </row>
    <row r="2616" spans="1:14">
      <c r="A2616" s="3">
        <v>818221</v>
      </c>
      <c r="B2616" s="3">
        <v>119034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80</v>
      </c>
    </row>
    <row r="2617" spans="1:14">
      <c r="A2617" s="3">
        <v>818232</v>
      </c>
      <c r="B2617" s="3">
        <v>209816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22.5</v>
      </c>
    </row>
    <row r="2618" spans="1:14">
      <c r="A2618" s="3">
        <v>818235</v>
      </c>
      <c r="B2618" s="3">
        <v>211342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30</v>
      </c>
    </row>
    <row r="2619" spans="1:14">
      <c r="A2619" s="3">
        <v>818237</v>
      </c>
      <c r="B2619" s="3">
        <v>209816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27.5</v>
      </c>
    </row>
    <row r="2620" spans="1:14">
      <c r="A2620" s="3">
        <v>818238</v>
      </c>
      <c r="B2620" s="3">
        <v>170204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110</v>
      </c>
    </row>
    <row r="2621" spans="1:14">
      <c r="A2621" s="3">
        <v>818240</v>
      </c>
      <c r="B2621" s="3">
        <v>144746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140</v>
      </c>
    </row>
    <row r="2622" spans="1:14">
      <c r="A2622" s="3">
        <v>818250</v>
      </c>
      <c r="B2622" s="3">
        <v>203651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105</v>
      </c>
    </row>
    <row r="2623" spans="1:14">
      <c r="A2623" s="3">
        <v>818251</v>
      </c>
      <c r="B2623" s="3">
        <v>208088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69</v>
      </c>
    </row>
    <row r="2624" spans="1:14">
      <c r="A2624" s="3">
        <v>818252</v>
      </c>
      <c r="B2624" s="3">
        <v>209652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115</v>
      </c>
    </row>
    <row r="2625" spans="1:14">
      <c r="A2625" s="3">
        <v>818254</v>
      </c>
      <c r="B2625" s="3">
        <v>209652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70</v>
      </c>
    </row>
    <row r="2626" spans="1:14">
      <c r="A2626" s="3">
        <v>818255</v>
      </c>
      <c r="B2626" s="3">
        <v>202428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4.5</v>
      </c>
    </row>
    <row r="2627" spans="1:14">
      <c r="A2627" s="3">
        <v>818255</v>
      </c>
      <c r="B2627" s="3">
        <v>210538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30</v>
      </c>
    </row>
    <row r="2628" spans="1:14">
      <c r="A2628" s="3">
        <v>818256</v>
      </c>
      <c r="B2628" s="3">
        <v>142984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15</v>
      </c>
    </row>
    <row r="2629" spans="1:14">
      <c r="A2629" s="3">
        <v>818257</v>
      </c>
      <c r="B2629" s="3">
        <v>149885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85</v>
      </c>
    </row>
    <row r="2630" spans="1:14">
      <c r="A2630" s="3">
        <v>818263</v>
      </c>
      <c r="B2630" s="3">
        <v>208074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67.5</v>
      </c>
    </row>
    <row r="2631" spans="1:14">
      <c r="A2631" s="3">
        <v>818277</v>
      </c>
      <c r="B2631" s="3">
        <v>209599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10</v>
      </c>
    </row>
    <row r="2632" spans="1:14">
      <c r="A2632" s="3">
        <v>818279</v>
      </c>
      <c r="B2632" s="3">
        <v>210745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120</v>
      </c>
    </row>
    <row r="2633" spans="1:14">
      <c r="A2633" s="3">
        <v>818280</v>
      </c>
      <c r="B2633" s="3">
        <v>172338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143.5</v>
      </c>
    </row>
    <row r="2634" spans="1:14">
      <c r="A2634" s="3">
        <v>818288</v>
      </c>
      <c r="B2634" s="3">
        <v>170904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10</v>
      </c>
    </row>
    <row r="2635" spans="1:14">
      <c r="A2635" s="3">
        <v>818290</v>
      </c>
      <c r="B2635" s="3">
        <v>173224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112.5</v>
      </c>
    </row>
    <row r="2636" spans="1:14">
      <c r="A2636" s="3">
        <v>818293</v>
      </c>
      <c r="B2636" s="3">
        <v>173224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95</v>
      </c>
    </row>
    <row r="2637" spans="1:14">
      <c r="A2637" s="3">
        <v>818294</v>
      </c>
      <c r="B2637" s="3">
        <v>207895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20</v>
      </c>
    </row>
    <row r="2638" spans="1:14">
      <c r="A2638" s="3">
        <v>818295</v>
      </c>
      <c r="B2638" s="3">
        <v>208066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25</v>
      </c>
    </row>
    <row r="2639" spans="1:14">
      <c r="A2639" s="3">
        <v>818306</v>
      </c>
      <c r="B2639" s="3">
        <v>208183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84</v>
      </c>
    </row>
    <row r="2640" spans="1:14">
      <c r="A2640" s="3">
        <v>818307</v>
      </c>
      <c r="B2640" s="3">
        <v>204375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10</v>
      </c>
    </row>
    <row r="2641" spans="1:14">
      <c r="A2641" s="3">
        <v>818317</v>
      </c>
      <c r="B2641" s="3">
        <v>176833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95</v>
      </c>
    </row>
    <row r="2642" spans="1:14">
      <c r="A2642" s="3">
        <v>818324</v>
      </c>
      <c r="B2642" s="3">
        <v>205591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23</v>
      </c>
    </row>
    <row r="2643" spans="1:14">
      <c r="A2643" s="3">
        <v>818325</v>
      </c>
      <c r="B2643" s="3">
        <v>148557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10</v>
      </c>
    </row>
    <row r="2644" spans="1:14">
      <c r="A2644" s="3">
        <v>818328</v>
      </c>
      <c r="B2644" s="3">
        <v>209954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157</v>
      </c>
    </row>
    <row r="2645" spans="1:14">
      <c r="A2645" s="3">
        <v>818329</v>
      </c>
      <c r="B2645" s="3">
        <v>173865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39.9</v>
      </c>
    </row>
    <row r="2646" spans="1:14">
      <c r="A2646" s="3">
        <v>818340</v>
      </c>
      <c r="B2646" s="3">
        <v>210619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80</v>
      </c>
    </row>
    <row r="2647" spans="1:14">
      <c r="A2647" s="3">
        <v>818341</v>
      </c>
      <c r="B2647" s="3">
        <v>210619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85</v>
      </c>
    </row>
    <row r="2648" spans="1:14">
      <c r="A2648" s="3">
        <v>818342</v>
      </c>
      <c r="B2648" s="3">
        <v>173098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65</v>
      </c>
    </row>
    <row r="2649" spans="1:14">
      <c r="A2649" s="3">
        <v>818343</v>
      </c>
      <c r="B2649" s="3">
        <v>210566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45</v>
      </c>
    </row>
    <row r="2650" spans="1:14">
      <c r="A2650" s="3">
        <v>818347</v>
      </c>
      <c r="B2650" s="3">
        <v>140927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40</v>
      </c>
    </row>
    <row r="2651" spans="1:14">
      <c r="A2651" s="3">
        <v>818354</v>
      </c>
      <c r="B2651" s="3">
        <v>202479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35</v>
      </c>
    </row>
    <row r="2652" spans="1:14">
      <c r="A2652" s="3">
        <v>818372</v>
      </c>
      <c r="B2652" s="3">
        <v>144747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22.5</v>
      </c>
    </row>
    <row r="2653" spans="1:14">
      <c r="A2653" s="3">
        <v>818391</v>
      </c>
      <c r="B2653" s="3">
        <v>170132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45</v>
      </c>
    </row>
    <row r="2654" spans="1:14">
      <c r="A2654" s="3">
        <v>818392</v>
      </c>
      <c r="B2654" s="3">
        <v>170132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60</v>
      </c>
    </row>
    <row r="2655" spans="1:14">
      <c r="A2655" s="3">
        <v>818394</v>
      </c>
      <c r="B2655" s="3">
        <v>209599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77</v>
      </c>
    </row>
    <row r="2656" spans="1:14">
      <c r="A2656" s="3">
        <v>818395</v>
      </c>
      <c r="B2656" s="3">
        <v>208770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14.5</v>
      </c>
    </row>
    <row r="2657" spans="1:14">
      <c r="A2657" s="3">
        <v>818407</v>
      </c>
      <c r="B2657" s="3">
        <v>209796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50</v>
      </c>
    </row>
    <row r="2658" spans="1:14">
      <c r="A2658" s="3">
        <v>818408</v>
      </c>
      <c r="B2658" s="3">
        <v>147429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96</v>
      </c>
    </row>
    <row r="2659" spans="1:14">
      <c r="A2659" s="3">
        <v>818409</v>
      </c>
      <c r="B2659" s="3">
        <v>119236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70</v>
      </c>
    </row>
    <row r="2660" spans="1:14">
      <c r="A2660" s="3">
        <v>818429</v>
      </c>
      <c r="B2660" s="3">
        <v>175287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18</v>
      </c>
    </row>
    <row r="2661" spans="1:14">
      <c r="A2661" s="3">
        <v>818440</v>
      </c>
      <c r="B2661" s="3">
        <v>119046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115</v>
      </c>
    </row>
    <row r="2662" spans="1:14">
      <c r="A2662" s="3">
        <v>818441</v>
      </c>
      <c r="B2662" s="3">
        <v>210619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96</v>
      </c>
    </row>
    <row r="2663" spans="1:14">
      <c r="A2663" s="3">
        <v>818483</v>
      </c>
      <c r="B2663" s="3">
        <v>210619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63.5</v>
      </c>
    </row>
    <row r="2664" spans="1:14">
      <c r="A2664" s="3">
        <v>818499</v>
      </c>
      <c r="B2664" s="3">
        <v>149996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20</v>
      </c>
    </row>
    <row r="2665" spans="1:14">
      <c r="A2665" s="3">
        <v>818506</v>
      </c>
      <c r="B2665" s="3">
        <v>209599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10</v>
      </c>
    </row>
    <row r="2666" spans="1:14">
      <c r="A2666" s="3">
        <v>818507</v>
      </c>
      <c r="B2666" s="3">
        <v>209599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5</v>
      </c>
    </row>
    <row r="2667" spans="1:14">
      <c r="A2667" s="3">
        <v>818514</v>
      </c>
      <c r="B2667" s="3">
        <v>210433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40</v>
      </c>
    </row>
    <row r="2668" spans="1:14">
      <c r="A2668" s="19" t="s">
        <v>342</v>
      </c>
      <c r="B2668" s="19"/>
      <c r="C2668" s="18">
        <v>65326.549999999996</v>
      </c>
      <c r="D2668" s="18">
        <v>64092.4</v>
      </c>
      <c r="E2668" s="18">
        <v>91292.549999999988</v>
      </c>
      <c r="F2668" s="18">
        <v>89459.25</v>
      </c>
      <c r="G2668" s="18">
        <v>78888.650000000023</v>
      </c>
      <c r="H2668" s="18">
        <v>78268.549999999988</v>
      </c>
      <c r="I2668" s="18">
        <v>77181.7</v>
      </c>
      <c r="J2668" s="18">
        <v>57801.549999999996</v>
      </c>
      <c r="K2668" s="18">
        <v>109698.45</v>
      </c>
      <c r="L2668" s="18">
        <v>98770.849999999991</v>
      </c>
      <c r="M2668" s="18">
        <v>105066.15000000001</v>
      </c>
      <c r="N2668" s="18">
        <v>143173.40000000002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BB409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I158" sqref="I158"/>
    </sheetView>
  </sheetViews>
  <sheetFormatPr defaultRowHeight="12.75"/>
  <cols>
    <col min="1" max="1" width="13.140625" style="27" bestFit="1" customWidth="1"/>
    <col min="2" max="2" width="11.5703125" style="27" bestFit="1" customWidth="1"/>
    <col min="3" max="3" width="32.42578125" style="36" bestFit="1" customWidth="1"/>
    <col min="4" max="4" width="10.28515625" style="36" bestFit="1" customWidth="1"/>
    <col min="5" max="5" width="34.5703125" style="36" bestFit="1" customWidth="1"/>
    <col min="6" max="6" width="34.5703125" style="36" customWidth="1"/>
    <col min="7" max="7" width="11.85546875" style="36" bestFit="1" customWidth="1"/>
    <col min="8" max="8" width="26.85546875" style="36" bestFit="1" customWidth="1"/>
    <col min="9" max="9" width="21" style="36" bestFit="1" customWidth="1"/>
    <col min="10" max="10" width="14.7109375" style="36" bestFit="1" customWidth="1"/>
    <col min="11" max="11" width="12.140625" style="36" bestFit="1" customWidth="1"/>
    <col min="12" max="12" width="8.140625" style="37" bestFit="1" customWidth="1"/>
    <col min="13" max="13" width="7.140625" style="37" bestFit="1" customWidth="1"/>
    <col min="14" max="15" width="8.140625" style="37" bestFit="1" customWidth="1"/>
    <col min="16" max="16" width="7.140625" style="37" bestFit="1" customWidth="1"/>
    <col min="17" max="18" width="8.140625" style="37" bestFit="1" customWidth="1"/>
    <col min="19" max="19" width="7.140625" style="37" bestFit="1" customWidth="1"/>
    <col min="20" max="21" width="8.140625" style="37" bestFit="1" customWidth="1"/>
    <col min="22" max="22" width="7.140625" style="37" bestFit="1" customWidth="1"/>
    <col min="23" max="24" width="8.140625" style="37" bestFit="1" customWidth="1"/>
    <col min="25" max="25" width="7.140625" style="37" bestFit="1" customWidth="1"/>
    <col min="26" max="27" width="8.140625" style="37" bestFit="1" customWidth="1"/>
    <col min="28" max="28" width="7.140625" style="37" bestFit="1" customWidth="1"/>
    <col min="29" max="30" width="8.140625" style="37" bestFit="1" customWidth="1"/>
    <col min="31" max="31" width="7.140625" style="37" bestFit="1" customWidth="1"/>
    <col min="32" max="33" width="8.140625" style="37" bestFit="1" customWidth="1"/>
    <col min="34" max="34" width="7.140625" style="37" bestFit="1" customWidth="1"/>
    <col min="35" max="35" width="8.140625" style="37" bestFit="1" customWidth="1"/>
    <col min="36" max="36" width="9.5703125" style="37" bestFit="1" customWidth="1"/>
    <col min="37" max="37" width="7.140625" style="37" bestFit="1" customWidth="1"/>
    <col min="38" max="38" width="9.5703125" style="37" bestFit="1" customWidth="1"/>
    <col min="39" max="39" width="8.140625" style="37" bestFit="1" customWidth="1"/>
    <col min="40" max="40" width="7.140625" style="37" bestFit="1" customWidth="1"/>
    <col min="41" max="42" width="9.5703125" style="37" bestFit="1" customWidth="1"/>
    <col min="43" max="43" width="7.140625" style="37" bestFit="1" customWidth="1"/>
    <col min="44" max="45" width="9.5703125" style="37" bestFit="1" customWidth="1"/>
    <col min="46" max="46" width="7.140625" style="37" bestFit="1" customWidth="1"/>
    <col min="47" max="47" width="9.5703125" style="37" bestFit="1" customWidth="1"/>
    <col min="48" max="48" width="10.5703125" style="37" bestFit="1" customWidth="1"/>
    <col min="49" max="49" width="11.7109375" style="37" bestFit="1" customWidth="1"/>
    <col min="50" max="50" width="10.5703125" style="37" bestFit="1" customWidth="1"/>
    <col min="51" max="52" width="16" style="27" bestFit="1" customWidth="1"/>
    <col min="53" max="53" width="10.42578125" style="27" bestFit="1" customWidth="1"/>
    <col min="54" max="54" width="12.42578125" style="27" customWidth="1"/>
    <col min="55" max="16384" width="9.140625" style="27"/>
  </cols>
  <sheetData>
    <row r="1" spans="1:54" ht="25.5">
      <c r="A1" s="25" t="s">
        <v>356</v>
      </c>
      <c r="B1" s="25" t="s">
        <v>341</v>
      </c>
      <c r="C1" s="25" t="s">
        <v>519</v>
      </c>
      <c r="D1" s="25" t="s">
        <v>344</v>
      </c>
      <c r="E1" s="25" t="s">
        <v>345</v>
      </c>
      <c r="F1" s="25" t="s">
        <v>3235</v>
      </c>
      <c r="G1" s="25" t="s">
        <v>3230</v>
      </c>
      <c r="H1" s="25" t="s">
        <v>3233</v>
      </c>
      <c r="I1" s="25" t="s">
        <v>3231</v>
      </c>
      <c r="J1" s="25" t="s">
        <v>3234</v>
      </c>
      <c r="K1" s="25" t="s">
        <v>3232</v>
      </c>
      <c r="L1" s="38" t="s">
        <v>343</v>
      </c>
      <c r="M1" s="39" t="s">
        <v>3228</v>
      </c>
      <c r="N1" s="40" t="s">
        <v>3229</v>
      </c>
      <c r="O1" s="38" t="s">
        <v>358</v>
      </c>
      <c r="P1" s="39" t="s">
        <v>3228</v>
      </c>
      <c r="Q1" s="40" t="s">
        <v>3229</v>
      </c>
      <c r="R1" s="38" t="s">
        <v>371</v>
      </c>
      <c r="S1" s="39" t="s">
        <v>3228</v>
      </c>
      <c r="T1" s="40" t="s">
        <v>3229</v>
      </c>
      <c r="U1" s="38" t="s">
        <v>402</v>
      </c>
      <c r="V1" s="39" t="s">
        <v>3228</v>
      </c>
      <c r="W1" s="40" t="s">
        <v>3229</v>
      </c>
      <c r="X1" s="38" t="s">
        <v>424</v>
      </c>
      <c r="Y1" s="39" t="s">
        <v>3228</v>
      </c>
      <c r="Z1" s="40" t="s">
        <v>3229</v>
      </c>
      <c r="AA1" s="38" t="s">
        <v>446</v>
      </c>
      <c r="AB1" s="39" t="s">
        <v>3228</v>
      </c>
      <c r="AC1" s="40" t="s">
        <v>3229</v>
      </c>
      <c r="AD1" s="38" t="s">
        <v>469</v>
      </c>
      <c r="AE1" s="39" t="s">
        <v>3228</v>
      </c>
      <c r="AF1" s="40" t="s">
        <v>3229</v>
      </c>
      <c r="AG1" s="38" t="s">
        <v>486</v>
      </c>
      <c r="AH1" s="39" t="s">
        <v>3228</v>
      </c>
      <c r="AI1" s="40" t="s">
        <v>3229</v>
      </c>
      <c r="AJ1" s="38" t="s">
        <v>505</v>
      </c>
      <c r="AK1" s="39" t="s">
        <v>3228</v>
      </c>
      <c r="AL1" s="40" t="s">
        <v>3229</v>
      </c>
      <c r="AM1" s="38" t="s">
        <v>506</v>
      </c>
      <c r="AN1" s="39" t="s">
        <v>3228</v>
      </c>
      <c r="AO1" s="40" t="s">
        <v>3229</v>
      </c>
      <c r="AP1" s="41" t="s">
        <v>532</v>
      </c>
      <c r="AQ1" s="40" t="s">
        <v>3228</v>
      </c>
      <c r="AR1" s="40" t="s">
        <v>3229</v>
      </c>
      <c r="AS1" s="38" t="s">
        <v>542</v>
      </c>
      <c r="AT1" s="39" t="s">
        <v>3228</v>
      </c>
      <c r="AU1" s="40" t="s">
        <v>3229</v>
      </c>
      <c r="AV1" s="38" t="s">
        <v>342</v>
      </c>
      <c r="AW1" s="39" t="s">
        <v>3228</v>
      </c>
      <c r="AX1" s="40" t="s">
        <v>3229</v>
      </c>
      <c r="AY1" s="26" t="s">
        <v>346</v>
      </c>
      <c r="AZ1" s="26" t="s">
        <v>347</v>
      </c>
      <c r="BA1" s="26" t="s">
        <v>348</v>
      </c>
      <c r="BB1" s="26" t="s">
        <v>349</v>
      </c>
    </row>
    <row r="2" spans="1:54" hidden="1">
      <c r="A2" s="28" t="str">
        <f t="shared" ref="A2:A65" si="0">B2&amp;D2</f>
        <v>804178119046</v>
      </c>
      <c r="B2" s="28">
        <v>804178</v>
      </c>
      <c r="C2" s="28" t="s">
        <v>53</v>
      </c>
      <c r="D2" s="28">
        <v>119046</v>
      </c>
      <c r="E2" s="28" t="s">
        <v>31</v>
      </c>
      <c r="F2" s="28"/>
      <c r="G2" s="28"/>
      <c r="H2" s="28"/>
      <c r="I2" s="28"/>
      <c r="J2" s="28"/>
      <c r="K2" s="28"/>
      <c r="L2" s="20">
        <v>0</v>
      </c>
      <c r="M2" s="21">
        <v>0</v>
      </c>
      <c r="N2" s="20">
        <f t="shared" ref="N2:N65" si="1">SUM(L2:M2)</f>
        <v>0</v>
      </c>
      <c r="O2" s="20">
        <v>10</v>
      </c>
      <c r="P2" s="21">
        <v>0</v>
      </c>
      <c r="Q2" s="20">
        <f t="shared" ref="Q2:Q65" si="2">SUM(O2:P2)</f>
        <v>10</v>
      </c>
      <c r="R2" s="20">
        <v>25</v>
      </c>
      <c r="S2" s="22">
        <v>0</v>
      </c>
      <c r="T2" s="20">
        <f t="shared" ref="T2:T65" si="3">SUM(R2:S2)</f>
        <v>25</v>
      </c>
      <c r="U2" s="20">
        <v>0</v>
      </c>
      <c r="V2" s="21">
        <v>0</v>
      </c>
      <c r="W2" s="20">
        <f t="shared" ref="W2:W65" si="4">SUM(U2:V2)</f>
        <v>0</v>
      </c>
      <c r="X2" s="20">
        <v>40</v>
      </c>
      <c r="Y2" s="22">
        <v>0</v>
      </c>
      <c r="Z2" s="20">
        <f t="shared" ref="Z2:Z65" si="5">SUM(X2:Y2)</f>
        <v>40</v>
      </c>
      <c r="AA2" s="20">
        <v>0</v>
      </c>
      <c r="AB2" s="22">
        <v>0</v>
      </c>
      <c r="AC2" s="20">
        <f t="shared" ref="AC2:AC65" si="6">SUM(AA2:AB2)</f>
        <v>0</v>
      </c>
      <c r="AD2" s="20">
        <v>20</v>
      </c>
      <c r="AE2" s="22">
        <v>0</v>
      </c>
      <c r="AF2" s="20">
        <f t="shared" ref="AF2:AF65" si="7">SUM(AD2:AE2)</f>
        <v>20</v>
      </c>
      <c r="AG2" s="20">
        <v>20</v>
      </c>
      <c r="AH2" s="21">
        <v>0</v>
      </c>
      <c r="AI2" s="20">
        <f t="shared" ref="AI2:AI65" si="8">SUM(AG2:AH2)</f>
        <v>20</v>
      </c>
      <c r="AJ2" s="20">
        <v>10</v>
      </c>
      <c r="AK2" s="21">
        <v>0</v>
      </c>
      <c r="AL2" s="20">
        <f t="shared" ref="AL2:AL65" si="9">SUM(AJ2:AK2)</f>
        <v>10</v>
      </c>
      <c r="AM2" s="20">
        <v>0</v>
      </c>
      <c r="AN2" s="21">
        <v>0</v>
      </c>
      <c r="AO2" s="20">
        <f t="shared" ref="AO2:AO65" si="10">SUM(AM2:AN2)</f>
        <v>0</v>
      </c>
      <c r="AP2" s="21">
        <v>0</v>
      </c>
      <c r="AQ2" s="20">
        <v>0</v>
      </c>
      <c r="AR2" s="20">
        <f t="shared" ref="AR2:AR65" si="11">SUM(AP2:AQ2)</f>
        <v>0</v>
      </c>
      <c r="AS2" s="20">
        <v>0</v>
      </c>
      <c r="AT2" s="21">
        <v>0</v>
      </c>
      <c r="AU2" s="20">
        <f t="shared" ref="AU2:AU65" si="12">SUM(AS2:AT2)</f>
        <v>0</v>
      </c>
      <c r="AV2" s="23">
        <f t="shared" ref="AV2:AV65" si="13">SUM(L2+O2+R2+U2+X2+AA2+AD2+AG2+AJ2+AM2+AP2+AS2)</f>
        <v>125</v>
      </c>
      <c r="AW2" s="22">
        <f t="shared" ref="AW2:AW65" si="14">SUM(M2+P2+S2+V2+Y2+AB2+AE2+AH2+AK2+AN2+AQ2+AT2)</f>
        <v>0</v>
      </c>
      <c r="AX2" s="20">
        <f t="shared" ref="AX2:AX65" si="15">SUM(AV2:AW2)</f>
        <v>125</v>
      </c>
      <c r="AY2" s="28" t="s">
        <v>28</v>
      </c>
      <c r="AZ2" s="28" t="s">
        <v>28</v>
      </c>
      <c r="BA2" s="28" t="s">
        <v>352</v>
      </c>
      <c r="BB2" s="29">
        <v>42227</v>
      </c>
    </row>
    <row r="3" spans="1:54" hidden="1">
      <c r="A3" s="28" t="str">
        <f t="shared" si="0"/>
        <v>804286119046</v>
      </c>
      <c r="B3" s="30">
        <v>804286</v>
      </c>
      <c r="C3" s="30" t="s">
        <v>32</v>
      </c>
      <c r="D3" s="31">
        <v>119046</v>
      </c>
      <c r="E3" s="28" t="s">
        <v>31</v>
      </c>
      <c r="F3" s="28"/>
      <c r="G3" s="28"/>
      <c r="H3" s="28"/>
      <c r="I3" s="28"/>
      <c r="J3" s="28"/>
      <c r="K3" s="28"/>
      <c r="L3" s="20">
        <v>52</v>
      </c>
      <c r="M3" s="21">
        <v>0</v>
      </c>
      <c r="N3" s="20">
        <f t="shared" si="1"/>
        <v>52</v>
      </c>
      <c r="O3" s="20">
        <v>72</v>
      </c>
      <c r="P3" s="21">
        <v>0</v>
      </c>
      <c r="Q3" s="20">
        <f t="shared" si="2"/>
        <v>72</v>
      </c>
      <c r="R3" s="20">
        <v>86.5</v>
      </c>
      <c r="S3" s="22">
        <v>0</v>
      </c>
      <c r="T3" s="20">
        <f t="shared" si="3"/>
        <v>86.5</v>
      </c>
      <c r="U3" s="20">
        <v>106</v>
      </c>
      <c r="V3" s="21">
        <v>0</v>
      </c>
      <c r="W3" s="20">
        <f t="shared" si="4"/>
        <v>106</v>
      </c>
      <c r="X3" s="20">
        <v>65</v>
      </c>
      <c r="Y3" s="22">
        <v>7</v>
      </c>
      <c r="Z3" s="20">
        <f t="shared" si="5"/>
        <v>72</v>
      </c>
      <c r="AA3" s="20">
        <v>94.5</v>
      </c>
      <c r="AB3" s="22">
        <v>31</v>
      </c>
      <c r="AC3" s="20">
        <f t="shared" si="6"/>
        <v>125.5</v>
      </c>
      <c r="AD3" s="20">
        <v>70</v>
      </c>
      <c r="AE3" s="22">
        <v>0</v>
      </c>
      <c r="AF3" s="20">
        <f t="shared" si="7"/>
        <v>70</v>
      </c>
      <c r="AG3" s="20">
        <v>45</v>
      </c>
      <c r="AH3" s="21">
        <v>0</v>
      </c>
      <c r="AI3" s="20">
        <f t="shared" si="8"/>
        <v>45</v>
      </c>
      <c r="AJ3" s="20">
        <v>64</v>
      </c>
      <c r="AK3" s="21">
        <v>10.5</v>
      </c>
      <c r="AL3" s="20">
        <f t="shared" si="9"/>
        <v>74.5</v>
      </c>
      <c r="AM3" s="20">
        <v>50</v>
      </c>
      <c r="AN3" s="21">
        <v>4.25</v>
      </c>
      <c r="AO3" s="20">
        <f t="shared" si="10"/>
        <v>54.25</v>
      </c>
      <c r="AP3" s="21">
        <v>40</v>
      </c>
      <c r="AQ3" s="20">
        <v>0</v>
      </c>
      <c r="AR3" s="20">
        <f t="shared" si="11"/>
        <v>40</v>
      </c>
      <c r="AS3" s="20">
        <v>106.5</v>
      </c>
      <c r="AT3" s="21">
        <v>0</v>
      </c>
      <c r="AU3" s="20">
        <f t="shared" si="12"/>
        <v>106.5</v>
      </c>
      <c r="AV3" s="23">
        <f t="shared" si="13"/>
        <v>851.5</v>
      </c>
      <c r="AW3" s="22">
        <f t="shared" si="14"/>
        <v>52.75</v>
      </c>
      <c r="AX3" s="20">
        <f t="shared" si="15"/>
        <v>904.25</v>
      </c>
      <c r="AY3" s="28" t="s">
        <v>28</v>
      </c>
      <c r="AZ3" s="28" t="s">
        <v>28</v>
      </c>
      <c r="BA3" s="28" t="s">
        <v>352</v>
      </c>
      <c r="BB3" s="29">
        <v>42262</v>
      </c>
    </row>
    <row r="4" spans="1:54" hidden="1">
      <c r="A4" s="28" t="str">
        <f t="shared" si="0"/>
        <v>804980171880</v>
      </c>
      <c r="B4" s="30">
        <v>804980</v>
      </c>
      <c r="C4" s="30" t="s">
        <v>260</v>
      </c>
      <c r="D4" s="31">
        <v>171880</v>
      </c>
      <c r="E4" s="28" t="s">
        <v>259</v>
      </c>
      <c r="F4" s="28"/>
      <c r="G4" s="28"/>
      <c r="H4" s="28"/>
      <c r="I4" s="28"/>
      <c r="J4" s="28"/>
      <c r="K4" s="28"/>
      <c r="L4" s="20">
        <v>70</v>
      </c>
      <c r="M4" s="21">
        <v>7</v>
      </c>
      <c r="N4" s="20">
        <f t="shared" si="1"/>
        <v>77</v>
      </c>
      <c r="O4" s="20">
        <v>120</v>
      </c>
      <c r="P4" s="21">
        <v>20</v>
      </c>
      <c r="Q4" s="20">
        <f t="shared" si="2"/>
        <v>140</v>
      </c>
      <c r="R4" s="20">
        <v>170</v>
      </c>
      <c r="S4" s="22">
        <v>10</v>
      </c>
      <c r="T4" s="20">
        <f t="shared" si="3"/>
        <v>180</v>
      </c>
      <c r="U4" s="20">
        <v>170</v>
      </c>
      <c r="V4" s="21">
        <v>10</v>
      </c>
      <c r="W4" s="20">
        <f t="shared" si="4"/>
        <v>180</v>
      </c>
      <c r="X4" s="20">
        <v>120.5</v>
      </c>
      <c r="Y4" s="22">
        <v>7.5</v>
      </c>
      <c r="Z4" s="20">
        <f t="shared" si="5"/>
        <v>128</v>
      </c>
      <c r="AA4" s="20">
        <v>150</v>
      </c>
      <c r="AB4" s="22">
        <v>10</v>
      </c>
      <c r="AC4" s="20">
        <f t="shared" si="6"/>
        <v>160</v>
      </c>
      <c r="AD4" s="20">
        <v>272</v>
      </c>
      <c r="AE4" s="22">
        <v>20</v>
      </c>
      <c r="AF4" s="20">
        <f t="shared" si="7"/>
        <v>292</v>
      </c>
      <c r="AG4" s="20">
        <v>17.75</v>
      </c>
      <c r="AH4" s="21">
        <v>0</v>
      </c>
      <c r="AI4" s="20">
        <f t="shared" si="8"/>
        <v>17.75</v>
      </c>
      <c r="AJ4" s="20">
        <v>0</v>
      </c>
      <c r="AK4" s="21">
        <v>0</v>
      </c>
      <c r="AL4" s="20">
        <f t="shared" si="9"/>
        <v>0</v>
      </c>
      <c r="AM4" s="20">
        <v>0</v>
      </c>
      <c r="AN4" s="21">
        <v>0</v>
      </c>
      <c r="AO4" s="20">
        <f t="shared" si="10"/>
        <v>0</v>
      </c>
      <c r="AP4" s="21">
        <v>0</v>
      </c>
      <c r="AQ4" s="20">
        <v>0</v>
      </c>
      <c r="AR4" s="20">
        <f t="shared" si="11"/>
        <v>0</v>
      </c>
      <c r="AS4" s="20">
        <v>0</v>
      </c>
      <c r="AT4" s="21">
        <v>0</v>
      </c>
      <c r="AU4" s="20">
        <f t="shared" si="12"/>
        <v>0</v>
      </c>
      <c r="AV4" s="23">
        <f t="shared" si="13"/>
        <v>1090.25</v>
      </c>
      <c r="AW4" s="22">
        <f t="shared" si="14"/>
        <v>84.5</v>
      </c>
      <c r="AX4" s="20">
        <f t="shared" si="15"/>
        <v>1174.75</v>
      </c>
      <c r="AY4" s="28" t="s">
        <v>28</v>
      </c>
      <c r="AZ4" s="28" t="s">
        <v>28</v>
      </c>
      <c r="BA4" s="28" t="s">
        <v>352</v>
      </c>
      <c r="BB4" s="29">
        <v>42485</v>
      </c>
    </row>
    <row r="5" spans="1:54" hidden="1">
      <c r="A5" s="28" t="str">
        <f t="shared" si="0"/>
        <v>804980175288</v>
      </c>
      <c r="B5" s="30">
        <v>804980</v>
      </c>
      <c r="C5" s="30" t="s">
        <v>260</v>
      </c>
      <c r="D5" s="28">
        <v>175288</v>
      </c>
      <c r="E5" s="28" t="s">
        <v>87</v>
      </c>
      <c r="F5" s="28"/>
      <c r="G5" s="28"/>
      <c r="H5" s="28"/>
      <c r="I5" s="28"/>
      <c r="J5" s="28"/>
      <c r="K5" s="28"/>
      <c r="L5" s="20">
        <v>0</v>
      </c>
      <c r="M5" s="21">
        <v>0</v>
      </c>
      <c r="N5" s="20">
        <f t="shared" si="1"/>
        <v>0</v>
      </c>
      <c r="O5" s="20">
        <v>0</v>
      </c>
      <c r="P5" s="21">
        <v>0</v>
      </c>
      <c r="Q5" s="20">
        <f t="shared" si="2"/>
        <v>0</v>
      </c>
      <c r="R5" s="20">
        <v>0</v>
      </c>
      <c r="S5" s="22">
        <v>0</v>
      </c>
      <c r="T5" s="20">
        <f t="shared" si="3"/>
        <v>0</v>
      </c>
      <c r="U5" s="20">
        <v>0</v>
      </c>
      <c r="V5" s="21">
        <v>0</v>
      </c>
      <c r="W5" s="20">
        <f t="shared" si="4"/>
        <v>0</v>
      </c>
      <c r="X5" s="20">
        <v>0</v>
      </c>
      <c r="Y5" s="22">
        <v>0</v>
      </c>
      <c r="Z5" s="20">
        <f t="shared" si="5"/>
        <v>0</v>
      </c>
      <c r="AA5" s="20">
        <v>0</v>
      </c>
      <c r="AB5" s="22">
        <v>0</v>
      </c>
      <c r="AC5" s="20">
        <f t="shared" si="6"/>
        <v>0</v>
      </c>
      <c r="AD5" s="20">
        <v>0</v>
      </c>
      <c r="AE5" s="22">
        <v>0</v>
      </c>
      <c r="AF5" s="20">
        <f t="shared" si="7"/>
        <v>0</v>
      </c>
      <c r="AG5" s="20">
        <v>0</v>
      </c>
      <c r="AH5" s="21">
        <v>0</v>
      </c>
      <c r="AI5" s="20">
        <f t="shared" si="8"/>
        <v>0</v>
      </c>
      <c r="AJ5" s="20">
        <v>60</v>
      </c>
      <c r="AK5" s="21">
        <v>0</v>
      </c>
      <c r="AL5" s="20">
        <f t="shared" si="9"/>
        <v>60</v>
      </c>
      <c r="AM5" s="20">
        <v>10</v>
      </c>
      <c r="AN5" s="21">
        <v>0</v>
      </c>
      <c r="AO5" s="20">
        <f t="shared" si="10"/>
        <v>10</v>
      </c>
      <c r="AP5" s="21">
        <v>0</v>
      </c>
      <c r="AQ5" s="20">
        <v>0</v>
      </c>
      <c r="AR5" s="20">
        <f t="shared" si="11"/>
        <v>0</v>
      </c>
      <c r="AS5" s="20">
        <v>0</v>
      </c>
      <c r="AT5" s="21">
        <v>0</v>
      </c>
      <c r="AU5" s="20">
        <f t="shared" si="12"/>
        <v>0</v>
      </c>
      <c r="AV5" s="23">
        <f t="shared" si="13"/>
        <v>70</v>
      </c>
      <c r="AW5" s="22">
        <f t="shared" si="14"/>
        <v>0</v>
      </c>
      <c r="AX5" s="20">
        <f t="shared" si="15"/>
        <v>70</v>
      </c>
      <c r="AY5" s="28" t="s">
        <v>28</v>
      </c>
      <c r="AZ5" s="28" t="s">
        <v>28</v>
      </c>
      <c r="BA5" s="28" t="s">
        <v>352</v>
      </c>
      <c r="BB5" s="29">
        <v>42485</v>
      </c>
    </row>
    <row r="6" spans="1:54" hidden="1">
      <c r="A6" s="28" t="str">
        <f t="shared" si="0"/>
        <v>806430171880</v>
      </c>
      <c r="B6" s="30">
        <v>806430</v>
      </c>
      <c r="C6" s="30" t="s">
        <v>309</v>
      </c>
      <c r="D6" s="31">
        <v>171880</v>
      </c>
      <c r="E6" s="28" t="s">
        <v>259</v>
      </c>
      <c r="F6" s="28"/>
      <c r="G6" s="28"/>
      <c r="H6" s="28"/>
      <c r="I6" s="28"/>
      <c r="J6" s="28"/>
      <c r="K6" s="28"/>
      <c r="L6" s="20">
        <v>10</v>
      </c>
      <c r="M6" s="21">
        <v>0</v>
      </c>
      <c r="N6" s="20">
        <f t="shared" si="1"/>
        <v>10</v>
      </c>
      <c r="O6" s="20">
        <v>10</v>
      </c>
      <c r="P6" s="21">
        <v>0</v>
      </c>
      <c r="Q6" s="20">
        <f t="shared" si="2"/>
        <v>10</v>
      </c>
      <c r="R6" s="20">
        <v>20</v>
      </c>
      <c r="S6" s="22">
        <v>0</v>
      </c>
      <c r="T6" s="20">
        <f t="shared" si="3"/>
        <v>20</v>
      </c>
      <c r="U6" s="20">
        <v>47</v>
      </c>
      <c r="V6" s="21">
        <v>0</v>
      </c>
      <c r="W6" s="20">
        <f t="shared" si="4"/>
        <v>47</v>
      </c>
      <c r="X6" s="20">
        <v>30</v>
      </c>
      <c r="Y6" s="22">
        <v>0</v>
      </c>
      <c r="Z6" s="20">
        <f t="shared" si="5"/>
        <v>30</v>
      </c>
      <c r="AA6" s="20">
        <v>20</v>
      </c>
      <c r="AB6" s="22">
        <v>0</v>
      </c>
      <c r="AC6" s="20">
        <f t="shared" si="6"/>
        <v>20</v>
      </c>
      <c r="AD6" s="20">
        <v>59.050000000000004</v>
      </c>
      <c r="AE6" s="22">
        <v>0</v>
      </c>
      <c r="AF6" s="20">
        <f t="shared" si="7"/>
        <v>59.050000000000004</v>
      </c>
      <c r="AG6" s="20">
        <v>14.9</v>
      </c>
      <c r="AH6" s="21">
        <v>0</v>
      </c>
      <c r="AI6" s="20">
        <f t="shared" si="8"/>
        <v>14.9</v>
      </c>
      <c r="AJ6" s="20">
        <v>0</v>
      </c>
      <c r="AK6" s="21">
        <v>0</v>
      </c>
      <c r="AL6" s="20">
        <f t="shared" si="9"/>
        <v>0</v>
      </c>
      <c r="AM6" s="20">
        <v>0</v>
      </c>
      <c r="AN6" s="21">
        <v>0</v>
      </c>
      <c r="AO6" s="20">
        <f t="shared" si="10"/>
        <v>0</v>
      </c>
      <c r="AP6" s="21">
        <v>0</v>
      </c>
      <c r="AQ6" s="20">
        <v>0</v>
      </c>
      <c r="AR6" s="20">
        <f t="shared" si="11"/>
        <v>0</v>
      </c>
      <c r="AS6" s="20">
        <v>0</v>
      </c>
      <c r="AT6" s="21">
        <v>0</v>
      </c>
      <c r="AU6" s="20">
        <f t="shared" si="12"/>
        <v>0</v>
      </c>
      <c r="AV6" s="23">
        <f t="shared" si="13"/>
        <v>210.95000000000002</v>
      </c>
      <c r="AW6" s="22">
        <f t="shared" si="14"/>
        <v>0</v>
      </c>
      <c r="AX6" s="20">
        <f t="shared" si="15"/>
        <v>210.95000000000002</v>
      </c>
      <c r="AY6" s="28" t="s">
        <v>28</v>
      </c>
      <c r="AZ6" s="28" t="s">
        <v>28</v>
      </c>
      <c r="BA6" s="28" t="s">
        <v>352</v>
      </c>
      <c r="BB6" s="29">
        <v>42892</v>
      </c>
    </row>
    <row r="7" spans="1:54" hidden="1">
      <c r="A7" s="28" t="str">
        <f t="shared" si="0"/>
        <v>806430175288</v>
      </c>
      <c r="B7" s="30">
        <v>806430</v>
      </c>
      <c r="C7" s="30" t="s">
        <v>309</v>
      </c>
      <c r="D7" s="28">
        <v>175288</v>
      </c>
      <c r="E7" s="28" t="s">
        <v>87</v>
      </c>
      <c r="F7" s="28"/>
      <c r="G7" s="28"/>
      <c r="H7" s="28"/>
      <c r="I7" s="28"/>
      <c r="J7" s="28"/>
      <c r="K7" s="28"/>
      <c r="L7" s="20">
        <v>0</v>
      </c>
      <c r="M7" s="21">
        <v>0</v>
      </c>
      <c r="N7" s="20">
        <f t="shared" si="1"/>
        <v>0</v>
      </c>
      <c r="O7" s="20">
        <v>0</v>
      </c>
      <c r="P7" s="21">
        <v>0</v>
      </c>
      <c r="Q7" s="20">
        <f t="shared" si="2"/>
        <v>0</v>
      </c>
      <c r="R7" s="20">
        <v>0</v>
      </c>
      <c r="S7" s="22">
        <v>0</v>
      </c>
      <c r="T7" s="20">
        <f t="shared" si="3"/>
        <v>0</v>
      </c>
      <c r="U7" s="20">
        <v>0</v>
      </c>
      <c r="V7" s="21">
        <v>0</v>
      </c>
      <c r="W7" s="20">
        <f t="shared" si="4"/>
        <v>0</v>
      </c>
      <c r="X7" s="20">
        <v>0</v>
      </c>
      <c r="Y7" s="22">
        <v>0</v>
      </c>
      <c r="Z7" s="20">
        <f t="shared" si="5"/>
        <v>0</v>
      </c>
      <c r="AA7" s="20">
        <v>0</v>
      </c>
      <c r="AB7" s="22">
        <v>0</v>
      </c>
      <c r="AC7" s="20">
        <f t="shared" si="6"/>
        <v>0</v>
      </c>
      <c r="AD7" s="20">
        <v>0</v>
      </c>
      <c r="AE7" s="22">
        <v>0</v>
      </c>
      <c r="AF7" s="20">
        <f t="shared" si="7"/>
        <v>0</v>
      </c>
      <c r="AG7" s="20">
        <v>0</v>
      </c>
      <c r="AH7" s="21">
        <v>0</v>
      </c>
      <c r="AI7" s="20">
        <f t="shared" si="8"/>
        <v>0</v>
      </c>
      <c r="AJ7" s="20">
        <v>45</v>
      </c>
      <c r="AK7" s="21">
        <v>0</v>
      </c>
      <c r="AL7" s="20">
        <f t="shared" si="9"/>
        <v>45</v>
      </c>
      <c r="AM7" s="20">
        <v>55</v>
      </c>
      <c r="AN7" s="21">
        <v>0</v>
      </c>
      <c r="AO7" s="20">
        <f t="shared" si="10"/>
        <v>55</v>
      </c>
      <c r="AP7" s="21">
        <v>47</v>
      </c>
      <c r="AQ7" s="20">
        <v>0</v>
      </c>
      <c r="AR7" s="20">
        <f t="shared" si="11"/>
        <v>47</v>
      </c>
      <c r="AS7" s="20">
        <v>60</v>
      </c>
      <c r="AT7" s="21">
        <v>0</v>
      </c>
      <c r="AU7" s="20">
        <f t="shared" si="12"/>
        <v>60</v>
      </c>
      <c r="AV7" s="23">
        <f t="shared" si="13"/>
        <v>207</v>
      </c>
      <c r="AW7" s="22">
        <f t="shared" si="14"/>
        <v>0</v>
      </c>
      <c r="AX7" s="20">
        <f t="shared" si="15"/>
        <v>207</v>
      </c>
      <c r="AY7" s="28" t="s">
        <v>28</v>
      </c>
      <c r="AZ7" s="28" t="s">
        <v>28</v>
      </c>
      <c r="BA7" s="28" t="s">
        <v>352</v>
      </c>
      <c r="BB7" s="29">
        <v>42892</v>
      </c>
    </row>
    <row r="8" spans="1:54" hidden="1">
      <c r="A8" s="28" t="str">
        <f t="shared" si="0"/>
        <v>806431149765</v>
      </c>
      <c r="B8" s="30">
        <v>806431</v>
      </c>
      <c r="C8" s="30" t="s">
        <v>68</v>
      </c>
      <c r="D8" s="31">
        <v>149765</v>
      </c>
      <c r="E8" s="28" t="s">
        <v>142</v>
      </c>
      <c r="F8" s="28"/>
      <c r="G8" s="28"/>
      <c r="H8" s="28"/>
      <c r="I8" s="28"/>
      <c r="J8" s="28"/>
      <c r="K8" s="28"/>
      <c r="L8" s="20">
        <v>40</v>
      </c>
      <c r="M8" s="21">
        <v>0</v>
      </c>
      <c r="N8" s="20">
        <f t="shared" si="1"/>
        <v>40</v>
      </c>
      <c r="O8" s="20">
        <v>45</v>
      </c>
      <c r="P8" s="21">
        <v>0</v>
      </c>
      <c r="Q8" s="20">
        <f t="shared" si="2"/>
        <v>45</v>
      </c>
      <c r="R8" s="20">
        <v>40</v>
      </c>
      <c r="S8" s="22">
        <v>0</v>
      </c>
      <c r="T8" s="20">
        <f t="shared" si="3"/>
        <v>40</v>
      </c>
      <c r="U8" s="20">
        <v>0</v>
      </c>
      <c r="V8" s="21">
        <v>0</v>
      </c>
      <c r="W8" s="20">
        <f t="shared" si="4"/>
        <v>0</v>
      </c>
      <c r="X8" s="20">
        <v>20</v>
      </c>
      <c r="Y8" s="22">
        <v>0</v>
      </c>
      <c r="Z8" s="20">
        <f t="shared" si="5"/>
        <v>20</v>
      </c>
      <c r="AA8" s="20">
        <v>30</v>
      </c>
      <c r="AB8" s="22">
        <v>0</v>
      </c>
      <c r="AC8" s="20">
        <f t="shared" si="6"/>
        <v>30</v>
      </c>
      <c r="AD8" s="20">
        <v>0</v>
      </c>
      <c r="AE8" s="22">
        <v>0</v>
      </c>
      <c r="AF8" s="20">
        <f t="shared" si="7"/>
        <v>0</v>
      </c>
      <c r="AG8" s="20">
        <v>10</v>
      </c>
      <c r="AH8" s="21">
        <v>0</v>
      </c>
      <c r="AI8" s="20">
        <f t="shared" si="8"/>
        <v>10</v>
      </c>
      <c r="AJ8" s="20">
        <v>20</v>
      </c>
      <c r="AK8" s="21">
        <v>0</v>
      </c>
      <c r="AL8" s="20">
        <f t="shared" si="9"/>
        <v>20</v>
      </c>
      <c r="AM8" s="20">
        <v>20</v>
      </c>
      <c r="AN8" s="21">
        <v>0</v>
      </c>
      <c r="AO8" s="20">
        <f t="shared" si="10"/>
        <v>20</v>
      </c>
      <c r="AP8" s="21">
        <v>20</v>
      </c>
      <c r="AQ8" s="20">
        <v>0</v>
      </c>
      <c r="AR8" s="20">
        <f t="shared" si="11"/>
        <v>20</v>
      </c>
      <c r="AS8" s="20">
        <v>20</v>
      </c>
      <c r="AT8" s="21">
        <v>0</v>
      </c>
      <c r="AU8" s="20">
        <f t="shared" si="12"/>
        <v>20</v>
      </c>
      <c r="AV8" s="23">
        <f t="shared" si="13"/>
        <v>265</v>
      </c>
      <c r="AW8" s="22">
        <f t="shared" si="14"/>
        <v>0</v>
      </c>
      <c r="AX8" s="20">
        <f t="shared" si="15"/>
        <v>265</v>
      </c>
      <c r="AY8" s="28" t="s">
        <v>28</v>
      </c>
      <c r="AZ8" s="28" t="s">
        <v>28</v>
      </c>
      <c r="BA8" s="28" t="s">
        <v>352</v>
      </c>
      <c r="BB8" s="29">
        <v>42892</v>
      </c>
    </row>
    <row r="9" spans="1:54" hidden="1">
      <c r="A9" s="28" t="str">
        <f t="shared" si="0"/>
        <v>806484148557</v>
      </c>
      <c r="B9" s="30">
        <v>806484</v>
      </c>
      <c r="C9" s="30" t="s">
        <v>287</v>
      </c>
      <c r="D9" s="31">
        <v>148557</v>
      </c>
      <c r="E9" s="28" t="s">
        <v>27</v>
      </c>
      <c r="F9" s="28"/>
      <c r="G9" s="28"/>
      <c r="H9" s="28"/>
      <c r="I9" s="28"/>
      <c r="J9" s="28"/>
      <c r="K9" s="28"/>
      <c r="L9" s="20">
        <v>35</v>
      </c>
      <c r="M9" s="21">
        <v>0</v>
      </c>
      <c r="N9" s="20">
        <f t="shared" si="1"/>
        <v>35</v>
      </c>
      <c r="O9" s="20">
        <v>40</v>
      </c>
      <c r="P9" s="21">
        <v>0</v>
      </c>
      <c r="Q9" s="20">
        <f t="shared" si="2"/>
        <v>40</v>
      </c>
      <c r="R9" s="20">
        <v>60</v>
      </c>
      <c r="S9" s="22">
        <v>0</v>
      </c>
      <c r="T9" s="20">
        <f t="shared" si="3"/>
        <v>60</v>
      </c>
      <c r="U9" s="20">
        <v>89.1</v>
      </c>
      <c r="V9" s="21">
        <v>12</v>
      </c>
      <c r="W9" s="20">
        <f t="shared" si="4"/>
        <v>101.1</v>
      </c>
      <c r="X9" s="20">
        <v>80</v>
      </c>
      <c r="Y9" s="22">
        <v>3</v>
      </c>
      <c r="Z9" s="20">
        <f t="shared" si="5"/>
        <v>83</v>
      </c>
      <c r="AA9" s="20">
        <v>60</v>
      </c>
      <c r="AB9" s="22">
        <v>0</v>
      </c>
      <c r="AC9" s="20">
        <f t="shared" si="6"/>
        <v>60</v>
      </c>
      <c r="AD9" s="20">
        <v>50</v>
      </c>
      <c r="AE9" s="22">
        <v>7</v>
      </c>
      <c r="AF9" s="20">
        <f t="shared" si="7"/>
        <v>57</v>
      </c>
      <c r="AG9" s="20">
        <v>60</v>
      </c>
      <c r="AH9" s="21">
        <v>0</v>
      </c>
      <c r="AI9" s="20">
        <f t="shared" si="8"/>
        <v>60</v>
      </c>
      <c r="AJ9" s="20">
        <v>71</v>
      </c>
      <c r="AK9" s="21">
        <v>0</v>
      </c>
      <c r="AL9" s="20">
        <f t="shared" si="9"/>
        <v>71</v>
      </c>
      <c r="AM9" s="20">
        <v>59</v>
      </c>
      <c r="AN9" s="21">
        <v>6</v>
      </c>
      <c r="AO9" s="20">
        <f t="shared" si="10"/>
        <v>65</v>
      </c>
      <c r="AP9" s="21">
        <v>76</v>
      </c>
      <c r="AQ9" s="20">
        <v>6</v>
      </c>
      <c r="AR9" s="20">
        <f t="shared" si="11"/>
        <v>82</v>
      </c>
      <c r="AS9" s="20">
        <v>72</v>
      </c>
      <c r="AT9" s="21">
        <v>3.5</v>
      </c>
      <c r="AU9" s="20">
        <f t="shared" si="12"/>
        <v>75.5</v>
      </c>
      <c r="AV9" s="23">
        <f t="shared" si="13"/>
        <v>752.1</v>
      </c>
      <c r="AW9" s="22">
        <f t="shared" si="14"/>
        <v>37.5</v>
      </c>
      <c r="AX9" s="20">
        <f t="shared" si="15"/>
        <v>789.6</v>
      </c>
      <c r="AY9" s="28" t="s">
        <v>28</v>
      </c>
      <c r="AZ9" s="28" t="s">
        <v>28</v>
      </c>
      <c r="BA9" s="28" t="s">
        <v>352</v>
      </c>
      <c r="BB9" s="29">
        <v>42906</v>
      </c>
    </row>
    <row r="10" spans="1:54" hidden="1">
      <c r="A10" s="28" t="str">
        <f t="shared" si="0"/>
        <v>806487149765</v>
      </c>
      <c r="B10" s="30">
        <v>806487</v>
      </c>
      <c r="C10" s="30" t="s">
        <v>289</v>
      </c>
      <c r="D10" s="28">
        <v>149765</v>
      </c>
      <c r="E10" s="28" t="s">
        <v>142</v>
      </c>
      <c r="F10" s="28"/>
      <c r="G10" s="28"/>
      <c r="H10" s="28"/>
      <c r="I10" s="28"/>
      <c r="J10" s="28"/>
      <c r="K10" s="28"/>
      <c r="L10" s="20">
        <v>0</v>
      </c>
      <c r="M10" s="21">
        <v>0</v>
      </c>
      <c r="N10" s="20">
        <f t="shared" si="1"/>
        <v>0</v>
      </c>
      <c r="O10" s="20">
        <v>0</v>
      </c>
      <c r="P10" s="21">
        <v>0</v>
      </c>
      <c r="Q10" s="20">
        <f t="shared" si="2"/>
        <v>0</v>
      </c>
      <c r="R10" s="20">
        <v>0</v>
      </c>
      <c r="S10" s="22">
        <v>0</v>
      </c>
      <c r="T10" s="20">
        <f t="shared" si="3"/>
        <v>0</v>
      </c>
      <c r="U10" s="20">
        <v>0</v>
      </c>
      <c r="V10" s="21">
        <v>0</v>
      </c>
      <c r="W10" s="20">
        <f t="shared" si="4"/>
        <v>0</v>
      </c>
      <c r="X10" s="20">
        <v>0</v>
      </c>
      <c r="Y10" s="22">
        <v>0</v>
      </c>
      <c r="Z10" s="20">
        <f t="shared" si="5"/>
        <v>0</v>
      </c>
      <c r="AA10" s="20">
        <v>0</v>
      </c>
      <c r="AB10" s="22">
        <v>0</v>
      </c>
      <c r="AC10" s="20">
        <f t="shared" si="6"/>
        <v>0</v>
      </c>
      <c r="AD10" s="20">
        <v>0</v>
      </c>
      <c r="AE10" s="22">
        <v>0</v>
      </c>
      <c r="AF10" s="20">
        <f t="shared" si="7"/>
        <v>0</v>
      </c>
      <c r="AG10" s="20">
        <v>0</v>
      </c>
      <c r="AH10" s="21">
        <v>0</v>
      </c>
      <c r="AI10" s="20">
        <f t="shared" si="8"/>
        <v>0</v>
      </c>
      <c r="AJ10" s="20">
        <v>50</v>
      </c>
      <c r="AK10" s="21">
        <v>0</v>
      </c>
      <c r="AL10" s="20">
        <f t="shared" si="9"/>
        <v>50</v>
      </c>
      <c r="AM10" s="20">
        <v>30</v>
      </c>
      <c r="AN10" s="21">
        <v>0</v>
      </c>
      <c r="AO10" s="20">
        <f t="shared" si="10"/>
        <v>30</v>
      </c>
      <c r="AP10" s="21">
        <v>85</v>
      </c>
      <c r="AQ10" s="20">
        <v>0</v>
      </c>
      <c r="AR10" s="20">
        <f t="shared" si="11"/>
        <v>85</v>
      </c>
      <c r="AS10" s="20">
        <v>40</v>
      </c>
      <c r="AT10" s="21">
        <v>0</v>
      </c>
      <c r="AU10" s="20">
        <f t="shared" si="12"/>
        <v>40</v>
      </c>
      <c r="AV10" s="23">
        <f t="shared" si="13"/>
        <v>205</v>
      </c>
      <c r="AW10" s="22">
        <f t="shared" si="14"/>
        <v>0</v>
      </c>
      <c r="AX10" s="20">
        <f t="shared" si="15"/>
        <v>205</v>
      </c>
      <c r="AY10" s="28" t="s">
        <v>28</v>
      </c>
      <c r="AZ10" s="28" t="s">
        <v>28</v>
      </c>
      <c r="BA10" s="28" t="s">
        <v>352</v>
      </c>
      <c r="BB10" s="29">
        <v>42906</v>
      </c>
    </row>
    <row r="11" spans="1:54" hidden="1">
      <c r="A11" s="28" t="str">
        <f t="shared" si="0"/>
        <v>806487171880</v>
      </c>
      <c r="B11" s="30">
        <v>806487</v>
      </c>
      <c r="C11" s="30" t="s">
        <v>289</v>
      </c>
      <c r="D11" s="31">
        <v>171880</v>
      </c>
      <c r="E11" s="28" t="s">
        <v>259</v>
      </c>
      <c r="F11" s="28"/>
      <c r="G11" s="28"/>
      <c r="H11" s="28"/>
      <c r="I11" s="28"/>
      <c r="J11" s="28"/>
      <c r="K11" s="28"/>
      <c r="L11" s="20">
        <v>43</v>
      </c>
      <c r="M11" s="21">
        <v>0</v>
      </c>
      <c r="N11" s="20">
        <f t="shared" si="1"/>
        <v>43</v>
      </c>
      <c r="O11" s="20">
        <v>75</v>
      </c>
      <c r="P11" s="21">
        <v>0</v>
      </c>
      <c r="Q11" s="20">
        <f t="shared" si="2"/>
        <v>75</v>
      </c>
      <c r="R11" s="20">
        <v>80</v>
      </c>
      <c r="S11" s="22">
        <v>0</v>
      </c>
      <c r="T11" s="20">
        <f t="shared" si="3"/>
        <v>80</v>
      </c>
      <c r="U11" s="20">
        <v>60</v>
      </c>
      <c r="V11" s="21">
        <v>0</v>
      </c>
      <c r="W11" s="20">
        <f t="shared" si="4"/>
        <v>60</v>
      </c>
      <c r="X11" s="20">
        <v>65</v>
      </c>
      <c r="Y11" s="22">
        <v>0</v>
      </c>
      <c r="Z11" s="20">
        <f t="shared" si="5"/>
        <v>65</v>
      </c>
      <c r="AA11" s="20">
        <v>50</v>
      </c>
      <c r="AB11" s="22">
        <v>0</v>
      </c>
      <c r="AC11" s="20">
        <f t="shared" si="6"/>
        <v>50</v>
      </c>
      <c r="AD11" s="20">
        <v>70</v>
      </c>
      <c r="AE11" s="22">
        <v>0</v>
      </c>
      <c r="AF11" s="20">
        <f t="shared" si="7"/>
        <v>70</v>
      </c>
      <c r="AG11" s="20">
        <v>25</v>
      </c>
      <c r="AH11" s="21">
        <v>0</v>
      </c>
      <c r="AI11" s="20">
        <f t="shared" si="8"/>
        <v>25</v>
      </c>
      <c r="AJ11" s="20">
        <v>0</v>
      </c>
      <c r="AK11" s="21">
        <v>0</v>
      </c>
      <c r="AL11" s="20">
        <f t="shared" si="9"/>
        <v>0</v>
      </c>
      <c r="AM11" s="20">
        <v>0</v>
      </c>
      <c r="AN11" s="21">
        <v>0</v>
      </c>
      <c r="AO11" s="20">
        <f t="shared" si="10"/>
        <v>0</v>
      </c>
      <c r="AP11" s="21">
        <v>0</v>
      </c>
      <c r="AQ11" s="20">
        <v>0</v>
      </c>
      <c r="AR11" s="20">
        <f t="shared" si="11"/>
        <v>0</v>
      </c>
      <c r="AS11" s="20">
        <v>0</v>
      </c>
      <c r="AT11" s="21">
        <v>0</v>
      </c>
      <c r="AU11" s="20">
        <f t="shared" si="12"/>
        <v>0</v>
      </c>
      <c r="AV11" s="23">
        <f t="shared" si="13"/>
        <v>468</v>
      </c>
      <c r="AW11" s="22">
        <f t="shared" si="14"/>
        <v>0</v>
      </c>
      <c r="AX11" s="20">
        <f t="shared" si="15"/>
        <v>468</v>
      </c>
      <c r="AY11" s="28" t="s">
        <v>28</v>
      </c>
      <c r="AZ11" s="28" t="s">
        <v>28</v>
      </c>
      <c r="BA11" s="28" t="s">
        <v>352</v>
      </c>
      <c r="BB11" s="29">
        <v>42906</v>
      </c>
    </row>
    <row r="12" spans="1:54" hidden="1">
      <c r="A12" s="28" t="str">
        <f t="shared" si="0"/>
        <v>806615149765</v>
      </c>
      <c r="B12" s="30">
        <v>806615</v>
      </c>
      <c r="C12" s="30" t="s">
        <v>292</v>
      </c>
      <c r="D12" s="31">
        <v>149765</v>
      </c>
      <c r="E12" s="28" t="s">
        <v>142</v>
      </c>
      <c r="F12" s="28"/>
      <c r="G12" s="28"/>
      <c r="H12" s="28"/>
      <c r="I12" s="28"/>
      <c r="J12" s="28"/>
      <c r="K12" s="28"/>
      <c r="L12" s="20">
        <v>10</v>
      </c>
      <c r="M12" s="21">
        <v>0</v>
      </c>
      <c r="N12" s="20">
        <f t="shared" si="1"/>
        <v>10</v>
      </c>
      <c r="O12" s="20">
        <v>10</v>
      </c>
      <c r="P12" s="21">
        <v>0</v>
      </c>
      <c r="Q12" s="20">
        <f t="shared" si="2"/>
        <v>10</v>
      </c>
      <c r="R12" s="20">
        <v>10</v>
      </c>
      <c r="S12" s="22">
        <v>0</v>
      </c>
      <c r="T12" s="20">
        <f t="shared" si="3"/>
        <v>10</v>
      </c>
      <c r="U12" s="20">
        <v>0</v>
      </c>
      <c r="V12" s="21">
        <v>0</v>
      </c>
      <c r="W12" s="20">
        <f t="shared" si="4"/>
        <v>0</v>
      </c>
      <c r="X12" s="20">
        <v>20</v>
      </c>
      <c r="Y12" s="22">
        <v>0</v>
      </c>
      <c r="Z12" s="20">
        <f t="shared" si="5"/>
        <v>20</v>
      </c>
      <c r="AA12" s="20">
        <v>40</v>
      </c>
      <c r="AB12" s="22">
        <v>0</v>
      </c>
      <c r="AC12" s="20">
        <f t="shared" si="6"/>
        <v>40</v>
      </c>
      <c r="AD12" s="20">
        <v>34</v>
      </c>
      <c r="AE12" s="22">
        <v>0</v>
      </c>
      <c r="AF12" s="20">
        <f t="shared" si="7"/>
        <v>34</v>
      </c>
      <c r="AG12" s="20">
        <v>30</v>
      </c>
      <c r="AH12" s="21">
        <v>0</v>
      </c>
      <c r="AI12" s="20">
        <f t="shared" si="8"/>
        <v>30</v>
      </c>
      <c r="AJ12" s="20">
        <v>30</v>
      </c>
      <c r="AK12" s="21">
        <v>0</v>
      </c>
      <c r="AL12" s="20">
        <f t="shared" si="9"/>
        <v>30</v>
      </c>
      <c r="AM12" s="20">
        <v>10</v>
      </c>
      <c r="AN12" s="21">
        <v>0</v>
      </c>
      <c r="AO12" s="20">
        <f t="shared" si="10"/>
        <v>10</v>
      </c>
      <c r="AP12" s="21">
        <v>31</v>
      </c>
      <c r="AQ12" s="20">
        <v>0</v>
      </c>
      <c r="AR12" s="20">
        <f t="shared" si="11"/>
        <v>31</v>
      </c>
      <c r="AS12" s="20">
        <v>20</v>
      </c>
      <c r="AT12" s="21">
        <v>0</v>
      </c>
      <c r="AU12" s="20">
        <f t="shared" si="12"/>
        <v>20</v>
      </c>
      <c r="AV12" s="23">
        <f t="shared" si="13"/>
        <v>245</v>
      </c>
      <c r="AW12" s="22">
        <f t="shared" si="14"/>
        <v>0</v>
      </c>
      <c r="AX12" s="20">
        <f t="shared" si="15"/>
        <v>245</v>
      </c>
      <c r="AY12" s="28" t="s">
        <v>28</v>
      </c>
      <c r="AZ12" s="28" t="s">
        <v>28</v>
      </c>
      <c r="BA12" s="28" t="s">
        <v>352</v>
      </c>
      <c r="BB12" s="29">
        <v>42935</v>
      </c>
    </row>
    <row r="13" spans="1:54" hidden="1">
      <c r="A13" s="28" t="str">
        <f t="shared" si="0"/>
        <v>806689149765</v>
      </c>
      <c r="B13" s="30">
        <v>806689</v>
      </c>
      <c r="C13" s="30" t="s">
        <v>295</v>
      </c>
      <c r="D13" s="31">
        <v>149765</v>
      </c>
      <c r="E13" s="28" t="s">
        <v>142</v>
      </c>
      <c r="F13" s="28"/>
      <c r="G13" s="28"/>
      <c r="H13" s="28"/>
      <c r="I13" s="28"/>
      <c r="J13" s="28"/>
      <c r="K13" s="28"/>
      <c r="L13" s="20">
        <v>5</v>
      </c>
      <c r="M13" s="21">
        <v>0</v>
      </c>
      <c r="N13" s="20">
        <f t="shared" si="1"/>
        <v>5</v>
      </c>
      <c r="O13" s="20">
        <v>0</v>
      </c>
      <c r="P13" s="21">
        <v>0</v>
      </c>
      <c r="Q13" s="20">
        <f t="shared" si="2"/>
        <v>0</v>
      </c>
      <c r="R13" s="20">
        <v>0</v>
      </c>
      <c r="S13" s="22">
        <v>0</v>
      </c>
      <c r="T13" s="20">
        <f t="shared" si="3"/>
        <v>0</v>
      </c>
      <c r="U13" s="20">
        <v>0</v>
      </c>
      <c r="V13" s="21">
        <v>0</v>
      </c>
      <c r="W13" s="20">
        <f t="shared" si="4"/>
        <v>0</v>
      </c>
      <c r="X13" s="20">
        <v>0</v>
      </c>
      <c r="Y13" s="22">
        <v>0</v>
      </c>
      <c r="Z13" s="20">
        <f t="shared" si="5"/>
        <v>0</v>
      </c>
      <c r="AA13" s="20">
        <v>0</v>
      </c>
      <c r="AB13" s="22">
        <v>0</v>
      </c>
      <c r="AC13" s="20">
        <f t="shared" si="6"/>
        <v>0</v>
      </c>
      <c r="AD13" s="20">
        <v>0</v>
      </c>
      <c r="AE13" s="22">
        <v>0</v>
      </c>
      <c r="AF13" s="20">
        <f t="shared" si="7"/>
        <v>0</v>
      </c>
      <c r="AG13" s="20">
        <v>0</v>
      </c>
      <c r="AH13" s="21">
        <v>0</v>
      </c>
      <c r="AI13" s="20">
        <f t="shared" si="8"/>
        <v>0</v>
      </c>
      <c r="AJ13" s="20">
        <v>0</v>
      </c>
      <c r="AK13" s="21">
        <v>0</v>
      </c>
      <c r="AL13" s="20">
        <f t="shared" si="9"/>
        <v>0</v>
      </c>
      <c r="AM13" s="20">
        <v>0</v>
      </c>
      <c r="AN13" s="21">
        <v>0</v>
      </c>
      <c r="AO13" s="20">
        <f t="shared" si="10"/>
        <v>0</v>
      </c>
      <c r="AP13" s="21">
        <v>0</v>
      </c>
      <c r="AQ13" s="20">
        <v>0</v>
      </c>
      <c r="AR13" s="20">
        <f t="shared" si="11"/>
        <v>0</v>
      </c>
      <c r="AS13" s="20">
        <v>0</v>
      </c>
      <c r="AT13" s="21">
        <v>0</v>
      </c>
      <c r="AU13" s="20">
        <f t="shared" si="12"/>
        <v>0</v>
      </c>
      <c r="AV13" s="23">
        <f t="shared" si="13"/>
        <v>5</v>
      </c>
      <c r="AW13" s="22">
        <f t="shared" si="14"/>
        <v>0</v>
      </c>
      <c r="AX13" s="20">
        <f t="shared" si="15"/>
        <v>5</v>
      </c>
      <c r="AY13" s="28" t="s">
        <v>28</v>
      </c>
      <c r="AZ13" s="28" t="s">
        <v>28</v>
      </c>
      <c r="BA13" s="28" t="s">
        <v>352</v>
      </c>
      <c r="BB13" s="29">
        <v>42958</v>
      </c>
    </row>
    <row r="14" spans="1:54" hidden="1">
      <c r="A14" s="28" t="str">
        <f t="shared" si="0"/>
        <v>806720172252</v>
      </c>
      <c r="B14" s="30">
        <v>806720</v>
      </c>
      <c r="C14" s="30" t="s">
        <v>112</v>
      </c>
      <c r="D14" s="31">
        <v>172252</v>
      </c>
      <c r="E14" s="28" t="s">
        <v>111</v>
      </c>
      <c r="F14" s="28"/>
      <c r="G14" s="28"/>
      <c r="H14" s="28"/>
      <c r="I14" s="28"/>
      <c r="J14" s="28"/>
      <c r="K14" s="28"/>
      <c r="L14" s="20">
        <v>20</v>
      </c>
      <c r="M14" s="21">
        <v>0</v>
      </c>
      <c r="N14" s="20">
        <f t="shared" si="1"/>
        <v>20</v>
      </c>
      <c r="O14" s="20">
        <v>35</v>
      </c>
      <c r="P14" s="21">
        <v>5</v>
      </c>
      <c r="Q14" s="20">
        <f t="shared" si="2"/>
        <v>40</v>
      </c>
      <c r="R14" s="20">
        <v>10</v>
      </c>
      <c r="S14" s="22">
        <v>0</v>
      </c>
      <c r="T14" s="20">
        <f t="shared" si="3"/>
        <v>10</v>
      </c>
      <c r="U14" s="20">
        <v>44</v>
      </c>
      <c r="V14" s="21">
        <v>0</v>
      </c>
      <c r="W14" s="20">
        <f t="shared" si="4"/>
        <v>44</v>
      </c>
      <c r="X14" s="20">
        <v>11</v>
      </c>
      <c r="Y14" s="22">
        <v>6</v>
      </c>
      <c r="Z14" s="20">
        <f t="shared" si="5"/>
        <v>17</v>
      </c>
      <c r="AA14" s="20">
        <v>20</v>
      </c>
      <c r="AB14" s="22">
        <v>0</v>
      </c>
      <c r="AC14" s="20">
        <f t="shared" si="6"/>
        <v>20</v>
      </c>
      <c r="AD14" s="20">
        <v>32</v>
      </c>
      <c r="AE14" s="22">
        <v>0</v>
      </c>
      <c r="AF14" s="20">
        <f t="shared" si="7"/>
        <v>32</v>
      </c>
      <c r="AG14" s="20">
        <v>0</v>
      </c>
      <c r="AH14" s="21">
        <v>0</v>
      </c>
      <c r="AI14" s="20">
        <f t="shared" si="8"/>
        <v>0</v>
      </c>
      <c r="AJ14" s="20">
        <v>0</v>
      </c>
      <c r="AK14" s="21">
        <v>0</v>
      </c>
      <c r="AL14" s="20">
        <f t="shared" si="9"/>
        <v>0</v>
      </c>
      <c r="AM14" s="20">
        <v>0</v>
      </c>
      <c r="AN14" s="21">
        <v>0</v>
      </c>
      <c r="AO14" s="20">
        <f t="shared" si="10"/>
        <v>0</v>
      </c>
      <c r="AP14" s="21">
        <v>0</v>
      </c>
      <c r="AQ14" s="20">
        <v>0</v>
      </c>
      <c r="AR14" s="20">
        <f t="shared" si="11"/>
        <v>0</v>
      </c>
      <c r="AS14" s="20">
        <v>0</v>
      </c>
      <c r="AT14" s="21">
        <v>0</v>
      </c>
      <c r="AU14" s="20">
        <f t="shared" si="12"/>
        <v>0</v>
      </c>
      <c r="AV14" s="23">
        <f t="shared" si="13"/>
        <v>172</v>
      </c>
      <c r="AW14" s="22">
        <f t="shared" si="14"/>
        <v>11</v>
      </c>
      <c r="AX14" s="20">
        <f t="shared" si="15"/>
        <v>183</v>
      </c>
      <c r="AY14" s="28" t="s">
        <v>28</v>
      </c>
      <c r="AZ14" s="28" t="s">
        <v>28</v>
      </c>
      <c r="BA14" s="28" t="s">
        <v>352</v>
      </c>
      <c r="BB14" s="29">
        <v>42964</v>
      </c>
    </row>
    <row r="15" spans="1:54" hidden="1">
      <c r="A15" s="28" t="str">
        <f t="shared" si="0"/>
        <v>806721140927</v>
      </c>
      <c r="B15" s="30">
        <v>806721</v>
      </c>
      <c r="C15" s="30" t="s">
        <v>318</v>
      </c>
      <c r="D15" s="31">
        <v>140927</v>
      </c>
      <c r="E15" s="28" t="s">
        <v>59</v>
      </c>
      <c r="F15" s="28"/>
      <c r="G15" s="28"/>
      <c r="H15" s="28"/>
      <c r="I15" s="28"/>
      <c r="J15" s="28"/>
      <c r="K15" s="28"/>
      <c r="L15" s="20">
        <v>10</v>
      </c>
      <c r="M15" s="21">
        <v>0</v>
      </c>
      <c r="N15" s="20">
        <f t="shared" si="1"/>
        <v>10</v>
      </c>
      <c r="O15" s="20">
        <v>23.5</v>
      </c>
      <c r="P15" s="21">
        <v>0</v>
      </c>
      <c r="Q15" s="20">
        <f t="shared" si="2"/>
        <v>23.5</v>
      </c>
      <c r="R15" s="20">
        <v>15</v>
      </c>
      <c r="S15" s="22">
        <v>0</v>
      </c>
      <c r="T15" s="20">
        <f t="shared" si="3"/>
        <v>15</v>
      </c>
      <c r="U15" s="20">
        <v>68.55</v>
      </c>
      <c r="V15" s="21">
        <v>0</v>
      </c>
      <c r="W15" s="20">
        <f t="shared" si="4"/>
        <v>68.55</v>
      </c>
      <c r="X15" s="20">
        <v>50</v>
      </c>
      <c r="Y15" s="22">
        <v>0</v>
      </c>
      <c r="Z15" s="20">
        <f t="shared" si="5"/>
        <v>50</v>
      </c>
      <c r="AA15" s="20">
        <v>24</v>
      </c>
      <c r="AB15" s="22">
        <v>0</v>
      </c>
      <c r="AC15" s="20">
        <f t="shared" si="6"/>
        <v>24</v>
      </c>
      <c r="AD15" s="20">
        <v>34</v>
      </c>
      <c r="AE15" s="22">
        <v>0</v>
      </c>
      <c r="AF15" s="20">
        <f t="shared" si="7"/>
        <v>34</v>
      </c>
      <c r="AG15" s="20">
        <v>30</v>
      </c>
      <c r="AH15" s="21">
        <v>0</v>
      </c>
      <c r="AI15" s="20">
        <f t="shared" si="8"/>
        <v>30</v>
      </c>
      <c r="AJ15" s="20">
        <v>62.5</v>
      </c>
      <c r="AK15" s="21">
        <v>2.5</v>
      </c>
      <c r="AL15" s="20">
        <f t="shared" si="9"/>
        <v>65</v>
      </c>
      <c r="AM15" s="20">
        <v>16</v>
      </c>
      <c r="AN15" s="21">
        <v>2.5</v>
      </c>
      <c r="AO15" s="20">
        <f t="shared" si="10"/>
        <v>18.5</v>
      </c>
      <c r="AP15" s="21">
        <v>54</v>
      </c>
      <c r="AQ15" s="20">
        <v>0</v>
      </c>
      <c r="AR15" s="20">
        <f t="shared" si="11"/>
        <v>54</v>
      </c>
      <c r="AS15" s="20">
        <v>42.5</v>
      </c>
      <c r="AT15" s="21">
        <v>0</v>
      </c>
      <c r="AU15" s="20">
        <f t="shared" si="12"/>
        <v>42.5</v>
      </c>
      <c r="AV15" s="23">
        <f t="shared" si="13"/>
        <v>430.05</v>
      </c>
      <c r="AW15" s="22">
        <f t="shared" si="14"/>
        <v>5</v>
      </c>
      <c r="AX15" s="20">
        <f t="shared" si="15"/>
        <v>435.05</v>
      </c>
      <c r="AY15" s="28" t="s">
        <v>28</v>
      </c>
      <c r="AZ15" s="28" t="s">
        <v>28</v>
      </c>
      <c r="BA15" s="28" t="s">
        <v>352</v>
      </c>
      <c r="BB15" s="29">
        <v>42964</v>
      </c>
    </row>
    <row r="16" spans="1:54" hidden="1">
      <c r="A16" s="28" t="str">
        <f t="shared" si="0"/>
        <v>806871119046</v>
      </c>
      <c r="B16" s="30">
        <v>806871</v>
      </c>
      <c r="C16" s="30" t="s">
        <v>103</v>
      </c>
      <c r="D16" s="31">
        <v>119046</v>
      </c>
      <c r="E16" s="28" t="s">
        <v>31</v>
      </c>
      <c r="F16" s="28"/>
      <c r="G16" s="28"/>
      <c r="H16" s="28"/>
      <c r="I16" s="28"/>
      <c r="J16" s="28"/>
      <c r="K16" s="28"/>
      <c r="L16" s="20">
        <v>10</v>
      </c>
      <c r="M16" s="21">
        <v>0</v>
      </c>
      <c r="N16" s="20">
        <f t="shared" si="1"/>
        <v>10</v>
      </c>
      <c r="O16" s="20">
        <v>51.5</v>
      </c>
      <c r="P16" s="21">
        <v>0</v>
      </c>
      <c r="Q16" s="20">
        <f t="shared" si="2"/>
        <v>51.5</v>
      </c>
      <c r="R16" s="20">
        <v>81.5</v>
      </c>
      <c r="S16" s="22">
        <v>0</v>
      </c>
      <c r="T16" s="20">
        <f t="shared" si="3"/>
        <v>81.5</v>
      </c>
      <c r="U16" s="20">
        <v>50</v>
      </c>
      <c r="V16" s="21">
        <v>0</v>
      </c>
      <c r="W16" s="20">
        <f t="shared" si="4"/>
        <v>50</v>
      </c>
      <c r="X16" s="20">
        <v>62</v>
      </c>
      <c r="Y16" s="22">
        <v>0</v>
      </c>
      <c r="Z16" s="20">
        <f t="shared" si="5"/>
        <v>62</v>
      </c>
      <c r="AA16" s="20">
        <v>20</v>
      </c>
      <c r="AB16" s="22">
        <v>0</v>
      </c>
      <c r="AC16" s="20">
        <f t="shared" si="6"/>
        <v>20</v>
      </c>
      <c r="AD16" s="20">
        <v>0</v>
      </c>
      <c r="AE16" s="22">
        <v>0</v>
      </c>
      <c r="AF16" s="20">
        <f t="shared" si="7"/>
        <v>0</v>
      </c>
      <c r="AG16" s="20">
        <v>42</v>
      </c>
      <c r="AH16" s="21">
        <v>0</v>
      </c>
      <c r="AI16" s="20">
        <f t="shared" si="8"/>
        <v>42</v>
      </c>
      <c r="AJ16" s="20">
        <v>0</v>
      </c>
      <c r="AK16" s="21">
        <v>0</v>
      </c>
      <c r="AL16" s="20">
        <f t="shared" si="9"/>
        <v>0</v>
      </c>
      <c r="AM16" s="20">
        <v>0</v>
      </c>
      <c r="AN16" s="21">
        <v>0</v>
      </c>
      <c r="AO16" s="20">
        <f t="shared" si="10"/>
        <v>0</v>
      </c>
      <c r="AP16" s="21">
        <v>51.5</v>
      </c>
      <c r="AQ16" s="20">
        <v>0</v>
      </c>
      <c r="AR16" s="20">
        <f t="shared" si="11"/>
        <v>51.5</v>
      </c>
      <c r="AS16" s="20">
        <v>45</v>
      </c>
      <c r="AT16" s="21">
        <v>0</v>
      </c>
      <c r="AU16" s="20">
        <f t="shared" si="12"/>
        <v>45</v>
      </c>
      <c r="AV16" s="23">
        <f t="shared" si="13"/>
        <v>413.5</v>
      </c>
      <c r="AW16" s="22">
        <f t="shared" si="14"/>
        <v>0</v>
      </c>
      <c r="AX16" s="20">
        <f t="shared" si="15"/>
        <v>413.5</v>
      </c>
      <c r="AY16" s="28" t="s">
        <v>28</v>
      </c>
      <c r="AZ16" s="28" t="s">
        <v>28</v>
      </c>
      <c r="BA16" s="28" t="s">
        <v>352</v>
      </c>
      <c r="BB16" s="29">
        <v>42989</v>
      </c>
    </row>
    <row r="17" spans="1:54" hidden="1">
      <c r="A17" s="28" t="str">
        <f t="shared" si="0"/>
        <v>807201149765</v>
      </c>
      <c r="B17" s="30">
        <v>807201</v>
      </c>
      <c r="C17" s="30" t="s">
        <v>291</v>
      </c>
      <c r="D17" s="31">
        <v>149765</v>
      </c>
      <c r="E17" s="28" t="s">
        <v>142</v>
      </c>
      <c r="F17" s="28"/>
      <c r="G17" s="28"/>
      <c r="H17" s="28"/>
      <c r="I17" s="28"/>
      <c r="J17" s="28"/>
      <c r="K17" s="28"/>
      <c r="L17" s="20">
        <v>30</v>
      </c>
      <c r="M17" s="21">
        <v>0</v>
      </c>
      <c r="N17" s="20">
        <f t="shared" si="1"/>
        <v>30</v>
      </c>
      <c r="O17" s="20">
        <v>20</v>
      </c>
      <c r="P17" s="21">
        <v>0</v>
      </c>
      <c r="Q17" s="20">
        <f t="shared" si="2"/>
        <v>20</v>
      </c>
      <c r="R17" s="20">
        <v>13</v>
      </c>
      <c r="S17" s="22">
        <v>0</v>
      </c>
      <c r="T17" s="20">
        <f t="shared" si="3"/>
        <v>13</v>
      </c>
      <c r="U17" s="20">
        <v>0</v>
      </c>
      <c r="V17" s="21">
        <v>0</v>
      </c>
      <c r="W17" s="20">
        <f t="shared" si="4"/>
        <v>0</v>
      </c>
      <c r="X17" s="20">
        <v>30</v>
      </c>
      <c r="Y17" s="22">
        <v>0</v>
      </c>
      <c r="Z17" s="20">
        <f t="shared" si="5"/>
        <v>30</v>
      </c>
      <c r="AA17" s="20">
        <v>25</v>
      </c>
      <c r="AB17" s="22">
        <v>0</v>
      </c>
      <c r="AC17" s="20">
        <f t="shared" si="6"/>
        <v>25</v>
      </c>
      <c r="AD17" s="20">
        <v>20</v>
      </c>
      <c r="AE17" s="22">
        <v>0</v>
      </c>
      <c r="AF17" s="20">
        <f t="shared" si="7"/>
        <v>20</v>
      </c>
      <c r="AG17" s="20">
        <v>10</v>
      </c>
      <c r="AH17" s="21">
        <v>0</v>
      </c>
      <c r="AI17" s="20">
        <f t="shared" si="8"/>
        <v>10</v>
      </c>
      <c r="AJ17" s="20">
        <v>30</v>
      </c>
      <c r="AK17" s="21">
        <v>0</v>
      </c>
      <c r="AL17" s="20">
        <f t="shared" si="9"/>
        <v>30</v>
      </c>
      <c r="AM17" s="20">
        <v>20</v>
      </c>
      <c r="AN17" s="21">
        <v>0</v>
      </c>
      <c r="AO17" s="20">
        <f t="shared" si="10"/>
        <v>20</v>
      </c>
      <c r="AP17" s="21">
        <v>10</v>
      </c>
      <c r="AQ17" s="20">
        <v>0</v>
      </c>
      <c r="AR17" s="20">
        <f t="shared" si="11"/>
        <v>10</v>
      </c>
      <c r="AS17" s="20">
        <v>0</v>
      </c>
      <c r="AT17" s="21">
        <v>0</v>
      </c>
      <c r="AU17" s="20">
        <f t="shared" si="12"/>
        <v>0</v>
      </c>
      <c r="AV17" s="23">
        <f t="shared" si="13"/>
        <v>208</v>
      </c>
      <c r="AW17" s="22">
        <f t="shared" si="14"/>
        <v>0</v>
      </c>
      <c r="AX17" s="20">
        <f t="shared" si="15"/>
        <v>208</v>
      </c>
      <c r="AY17" s="28" t="s">
        <v>28</v>
      </c>
      <c r="AZ17" s="28" t="s">
        <v>28</v>
      </c>
      <c r="BA17" s="28" t="s">
        <v>352</v>
      </c>
      <c r="BB17" s="29">
        <v>43427</v>
      </c>
    </row>
    <row r="18" spans="1:54" hidden="1">
      <c r="A18" s="28" t="str">
        <f t="shared" si="0"/>
        <v>807228119042</v>
      </c>
      <c r="B18" s="30">
        <v>807228</v>
      </c>
      <c r="C18" s="30" t="s">
        <v>403</v>
      </c>
      <c r="D18" s="28">
        <v>119042</v>
      </c>
      <c r="E18" s="28" t="s">
        <v>153</v>
      </c>
      <c r="F18" s="28"/>
      <c r="G18" s="28"/>
      <c r="H18" s="28"/>
      <c r="I18" s="28"/>
      <c r="J18" s="28"/>
      <c r="K18" s="28"/>
      <c r="L18" s="20">
        <v>0</v>
      </c>
      <c r="M18" s="21">
        <v>0</v>
      </c>
      <c r="N18" s="20">
        <f t="shared" si="1"/>
        <v>0</v>
      </c>
      <c r="O18" s="20">
        <v>0</v>
      </c>
      <c r="P18" s="21">
        <v>0</v>
      </c>
      <c r="Q18" s="20">
        <f t="shared" si="2"/>
        <v>0</v>
      </c>
      <c r="R18" s="20">
        <v>0</v>
      </c>
      <c r="S18" s="22">
        <v>0</v>
      </c>
      <c r="T18" s="20">
        <f t="shared" si="3"/>
        <v>0</v>
      </c>
      <c r="U18" s="20">
        <v>10</v>
      </c>
      <c r="V18" s="21">
        <v>0</v>
      </c>
      <c r="W18" s="20">
        <f t="shared" si="4"/>
        <v>10</v>
      </c>
      <c r="X18" s="20">
        <v>27.5</v>
      </c>
      <c r="Y18" s="22">
        <v>0</v>
      </c>
      <c r="Z18" s="20">
        <f t="shared" si="5"/>
        <v>27.5</v>
      </c>
      <c r="AA18" s="20">
        <v>0</v>
      </c>
      <c r="AB18" s="22">
        <v>0</v>
      </c>
      <c r="AC18" s="20">
        <f t="shared" si="6"/>
        <v>0</v>
      </c>
      <c r="AD18" s="20">
        <v>0</v>
      </c>
      <c r="AE18" s="22">
        <v>0</v>
      </c>
      <c r="AF18" s="20">
        <f t="shared" si="7"/>
        <v>0</v>
      </c>
      <c r="AG18" s="20">
        <v>25</v>
      </c>
      <c r="AH18" s="21">
        <v>0</v>
      </c>
      <c r="AI18" s="20">
        <f t="shared" si="8"/>
        <v>25</v>
      </c>
      <c r="AJ18" s="20">
        <v>27.5</v>
      </c>
      <c r="AK18" s="21">
        <v>0</v>
      </c>
      <c r="AL18" s="20">
        <f t="shared" si="9"/>
        <v>27.5</v>
      </c>
      <c r="AM18" s="20">
        <v>10</v>
      </c>
      <c r="AN18" s="21">
        <v>0</v>
      </c>
      <c r="AO18" s="20">
        <f t="shared" si="10"/>
        <v>10</v>
      </c>
      <c r="AP18" s="21">
        <v>0</v>
      </c>
      <c r="AQ18" s="20">
        <v>0</v>
      </c>
      <c r="AR18" s="20">
        <f t="shared" si="11"/>
        <v>0</v>
      </c>
      <c r="AS18" s="20">
        <v>30</v>
      </c>
      <c r="AT18" s="21">
        <v>0</v>
      </c>
      <c r="AU18" s="20">
        <f t="shared" si="12"/>
        <v>30</v>
      </c>
      <c r="AV18" s="23">
        <f t="shared" si="13"/>
        <v>130</v>
      </c>
      <c r="AW18" s="22">
        <f t="shared" si="14"/>
        <v>0</v>
      </c>
      <c r="AX18" s="20">
        <f t="shared" si="15"/>
        <v>130</v>
      </c>
      <c r="AY18" s="28" t="s">
        <v>28</v>
      </c>
      <c r="AZ18" s="28" t="s">
        <v>28</v>
      </c>
      <c r="BA18" s="28" t="s">
        <v>352</v>
      </c>
      <c r="BB18" s="29">
        <v>43051</v>
      </c>
    </row>
    <row r="19" spans="1:54" hidden="1">
      <c r="A19" s="28" t="str">
        <f t="shared" si="0"/>
        <v>807929171880</v>
      </c>
      <c r="B19" s="30">
        <v>807929</v>
      </c>
      <c r="C19" s="30" t="s">
        <v>310</v>
      </c>
      <c r="D19" s="31">
        <v>171880</v>
      </c>
      <c r="E19" s="28" t="s">
        <v>259</v>
      </c>
      <c r="F19" s="28"/>
      <c r="G19" s="28"/>
      <c r="H19" s="28"/>
      <c r="I19" s="28"/>
      <c r="J19" s="28"/>
      <c r="K19" s="28"/>
      <c r="L19" s="20">
        <v>10</v>
      </c>
      <c r="M19" s="21">
        <v>0</v>
      </c>
      <c r="N19" s="20">
        <f t="shared" si="1"/>
        <v>10</v>
      </c>
      <c r="O19" s="20">
        <v>0</v>
      </c>
      <c r="P19" s="21">
        <v>0</v>
      </c>
      <c r="Q19" s="20">
        <f t="shared" si="2"/>
        <v>0</v>
      </c>
      <c r="R19" s="20">
        <v>0</v>
      </c>
      <c r="S19" s="22">
        <v>0</v>
      </c>
      <c r="T19" s="20">
        <f t="shared" si="3"/>
        <v>0</v>
      </c>
      <c r="U19" s="20">
        <v>40</v>
      </c>
      <c r="V19" s="21">
        <v>0</v>
      </c>
      <c r="W19" s="20">
        <f t="shared" si="4"/>
        <v>40</v>
      </c>
      <c r="X19" s="20">
        <v>10</v>
      </c>
      <c r="Y19" s="22">
        <v>0</v>
      </c>
      <c r="Z19" s="20">
        <f t="shared" si="5"/>
        <v>10</v>
      </c>
      <c r="AA19" s="20">
        <v>10</v>
      </c>
      <c r="AB19" s="22">
        <v>0</v>
      </c>
      <c r="AC19" s="20">
        <f t="shared" si="6"/>
        <v>10</v>
      </c>
      <c r="AD19" s="20">
        <v>25</v>
      </c>
      <c r="AE19" s="22">
        <v>0</v>
      </c>
      <c r="AF19" s="20">
        <f t="shared" si="7"/>
        <v>25</v>
      </c>
      <c r="AG19" s="20">
        <v>25</v>
      </c>
      <c r="AH19" s="21">
        <v>0</v>
      </c>
      <c r="AI19" s="20">
        <f t="shared" si="8"/>
        <v>25</v>
      </c>
      <c r="AJ19" s="20">
        <v>0</v>
      </c>
      <c r="AK19" s="21">
        <v>0</v>
      </c>
      <c r="AL19" s="20">
        <f t="shared" si="9"/>
        <v>0</v>
      </c>
      <c r="AM19" s="20">
        <v>0</v>
      </c>
      <c r="AN19" s="21">
        <v>0</v>
      </c>
      <c r="AO19" s="20">
        <f t="shared" si="10"/>
        <v>0</v>
      </c>
      <c r="AP19" s="21">
        <v>0</v>
      </c>
      <c r="AQ19" s="20">
        <v>0</v>
      </c>
      <c r="AR19" s="20">
        <f t="shared" si="11"/>
        <v>0</v>
      </c>
      <c r="AS19" s="20">
        <v>0</v>
      </c>
      <c r="AT19" s="21">
        <v>0</v>
      </c>
      <c r="AU19" s="20">
        <f t="shared" si="12"/>
        <v>0</v>
      </c>
      <c r="AV19" s="23">
        <f t="shared" si="13"/>
        <v>120</v>
      </c>
      <c r="AW19" s="22">
        <f t="shared" si="14"/>
        <v>0</v>
      </c>
      <c r="AX19" s="20">
        <f t="shared" si="15"/>
        <v>120</v>
      </c>
      <c r="AY19" s="28" t="s">
        <v>28</v>
      </c>
      <c r="AZ19" s="28" t="s">
        <v>28</v>
      </c>
      <c r="BA19" s="28" t="s">
        <v>352</v>
      </c>
      <c r="BB19" s="29">
        <v>43122</v>
      </c>
    </row>
    <row r="20" spans="1:54" hidden="1">
      <c r="A20" s="28" t="str">
        <f t="shared" si="0"/>
        <v>807929175288</v>
      </c>
      <c r="B20" s="30">
        <v>807929</v>
      </c>
      <c r="C20" s="30" t="s">
        <v>310</v>
      </c>
      <c r="D20" s="28">
        <v>175288</v>
      </c>
      <c r="E20" s="28" t="s">
        <v>87</v>
      </c>
      <c r="F20" s="28"/>
      <c r="G20" s="28"/>
      <c r="H20" s="28"/>
      <c r="I20" s="28"/>
      <c r="J20" s="28"/>
      <c r="K20" s="28"/>
      <c r="L20" s="20">
        <v>0</v>
      </c>
      <c r="M20" s="21">
        <v>0</v>
      </c>
      <c r="N20" s="20">
        <f t="shared" si="1"/>
        <v>0</v>
      </c>
      <c r="O20" s="20">
        <v>0</v>
      </c>
      <c r="P20" s="21">
        <v>0</v>
      </c>
      <c r="Q20" s="20">
        <f t="shared" si="2"/>
        <v>0</v>
      </c>
      <c r="R20" s="20">
        <v>0</v>
      </c>
      <c r="S20" s="22">
        <v>0</v>
      </c>
      <c r="T20" s="20">
        <f t="shared" si="3"/>
        <v>0</v>
      </c>
      <c r="U20" s="20">
        <v>0</v>
      </c>
      <c r="V20" s="21">
        <v>0</v>
      </c>
      <c r="W20" s="20">
        <f t="shared" si="4"/>
        <v>0</v>
      </c>
      <c r="X20" s="20">
        <v>0</v>
      </c>
      <c r="Y20" s="22">
        <v>0</v>
      </c>
      <c r="Z20" s="20">
        <f t="shared" si="5"/>
        <v>0</v>
      </c>
      <c r="AA20" s="20">
        <v>0</v>
      </c>
      <c r="AB20" s="22">
        <v>0</v>
      </c>
      <c r="AC20" s="20">
        <f t="shared" si="6"/>
        <v>0</v>
      </c>
      <c r="AD20" s="20">
        <v>0</v>
      </c>
      <c r="AE20" s="22">
        <v>0</v>
      </c>
      <c r="AF20" s="20">
        <f t="shared" si="7"/>
        <v>0</v>
      </c>
      <c r="AG20" s="20">
        <v>0</v>
      </c>
      <c r="AH20" s="21">
        <v>0</v>
      </c>
      <c r="AI20" s="20">
        <f t="shared" si="8"/>
        <v>0</v>
      </c>
      <c r="AJ20" s="20">
        <v>10</v>
      </c>
      <c r="AK20" s="21">
        <v>0</v>
      </c>
      <c r="AL20" s="20">
        <f t="shared" si="9"/>
        <v>10</v>
      </c>
      <c r="AM20" s="20">
        <v>0</v>
      </c>
      <c r="AN20" s="21">
        <v>0</v>
      </c>
      <c r="AO20" s="20">
        <f t="shared" si="10"/>
        <v>0</v>
      </c>
      <c r="AP20" s="21">
        <v>10</v>
      </c>
      <c r="AQ20" s="20">
        <v>0</v>
      </c>
      <c r="AR20" s="20">
        <f t="shared" si="11"/>
        <v>10</v>
      </c>
      <c r="AS20" s="20">
        <v>10</v>
      </c>
      <c r="AT20" s="21">
        <v>0</v>
      </c>
      <c r="AU20" s="20">
        <f t="shared" si="12"/>
        <v>10</v>
      </c>
      <c r="AV20" s="23">
        <f t="shared" si="13"/>
        <v>30</v>
      </c>
      <c r="AW20" s="22">
        <f t="shared" si="14"/>
        <v>0</v>
      </c>
      <c r="AX20" s="20">
        <f t="shared" si="15"/>
        <v>30</v>
      </c>
      <c r="AY20" s="28" t="s">
        <v>28</v>
      </c>
      <c r="AZ20" s="28" t="s">
        <v>28</v>
      </c>
      <c r="BA20" s="28" t="s">
        <v>352</v>
      </c>
      <c r="BB20" s="29">
        <v>43122</v>
      </c>
    </row>
    <row r="21" spans="1:54" hidden="1">
      <c r="A21" s="28" t="str">
        <f t="shared" si="0"/>
        <v>808275143509</v>
      </c>
      <c r="B21" s="30">
        <v>808275</v>
      </c>
      <c r="C21" s="30" t="s">
        <v>267</v>
      </c>
      <c r="D21" s="31">
        <v>143509</v>
      </c>
      <c r="E21" s="28" t="s">
        <v>62</v>
      </c>
      <c r="F21" s="28"/>
      <c r="G21" s="28"/>
      <c r="H21" s="28"/>
      <c r="I21" s="28"/>
      <c r="J21" s="28"/>
      <c r="K21" s="28"/>
      <c r="L21" s="20">
        <v>58.85</v>
      </c>
      <c r="M21" s="21">
        <v>0</v>
      </c>
      <c r="N21" s="20">
        <f t="shared" si="1"/>
        <v>58.85</v>
      </c>
      <c r="O21" s="20">
        <v>70</v>
      </c>
      <c r="P21" s="21">
        <v>0</v>
      </c>
      <c r="Q21" s="20">
        <f t="shared" si="2"/>
        <v>70</v>
      </c>
      <c r="R21" s="20">
        <v>98.85</v>
      </c>
      <c r="S21" s="22">
        <v>0</v>
      </c>
      <c r="T21" s="20">
        <f t="shared" si="3"/>
        <v>98.85</v>
      </c>
      <c r="U21" s="20">
        <v>95</v>
      </c>
      <c r="V21" s="21">
        <v>0</v>
      </c>
      <c r="W21" s="20">
        <f t="shared" si="4"/>
        <v>95</v>
      </c>
      <c r="X21" s="20">
        <v>95</v>
      </c>
      <c r="Y21" s="22">
        <v>2.5</v>
      </c>
      <c r="Z21" s="20">
        <f t="shared" si="5"/>
        <v>97.5</v>
      </c>
      <c r="AA21" s="20">
        <v>83.65</v>
      </c>
      <c r="AB21" s="22">
        <v>10.75</v>
      </c>
      <c r="AC21" s="20">
        <f t="shared" si="6"/>
        <v>94.4</v>
      </c>
      <c r="AD21" s="20">
        <v>10</v>
      </c>
      <c r="AE21" s="22">
        <v>0</v>
      </c>
      <c r="AF21" s="20">
        <f t="shared" si="7"/>
        <v>10</v>
      </c>
      <c r="AG21" s="20">
        <v>40</v>
      </c>
      <c r="AH21" s="21">
        <v>0</v>
      </c>
      <c r="AI21" s="20">
        <f t="shared" si="8"/>
        <v>40</v>
      </c>
      <c r="AJ21" s="20">
        <v>125</v>
      </c>
      <c r="AK21" s="21">
        <v>0</v>
      </c>
      <c r="AL21" s="20">
        <f t="shared" si="9"/>
        <v>125</v>
      </c>
      <c r="AM21" s="20">
        <v>0</v>
      </c>
      <c r="AN21" s="21">
        <v>0</v>
      </c>
      <c r="AO21" s="20">
        <f t="shared" si="10"/>
        <v>0</v>
      </c>
      <c r="AP21" s="21">
        <v>40</v>
      </c>
      <c r="AQ21" s="20">
        <v>0</v>
      </c>
      <c r="AR21" s="20">
        <f t="shared" si="11"/>
        <v>40</v>
      </c>
      <c r="AS21" s="20">
        <v>30</v>
      </c>
      <c r="AT21" s="21">
        <v>0</v>
      </c>
      <c r="AU21" s="20">
        <f t="shared" si="12"/>
        <v>30</v>
      </c>
      <c r="AV21" s="23">
        <f t="shared" si="13"/>
        <v>746.35</v>
      </c>
      <c r="AW21" s="22">
        <f t="shared" si="14"/>
        <v>13.25</v>
      </c>
      <c r="AX21" s="20">
        <f t="shared" si="15"/>
        <v>759.6</v>
      </c>
      <c r="AY21" s="28" t="s">
        <v>28</v>
      </c>
      <c r="AZ21" s="28" t="s">
        <v>28</v>
      </c>
      <c r="BA21" s="28" t="s">
        <v>352</v>
      </c>
      <c r="BB21" s="29">
        <v>43217</v>
      </c>
    </row>
    <row r="22" spans="1:54" hidden="1">
      <c r="A22" s="28" t="str">
        <f t="shared" si="0"/>
        <v>808547143509</v>
      </c>
      <c r="B22" s="30">
        <v>808547</v>
      </c>
      <c r="C22" s="30" t="s">
        <v>320</v>
      </c>
      <c r="D22" s="31">
        <v>143509</v>
      </c>
      <c r="E22" s="28" t="s">
        <v>62</v>
      </c>
      <c r="F22" s="28"/>
      <c r="G22" s="28"/>
      <c r="H22" s="28"/>
      <c r="I22" s="28"/>
      <c r="J22" s="28"/>
      <c r="K22" s="28"/>
      <c r="L22" s="20">
        <v>20</v>
      </c>
      <c r="M22" s="21">
        <v>0</v>
      </c>
      <c r="N22" s="20">
        <f t="shared" si="1"/>
        <v>20</v>
      </c>
      <c r="O22" s="20">
        <v>30</v>
      </c>
      <c r="P22" s="21">
        <v>0</v>
      </c>
      <c r="Q22" s="20">
        <f t="shared" si="2"/>
        <v>30</v>
      </c>
      <c r="R22" s="20">
        <v>58.25</v>
      </c>
      <c r="S22" s="22">
        <v>0</v>
      </c>
      <c r="T22" s="20">
        <f t="shared" si="3"/>
        <v>58.25</v>
      </c>
      <c r="U22" s="20">
        <v>35</v>
      </c>
      <c r="V22" s="21">
        <v>0</v>
      </c>
      <c r="W22" s="20">
        <f t="shared" si="4"/>
        <v>35</v>
      </c>
      <c r="X22" s="20">
        <v>50</v>
      </c>
      <c r="Y22" s="22">
        <v>0</v>
      </c>
      <c r="Z22" s="20">
        <f t="shared" si="5"/>
        <v>50</v>
      </c>
      <c r="AA22" s="20">
        <v>33</v>
      </c>
      <c r="AB22" s="22">
        <v>12</v>
      </c>
      <c r="AC22" s="20">
        <f t="shared" si="6"/>
        <v>45</v>
      </c>
      <c r="AD22" s="20">
        <v>10</v>
      </c>
      <c r="AE22" s="22">
        <v>0</v>
      </c>
      <c r="AF22" s="20">
        <f t="shared" si="7"/>
        <v>10</v>
      </c>
      <c r="AG22" s="20">
        <v>54.75</v>
      </c>
      <c r="AH22" s="21">
        <v>10</v>
      </c>
      <c r="AI22" s="20">
        <f t="shared" si="8"/>
        <v>64.75</v>
      </c>
      <c r="AJ22" s="20">
        <v>105</v>
      </c>
      <c r="AK22" s="21">
        <v>0</v>
      </c>
      <c r="AL22" s="20">
        <f t="shared" si="9"/>
        <v>105</v>
      </c>
      <c r="AM22" s="20">
        <v>0</v>
      </c>
      <c r="AN22" s="21">
        <v>0</v>
      </c>
      <c r="AO22" s="20">
        <f t="shared" si="10"/>
        <v>0</v>
      </c>
      <c r="AP22" s="21">
        <v>45</v>
      </c>
      <c r="AQ22" s="20">
        <v>0</v>
      </c>
      <c r="AR22" s="20">
        <f t="shared" si="11"/>
        <v>45</v>
      </c>
      <c r="AS22" s="20">
        <v>65</v>
      </c>
      <c r="AT22" s="21">
        <v>0</v>
      </c>
      <c r="AU22" s="20">
        <f t="shared" si="12"/>
        <v>65</v>
      </c>
      <c r="AV22" s="23">
        <f t="shared" si="13"/>
        <v>506</v>
      </c>
      <c r="AW22" s="22">
        <f t="shared" si="14"/>
        <v>22</v>
      </c>
      <c r="AX22" s="20">
        <f t="shared" si="15"/>
        <v>528</v>
      </c>
      <c r="AY22" s="28" t="s">
        <v>28</v>
      </c>
      <c r="AZ22" s="28" t="s">
        <v>28</v>
      </c>
      <c r="BA22" s="28" t="s">
        <v>352</v>
      </c>
      <c r="BB22" s="29">
        <v>43260</v>
      </c>
    </row>
    <row r="23" spans="1:54" hidden="1">
      <c r="A23" s="28" t="str">
        <f t="shared" si="0"/>
        <v>809466119046</v>
      </c>
      <c r="B23" s="30">
        <v>809466</v>
      </c>
      <c r="C23" s="30" t="s">
        <v>76</v>
      </c>
      <c r="D23" s="31">
        <v>119046</v>
      </c>
      <c r="E23" s="28" t="s">
        <v>31</v>
      </c>
      <c r="F23" s="28"/>
      <c r="G23" s="28"/>
      <c r="H23" s="28"/>
      <c r="I23" s="28"/>
      <c r="J23" s="28"/>
      <c r="K23" s="28"/>
      <c r="L23" s="20">
        <v>85</v>
      </c>
      <c r="M23" s="21">
        <v>0</v>
      </c>
      <c r="N23" s="20">
        <f t="shared" si="1"/>
        <v>85</v>
      </c>
      <c r="O23" s="20">
        <v>104.5</v>
      </c>
      <c r="P23" s="21">
        <v>0</v>
      </c>
      <c r="Q23" s="20">
        <f t="shared" si="2"/>
        <v>104.5</v>
      </c>
      <c r="R23" s="20">
        <v>90</v>
      </c>
      <c r="S23" s="22">
        <v>0</v>
      </c>
      <c r="T23" s="20">
        <f t="shared" si="3"/>
        <v>90</v>
      </c>
      <c r="U23" s="20">
        <v>40</v>
      </c>
      <c r="V23" s="21">
        <v>0</v>
      </c>
      <c r="W23" s="20">
        <f t="shared" si="4"/>
        <v>40</v>
      </c>
      <c r="X23" s="20">
        <v>25</v>
      </c>
      <c r="Y23" s="22">
        <v>0</v>
      </c>
      <c r="Z23" s="20">
        <f t="shared" si="5"/>
        <v>25</v>
      </c>
      <c r="AA23" s="20">
        <v>45</v>
      </c>
      <c r="AB23" s="22">
        <v>0</v>
      </c>
      <c r="AC23" s="20">
        <f t="shared" si="6"/>
        <v>45</v>
      </c>
      <c r="AD23" s="20">
        <v>14</v>
      </c>
      <c r="AE23" s="22">
        <v>0</v>
      </c>
      <c r="AF23" s="20">
        <f t="shared" si="7"/>
        <v>14</v>
      </c>
      <c r="AG23" s="20">
        <v>10</v>
      </c>
      <c r="AH23" s="21">
        <v>0</v>
      </c>
      <c r="AI23" s="20">
        <f t="shared" si="8"/>
        <v>10</v>
      </c>
      <c r="AJ23" s="20">
        <v>30</v>
      </c>
      <c r="AK23" s="21">
        <v>0</v>
      </c>
      <c r="AL23" s="20">
        <f t="shared" si="9"/>
        <v>30</v>
      </c>
      <c r="AM23" s="20">
        <v>10</v>
      </c>
      <c r="AN23" s="21">
        <v>0</v>
      </c>
      <c r="AO23" s="20">
        <f t="shared" si="10"/>
        <v>10</v>
      </c>
      <c r="AP23" s="21">
        <v>60</v>
      </c>
      <c r="AQ23" s="20">
        <v>0</v>
      </c>
      <c r="AR23" s="20">
        <f t="shared" si="11"/>
        <v>60</v>
      </c>
      <c r="AS23" s="20">
        <v>0</v>
      </c>
      <c r="AT23" s="21">
        <v>0</v>
      </c>
      <c r="AU23" s="20">
        <f t="shared" si="12"/>
        <v>0</v>
      </c>
      <c r="AV23" s="23">
        <f t="shared" si="13"/>
        <v>513.5</v>
      </c>
      <c r="AW23" s="22">
        <f t="shared" si="14"/>
        <v>0</v>
      </c>
      <c r="AX23" s="20">
        <f t="shared" si="15"/>
        <v>513.5</v>
      </c>
      <c r="AY23" s="28" t="s">
        <v>28</v>
      </c>
      <c r="AZ23" s="28" t="s">
        <v>28</v>
      </c>
      <c r="BA23" s="28" t="s">
        <v>352</v>
      </c>
      <c r="BB23" s="29">
        <v>43587</v>
      </c>
    </row>
    <row r="24" spans="1:54" hidden="1">
      <c r="A24" s="28" t="str">
        <f t="shared" si="0"/>
        <v>809467175288</v>
      </c>
      <c r="B24" s="30">
        <v>809467</v>
      </c>
      <c r="C24" s="30" t="s">
        <v>250</v>
      </c>
      <c r="D24" s="31">
        <v>175288</v>
      </c>
      <c r="E24" s="28" t="s">
        <v>87</v>
      </c>
      <c r="F24" s="28"/>
      <c r="G24" s="28"/>
      <c r="H24" s="28"/>
      <c r="I24" s="28"/>
      <c r="J24" s="28"/>
      <c r="K24" s="28"/>
      <c r="L24" s="20">
        <v>30</v>
      </c>
      <c r="M24" s="21">
        <v>0</v>
      </c>
      <c r="N24" s="20">
        <f t="shared" si="1"/>
        <v>30</v>
      </c>
      <c r="O24" s="20">
        <v>0</v>
      </c>
      <c r="P24" s="21">
        <v>0</v>
      </c>
      <c r="Q24" s="20">
        <f t="shared" si="2"/>
        <v>0</v>
      </c>
      <c r="R24" s="20">
        <v>0</v>
      </c>
      <c r="S24" s="22">
        <v>0</v>
      </c>
      <c r="T24" s="20">
        <f t="shared" si="3"/>
        <v>0</v>
      </c>
      <c r="U24" s="20">
        <v>0</v>
      </c>
      <c r="V24" s="21">
        <v>0</v>
      </c>
      <c r="W24" s="20">
        <f t="shared" si="4"/>
        <v>0</v>
      </c>
      <c r="X24" s="20">
        <v>0</v>
      </c>
      <c r="Y24" s="22">
        <v>0</v>
      </c>
      <c r="Z24" s="20">
        <f t="shared" si="5"/>
        <v>0</v>
      </c>
      <c r="AA24" s="20">
        <v>0</v>
      </c>
      <c r="AB24" s="22">
        <v>0</v>
      </c>
      <c r="AC24" s="20">
        <f t="shared" si="6"/>
        <v>0</v>
      </c>
      <c r="AD24" s="20">
        <v>15</v>
      </c>
      <c r="AE24" s="22">
        <v>0</v>
      </c>
      <c r="AF24" s="20">
        <f t="shared" si="7"/>
        <v>15</v>
      </c>
      <c r="AG24" s="20">
        <v>45</v>
      </c>
      <c r="AH24" s="21">
        <v>0</v>
      </c>
      <c r="AI24" s="20">
        <f t="shared" si="8"/>
        <v>45</v>
      </c>
      <c r="AJ24" s="20">
        <v>115</v>
      </c>
      <c r="AK24" s="21">
        <v>0</v>
      </c>
      <c r="AL24" s="20">
        <f t="shared" si="9"/>
        <v>115</v>
      </c>
      <c r="AM24" s="20">
        <v>50</v>
      </c>
      <c r="AN24" s="21">
        <v>0</v>
      </c>
      <c r="AO24" s="20">
        <f t="shared" si="10"/>
        <v>50</v>
      </c>
      <c r="AP24" s="21">
        <v>40</v>
      </c>
      <c r="AQ24" s="20">
        <v>0</v>
      </c>
      <c r="AR24" s="20">
        <f t="shared" si="11"/>
        <v>40</v>
      </c>
      <c r="AS24" s="20">
        <v>105</v>
      </c>
      <c r="AT24" s="21">
        <v>0</v>
      </c>
      <c r="AU24" s="20">
        <f t="shared" si="12"/>
        <v>105</v>
      </c>
      <c r="AV24" s="23">
        <f t="shared" si="13"/>
        <v>400</v>
      </c>
      <c r="AW24" s="22">
        <f t="shared" si="14"/>
        <v>0</v>
      </c>
      <c r="AX24" s="20">
        <f t="shared" si="15"/>
        <v>400</v>
      </c>
      <c r="AY24" s="28" t="s">
        <v>28</v>
      </c>
      <c r="AZ24" s="28" t="s">
        <v>28</v>
      </c>
      <c r="BA24" s="28" t="s">
        <v>352</v>
      </c>
      <c r="BB24" s="29">
        <v>43587</v>
      </c>
    </row>
    <row r="25" spans="1:54" hidden="1">
      <c r="A25" s="28" t="str">
        <f t="shared" si="0"/>
        <v>809507172712</v>
      </c>
      <c r="B25" s="30">
        <v>809507</v>
      </c>
      <c r="C25" s="30" t="s">
        <v>278</v>
      </c>
      <c r="D25" s="31">
        <v>172712</v>
      </c>
      <c r="E25" s="28" t="s">
        <v>277</v>
      </c>
      <c r="F25" s="28"/>
      <c r="G25" s="28"/>
      <c r="H25" s="28"/>
      <c r="I25" s="28"/>
      <c r="J25" s="28"/>
      <c r="K25" s="28"/>
      <c r="L25" s="20">
        <v>40</v>
      </c>
      <c r="M25" s="21">
        <v>0</v>
      </c>
      <c r="N25" s="20">
        <f t="shared" si="1"/>
        <v>40</v>
      </c>
      <c r="O25" s="20">
        <v>35</v>
      </c>
      <c r="P25" s="21">
        <v>0</v>
      </c>
      <c r="Q25" s="20">
        <f t="shared" si="2"/>
        <v>35</v>
      </c>
      <c r="R25" s="20">
        <v>56</v>
      </c>
      <c r="S25" s="22">
        <v>0</v>
      </c>
      <c r="T25" s="20">
        <f t="shared" si="3"/>
        <v>56</v>
      </c>
      <c r="U25" s="20">
        <v>30.5</v>
      </c>
      <c r="V25" s="21">
        <v>0</v>
      </c>
      <c r="W25" s="20">
        <f t="shared" si="4"/>
        <v>30.5</v>
      </c>
      <c r="X25" s="20">
        <v>42.5</v>
      </c>
      <c r="Y25" s="22">
        <v>0</v>
      </c>
      <c r="Z25" s="20">
        <f t="shared" si="5"/>
        <v>42.5</v>
      </c>
      <c r="AA25" s="20">
        <v>43.5</v>
      </c>
      <c r="AB25" s="22">
        <v>0</v>
      </c>
      <c r="AC25" s="20">
        <f t="shared" si="6"/>
        <v>43.5</v>
      </c>
      <c r="AD25" s="20">
        <v>53</v>
      </c>
      <c r="AE25" s="22">
        <v>0</v>
      </c>
      <c r="AF25" s="20">
        <f t="shared" si="7"/>
        <v>53</v>
      </c>
      <c r="AG25" s="20">
        <v>46</v>
      </c>
      <c r="AH25" s="21">
        <v>11</v>
      </c>
      <c r="AI25" s="20">
        <f t="shared" si="8"/>
        <v>57</v>
      </c>
      <c r="AJ25" s="20">
        <v>25</v>
      </c>
      <c r="AK25" s="21">
        <v>0</v>
      </c>
      <c r="AL25" s="20">
        <f t="shared" si="9"/>
        <v>25</v>
      </c>
      <c r="AM25" s="20">
        <v>37</v>
      </c>
      <c r="AN25" s="21">
        <v>0</v>
      </c>
      <c r="AO25" s="20">
        <f t="shared" si="10"/>
        <v>37</v>
      </c>
      <c r="AP25" s="21">
        <v>35</v>
      </c>
      <c r="AQ25" s="20">
        <v>0</v>
      </c>
      <c r="AR25" s="20">
        <f t="shared" si="11"/>
        <v>35</v>
      </c>
      <c r="AS25" s="20">
        <v>35</v>
      </c>
      <c r="AT25" s="21">
        <v>0</v>
      </c>
      <c r="AU25" s="20">
        <f t="shared" si="12"/>
        <v>35</v>
      </c>
      <c r="AV25" s="23">
        <f t="shared" si="13"/>
        <v>478.5</v>
      </c>
      <c r="AW25" s="22">
        <f t="shared" si="14"/>
        <v>11</v>
      </c>
      <c r="AX25" s="20">
        <f t="shared" si="15"/>
        <v>489.5</v>
      </c>
      <c r="AY25" s="28" t="s">
        <v>28</v>
      </c>
      <c r="AZ25" s="28" t="s">
        <v>28</v>
      </c>
      <c r="BA25" s="28" t="s">
        <v>352</v>
      </c>
      <c r="BB25" s="29">
        <v>43593</v>
      </c>
    </row>
    <row r="26" spans="1:54" hidden="1">
      <c r="A26" s="28" t="str">
        <f t="shared" si="0"/>
        <v>809569171880</v>
      </c>
      <c r="B26" s="28">
        <v>809569</v>
      </c>
      <c r="C26" s="28" t="s">
        <v>359</v>
      </c>
      <c r="D26" s="28">
        <v>171880</v>
      </c>
      <c r="E26" s="28" t="s">
        <v>259</v>
      </c>
      <c r="F26" s="28"/>
      <c r="G26" s="28"/>
      <c r="H26" s="28"/>
      <c r="I26" s="28"/>
      <c r="J26" s="28"/>
      <c r="K26" s="28"/>
      <c r="L26" s="20">
        <v>0</v>
      </c>
      <c r="M26" s="21">
        <v>0</v>
      </c>
      <c r="N26" s="20">
        <f t="shared" si="1"/>
        <v>0</v>
      </c>
      <c r="O26" s="20">
        <v>10</v>
      </c>
      <c r="P26" s="21">
        <v>0</v>
      </c>
      <c r="Q26" s="20">
        <f t="shared" si="2"/>
        <v>10</v>
      </c>
      <c r="R26" s="20">
        <v>0</v>
      </c>
      <c r="S26" s="22">
        <v>0</v>
      </c>
      <c r="T26" s="20">
        <f t="shared" si="3"/>
        <v>0</v>
      </c>
      <c r="U26" s="20">
        <v>10</v>
      </c>
      <c r="V26" s="21">
        <v>0</v>
      </c>
      <c r="W26" s="20">
        <f t="shared" si="4"/>
        <v>10</v>
      </c>
      <c r="X26" s="20">
        <v>0</v>
      </c>
      <c r="Y26" s="22">
        <v>0</v>
      </c>
      <c r="Z26" s="20">
        <f t="shared" si="5"/>
        <v>0</v>
      </c>
      <c r="AA26" s="20">
        <v>25</v>
      </c>
      <c r="AB26" s="22">
        <v>0</v>
      </c>
      <c r="AC26" s="20">
        <f t="shared" si="6"/>
        <v>25</v>
      </c>
      <c r="AD26" s="20">
        <v>10</v>
      </c>
      <c r="AE26" s="22">
        <v>0</v>
      </c>
      <c r="AF26" s="20">
        <f t="shared" si="7"/>
        <v>10</v>
      </c>
      <c r="AG26" s="20">
        <v>0</v>
      </c>
      <c r="AH26" s="21">
        <v>0</v>
      </c>
      <c r="AI26" s="20">
        <f t="shared" si="8"/>
        <v>0</v>
      </c>
      <c r="AJ26" s="20">
        <v>0</v>
      </c>
      <c r="AK26" s="21">
        <v>0</v>
      </c>
      <c r="AL26" s="20">
        <f t="shared" si="9"/>
        <v>0</v>
      </c>
      <c r="AM26" s="20">
        <v>0</v>
      </c>
      <c r="AN26" s="21">
        <v>0</v>
      </c>
      <c r="AO26" s="20">
        <f t="shared" si="10"/>
        <v>0</v>
      </c>
      <c r="AP26" s="21">
        <v>0</v>
      </c>
      <c r="AQ26" s="20">
        <v>0</v>
      </c>
      <c r="AR26" s="20">
        <f t="shared" si="11"/>
        <v>0</v>
      </c>
      <c r="AS26" s="20">
        <v>0</v>
      </c>
      <c r="AT26" s="21">
        <v>0</v>
      </c>
      <c r="AU26" s="20">
        <f t="shared" si="12"/>
        <v>0</v>
      </c>
      <c r="AV26" s="23">
        <f t="shared" si="13"/>
        <v>55</v>
      </c>
      <c r="AW26" s="22">
        <f t="shared" si="14"/>
        <v>0</v>
      </c>
      <c r="AX26" s="20">
        <f t="shared" si="15"/>
        <v>55</v>
      </c>
      <c r="AY26" s="28" t="s">
        <v>28</v>
      </c>
      <c r="AZ26" s="28" t="s">
        <v>28</v>
      </c>
      <c r="BA26" s="28" t="s">
        <v>352</v>
      </c>
      <c r="BB26" s="29">
        <v>43602</v>
      </c>
    </row>
    <row r="27" spans="1:54" hidden="1">
      <c r="A27" s="28" t="str">
        <f t="shared" si="0"/>
        <v>809785149765</v>
      </c>
      <c r="B27" s="30">
        <v>809785</v>
      </c>
      <c r="C27" s="30" t="s">
        <v>143</v>
      </c>
      <c r="D27" s="31">
        <v>149765</v>
      </c>
      <c r="E27" s="28" t="s">
        <v>142</v>
      </c>
      <c r="F27" s="28"/>
      <c r="G27" s="28"/>
      <c r="H27" s="28"/>
      <c r="I27" s="28"/>
      <c r="J27" s="28"/>
      <c r="K27" s="28"/>
      <c r="L27" s="20">
        <v>92</v>
      </c>
      <c r="M27" s="21">
        <v>20</v>
      </c>
      <c r="N27" s="20">
        <f t="shared" si="1"/>
        <v>112</v>
      </c>
      <c r="O27" s="20">
        <v>95</v>
      </c>
      <c r="P27" s="21">
        <v>35</v>
      </c>
      <c r="Q27" s="20">
        <f t="shared" si="2"/>
        <v>130</v>
      </c>
      <c r="R27" s="20">
        <v>120</v>
      </c>
      <c r="S27" s="22">
        <v>30</v>
      </c>
      <c r="T27" s="20">
        <f t="shared" si="3"/>
        <v>150</v>
      </c>
      <c r="U27" s="20">
        <v>40</v>
      </c>
      <c r="V27" s="21">
        <v>0</v>
      </c>
      <c r="W27" s="20">
        <f t="shared" si="4"/>
        <v>40</v>
      </c>
      <c r="X27" s="20">
        <v>78</v>
      </c>
      <c r="Y27" s="22">
        <v>18</v>
      </c>
      <c r="Z27" s="20">
        <f t="shared" si="5"/>
        <v>96</v>
      </c>
      <c r="AA27" s="20">
        <v>65</v>
      </c>
      <c r="AB27" s="22">
        <v>10</v>
      </c>
      <c r="AC27" s="20">
        <f t="shared" si="6"/>
        <v>75</v>
      </c>
      <c r="AD27" s="20">
        <v>133</v>
      </c>
      <c r="AE27" s="22">
        <v>0</v>
      </c>
      <c r="AF27" s="20">
        <f t="shared" si="7"/>
        <v>133</v>
      </c>
      <c r="AG27" s="20">
        <v>114</v>
      </c>
      <c r="AH27" s="21">
        <v>20</v>
      </c>
      <c r="AI27" s="20">
        <f t="shared" si="8"/>
        <v>134</v>
      </c>
      <c r="AJ27" s="20">
        <v>205</v>
      </c>
      <c r="AK27" s="21">
        <v>31</v>
      </c>
      <c r="AL27" s="20">
        <f t="shared" si="9"/>
        <v>236</v>
      </c>
      <c r="AM27" s="20">
        <v>49</v>
      </c>
      <c r="AN27" s="21">
        <v>0</v>
      </c>
      <c r="AO27" s="20">
        <f t="shared" si="10"/>
        <v>49</v>
      </c>
      <c r="AP27" s="21">
        <v>105</v>
      </c>
      <c r="AQ27" s="20">
        <v>0</v>
      </c>
      <c r="AR27" s="20">
        <f t="shared" si="11"/>
        <v>105</v>
      </c>
      <c r="AS27" s="20">
        <v>105.9</v>
      </c>
      <c r="AT27" s="21">
        <v>8.9</v>
      </c>
      <c r="AU27" s="20">
        <f t="shared" si="12"/>
        <v>114.80000000000001</v>
      </c>
      <c r="AV27" s="23">
        <f t="shared" si="13"/>
        <v>1201.9000000000001</v>
      </c>
      <c r="AW27" s="22">
        <f t="shared" si="14"/>
        <v>172.9</v>
      </c>
      <c r="AX27" s="20">
        <f t="shared" si="15"/>
        <v>1374.8000000000002</v>
      </c>
      <c r="AY27" s="28" t="s">
        <v>28</v>
      </c>
      <c r="AZ27" s="28" t="s">
        <v>28</v>
      </c>
      <c r="BA27" s="28" t="s">
        <v>352</v>
      </c>
      <c r="BB27" s="29">
        <v>43640</v>
      </c>
    </row>
    <row r="28" spans="1:54" hidden="1">
      <c r="A28" s="28" t="str">
        <f t="shared" si="0"/>
        <v>810055175288</v>
      </c>
      <c r="B28" s="30">
        <v>810055</v>
      </c>
      <c r="C28" s="30" t="s">
        <v>215</v>
      </c>
      <c r="D28" s="31">
        <v>175288</v>
      </c>
      <c r="E28" s="28" t="s">
        <v>87</v>
      </c>
      <c r="F28" s="28"/>
      <c r="G28" s="28"/>
      <c r="H28" s="28"/>
      <c r="I28" s="28"/>
      <c r="J28" s="28"/>
      <c r="K28" s="28"/>
      <c r="L28" s="20">
        <v>432</v>
      </c>
      <c r="M28" s="21">
        <v>53</v>
      </c>
      <c r="N28" s="20">
        <f t="shared" si="1"/>
        <v>485</v>
      </c>
      <c r="O28" s="20">
        <v>400</v>
      </c>
      <c r="P28" s="21">
        <v>90</v>
      </c>
      <c r="Q28" s="20">
        <f t="shared" si="2"/>
        <v>490</v>
      </c>
      <c r="R28" s="20">
        <v>280.5</v>
      </c>
      <c r="S28" s="22">
        <v>20</v>
      </c>
      <c r="T28" s="20">
        <f t="shared" si="3"/>
        <v>300.5</v>
      </c>
      <c r="U28" s="20">
        <v>380</v>
      </c>
      <c r="V28" s="21">
        <v>70</v>
      </c>
      <c r="W28" s="20">
        <f t="shared" si="4"/>
        <v>450</v>
      </c>
      <c r="X28" s="20">
        <v>175</v>
      </c>
      <c r="Y28" s="22">
        <v>45</v>
      </c>
      <c r="Z28" s="20">
        <f t="shared" si="5"/>
        <v>220</v>
      </c>
      <c r="AA28" s="20">
        <v>420</v>
      </c>
      <c r="AB28" s="22">
        <v>110</v>
      </c>
      <c r="AC28" s="20">
        <f t="shared" si="6"/>
        <v>530</v>
      </c>
      <c r="AD28" s="20">
        <v>320</v>
      </c>
      <c r="AE28" s="22">
        <v>15</v>
      </c>
      <c r="AF28" s="20">
        <f t="shared" si="7"/>
        <v>335</v>
      </c>
      <c r="AG28" s="20">
        <v>275</v>
      </c>
      <c r="AH28" s="21">
        <v>50</v>
      </c>
      <c r="AI28" s="20">
        <f t="shared" si="8"/>
        <v>325</v>
      </c>
      <c r="AJ28" s="20">
        <v>421</v>
      </c>
      <c r="AK28" s="21">
        <v>60</v>
      </c>
      <c r="AL28" s="20">
        <f t="shared" si="9"/>
        <v>481</v>
      </c>
      <c r="AM28" s="20">
        <v>308</v>
      </c>
      <c r="AN28" s="21">
        <v>63</v>
      </c>
      <c r="AO28" s="20">
        <f t="shared" si="10"/>
        <v>371</v>
      </c>
      <c r="AP28" s="21">
        <v>265</v>
      </c>
      <c r="AQ28" s="20">
        <v>45</v>
      </c>
      <c r="AR28" s="20">
        <f t="shared" si="11"/>
        <v>310</v>
      </c>
      <c r="AS28" s="20">
        <v>309</v>
      </c>
      <c r="AT28" s="21">
        <v>20</v>
      </c>
      <c r="AU28" s="20">
        <f t="shared" si="12"/>
        <v>329</v>
      </c>
      <c r="AV28" s="23">
        <f t="shared" si="13"/>
        <v>3985.5</v>
      </c>
      <c r="AW28" s="22">
        <f t="shared" si="14"/>
        <v>641</v>
      </c>
      <c r="AX28" s="20">
        <f t="shared" si="15"/>
        <v>4626.5</v>
      </c>
      <c r="AY28" s="28" t="s">
        <v>28</v>
      </c>
      <c r="AZ28" s="28" t="s">
        <v>28</v>
      </c>
      <c r="BA28" s="28" t="s">
        <v>352</v>
      </c>
      <c r="BB28" s="29">
        <v>43673</v>
      </c>
    </row>
    <row r="29" spans="1:54" hidden="1">
      <c r="A29" s="28" t="str">
        <f t="shared" si="0"/>
        <v>810120148557</v>
      </c>
      <c r="B29" s="30">
        <v>810120</v>
      </c>
      <c r="C29" s="30" t="s">
        <v>241</v>
      </c>
      <c r="D29" s="31">
        <v>148557</v>
      </c>
      <c r="E29" s="28" t="s">
        <v>27</v>
      </c>
      <c r="F29" s="28"/>
      <c r="G29" s="28"/>
      <c r="H29" s="28"/>
      <c r="I29" s="28"/>
      <c r="J29" s="28"/>
      <c r="K29" s="28"/>
      <c r="L29" s="20">
        <v>40</v>
      </c>
      <c r="M29" s="21">
        <v>0</v>
      </c>
      <c r="N29" s="20">
        <f t="shared" si="1"/>
        <v>40</v>
      </c>
      <c r="O29" s="20">
        <v>95</v>
      </c>
      <c r="P29" s="21">
        <v>0</v>
      </c>
      <c r="Q29" s="20">
        <f t="shared" si="2"/>
        <v>95</v>
      </c>
      <c r="R29" s="20">
        <v>68.650000000000006</v>
      </c>
      <c r="S29" s="22">
        <v>3.5</v>
      </c>
      <c r="T29" s="20">
        <f t="shared" si="3"/>
        <v>72.150000000000006</v>
      </c>
      <c r="U29" s="20">
        <v>90</v>
      </c>
      <c r="V29" s="21">
        <v>0</v>
      </c>
      <c r="W29" s="20">
        <f t="shared" si="4"/>
        <v>90</v>
      </c>
      <c r="X29" s="20">
        <v>49.5</v>
      </c>
      <c r="Y29" s="22">
        <v>0</v>
      </c>
      <c r="Z29" s="20">
        <f t="shared" si="5"/>
        <v>49.5</v>
      </c>
      <c r="AA29" s="20">
        <v>53</v>
      </c>
      <c r="AB29" s="22">
        <v>0</v>
      </c>
      <c r="AC29" s="20">
        <f t="shared" si="6"/>
        <v>53</v>
      </c>
      <c r="AD29" s="20">
        <v>53.5</v>
      </c>
      <c r="AE29" s="22">
        <v>0</v>
      </c>
      <c r="AF29" s="20">
        <f t="shared" si="7"/>
        <v>53.5</v>
      </c>
      <c r="AG29" s="20">
        <v>32.5</v>
      </c>
      <c r="AH29" s="21">
        <v>0</v>
      </c>
      <c r="AI29" s="20">
        <f t="shared" si="8"/>
        <v>32.5</v>
      </c>
      <c r="AJ29" s="20">
        <v>92.5</v>
      </c>
      <c r="AK29" s="21">
        <v>0</v>
      </c>
      <c r="AL29" s="20">
        <f t="shared" si="9"/>
        <v>92.5</v>
      </c>
      <c r="AM29" s="20">
        <v>0</v>
      </c>
      <c r="AN29" s="21">
        <v>0</v>
      </c>
      <c r="AO29" s="20">
        <f t="shared" si="10"/>
        <v>0</v>
      </c>
      <c r="AP29" s="21">
        <v>55</v>
      </c>
      <c r="AQ29" s="20">
        <v>0</v>
      </c>
      <c r="AR29" s="20">
        <f t="shared" si="11"/>
        <v>55</v>
      </c>
      <c r="AS29" s="20">
        <v>50.5</v>
      </c>
      <c r="AT29" s="21">
        <v>0</v>
      </c>
      <c r="AU29" s="20">
        <f t="shared" si="12"/>
        <v>50.5</v>
      </c>
      <c r="AV29" s="23">
        <f t="shared" si="13"/>
        <v>680.15</v>
      </c>
      <c r="AW29" s="22">
        <f t="shared" si="14"/>
        <v>3.5</v>
      </c>
      <c r="AX29" s="20">
        <f t="shared" si="15"/>
        <v>683.65</v>
      </c>
      <c r="AY29" s="28" t="s">
        <v>28</v>
      </c>
      <c r="AZ29" s="28" t="s">
        <v>28</v>
      </c>
      <c r="BA29" s="28" t="s">
        <v>352</v>
      </c>
      <c r="BB29" s="29">
        <v>43678</v>
      </c>
    </row>
    <row r="30" spans="1:54" hidden="1">
      <c r="A30" s="28" t="str">
        <f t="shared" si="0"/>
        <v>810324175288</v>
      </c>
      <c r="B30" s="30">
        <v>810324</v>
      </c>
      <c r="C30" s="30" t="s">
        <v>297</v>
      </c>
      <c r="D30" s="28">
        <v>175288</v>
      </c>
      <c r="E30" s="28" t="s">
        <v>87</v>
      </c>
      <c r="F30" s="28"/>
      <c r="G30" s="28"/>
      <c r="H30" s="28"/>
      <c r="I30" s="28"/>
      <c r="J30" s="28"/>
      <c r="K30" s="28"/>
      <c r="L30" s="20">
        <v>0</v>
      </c>
      <c r="M30" s="21">
        <v>0</v>
      </c>
      <c r="N30" s="20">
        <f t="shared" si="1"/>
        <v>0</v>
      </c>
      <c r="O30" s="20">
        <v>0</v>
      </c>
      <c r="P30" s="21">
        <v>0</v>
      </c>
      <c r="Q30" s="20">
        <f t="shared" si="2"/>
        <v>0</v>
      </c>
      <c r="R30" s="20">
        <v>0</v>
      </c>
      <c r="S30" s="22">
        <v>0</v>
      </c>
      <c r="T30" s="20">
        <f t="shared" si="3"/>
        <v>0</v>
      </c>
      <c r="U30" s="20">
        <v>0</v>
      </c>
      <c r="V30" s="21">
        <v>0</v>
      </c>
      <c r="W30" s="20">
        <f t="shared" si="4"/>
        <v>0</v>
      </c>
      <c r="X30" s="20">
        <v>0</v>
      </c>
      <c r="Y30" s="22">
        <v>0</v>
      </c>
      <c r="Z30" s="20">
        <f t="shared" si="5"/>
        <v>0</v>
      </c>
      <c r="AA30" s="20">
        <v>0</v>
      </c>
      <c r="AB30" s="22">
        <v>0</v>
      </c>
      <c r="AC30" s="20">
        <f t="shared" si="6"/>
        <v>0</v>
      </c>
      <c r="AD30" s="20">
        <v>0</v>
      </c>
      <c r="AE30" s="22">
        <v>0</v>
      </c>
      <c r="AF30" s="20">
        <f t="shared" si="7"/>
        <v>0</v>
      </c>
      <c r="AG30" s="20">
        <v>0</v>
      </c>
      <c r="AH30" s="21">
        <v>0</v>
      </c>
      <c r="AI30" s="20">
        <f t="shared" si="8"/>
        <v>0</v>
      </c>
      <c r="AJ30" s="20">
        <v>60</v>
      </c>
      <c r="AK30" s="21">
        <v>0</v>
      </c>
      <c r="AL30" s="20">
        <f t="shared" si="9"/>
        <v>60</v>
      </c>
      <c r="AM30" s="20">
        <v>55</v>
      </c>
      <c r="AN30" s="21">
        <v>0</v>
      </c>
      <c r="AO30" s="20">
        <f t="shared" si="10"/>
        <v>55</v>
      </c>
      <c r="AP30" s="21">
        <v>40</v>
      </c>
      <c r="AQ30" s="20">
        <v>0</v>
      </c>
      <c r="AR30" s="20">
        <f t="shared" si="11"/>
        <v>40</v>
      </c>
      <c r="AS30" s="20">
        <v>70</v>
      </c>
      <c r="AT30" s="21">
        <v>0</v>
      </c>
      <c r="AU30" s="20">
        <f t="shared" si="12"/>
        <v>70</v>
      </c>
      <c r="AV30" s="23">
        <f t="shared" si="13"/>
        <v>225</v>
      </c>
      <c r="AW30" s="22">
        <f t="shared" si="14"/>
        <v>0</v>
      </c>
      <c r="AX30" s="20">
        <f t="shared" si="15"/>
        <v>225</v>
      </c>
      <c r="AY30" s="28" t="s">
        <v>28</v>
      </c>
      <c r="AZ30" s="28" t="s">
        <v>28</v>
      </c>
      <c r="BA30" s="28" t="s">
        <v>352</v>
      </c>
      <c r="BB30" s="29">
        <v>43700</v>
      </c>
    </row>
    <row r="31" spans="1:54" hidden="1">
      <c r="A31" s="28" t="str">
        <f t="shared" si="0"/>
        <v>810435178661</v>
      </c>
      <c r="B31" s="30">
        <v>810435</v>
      </c>
      <c r="C31" s="30" t="s">
        <v>162</v>
      </c>
      <c r="D31" s="31">
        <v>178661</v>
      </c>
      <c r="E31" s="28" t="s">
        <v>48</v>
      </c>
      <c r="F31" s="28"/>
      <c r="G31" s="28"/>
      <c r="H31" s="28"/>
      <c r="I31" s="28"/>
      <c r="J31" s="28"/>
      <c r="K31" s="28"/>
      <c r="L31" s="20">
        <v>0</v>
      </c>
      <c r="M31" s="21">
        <v>0</v>
      </c>
      <c r="N31" s="20">
        <f t="shared" si="1"/>
        <v>0</v>
      </c>
      <c r="O31" s="20">
        <v>15</v>
      </c>
      <c r="P31" s="21">
        <v>0</v>
      </c>
      <c r="Q31" s="20">
        <f t="shared" si="2"/>
        <v>15</v>
      </c>
      <c r="R31" s="20">
        <v>20</v>
      </c>
      <c r="S31" s="22">
        <v>0</v>
      </c>
      <c r="T31" s="20">
        <f t="shared" si="3"/>
        <v>20</v>
      </c>
      <c r="U31" s="20">
        <v>12</v>
      </c>
      <c r="V31" s="21">
        <v>0</v>
      </c>
      <c r="W31" s="20">
        <f t="shared" si="4"/>
        <v>12</v>
      </c>
      <c r="X31" s="20">
        <v>45</v>
      </c>
      <c r="Y31" s="22">
        <v>0</v>
      </c>
      <c r="Z31" s="20">
        <f t="shared" si="5"/>
        <v>45</v>
      </c>
      <c r="AA31" s="20">
        <v>25</v>
      </c>
      <c r="AB31" s="22">
        <v>0</v>
      </c>
      <c r="AC31" s="20">
        <f t="shared" si="6"/>
        <v>25</v>
      </c>
      <c r="AD31" s="20">
        <v>25</v>
      </c>
      <c r="AE31" s="22">
        <v>0</v>
      </c>
      <c r="AF31" s="20">
        <f t="shared" si="7"/>
        <v>25</v>
      </c>
      <c r="AG31" s="20">
        <v>10</v>
      </c>
      <c r="AH31" s="21">
        <v>0</v>
      </c>
      <c r="AI31" s="20">
        <f t="shared" si="8"/>
        <v>10</v>
      </c>
      <c r="AJ31" s="20">
        <v>10</v>
      </c>
      <c r="AK31" s="21">
        <v>0</v>
      </c>
      <c r="AL31" s="20">
        <f t="shared" si="9"/>
        <v>10</v>
      </c>
      <c r="AM31" s="20">
        <v>10</v>
      </c>
      <c r="AN31" s="21">
        <v>0</v>
      </c>
      <c r="AO31" s="20">
        <f t="shared" si="10"/>
        <v>10</v>
      </c>
      <c r="AP31" s="21">
        <v>10</v>
      </c>
      <c r="AQ31" s="20">
        <v>0</v>
      </c>
      <c r="AR31" s="20">
        <f t="shared" si="11"/>
        <v>10</v>
      </c>
      <c r="AS31" s="20">
        <v>10</v>
      </c>
      <c r="AT31" s="21">
        <v>0</v>
      </c>
      <c r="AU31" s="20">
        <f t="shared" si="12"/>
        <v>10</v>
      </c>
      <c r="AV31" s="23">
        <f t="shared" si="13"/>
        <v>192</v>
      </c>
      <c r="AW31" s="22">
        <f t="shared" si="14"/>
        <v>0</v>
      </c>
      <c r="AX31" s="20">
        <f t="shared" si="15"/>
        <v>192</v>
      </c>
      <c r="AY31" s="28" t="s">
        <v>28</v>
      </c>
      <c r="AZ31" s="28" t="s">
        <v>28</v>
      </c>
      <c r="BA31" s="28" t="s">
        <v>352</v>
      </c>
      <c r="BB31" s="29">
        <v>43711</v>
      </c>
    </row>
    <row r="32" spans="1:54" hidden="1">
      <c r="A32" s="28" t="str">
        <f t="shared" si="0"/>
        <v>810595176641</v>
      </c>
      <c r="B32" s="30">
        <v>810595</v>
      </c>
      <c r="C32" s="30" t="s">
        <v>308</v>
      </c>
      <c r="D32" s="31">
        <v>176641</v>
      </c>
      <c r="E32" s="28" t="s">
        <v>66</v>
      </c>
      <c r="F32" s="28"/>
      <c r="G32" s="28"/>
      <c r="H32" s="28"/>
      <c r="I32" s="28"/>
      <c r="J32" s="28"/>
      <c r="K32" s="28"/>
      <c r="L32" s="20">
        <v>20</v>
      </c>
      <c r="M32" s="21">
        <v>0</v>
      </c>
      <c r="N32" s="20">
        <f t="shared" si="1"/>
        <v>20</v>
      </c>
      <c r="O32" s="20">
        <v>84.5</v>
      </c>
      <c r="P32" s="21">
        <v>0</v>
      </c>
      <c r="Q32" s="20">
        <f t="shared" si="2"/>
        <v>84.5</v>
      </c>
      <c r="R32" s="20">
        <v>64</v>
      </c>
      <c r="S32" s="22">
        <v>0</v>
      </c>
      <c r="T32" s="20">
        <f t="shared" si="3"/>
        <v>64</v>
      </c>
      <c r="U32" s="20">
        <v>93.5</v>
      </c>
      <c r="V32" s="21">
        <v>0</v>
      </c>
      <c r="W32" s="20">
        <f t="shared" si="4"/>
        <v>93.5</v>
      </c>
      <c r="X32" s="20">
        <v>76.3</v>
      </c>
      <c r="Y32" s="22">
        <v>8.8000000000000007</v>
      </c>
      <c r="Z32" s="20">
        <f t="shared" si="5"/>
        <v>85.1</v>
      </c>
      <c r="AA32" s="20">
        <v>54</v>
      </c>
      <c r="AB32" s="22">
        <v>2.5</v>
      </c>
      <c r="AC32" s="20">
        <f t="shared" si="6"/>
        <v>56.5</v>
      </c>
      <c r="AD32" s="20">
        <v>26.75</v>
      </c>
      <c r="AE32" s="22">
        <v>0</v>
      </c>
      <c r="AF32" s="20">
        <f t="shared" si="7"/>
        <v>26.75</v>
      </c>
      <c r="AG32" s="20">
        <v>19.75</v>
      </c>
      <c r="AH32" s="21">
        <v>0</v>
      </c>
      <c r="AI32" s="20">
        <f t="shared" si="8"/>
        <v>19.75</v>
      </c>
      <c r="AJ32" s="20">
        <v>23.25</v>
      </c>
      <c r="AK32" s="21">
        <v>5.5</v>
      </c>
      <c r="AL32" s="20">
        <f t="shared" si="9"/>
        <v>28.75</v>
      </c>
      <c r="AM32" s="20">
        <v>10</v>
      </c>
      <c r="AN32" s="21">
        <v>0</v>
      </c>
      <c r="AO32" s="20">
        <f t="shared" si="10"/>
        <v>10</v>
      </c>
      <c r="AP32" s="21">
        <v>43</v>
      </c>
      <c r="AQ32" s="20">
        <v>0</v>
      </c>
      <c r="AR32" s="20">
        <f t="shared" si="11"/>
        <v>43</v>
      </c>
      <c r="AS32" s="20">
        <v>40</v>
      </c>
      <c r="AT32" s="21">
        <v>0</v>
      </c>
      <c r="AU32" s="20">
        <f t="shared" si="12"/>
        <v>40</v>
      </c>
      <c r="AV32" s="23">
        <f t="shared" si="13"/>
        <v>555.04999999999995</v>
      </c>
      <c r="AW32" s="22">
        <f t="shared" si="14"/>
        <v>16.8</v>
      </c>
      <c r="AX32" s="20">
        <f t="shared" si="15"/>
        <v>571.84999999999991</v>
      </c>
      <c r="AY32" s="28" t="s">
        <v>28</v>
      </c>
      <c r="AZ32" s="28" t="s">
        <v>28</v>
      </c>
      <c r="BA32" s="28" t="s">
        <v>352</v>
      </c>
      <c r="BB32" s="29">
        <v>43743</v>
      </c>
    </row>
    <row r="33" spans="1:54" hidden="1">
      <c r="A33" s="28" t="str">
        <f t="shared" si="0"/>
        <v>810648140481</v>
      </c>
      <c r="B33" s="30">
        <v>810648</v>
      </c>
      <c r="C33" s="30" t="s">
        <v>323</v>
      </c>
      <c r="D33" s="31">
        <v>140481</v>
      </c>
      <c r="E33" s="28" t="s">
        <v>60</v>
      </c>
      <c r="F33" s="28"/>
      <c r="G33" s="28"/>
      <c r="H33" s="28"/>
      <c r="I33" s="28"/>
      <c r="J33" s="28"/>
      <c r="K33" s="28"/>
      <c r="L33" s="20">
        <v>10</v>
      </c>
      <c r="M33" s="21">
        <v>0</v>
      </c>
      <c r="N33" s="20">
        <f t="shared" si="1"/>
        <v>10</v>
      </c>
      <c r="O33" s="20">
        <v>15</v>
      </c>
      <c r="P33" s="21">
        <v>0</v>
      </c>
      <c r="Q33" s="20">
        <f t="shared" si="2"/>
        <v>15</v>
      </c>
      <c r="R33" s="20">
        <v>20</v>
      </c>
      <c r="S33" s="22">
        <v>0</v>
      </c>
      <c r="T33" s="20">
        <f t="shared" si="3"/>
        <v>20</v>
      </c>
      <c r="U33" s="20">
        <v>0</v>
      </c>
      <c r="V33" s="21">
        <v>0</v>
      </c>
      <c r="W33" s="20">
        <f t="shared" si="4"/>
        <v>0</v>
      </c>
      <c r="X33" s="20">
        <v>20</v>
      </c>
      <c r="Y33" s="22">
        <v>0</v>
      </c>
      <c r="Z33" s="20">
        <f t="shared" si="5"/>
        <v>20</v>
      </c>
      <c r="AA33" s="20">
        <v>0</v>
      </c>
      <c r="AB33" s="22">
        <v>0</v>
      </c>
      <c r="AC33" s="20">
        <f t="shared" si="6"/>
        <v>0</v>
      </c>
      <c r="AD33" s="20">
        <v>7.5</v>
      </c>
      <c r="AE33" s="22">
        <v>0</v>
      </c>
      <c r="AF33" s="20">
        <f t="shared" si="7"/>
        <v>7.5</v>
      </c>
      <c r="AG33" s="20">
        <v>10</v>
      </c>
      <c r="AH33" s="21">
        <v>0</v>
      </c>
      <c r="AI33" s="20">
        <f t="shared" si="8"/>
        <v>10</v>
      </c>
      <c r="AJ33" s="20">
        <v>0</v>
      </c>
      <c r="AK33" s="21">
        <v>0</v>
      </c>
      <c r="AL33" s="20">
        <f t="shared" si="9"/>
        <v>0</v>
      </c>
      <c r="AM33" s="20">
        <v>0</v>
      </c>
      <c r="AN33" s="21">
        <v>0</v>
      </c>
      <c r="AO33" s="20">
        <f t="shared" si="10"/>
        <v>0</v>
      </c>
      <c r="AP33" s="21">
        <v>0</v>
      </c>
      <c r="AQ33" s="20">
        <v>0</v>
      </c>
      <c r="AR33" s="20">
        <f t="shared" si="11"/>
        <v>0</v>
      </c>
      <c r="AS33" s="20">
        <v>10</v>
      </c>
      <c r="AT33" s="21">
        <v>0</v>
      </c>
      <c r="AU33" s="20">
        <f t="shared" si="12"/>
        <v>10</v>
      </c>
      <c r="AV33" s="23">
        <f t="shared" si="13"/>
        <v>92.5</v>
      </c>
      <c r="AW33" s="22">
        <f t="shared" si="14"/>
        <v>0</v>
      </c>
      <c r="AX33" s="20">
        <f t="shared" si="15"/>
        <v>92.5</v>
      </c>
      <c r="AY33" s="28" t="s">
        <v>28</v>
      </c>
      <c r="AZ33" s="28" t="s">
        <v>28</v>
      </c>
      <c r="BA33" s="28" t="s">
        <v>352</v>
      </c>
      <c r="BB33" s="29">
        <v>43754</v>
      </c>
    </row>
    <row r="34" spans="1:54" hidden="1">
      <c r="A34" s="28" t="str">
        <f t="shared" si="0"/>
        <v>810683178661</v>
      </c>
      <c r="B34" s="30">
        <v>810683</v>
      </c>
      <c r="C34" s="30" t="s">
        <v>164</v>
      </c>
      <c r="D34" s="31">
        <v>178661</v>
      </c>
      <c r="E34" s="28" t="s">
        <v>48</v>
      </c>
      <c r="F34" s="28"/>
      <c r="G34" s="28"/>
      <c r="H34" s="28"/>
      <c r="I34" s="28"/>
      <c r="J34" s="28"/>
      <c r="K34" s="28"/>
      <c r="L34" s="20">
        <v>20</v>
      </c>
      <c r="M34" s="21">
        <v>0</v>
      </c>
      <c r="N34" s="20">
        <f t="shared" si="1"/>
        <v>20</v>
      </c>
      <c r="O34" s="20">
        <v>25</v>
      </c>
      <c r="P34" s="21">
        <v>0</v>
      </c>
      <c r="Q34" s="20">
        <f t="shared" si="2"/>
        <v>25</v>
      </c>
      <c r="R34" s="20">
        <v>46</v>
      </c>
      <c r="S34" s="22">
        <v>0</v>
      </c>
      <c r="T34" s="20">
        <f t="shared" si="3"/>
        <v>46</v>
      </c>
      <c r="U34" s="20">
        <v>78</v>
      </c>
      <c r="V34" s="21">
        <v>0</v>
      </c>
      <c r="W34" s="20">
        <f t="shared" si="4"/>
        <v>78</v>
      </c>
      <c r="X34" s="20">
        <v>60</v>
      </c>
      <c r="Y34" s="22">
        <v>0</v>
      </c>
      <c r="Z34" s="20">
        <f t="shared" si="5"/>
        <v>60</v>
      </c>
      <c r="AA34" s="20">
        <v>85</v>
      </c>
      <c r="AB34" s="22">
        <v>10</v>
      </c>
      <c r="AC34" s="20">
        <f t="shared" si="6"/>
        <v>95</v>
      </c>
      <c r="AD34" s="20">
        <v>50</v>
      </c>
      <c r="AE34" s="22">
        <v>0</v>
      </c>
      <c r="AF34" s="20">
        <f t="shared" si="7"/>
        <v>50</v>
      </c>
      <c r="AG34" s="20">
        <v>53</v>
      </c>
      <c r="AH34" s="21">
        <v>0</v>
      </c>
      <c r="AI34" s="20">
        <f t="shared" si="8"/>
        <v>53</v>
      </c>
      <c r="AJ34" s="20">
        <v>89</v>
      </c>
      <c r="AK34" s="21">
        <v>0</v>
      </c>
      <c r="AL34" s="20">
        <f t="shared" si="9"/>
        <v>89</v>
      </c>
      <c r="AM34" s="20">
        <v>85</v>
      </c>
      <c r="AN34" s="21">
        <v>0</v>
      </c>
      <c r="AO34" s="20">
        <f t="shared" si="10"/>
        <v>85</v>
      </c>
      <c r="AP34" s="21">
        <v>20</v>
      </c>
      <c r="AQ34" s="20">
        <v>0</v>
      </c>
      <c r="AR34" s="20">
        <f t="shared" si="11"/>
        <v>20</v>
      </c>
      <c r="AS34" s="20">
        <v>95.5</v>
      </c>
      <c r="AT34" s="21">
        <v>0</v>
      </c>
      <c r="AU34" s="20">
        <f t="shared" si="12"/>
        <v>95.5</v>
      </c>
      <c r="AV34" s="23">
        <f t="shared" si="13"/>
        <v>706.5</v>
      </c>
      <c r="AW34" s="22">
        <f t="shared" si="14"/>
        <v>10</v>
      </c>
      <c r="AX34" s="20">
        <f t="shared" si="15"/>
        <v>716.5</v>
      </c>
      <c r="AY34" s="28" t="s">
        <v>28</v>
      </c>
      <c r="AZ34" s="28" t="s">
        <v>28</v>
      </c>
      <c r="BA34" s="28" t="s">
        <v>352</v>
      </c>
      <c r="BB34" s="29">
        <v>43761</v>
      </c>
    </row>
    <row r="35" spans="1:54" hidden="1">
      <c r="A35" s="28" t="str">
        <f t="shared" si="0"/>
        <v>810686178661</v>
      </c>
      <c r="B35" s="30">
        <v>810686</v>
      </c>
      <c r="C35" s="30" t="s">
        <v>163</v>
      </c>
      <c r="D35" s="31">
        <v>178661</v>
      </c>
      <c r="E35" s="28" t="s">
        <v>48</v>
      </c>
      <c r="F35" s="28"/>
      <c r="G35" s="28"/>
      <c r="H35" s="28"/>
      <c r="I35" s="28"/>
      <c r="J35" s="28"/>
      <c r="K35" s="28"/>
      <c r="L35" s="20">
        <v>25</v>
      </c>
      <c r="M35" s="21">
        <v>0</v>
      </c>
      <c r="N35" s="20">
        <f t="shared" si="1"/>
        <v>25</v>
      </c>
      <c r="O35" s="20">
        <v>55</v>
      </c>
      <c r="P35" s="21">
        <v>0</v>
      </c>
      <c r="Q35" s="20">
        <f t="shared" si="2"/>
        <v>55</v>
      </c>
      <c r="R35" s="20">
        <v>45</v>
      </c>
      <c r="S35" s="22">
        <v>0</v>
      </c>
      <c r="T35" s="20">
        <f t="shared" si="3"/>
        <v>45</v>
      </c>
      <c r="U35" s="20">
        <v>70</v>
      </c>
      <c r="V35" s="21">
        <v>0</v>
      </c>
      <c r="W35" s="20">
        <f t="shared" si="4"/>
        <v>70</v>
      </c>
      <c r="X35" s="20">
        <v>109.6</v>
      </c>
      <c r="Y35" s="22">
        <v>0</v>
      </c>
      <c r="Z35" s="20">
        <f t="shared" si="5"/>
        <v>109.6</v>
      </c>
      <c r="AA35" s="20">
        <v>54.5</v>
      </c>
      <c r="AB35" s="22">
        <v>0</v>
      </c>
      <c r="AC35" s="20">
        <f t="shared" si="6"/>
        <v>54.5</v>
      </c>
      <c r="AD35" s="20">
        <v>55</v>
      </c>
      <c r="AE35" s="22">
        <v>0</v>
      </c>
      <c r="AF35" s="20">
        <f t="shared" si="7"/>
        <v>55</v>
      </c>
      <c r="AG35" s="20">
        <v>30</v>
      </c>
      <c r="AH35" s="21">
        <v>0</v>
      </c>
      <c r="AI35" s="20">
        <f t="shared" si="8"/>
        <v>30</v>
      </c>
      <c r="AJ35" s="20">
        <v>63</v>
      </c>
      <c r="AK35" s="21">
        <v>0</v>
      </c>
      <c r="AL35" s="20">
        <f t="shared" si="9"/>
        <v>63</v>
      </c>
      <c r="AM35" s="20">
        <v>77</v>
      </c>
      <c r="AN35" s="21">
        <v>10</v>
      </c>
      <c r="AO35" s="20">
        <f t="shared" si="10"/>
        <v>87</v>
      </c>
      <c r="AP35" s="21">
        <v>30</v>
      </c>
      <c r="AQ35" s="20">
        <v>0</v>
      </c>
      <c r="AR35" s="20">
        <f t="shared" si="11"/>
        <v>30</v>
      </c>
      <c r="AS35" s="20">
        <v>60</v>
      </c>
      <c r="AT35" s="21">
        <v>0</v>
      </c>
      <c r="AU35" s="20">
        <f t="shared" si="12"/>
        <v>60</v>
      </c>
      <c r="AV35" s="23">
        <f t="shared" si="13"/>
        <v>674.1</v>
      </c>
      <c r="AW35" s="22">
        <f t="shared" si="14"/>
        <v>10</v>
      </c>
      <c r="AX35" s="20">
        <f t="shared" si="15"/>
        <v>684.1</v>
      </c>
      <c r="AY35" s="28" t="s">
        <v>28</v>
      </c>
      <c r="AZ35" s="28" t="s">
        <v>28</v>
      </c>
      <c r="BA35" s="28" t="s">
        <v>352</v>
      </c>
      <c r="BB35" s="29">
        <v>43761</v>
      </c>
    </row>
    <row r="36" spans="1:54" hidden="1">
      <c r="A36" s="28" t="str">
        <f t="shared" si="0"/>
        <v>810922175288</v>
      </c>
      <c r="B36" s="30">
        <v>810922</v>
      </c>
      <c r="C36" s="30" t="s">
        <v>216</v>
      </c>
      <c r="D36" s="31">
        <v>175288</v>
      </c>
      <c r="E36" s="28" t="s">
        <v>87</v>
      </c>
      <c r="F36" s="28"/>
      <c r="G36" s="28"/>
      <c r="H36" s="28"/>
      <c r="I36" s="28"/>
      <c r="J36" s="28"/>
      <c r="K36" s="28"/>
      <c r="L36" s="20">
        <v>90</v>
      </c>
      <c r="M36" s="21">
        <v>0</v>
      </c>
      <c r="N36" s="20">
        <f t="shared" si="1"/>
        <v>90</v>
      </c>
      <c r="O36" s="20">
        <v>60</v>
      </c>
      <c r="P36" s="21">
        <v>10</v>
      </c>
      <c r="Q36" s="20">
        <f t="shared" si="2"/>
        <v>70</v>
      </c>
      <c r="R36" s="20">
        <v>55</v>
      </c>
      <c r="S36" s="22">
        <v>0</v>
      </c>
      <c r="T36" s="20">
        <f t="shared" si="3"/>
        <v>55</v>
      </c>
      <c r="U36" s="20">
        <v>60</v>
      </c>
      <c r="V36" s="21">
        <v>0</v>
      </c>
      <c r="W36" s="20">
        <f t="shared" si="4"/>
        <v>60</v>
      </c>
      <c r="X36" s="20">
        <v>30</v>
      </c>
      <c r="Y36" s="22">
        <v>0</v>
      </c>
      <c r="Z36" s="20">
        <f t="shared" si="5"/>
        <v>30</v>
      </c>
      <c r="AA36" s="20">
        <v>60</v>
      </c>
      <c r="AB36" s="22">
        <v>0</v>
      </c>
      <c r="AC36" s="20">
        <f t="shared" si="6"/>
        <v>60</v>
      </c>
      <c r="AD36" s="20">
        <v>60</v>
      </c>
      <c r="AE36" s="22">
        <v>0</v>
      </c>
      <c r="AF36" s="20">
        <f t="shared" si="7"/>
        <v>60</v>
      </c>
      <c r="AG36" s="20">
        <v>10</v>
      </c>
      <c r="AH36" s="21">
        <v>0</v>
      </c>
      <c r="AI36" s="20">
        <f t="shared" si="8"/>
        <v>10</v>
      </c>
      <c r="AJ36" s="20">
        <v>0</v>
      </c>
      <c r="AK36" s="21">
        <v>0</v>
      </c>
      <c r="AL36" s="20">
        <f t="shared" si="9"/>
        <v>0</v>
      </c>
      <c r="AM36" s="20">
        <v>0</v>
      </c>
      <c r="AN36" s="21">
        <v>0</v>
      </c>
      <c r="AO36" s="20">
        <f t="shared" si="10"/>
        <v>0</v>
      </c>
      <c r="AP36" s="21">
        <v>0</v>
      </c>
      <c r="AQ36" s="20">
        <v>0</v>
      </c>
      <c r="AR36" s="20">
        <f t="shared" si="11"/>
        <v>0</v>
      </c>
      <c r="AS36" s="20">
        <v>0</v>
      </c>
      <c r="AT36" s="21">
        <v>0</v>
      </c>
      <c r="AU36" s="20">
        <f t="shared" si="12"/>
        <v>0</v>
      </c>
      <c r="AV36" s="23">
        <f t="shared" si="13"/>
        <v>425</v>
      </c>
      <c r="AW36" s="22">
        <f t="shared" si="14"/>
        <v>10</v>
      </c>
      <c r="AX36" s="20">
        <f t="shared" si="15"/>
        <v>435</v>
      </c>
      <c r="AY36" s="28" t="s">
        <v>28</v>
      </c>
      <c r="AZ36" s="28" t="s">
        <v>28</v>
      </c>
      <c r="BA36" s="28" t="s">
        <v>352</v>
      </c>
      <c r="BB36" s="29">
        <v>43805</v>
      </c>
    </row>
    <row r="37" spans="1:54" hidden="1">
      <c r="A37" s="28" t="str">
        <f t="shared" si="0"/>
        <v>811091140481</v>
      </c>
      <c r="B37" s="30">
        <v>811091</v>
      </c>
      <c r="C37" s="30" t="s">
        <v>332</v>
      </c>
      <c r="D37" s="31">
        <v>140481</v>
      </c>
      <c r="E37" s="28" t="s">
        <v>60</v>
      </c>
      <c r="F37" s="28"/>
      <c r="G37" s="28"/>
      <c r="H37" s="28"/>
      <c r="I37" s="28"/>
      <c r="J37" s="28"/>
      <c r="K37" s="28"/>
      <c r="L37" s="20">
        <v>0</v>
      </c>
      <c r="M37" s="21">
        <v>0</v>
      </c>
      <c r="N37" s="20">
        <f t="shared" si="1"/>
        <v>0</v>
      </c>
      <c r="O37" s="20">
        <v>10</v>
      </c>
      <c r="P37" s="21">
        <v>0</v>
      </c>
      <c r="Q37" s="20">
        <f t="shared" si="2"/>
        <v>10</v>
      </c>
      <c r="R37" s="20">
        <v>0</v>
      </c>
      <c r="S37" s="22">
        <v>0</v>
      </c>
      <c r="T37" s="20">
        <f t="shared" si="3"/>
        <v>0</v>
      </c>
      <c r="U37" s="20">
        <v>20</v>
      </c>
      <c r="V37" s="21">
        <v>0</v>
      </c>
      <c r="W37" s="20">
        <f t="shared" si="4"/>
        <v>20</v>
      </c>
      <c r="X37" s="20">
        <v>0</v>
      </c>
      <c r="Y37" s="22">
        <v>0</v>
      </c>
      <c r="Z37" s="20">
        <f t="shared" si="5"/>
        <v>0</v>
      </c>
      <c r="AA37" s="20">
        <v>0</v>
      </c>
      <c r="AB37" s="22">
        <v>0</v>
      </c>
      <c r="AC37" s="20">
        <f t="shared" si="6"/>
        <v>0</v>
      </c>
      <c r="AD37" s="20">
        <v>0</v>
      </c>
      <c r="AE37" s="22">
        <v>0</v>
      </c>
      <c r="AF37" s="20">
        <f t="shared" si="7"/>
        <v>0</v>
      </c>
      <c r="AG37" s="20">
        <v>0</v>
      </c>
      <c r="AH37" s="21">
        <v>0</v>
      </c>
      <c r="AI37" s="20">
        <f t="shared" si="8"/>
        <v>0</v>
      </c>
      <c r="AJ37" s="20">
        <v>0</v>
      </c>
      <c r="AK37" s="21">
        <v>0</v>
      </c>
      <c r="AL37" s="20">
        <f t="shared" si="9"/>
        <v>0</v>
      </c>
      <c r="AM37" s="20">
        <v>0</v>
      </c>
      <c r="AN37" s="21">
        <v>0</v>
      </c>
      <c r="AO37" s="20">
        <f t="shared" si="10"/>
        <v>0</v>
      </c>
      <c r="AP37" s="21">
        <v>0</v>
      </c>
      <c r="AQ37" s="20">
        <v>0</v>
      </c>
      <c r="AR37" s="20">
        <f t="shared" si="11"/>
        <v>0</v>
      </c>
      <c r="AS37" s="20">
        <v>0</v>
      </c>
      <c r="AT37" s="21">
        <v>0</v>
      </c>
      <c r="AU37" s="20">
        <f t="shared" si="12"/>
        <v>0</v>
      </c>
      <c r="AV37" s="23">
        <f t="shared" si="13"/>
        <v>30</v>
      </c>
      <c r="AW37" s="22">
        <f t="shared" si="14"/>
        <v>0</v>
      </c>
      <c r="AX37" s="20">
        <f t="shared" si="15"/>
        <v>30</v>
      </c>
      <c r="AY37" s="28" t="s">
        <v>28</v>
      </c>
      <c r="AZ37" s="28" t="s">
        <v>28</v>
      </c>
      <c r="BA37" s="28" t="s">
        <v>352</v>
      </c>
      <c r="BB37" s="29">
        <v>43826</v>
      </c>
    </row>
    <row r="38" spans="1:54" hidden="1">
      <c r="A38" s="28" t="str">
        <f t="shared" si="0"/>
        <v>811092176641</v>
      </c>
      <c r="B38" s="30">
        <v>811092</v>
      </c>
      <c r="C38" s="30" t="s">
        <v>67</v>
      </c>
      <c r="D38" s="31">
        <v>176641</v>
      </c>
      <c r="E38" s="28" t="s">
        <v>66</v>
      </c>
      <c r="F38" s="28"/>
      <c r="G38" s="28"/>
      <c r="H38" s="28"/>
      <c r="I38" s="28"/>
      <c r="J38" s="28"/>
      <c r="K38" s="28"/>
      <c r="L38" s="20">
        <v>166</v>
      </c>
      <c r="M38" s="21">
        <v>10</v>
      </c>
      <c r="N38" s="20">
        <f t="shared" si="1"/>
        <v>176</v>
      </c>
      <c r="O38" s="20">
        <v>40.549999999999997</v>
      </c>
      <c r="P38" s="21">
        <v>6.5</v>
      </c>
      <c r="Q38" s="20">
        <f t="shared" si="2"/>
        <v>47.05</v>
      </c>
      <c r="R38" s="20">
        <v>105</v>
      </c>
      <c r="S38" s="22">
        <v>10</v>
      </c>
      <c r="T38" s="20">
        <f t="shared" si="3"/>
        <v>115</v>
      </c>
      <c r="U38" s="20">
        <v>38.5</v>
      </c>
      <c r="V38" s="21">
        <v>3.5</v>
      </c>
      <c r="W38" s="20">
        <f t="shared" si="4"/>
        <v>42</v>
      </c>
      <c r="X38" s="20">
        <v>79</v>
      </c>
      <c r="Y38" s="22">
        <v>10</v>
      </c>
      <c r="Z38" s="20">
        <f t="shared" si="5"/>
        <v>89</v>
      </c>
      <c r="AA38" s="20">
        <v>106.5</v>
      </c>
      <c r="AB38" s="22">
        <v>0</v>
      </c>
      <c r="AC38" s="20">
        <f t="shared" si="6"/>
        <v>106.5</v>
      </c>
      <c r="AD38" s="20">
        <v>67.5</v>
      </c>
      <c r="AE38" s="22">
        <v>0</v>
      </c>
      <c r="AF38" s="20">
        <f t="shared" si="7"/>
        <v>67.5</v>
      </c>
      <c r="AG38" s="20">
        <v>40</v>
      </c>
      <c r="AH38" s="21">
        <v>0</v>
      </c>
      <c r="AI38" s="20">
        <f t="shared" si="8"/>
        <v>40</v>
      </c>
      <c r="AJ38" s="20">
        <v>73.5</v>
      </c>
      <c r="AK38" s="21">
        <v>5</v>
      </c>
      <c r="AL38" s="20">
        <f t="shared" si="9"/>
        <v>78.5</v>
      </c>
      <c r="AM38" s="20">
        <v>41</v>
      </c>
      <c r="AN38" s="21">
        <v>0</v>
      </c>
      <c r="AO38" s="20">
        <f t="shared" si="10"/>
        <v>41</v>
      </c>
      <c r="AP38" s="21">
        <v>36</v>
      </c>
      <c r="AQ38" s="20">
        <v>0</v>
      </c>
      <c r="AR38" s="20">
        <f t="shared" si="11"/>
        <v>36</v>
      </c>
      <c r="AS38" s="20">
        <v>106.5</v>
      </c>
      <c r="AT38" s="21">
        <v>6.5</v>
      </c>
      <c r="AU38" s="20">
        <f t="shared" si="12"/>
        <v>113</v>
      </c>
      <c r="AV38" s="23">
        <f t="shared" si="13"/>
        <v>900.05</v>
      </c>
      <c r="AW38" s="22">
        <f t="shared" si="14"/>
        <v>51.5</v>
      </c>
      <c r="AX38" s="20">
        <f t="shared" si="15"/>
        <v>951.55</v>
      </c>
      <c r="AY38" s="28" t="s">
        <v>28</v>
      </c>
      <c r="AZ38" s="28" t="s">
        <v>28</v>
      </c>
      <c r="BA38" s="28" t="s">
        <v>352</v>
      </c>
      <c r="BB38" s="29">
        <v>43826</v>
      </c>
    </row>
    <row r="39" spans="1:54" hidden="1">
      <c r="A39" s="28" t="str">
        <f t="shared" si="0"/>
        <v>811135175288</v>
      </c>
      <c r="B39" s="30">
        <v>811135</v>
      </c>
      <c r="C39" s="30" t="s">
        <v>217</v>
      </c>
      <c r="D39" s="31">
        <v>175288</v>
      </c>
      <c r="E39" s="28" t="s">
        <v>87</v>
      </c>
      <c r="F39" s="28"/>
      <c r="G39" s="28"/>
      <c r="H39" s="28"/>
      <c r="I39" s="28"/>
      <c r="J39" s="28"/>
      <c r="K39" s="28"/>
      <c r="L39" s="20">
        <v>80</v>
      </c>
      <c r="M39" s="21">
        <v>0</v>
      </c>
      <c r="N39" s="20">
        <f t="shared" si="1"/>
        <v>80</v>
      </c>
      <c r="O39" s="20">
        <v>80</v>
      </c>
      <c r="P39" s="21">
        <v>0</v>
      </c>
      <c r="Q39" s="20">
        <f t="shared" si="2"/>
        <v>80</v>
      </c>
      <c r="R39" s="20">
        <v>95</v>
      </c>
      <c r="S39" s="22">
        <v>0</v>
      </c>
      <c r="T39" s="20">
        <f t="shared" si="3"/>
        <v>95</v>
      </c>
      <c r="U39" s="20">
        <v>90</v>
      </c>
      <c r="V39" s="21">
        <v>0</v>
      </c>
      <c r="W39" s="20">
        <f t="shared" si="4"/>
        <v>90</v>
      </c>
      <c r="X39" s="20">
        <v>50</v>
      </c>
      <c r="Y39" s="22">
        <v>0</v>
      </c>
      <c r="Z39" s="20">
        <f t="shared" si="5"/>
        <v>50</v>
      </c>
      <c r="AA39" s="20">
        <v>50</v>
      </c>
      <c r="AB39" s="22">
        <v>0</v>
      </c>
      <c r="AC39" s="20">
        <f t="shared" si="6"/>
        <v>50</v>
      </c>
      <c r="AD39" s="20">
        <v>100</v>
      </c>
      <c r="AE39" s="22">
        <v>0</v>
      </c>
      <c r="AF39" s="20">
        <f t="shared" si="7"/>
        <v>100</v>
      </c>
      <c r="AG39" s="20">
        <v>150</v>
      </c>
      <c r="AH39" s="21">
        <v>0</v>
      </c>
      <c r="AI39" s="20">
        <f t="shared" si="8"/>
        <v>150</v>
      </c>
      <c r="AJ39" s="20">
        <v>163</v>
      </c>
      <c r="AK39" s="21">
        <v>0</v>
      </c>
      <c r="AL39" s="20">
        <f t="shared" si="9"/>
        <v>163</v>
      </c>
      <c r="AM39" s="20">
        <v>160</v>
      </c>
      <c r="AN39" s="21">
        <v>0</v>
      </c>
      <c r="AO39" s="20">
        <f t="shared" si="10"/>
        <v>160</v>
      </c>
      <c r="AP39" s="21">
        <v>115</v>
      </c>
      <c r="AQ39" s="20">
        <v>0</v>
      </c>
      <c r="AR39" s="20">
        <f t="shared" si="11"/>
        <v>115</v>
      </c>
      <c r="AS39" s="20">
        <v>115</v>
      </c>
      <c r="AT39" s="21">
        <v>0</v>
      </c>
      <c r="AU39" s="20">
        <f t="shared" si="12"/>
        <v>115</v>
      </c>
      <c r="AV39" s="23">
        <f t="shared" si="13"/>
        <v>1248</v>
      </c>
      <c r="AW39" s="22">
        <f t="shared" si="14"/>
        <v>0</v>
      </c>
      <c r="AX39" s="20">
        <f t="shared" si="15"/>
        <v>1248</v>
      </c>
      <c r="AY39" s="28" t="s">
        <v>28</v>
      </c>
      <c r="AZ39" s="28" t="s">
        <v>28</v>
      </c>
      <c r="BA39" s="28" t="s">
        <v>352</v>
      </c>
      <c r="BB39" s="29">
        <v>43829</v>
      </c>
    </row>
    <row r="40" spans="1:54" hidden="1">
      <c r="A40" s="28" t="str">
        <f t="shared" si="0"/>
        <v>811422175288</v>
      </c>
      <c r="B40" s="30">
        <v>811422</v>
      </c>
      <c r="C40" s="30" t="s">
        <v>50</v>
      </c>
      <c r="D40" s="31">
        <v>175288</v>
      </c>
      <c r="E40" s="28" t="s">
        <v>87</v>
      </c>
      <c r="F40" s="28"/>
      <c r="G40" s="28"/>
      <c r="H40" s="28"/>
      <c r="I40" s="28"/>
      <c r="J40" s="28"/>
      <c r="K40" s="28"/>
      <c r="L40" s="20">
        <v>60</v>
      </c>
      <c r="M40" s="21">
        <v>0</v>
      </c>
      <c r="N40" s="20">
        <f t="shared" si="1"/>
        <v>60</v>
      </c>
      <c r="O40" s="20">
        <v>60</v>
      </c>
      <c r="P40" s="21">
        <v>0</v>
      </c>
      <c r="Q40" s="20">
        <f t="shared" si="2"/>
        <v>60</v>
      </c>
      <c r="R40" s="20">
        <v>60</v>
      </c>
      <c r="S40" s="22">
        <v>0</v>
      </c>
      <c r="T40" s="20">
        <f t="shared" si="3"/>
        <v>60</v>
      </c>
      <c r="U40" s="20">
        <v>20</v>
      </c>
      <c r="V40" s="21">
        <v>0</v>
      </c>
      <c r="W40" s="20">
        <f t="shared" si="4"/>
        <v>20</v>
      </c>
      <c r="X40" s="20">
        <v>20</v>
      </c>
      <c r="Y40" s="22">
        <v>0</v>
      </c>
      <c r="Z40" s="20">
        <f t="shared" si="5"/>
        <v>20</v>
      </c>
      <c r="AA40" s="20">
        <v>0</v>
      </c>
      <c r="AB40" s="22">
        <v>0</v>
      </c>
      <c r="AC40" s="20">
        <f t="shared" si="6"/>
        <v>0</v>
      </c>
      <c r="AD40" s="20">
        <v>20</v>
      </c>
      <c r="AE40" s="22">
        <v>0</v>
      </c>
      <c r="AF40" s="20">
        <f t="shared" si="7"/>
        <v>20</v>
      </c>
      <c r="AG40" s="20">
        <v>70</v>
      </c>
      <c r="AH40" s="21">
        <v>0</v>
      </c>
      <c r="AI40" s="20">
        <f t="shared" si="8"/>
        <v>70</v>
      </c>
      <c r="AJ40" s="20">
        <v>90</v>
      </c>
      <c r="AK40" s="21">
        <v>0</v>
      </c>
      <c r="AL40" s="20">
        <f t="shared" si="9"/>
        <v>90</v>
      </c>
      <c r="AM40" s="20">
        <v>50</v>
      </c>
      <c r="AN40" s="21">
        <v>0</v>
      </c>
      <c r="AO40" s="20">
        <f t="shared" si="10"/>
        <v>50</v>
      </c>
      <c r="AP40" s="21">
        <v>105</v>
      </c>
      <c r="AQ40" s="20">
        <v>0</v>
      </c>
      <c r="AR40" s="20">
        <f t="shared" si="11"/>
        <v>105</v>
      </c>
      <c r="AS40" s="20">
        <v>145</v>
      </c>
      <c r="AT40" s="21">
        <v>0</v>
      </c>
      <c r="AU40" s="20">
        <f t="shared" si="12"/>
        <v>145</v>
      </c>
      <c r="AV40" s="23">
        <f t="shared" si="13"/>
        <v>700</v>
      </c>
      <c r="AW40" s="22">
        <f t="shared" si="14"/>
        <v>0</v>
      </c>
      <c r="AX40" s="20">
        <f t="shared" si="15"/>
        <v>700</v>
      </c>
      <c r="AY40" s="28" t="s">
        <v>28</v>
      </c>
      <c r="AZ40" s="28" t="s">
        <v>28</v>
      </c>
      <c r="BA40" s="28" t="s">
        <v>352</v>
      </c>
      <c r="BB40" s="29">
        <v>43866</v>
      </c>
    </row>
    <row r="41" spans="1:54" hidden="1">
      <c r="A41" s="28" t="str">
        <f t="shared" si="0"/>
        <v>811522175288</v>
      </c>
      <c r="B41" s="30">
        <v>811522</v>
      </c>
      <c r="C41" s="30" t="s">
        <v>520</v>
      </c>
      <c r="D41" s="28">
        <v>175288</v>
      </c>
      <c r="E41" s="28" t="s">
        <v>87</v>
      </c>
      <c r="F41" s="28"/>
      <c r="G41" s="28"/>
      <c r="H41" s="28"/>
      <c r="I41" s="28"/>
      <c r="J41" s="28"/>
      <c r="K41" s="28"/>
      <c r="L41" s="20">
        <v>0</v>
      </c>
      <c r="M41" s="21">
        <v>0</v>
      </c>
      <c r="N41" s="20">
        <f t="shared" si="1"/>
        <v>0</v>
      </c>
      <c r="O41" s="20">
        <v>0</v>
      </c>
      <c r="P41" s="21">
        <v>0</v>
      </c>
      <c r="Q41" s="20">
        <f t="shared" si="2"/>
        <v>0</v>
      </c>
      <c r="R41" s="20">
        <v>0</v>
      </c>
      <c r="S41" s="22">
        <v>0</v>
      </c>
      <c r="T41" s="20">
        <f t="shared" si="3"/>
        <v>0</v>
      </c>
      <c r="U41" s="20">
        <v>0</v>
      </c>
      <c r="V41" s="21">
        <v>0</v>
      </c>
      <c r="W41" s="20">
        <f t="shared" si="4"/>
        <v>0</v>
      </c>
      <c r="X41" s="20">
        <v>0</v>
      </c>
      <c r="Y41" s="22">
        <v>0</v>
      </c>
      <c r="Z41" s="20">
        <f t="shared" si="5"/>
        <v>0</v>
      </c>
      <c r="AA41" s="20">
        <v>0</v>
      </c>
      <c r="AB41" s="22">
        <v>0</v>
      </c>
      <c r="AC41" s="20">
        <f t="shared" si="6"/>
        <v>0</v>
      </c>
      <c r="AD41" s="20">
        <v>0</v>
      </c>
      <c r="AE41" s="22">
        <v>0</v>
      </c>
      <c r="AF41" s="20">
        <f t="shared" si="7"/>
        <v>0</v>
      </c>
      <c r="AG41" s="20">
        <v>0</v>
      </c>
      <c r="AH41" s="21">
        <v>0</v>
      </c>
      <c r="AI41" s="20">
        <f t="shared" si="8"/>
        <v>0</v>
      </c>
      <c r="AJ41" s="20">
        <v>0</v>
      </c>
      <c r="AK41" s="21">
        <v>0</v>
      </c>
      <c r="AL41" s="20">
        <f t="shared" si="9"/>
        <v>0</v>
      </c>
      <c r="AM41" s="20">
        <v>0</v>
      </c>
      <c r="AN41" s="21">
        <v>0</v>
      </c>
      <c r="AO41" s="20">
        <f t="shared" si="10"/>
        <v>0</v>
      </c>
      <c r="AP41" s="21">
        <v>10</v>
      </c>
      <c r="AQ41" s="20">
        <v>0</v>
      </c>
      <c r="AR41" s="20">
        <f t="shared" si="11"/>
        <v>10</v>
      </c>
      <c r="AS41" s="20">
        <v>70</v>
      </c>
      <c r="AT41" s="21">
        <v>0</v>
      </c>
      <c r="AU41" s="20">
        <f t="shared" si="12"/>
        <v>70</v>
      </c>
      <c r="AV41" s="23">
        <f t="shared" si="13"/>
        <v>80</v>
      </c>
      <c r="AW41" s="22">
        <f t="shared" si="14"/>
        <v>0</v>
      </c>
      <c r="AX41" s="20">
        <f t="shared" si="15"/>
        <v>80</v>
      </c>
      <c r="AY41" s="28" t="s">
        <v>28</v>
      </c>
      <c r="AZ41" s="28" t="s">
        <v>28</v>
      </c>
      <c r="BA41" s="28" t="s">
        <v>352</v>
      </c>
      <c r="BB41" s="29">
        <v>43878</v>
      </c>
    </row>
    <row r="42" spans="1:54" hidden="1">
      <c r="A42" s="28" t="str">
        <f t="shared" si="0"/>
        <v>811630140481</v>
      </c>
      <c r="B42" s="30">
        <v>811630</v>
      </c>
      <c r="C42" s="30" t="s">
        <v>331</v>
      </c>
      <c r="D42" s="31">
        <v>140481</v>
      </c>
      <c r="E42" s="28" t="s">
        <v>60</v>
      </c>
      <c r="F42" s="28"/>
      <c r="G42" s="28"/>
      <c r="H42" s="28"/>
      <c r="I42" s="28"/>
      <c r="J42" s="28"/>
      <c r="K42" s="28"/>
      <c r="L42" s="20">
        <v>0</v>
      </c>
      <c r="M42" s="21">
        <v>0</v>
      </c>
      <c r="N42" s="20">
        <f t="shared" si="1"/>
        <v>0</v>
      </c>
      <c r="O42" s="20">
        <v>50</v>
      </c>
      <c r="P42" s="21">
        <v>0</v>
      </c>
      <c r="Q42" s="20">
        <f t="shared" si="2"/>
        <v>50</v>
      </c>
      <c r="R42" s="20">
        <v>30</v>
      </c>
      <c r="S42" s="22">
        <v>0</v>
      </c>
      <c r="T42" s="20">
        <f t="shared" si="3"/>
        <v>30</v>
      </c>
      <c r="U42" s="20">
        <v>30</v>
      </c>
      <c r="V42" s="21">
        <v>0</v>
      </c>
      <c r="W42" s="20">
        <f t="shared" si="4"/>
        <v>30</v>
      </c>
      <c r="X42" s="20">
        <v>10</v>
      </c>
      <c r="Y42" s="22">
        <v>0</v>
      </c>
      <c r="Z42" s="20">
        <f t="shared" si="5"/>
        <v>10</v>
      </c>
      <c r="AA42" s="20">
        <v>32</v>
      </c>
      <c r="AB42" s="22">
        <v>0</v>
      </c>
      <c r="AC42" s="20">
        <f t="shared" si="6"/>
        <v>32</v>
      </c>
      <c r="AD42" s="20">
        <v>27.5</v>
      </c>
      <c r="AE42" s="22">
        <v>0</v>
      </c>
      <c r="AF42" s="20">
        <f t="shared" si="7"/>
        <v>27.5</v>
      </c>
      <c r="AG42" s="20">
        <v>40</v>
      </c>
      <c r="AH42" s="21">
        <v>0</v>
      </c>
      <c r="AI42" s="20">
        <f t="shared" si="8"/>
        <v>40</v>
      </c>
      <c r="AJ42" s="20">
        <v>55</v>
      </c>
      <c r="AK42" s="21">
        <v>0</v>
      </c>
      <c r="AL42" s="20">
        <f t="shared" si="9"/>
        <v>55</v>
      </c>
      <c r="AM42" s="20">
        <v>35</v>
      </c>
      <c r="AN42" s="21">
        <v>0</v>
      </c>
      <c r="AO42" s="20">
        <f t="shared" si="10"/>
        <v>35</v>
      </c>
      <c r="AP42" s="21">
        <v>164</v>
      </c>
      <c r="AQ42" s="20">
        <v>6</v>
      </c>
      <c r="AR42" s="20">
        <f t="shared" si="11"/>
        <v>170</v>
      </c>
      <c r="AS42" s="20">
        <v>150</v>
      </c>
      <c r="AT42" s="21">
        <v>0</v>
      </c>
      <c r="AU42" s="20">
        <f t="shared" si="12"/>
        <v>150</v>
      </c>
      <c r="AV42" s="23">
        <f t="shared" si="13"/>
        <v>623.5</v>
      </c>
      <c r="AW42" s="22">
        <f t="shared" si="14"/>
        <v>6</v>
      </c>
      <c r="AX42" s="20">
        <f t="shared" si="15"/>
        <v>629.5</v>
      </c>
      <c r="AY42" s="28" t="s">
        <v>28</v>
      </c>
      <c r="AZ42" s="28" t="s">
        <v>28</v>
      </c>
      <c r="BA42" s="28" t="s">
        <v>352</v>
      </c>
      <c r="BB42" s="29">
        <v>43888</v>
      </c>
    </row>
    <row r="43" spans="1:54" hidden="1">
      <c r="A43" s="28" t="str">
        <f t="shared" si="0"/>
        <v>812056175288</v>
      </c>
      <c r="B43" s="30">
        <v>812056</v>
      </c>
      <c r="C43" s="30" t="s">
        <v>321</v>
      </c>
      <c r="D43" s="31">
        <v>175288</v>
      </c>
      <c r="E43" s="28" t="s">
        <v>87</v>
      </c>
      <c r="F43" s="28"/>
      <c r="G43" s="28"/>
      <c r="H43" s="28"/>
      <c r="I43" s="28"/>
      <c r="J43" s="28"/>
      <c r="K43" s="28"/>
      <c r="L43" s="20">
        <v>20</v>
      </c>
      <c r="M43" s="21">
        <v>0</v>
      </c>
      <c r="N43" s="20">
        <f t="shared" si="1"/>
        <v>20</v>
      </c>
      <c r="O43" s="20">
        <v>0</v>
      </c>
      <c r="P43" s="21">
        <v>0</v>
      </c>
      <c r="Q43" s="20">
        <f t="shared" si="2"/>
        <v>0</v>
      </c>
      <c r="R43" s="20">
        <v>0</v>
      </c>
      <c r="S43" s="22">
        <v>0</v>
      </c>
      <c r="T43" s="20">
        <f t="shared" si="3"/>
        <v>0</v>
      </c>
      <c r="U43" s="20">
        <v>0</v>
      </c>
      <c r="V43" s="21">
        <v>0</v>
      </c>
      <c r="W43" s="20">
        <f t="shared" si="4"/>
        <v>0</v>
      </c>
      <c r="X43" s="20">
        <v>0</v>
      </c>
      <c r="Y43" s="22">
        <v>0</v>
      </c>
      <c r="Z43" s="20">
        <f t="shared" si="5"/>
        <v>0</v>
      </c>
      <c r="AA43" s="20">
        <v>0</v>
      </c>
      <c r="AB43" s="22">
        <v>0</v>
      </c>
      <c r="AC43" s="20">
        <f t="shared" si="6"/>
        <v>0</v>
      </c>
      <c r="AD43" s="20">
        <v>0</v>
      </c>
      <c r="AE43" s="22">
        <v>0</v>
      </c>
      <c r="AF43" s="20">
        <f t="shared" si="7"/>
        <v>0</v>
      </c>
      <c r="AG43" s="20">
        <v>0</v>
      </c>
      <c r="AH43" s="21">
        <v>0</v>
      </c>
      <c r="AI43" s="20">
        <f t="shared" si="8"/>
        <v>0</v>
      </c>
      <c r="AJ43" s="20">
        <v>0</v>
      </c>
      <c r="AK43" s="21">
        <v>0</v>
      </c>
      <c r="AL43" s="20">
        <f t="shared" si="9"/>
        <v>0</v>
      </c>
      <c r="AM43" s="20">
        <v>0</v>
      </c>
      <c r="AN43" s="21">
        <v>0</v>
      </c>
      <c r="AO43" s="20">
        <f t="shared" si="10"/>
        <v>0</v>
      </c>
      <c r="AP43" s="21">
        <v>0</v>
      </c>
      <c r="AQ43" s="20">
        <v>0</v>
      </c>
      <c r="AR43" s="20">
        <f t="shared" si="11"/>
        <v>0</v>
      </c>
      <c r="AS43" s="20">
        <v>0</v>
      </c>
      <c r="AT43" s="21">
        <v>0</v>
      </c>
      <c r="AU43" s="20">
        <f t="shared" si="12"/>
        <v>0</v>
      </c>
      <c r="AV43" s="23">
        <f t="shared" si="13"/>
        <v>20</v>
      </c>
      <c r="AW43" s="22">
        <f t="shared" si="14"/>
        <v>0</v>
      </c>
      <c r="AX43" s="20">
        <f t="shared" si="15"/>
        <v>20</v>
      </c>
      <c r="AY43" s="28" t="s">
        <v>28</v>
      </c>
      <c r="AZ43" s="28" t="s">
        <v>28</v>
      </c>
      <c r="BA43" s="28" t="s">
        <v>352</v>
      </c>
      <c r="BB43" s="29">
        <v>44011</v>
      </c>
    </row>
    <row r="44" spans="1:54" hidden="1">
      <c r="A44" s="28" t="str">
        <f t="shared" si="0"/>
        <v>812291149765</v>
      </c>
      <c r="B44" s="30">
        <v>812291</v>
      </c>
      <c r="C44" s="30" t="s">
        <v>293</v>
      </c>
      <c r="D44" s="31">
        <v>149765</v>
      </c>
      <c r="E44" s="28" t="s">
        <v>142</v>
      </c>
      <c r="F44" s="28"/>
      <c r="G44" s="28"/>
      <c r="H44" s="28"/>
      <c r="I44" s="28"/>
      <c r="J44" s="28"/>
      <c r="K44" s="28"/>
      <c r="L44" s="20">
        <v>45</v>
      </c>
      <c r="M44" s="21">
        <v>0</v>
      </c>
      <c r="N44" s="20">
        <f t="shared" si="1"/>
        <v>45</v>
      </c>
      <c r="O44" s="20">
        <v>20</v>
      </c>
      <c r="P44" s="21">
        <v>0</v>
      </c>
      <c r="Q44" s="20">
        <f t="shared" si="2"/>
        <v>20</v>
      </c>
      <c r="R44" s="20">
        <v>30</v>
      </c>
      <c r="S44" s="22">
        <v>0</v>
      </c>
      <c r="T44" s="20">
        <f t="shared" si="3"/>
        <v>30</v>
      </c>
      <c r="U44" s="20">
        <v>0</v>
      </c>
      <c r="V44" s="21">
        <v>0</v>
      </c>
      <c r="W44" s="20">
        <f t="shared" si="4"/>
        <v>0</v>
      </c>
      <c r="X44" s="20">
        <v>30</v>
      </c>
      <c r="Y44" s="22">
        <v>0</v>
      </c>
      <c r="Z44" s="20">
        <f t="shared" si="5"/>
        <v>30</v>
      </c>
      <c r="AA44" s="20">
        <v>30</v>
      </c>
      <c r="AB44" s="22">
        <v>0</v>
      </c>
      <c r="AC44" s="20">
        <f t="shared" si="6"/>
        <v>30</v>
      </c>
      <c r="AD44" s="20">
        <v>10</v>
      </c>
      <c r="AE44" s="22">
        <v>0</v>
      </c>
      <c r="AF44" s="20">
        <f t="shared" si="7"/>
        <v>10</v>
      </c>
      <c r="AG44" s="20">
        <v>30</v>
      </c>
      <c r="AH44" s="21">
        <v>0</v>
      </c>
      <c r="AI44" s="20">
        <f t="shared" si="8"/>
        <v>30</v>
      </c>
      <c r="AJ44" s="20">
        <v>40</v>
      </c>
      <c r="AK44" s="21">
        <v>0</v>
      </c>
      <c r="AL44" s="20">
        <f t="shared" si="9"/>
        <v>40</v>
      </c>
      <c r="AM44" s="20">
        <v>20</v>
      </c>
      <c r="AN44" s="21">
        <v>0</v>
      </c>
      <c r="AO44" s="20">
        <f t="shared" si="10"/>
        <v>20</v>
      </c>
      <c r="AP44" s="21">
        <v>30</v>
      </c>
      <c r="AQ44" s="20">
        <v>0</v>
      </c>
      <c r="AR44" s="20">
        <f t="shared" si="11"/>
        <v>30</v>
      </c>
      <c r="AS44" s="20">
        <v>10</v>
      </c>
      <c r="AT44" s="21">
        <v>0</v>
      </c>
      <c r="AU44" s="20">
        <f t="shared" si="12"/>
        <v>10</v>
      </c>
      <c r="AV44" s="23">
        <f t="shared" si="13"/>
        <v>295</v>
      </c>
      <c r="AW44" s="22">
        <f t="shared" si="14"/>
        <v>0</v>
      </c>
      <c r="AX44" s="20">
        <f t="shared" si="15"/>
        <v>295</v>
      </c>
      <c r="AY44" s="28" t="s">
        <v>28</v>
      </c>
      <c r="AZ44" s="28" t="s">
        <v>28</v>
      </c>
      <c r="BA44" s="28" t="s">
        <v>352</v>
      </c>
      <c r="BB44" s="29">
        <v>44032</v>
      </c>
    </row>
    <row r="45" spans="1:54" hidden="1">
      <c r="A45" s="28" t="str">
        <f t="shared" si="0"/>
        <v>812300149765</v>
      </c>
      <c r="B45" s="30">
        <v>812300</v>
      </c>
      <c r="C45" s="30" t="s">
        <v>294</v>
      </c>
      <c r="D45" s="31">
        <v>149765</v>
      </c>
      <c r="E45" s="28" t="s">
        <v>142</v>
      </c>
      <c r="F45" s="28"/>
      <c r="G45" s="28"/>
      <c r="H45" s="28"/>
      <c r="I45" s="28"/>
      <c r="J45" s="28"/>
      <c r="K45" s="28"/>
      <c r="L45" s="20">
        <v>60</v>
      </c>
      <c r="M45" s="21">
        <v>0</v>
      </c>
      <c r="N45" s="20">
        <f t="shared" si="1"/>
        <v>60</v>
      </c>
      <c r="O45" s="20">
        <v>20</v>
      </c>
      <c r="P45" s="21">
        <v>0</v>
      </c>
      <c r="Q45" s="20">
        <f t="shared" si="2"/>
        <v>20</v>
      </c>
      <c r="R45" s="20">
        <v>50</v>
      </c>
      <c r="S45" s="22">
        <v>0</v>
      </c>
      <c r="T45" s="20">
        <f t="shared" si="3"/>
        <v>50</v>
      </c>
      <c r="U45" s="20">
        <v>0</v>
      </c>
      <c r="V45" s="21">
        <v>0</v>
      </c>
      <c r="W45" s="20">
        <f t="shared" si="4"/>
        <v>0</v>
      </c>
      <c r="X45" s="20">
        <v>60</v>
      </c>
      <c r="Y45" s="22">
        <v>0</v>
      </c>
      <c r="Z45" s="20">
        <f t="shared" si="5"/>
        <v>60</v>
      </c>
      <c r="AA45" s="20">
        <v>40</v>
      </c>
      <c r="AB45" s="22">
        <v>0</v>
      </c>
      <c r="AC45" s="20">
        <f t="shared" si="6"/>
        <v>40</v>
      </c>
      <c r="AD45" s="20">
        <v>98</v>
      </c>
      <c r="AE45" s="22">
        <v>0</v>
      </c>
      <c r="AF45" s="20">
        <f t="shared" si="7"/>
        <v>98</v>
      </c>
      <c r="AG45" s="20">
        <v>20</v>
      </c>
      <c r="AH45" s="21">
        <v>0</v>
      </c>
      <c r="AI45" s="20">
        <f t="shared" si="8"/>
        <v>20</v>
      </c>
      <c r="AJ45" s="20">
        <v>50</v>
      </c>
      <c r="AK45" s="21">
        <v>0</v>
      </c>
      <c r="AL45" s="20">
        <f t="shared" si="9"/>
        <v>50</v>
      </c>
      <c r="AM45" s="20">
        <v>48</v>
      </c>
      <c r="AN45" s="21">
        <v>0</v>
      </c>
      <c r="AO45" s="20">
        <f t="shared" si="10"/>
        <v>48</v>
      </c>
      <c r="AP45" s="21">
        <v>30</v>
      </c>
      <c r="AQ45" s="20">
        <v>0</v>
      </c>
      <c r="AR45" s="20">
        <f t="shared" si="11"/>
        <v>30</v>
      </c>
      <c r="AS45" s="20">
        <v>125</v>
      </c>
      <c r="AT45" s="21">
        <v>0</v>
      </c>
      <c r="AU45" s="20">
        <f t="shared" si="12"/>
        <v>125</v>
      </c>
      <c r="AV45" s="23">
        <f t="shared" si="13"/>
        <v>601</v>
      </c>
      <c r="AW45" s="22">
        <f t="shared" si="14"/>
        <v>0</v>
      </c>
      <c r="AX45" s="20">
        <f t="shared" si="15"/>
        <v>601</v>
      </c>
      <c r="AY45" s="28" t="s">
        <v>28</v>
      </c>
      <c r="AZ45" s="28" t="s">
        <v>28</v>
      </c>
      <c r="BA45" s="28" t="s">
        <v>352</v>
      </c>
      <c r="BB45" s="29">
        <v>44033</v>
      </c>
    </row>
    <row r="46" spans="1:54" hidden="1">
      <c r="A46" s="28" t="str">
        <f t="shared" si="0"/>
        <v>812382179893</v>
      </c>
      <c r="B46" s="30">
        <v>812382</v>
      </c>
      <c r="C46" s="30" t="s">
        <v>272</v>
      </c>
      <c r="D46" s="31">
        <v>179893</v>
      </c>
      <c r="E46" s="28" t="s">
        <v>185</v>
      </c>
      <c r="F46" s="28"/>
      <c r="G46" s="28"/>
      <c r="H46" s="28"/>
      <c r="I46" s="28"/>
      <c r="J46" s="28"/>
      <c r="K46" s="28"/>
      <c r="L46" s="20">
        <v>81</v>
      </c>
      <c r="M46" s="21">
        <v>0</v>
      </c>
      <c r="N46" s="20">
        <f t="shared" si="1"/>
        <v>81</v>
      </c>
      <c r="O46" s="20">
        <v>112</v>
      </c>
      <c r="P46" s="21">
        <v>0</v>
      </c>
      <c r="Q46" s="20">
        <f t="shared" si="2"/>
        <v>112</v>
      </c>
      <c r="R46" s="20">
        <v>98.5</v>
      </c>
      <c r="S46" s="22">
        <v>0</v>
      </c>
      <c r="T46" s="20">
        <f t="shared" si="3"/>
        <v>98.5</v>
      </c>
      <c r="U46" s="20">
        <v>93.5</v>
      </c>
      <c r="V46" s="21">
        <v>0</v>
      </c>
      <c r="W46" s="20">
        <f t="shared" si="4"/>
        <v>93.5</v>
      </c>
      <c r="X46" s="20">
        <v>51.5</v>
      </c>
      <c r="Y46" s="22">
        <v>0</v>
      </c>
      <c r="Z46" s="20">
        <f t="shared" si="5"/>
        <v>51.5</v>
      </c>
      <c r="AA46" s="20">
        <v>59</v>
      </c>
      <c r="AB46" s="22">
        <v>0</v>
      </c>
      <c r="AC46" s="20">
        <f t="shared" si="6"/>
        <v>59</v>
      </c>
      <c r="AD46" s="20">
        <v>15</v>
      </c>
      <c r="AE46" s="22">
        <v>0</v>
      </c>
      <c r="AF46" s="20">
        <f t="shared" si="7"/>
        <v>15</v>
      </c>
      <c r="AG46" s="20">
        <v>90</v>
      </c>
      <c r="AH46" s="21">
        <v>0</v>
      </c>
      <c r="AI46" s="20">
        <f t="shared" si="8"/>
        <v>90</v>
      </c>
      <c r="AJ46" s="20">
        <v>119</v>
      </c>
      <c r="AK46" s="21">
        <v>0</v>
      </c>
      <c r="AL46" s="20">
        <f t="shared" si="9"/>
        <v>119</v>
      </c>
      <c r="AM46" s="20">
        <v>25</v>
      </c>
      <c r="AN46" s="21">
        <v>0</v>
      </c>
      <c r="AO46" s="20">
        <f t="shared" si="10"/>
        <v>25</v>
      </c>
      <c r="AP46" s="21">
        <v>48</v>
      </c>
      <c r="AQ46" s="20">
        <v>0</v>
      </c>
      <c r="AR46" s="20">
        <f t="shared" si="11"/>
        <v>48</v>
      </c>
      <c r="AS46" s="20">
        <v>115</v>
      </c>
      <c r="AT46" s="21">
        <v>0</v>
      </c>
      <c r="AU46" s="20">
        <f t="shared" si="12"/>
        <v>115</v>
      </c>
      <c r="AV46" s="23">
        <f t="shared" si="13"/>
        <v>907.5</v>
      </c>
      <c r="AW46" s="22">
        <f t="shared" si="14"/>
        <v>0</v>
      </c>
      <c r="AX46" s="20">
        <f t="shared" si="15"/>
        <v>907.5</v>
      </c>
      <c r="AY46" s="28" t="s">
        <v>28</v>
      </c>
      <c r="AZ46" s="28" t="s">
        <v>28</v>
      </c>
      <c r="BA46" s="28" t="s">
        <v>352</v>
      </c>
      <c r="BB46" s="29">
        <v>44040</v>
      </c>
    </row>
    <row r="47" spans="1:54" hidden="1">
      <c r="A47" s="28" t="str">
        <f t="shared" si="0"/>
        <v>812391149765</v>
      </c>
      <c r="B47" s="30">
        <v>812391</v>
      </c>
      <c r="C47" s="30" t="s">
        <v>144</v>
      </c>
      <c r="D47" s="31">
        <v>149765</v>
      </c>
      <c r="E47" s="28" t="s">
        <v>142</v>
      </c>
      <c r="F47" s="28"/>
      <c r="G47" s="28"/>
      <c r="H47" s="28"/>
      <c r="I47" s="28"/>
      <c r="J47" s="28"/>
      <c r="K47" s="28"/>
      <c r="L47" s="20">
        <v>45</v>
      </c>
      <c r="M47" s="21">
        <v>0</v>
      </c>
      <c r="N47" s="20">
        <f t="shared" si="1"/>
        <v>45</v>
      </c>
      <c r="O47" s="20">
        <v>5</v>
      </c>
      <c r="P47" s="21">
        <v>0</v>
      </c>
      <c r="Q47" s="20">
        <f t="shared" si="2"/>
        <v>5</v>
      </c>
      <c r="R47" s="20">
        <v>12</v>
      </c>
      <c r="S47" s="22">
        <v>0</v>
      </c>
      <c r="T47" s="20">
        <f t="shared" si="3"/>
        <v>12</v>
      </c>
      <c r="U47" s="20">
        <v>0</v>
      </c>
      <c r="V47" s="21">
        <v>0</v>
      </c>
      <c r="W47" s="20">
        <f t="shared" si="4"/>
        <v>0</v>
      </c>
      <c r="X47" s="20">
        <v>10</v>
      </c>
      <c r="Y47" s="22">
        <v>0</v>
      </c>
      <c r="Z47" s="20">
        <f t="shared" si="5"/>
        <v>10</v>
      </c>
      <c r="AA47" s="20">
        <v>0</v>
      </c>
      <c r="AB47" s="22">
        <v>0</v>
      </c>
      <c r="AC47" s="20">
        <f t="shared" si="6"/>
        <v>0</v>
      </c>
      <c r="AD47" s="20">
        <v>2.0499999999999998</v>
      </c>
      <c r="AE47" s="22">
        <v>0</v>
      </c>
      <c r="AF47" s="20">
        <f t="shared" si="7"/>
        <v>2.0499999999999998</v>
      </c>
      <c r="AG47" s="20">
        <v>10</v>
      </c>
      <c r="AH47" s="21">
        <v>0</v>
      </c>
      <c r="AI47" s="20">
        <f t="shared" si="8"/>
        <v>10</v>
      </c>
      <c r="AJ47" s="20">
        <v>0</v>
      </c>
      <c r="AK47" s="21">
        <v>0</v>
      </c>
      <c r="AL47" s="20">
        <f t="shared" si="9"/>
        <v>0</v>
      </c>
      <c r="AM47" s="20">
        <v>0</v>
      </c>
      <c r="AN47" s="21">
        <v>0</v>
      </c>
      <c r="AO47" s="20">
        <f t="shared" si="10"/>
        <v>0</v>
      </c>
      <c r="AP47" s="21">
        <v>20</v>
      </c>
      <c r="AQ47" s="20">
        <v>0</v>
      </c>
      <c r="AR47" s="20">
        <f t="shared" si="11"/>
        <v>20</v>
      </c>
      <c r="AS47" s="20">
        <v>10</v>
      </c>
      <c r="AT47" s="21">
        <v>0</v>
      </c>
      <c r="AU47" s="20">
        <f t="shared" si="12"/>
        <v>10</v>
      </c>
      <c r="AV47" s="23">
        <f t="shared" si="13"/>
        <v>114.05</v>
      </c>
      <c r="AW47" s="22">
        <f t="shared" si="14"/>
        <v>0</v>
      </c>
      <c r="AX47" s="20">
        <f t="shared" si="15"/>
        <v>114.05</v>
      </c>
      <c r="AY47" s="28" t="s">
        <v>28</v>
      </c>
      <c r="AZ47" s="28" t="s">
        <v>28</v>
      </c>
      <c r="BA47" s="28" t="s">
        <v>352</v>
      </c>
      <c r="BB47" s="29">
        <v>44041</v>
      </c>
    </row>
    <row r="48" spans="1:54" hidden="1">
      <c r="A48" s="28" t="str">
        <f t="shared" si="0"/>
        <v>812461179893</v>
      </c>
      <c r="B48" s="30">
        <v>812461</v>
      </c>
      <c r="C48" s="30" t="s">
        <v>334</v>
      </c>
      <c r="D48" s="31">
        <v>179893</v>
      </c>
      <c r="E48" s="28" t="s">
        <v>185</v>
      </c>
      <c r="F48" s="28"/>
      <c r="G48" s="28"/>
      <c r="H48" s="28"/>
      <c r="I48" s="28"/>
      <c r="J48" s="28"/>
      <c r="K48" s="28"/>
      <c r="L48" s="20">
        <v>0</v>
      </c>
      <c r="M48" s="21">
        <v>0</v>
      </c>
      <c r="N48" s="20">
        <f t="shared" si="1"/>
        <v>0</v>
      </c>
      <c r="O48" s="20">
        <v>10</v>
      </c>
      <c r="P48" s="21">
        <v>0</v>
      </c>
      <c r="Q48" s="20">
        <f t="shared" si="2"/>
        <v>10</v>
      </c>
      <c r="R48" s="20">
        <v>10</v>
      </c>
      <c r="S48" s="22">
        <v>0</v>
      </c>
      <c r="T48" s="20">
        <f t="shared" si="3"/>
        <v>10</v>
      </c>
      <c r="U48" s="20">
        <v>46</v>
      </c>
      <c r="V48" s="21">
        <v>0</v>
      </c>
      <c r="W48" s="20">
        <f t="shared" si="4"/>
        <v>46</v>
      </c>
      <c r="X48" s="20">
        <v>20</v>
      </c>
      <c r="Y48" s="22">
        <v>0</v>
      </c>
      <c r="Z48" s="20">
        <f t="shared" si="5"/>
        <v>20</v>
      </c>
      <c r="AA48" s="20">
        <v>15</v>
      </c>
      <c r="AB48" s="22">
        <v>0</v>
      </c>
      <c r="AC48" s="20">
        <f t="shared" si="6"/>
        <v>15</v>
      </c>
      <c r="AD48" s="20">
        <v>15</v>
      </c>
      <c r="AE48" s="22">
        <v>0</v>
      </c>
      <c r="AF48" s="20">
        <f t="shared" si="7"/>
        <v>15</v>
      </c>
      <c r="AG48" s="20">
        <v>20</v>
      </c>
      <c r="AH48" s="21">
        <v>0</v>
      </c>
      <c r="AI48" s="20">
        <f t="shared" si="8"/>
        <v>20</v>
      </c>
      <c r="AJ48" s="20">
        <v>49</v>
      </c>
      <c r="AK48" s="21">
        <v>0</v>
      </c>
      <c r="AL48" s="20">
        <f t="shared" si="9"/>
        <v>49</v>
      </c>
      <c r="AM48" s="20">
        <v>0</v>
      </c>
      <c r="AN48" s="21">
        <v>0</v>
      </c>
      <c r="AO48" s="20">
        <f t="shared" si="10"/>
        <v>0</v>
      </c>
      <c r="AP48" s="21">
        <v>30</v>
      </c>
      <c r="AQ48" s="20">
        <v>0</v>
      </c>
      <c r="AR48" s="20">
        <f t="shared" si="11"/>
        <v>30</v>
      </c>
      <c r="AS48" s="20">
        <v>30</v>
      </c>
      <c r="AT48" s="21">
        <v>0</v>
      </c>
      <c r="AU48" s="20">
        <f t="shared" si="12"/>
        <v>30</v>
      </c>
      <c r="AV48" s="23">
        <f t="shared" si="13"/>
        <v>245</v>
      </c>
      <c r="AW48" s="22">
        <f t="shared" si="14"/>
        <v>0</v>
      </c>
      <c r="AX48" s="20">
        <f t="shared" si="15"/>
        <v>245</v>
      </c>
      <c r="AY48" s="28" t="s">
        <v>28</v>
      </c>
      <c r="AZ48" s="28" t="s">
        <v>28</v>
      </c>
      <c r="BA48" s="28" t="s">
        <v>352</v>
      </c>
      <c r="BB48" s="29">
        <v>44050</v>
      </c>
    </row>
    <row r="49" spans="1:54" hidden="1">
      <c r="A49" s="28" t="str">
        <f t="shared" si="0"/>
        <v>812469201065</v>
      </c>
      <c r="B49" s="30">
        <v>812469</v>
      </c>
      <c r="C49" s="30" t="s">
        <v>135</v>
      </c>
      <c r="D49" s="31">
        <v>201065</v>
      </c>
      <c r="E49" s="28" t="s">
        <v>133</v>
      </c>
      <c r="F49" s="28"/>
      <c r="G49" s="28"/>
      <c r="H49" s="28"/>
      <c r="I49" s="28"/>
      <c r="J49" s="28"/>
      <c r="K49" s="28"/>
      <c r="L49" s="20">
        <v>20</v>
      </c>
      <c r="M49" s="21">
        <v>0</v>
      </c>
      <c r="N49" s="20">
        <f t="shared" si="1"/>
        <v>20</v>
      </c>
      <c r="O49" s="20">
        <v>39.5</v>
      </c>
      <c r="P49" s="21">
        <v>0</v>
      </c>
      <c r="Q49" s="20">
        <f t="shared" si="2"/>
        <v>39.5</v>
      </c>
      <c r="R49" s="20">
        <v>60</v>
      </c>
      <c r="S49" s="22">
        <v>0</v>
      </c>
      <c r="T49" s="20">
        <f t="shared" si="3"/>
        <v>60</v>
      </c>
      <c r="U49" s="20">
        <v>37.5</v>
      </c>
      <c r="V49" s="21">
        <v>0</v>
      </c>
      <c r="W49" s="20">
        <f t="shared" si="4"/>
        <v>37.5</v>
      </c>
      <c r="X49" s="20">
        <v>43</v>
      </c>
      <c r="Y49" s="22">
        <v>5.5</v>
      </c>
      <c r="Z49" s="20">
        <f t="shared" si="5"/>
        <v>48.5</v>
      </c>
      <c r="AA49" s="20">
        <v>37</v>
      </c>
      <c r="AB49" s="22">
        <v>0</v>
      </c>
      <c r="AC49" s="20">
        <f t="shared" si="6"/>
        <v>37</v>
      </c>
      <c r="AD49" s="20">
        <v>0</v>
      </c>
      <c r="AE49" s="22">
        <v>0</v>
      </c>
      <c r="AF49" s="20">
        <f t="shared" si="7"/>
        <v>0</v>
      </c>
      <c r="AG49" s="20">
        <v>0</v>
      </c>
      <c r="AH49" s="21">
        <v>0</v>
      </c>
      <c r="AI49" s="20">
        <f t="shared" si="8"/>
        <v>0</v>
      </c>
      <c r="AJ49" s="20">
        <v>0</v>
      </c>
      <c r="AK49" s="21">
        <v>0</v>
      </c>
      <c r="AL49" s="20">
        <f t="shared" si="9"/>
        <v>0</v>
      </c>
      <c r="AM49" s="20">
        <v>0</v>
      </c>
      <c r="AN49" s="21">
        <v>0</v>
      </c>
      <c r="AO49" s="20">
        <f t="shared" si="10"/>
        <v>0</v>
      </c>
      <c r="AP49" s="21">
        <v>10</v>
      </c>
      <c r="AQ49" s="20">
        <v>0</v>
      </c>
      <c r="AR49" s="20">
        <f t="shared" si="11"/>
        <v>10</v>
      </c>
      <c r="AS49" s="20">
        <v>0</v>
      </c>
      <c r="AT49" s="21">
        <v>0</v>
      </c>
      <c r="AU49" s="20">
        <f t="shared" si="12"/>
        <v>0</v>
      </c>
      <c r="AV49" s="23">
        <f t="shared" si="13"/>
        <v>247</v>
      </c>
      <c r="AW49" s="22">
        <f t="shared" si="14"/>
        <v>5.5</v>
      </c>
      <c r="AX49" s="20">
        <f t="shared" si="15"/>
        <v>252.5</v>
      </c>
      <c r="AY49" s="28" t="s">
        <v>28</v>
      </c>
      <c r="AZ49" s="28" t="s">
        <v>28</v>
      </c>
      <c r="BA49" s="28" t="s">
        <v>352</v>
      </c>
      <c r="BB49" s="29">
        <v>44051</v>
      </c>
    </row>
    <row r="50" spans="1:54" hidden="1">
      <c r="A50" s="28" t="str">
        <f t="shared" si="0"/>
        <v>812969140481</v>
      </c>
      <c r="B50" s="30">
        <v>812969</v>
      </c>
      <c r="C50" s="30" t="s">
        <v>93</v>
      </c>
      <c r="D50" s="31">
        <v>140481</v>
      </c>
      <c r="E50" s="28" t="s">
        <v>60</v>
      </c>
      <c r="F50" s="28"/>
      <c r="G50" s="28"/>
      <c r="H50" s="28"/>
      <c r="I50" s="28"/>
      <c r="J50" s="28"/>
      <c r="K50" s="28"/>
      <c r="L50" s="20">
        <v>81.5</v>
      </c>
      <c r="M50" s="21">
        <v>0</v>
      </c>
      <c r="N50" s="20">
        <f t="shared" si="1"/>
        <v>81.5</v>
      </c>
      <c r="O50" s="20">
        <v>101.75</v>
      </c>
      <c r="P50" s="21">
        <v>0</v>
      </c>
      <c r="Q50" s="20">
        <f t="shared" si="2"/>
        <v>101.75</v>
      </c>
      <c r="R50" s="20">
        <v>107</v>
      </c>
      <c r="S50" s="22">
        <v>0</v>
      </c>
      <c r="T50" s="20">
        <f t="shared" si="3"/>
        <v>107</v>
      </c>
      <c r="U50" s="20">
        <v>157</v>
      </c>
      <c r="V50" s="21">
        <v>0</v>
      </c>
      <c r="W50" s="20">
        <f t="shared" si="4"/>
        <v>157</v>
      </c>
      <c r="X50" s="20">
        <v>135</v>
      </c>
      <c r="Y50" s="22">
        <v>10</v>
      </c>
      <c r="Z50" s="20">
        <f t="shared" si="5"/>
        <v>145</v>
      </c>
      <c r="AA50" s="20">
        <v>133.4</v>
      </c>
      <c r="AB50" s="22">
        <v>0</v>
      </c>
      <c r="AC50" s="20">
        <f t="shared" si="6"/>
        <v>133.4</v>
      </c>
      <c r="AD50" s="20">
        <v>135.5</v>
      </c>
      <c r="AE50" s="22">
        <v>0</v>
      </c>
      <c r="AF50" s="20">
        <f t="shared" si="7"/>
        <v>135.5</v>
      </c>
      <c r="AG50" s="20">
        <v>125</v>
      </c>
      <c r="AH50" s="21">
        <v>36</v>
      </c>
      <c r="AI50" s="20">
        <f t="shared" si="8"/>
        <v>161</v>
      </c>
      <c r="AJ50" s="20">
        <v>186</v>
      </c>
      <c r="AK50" s="21">
        <v>10</v>
      </c>
      <c r="AL50" s="20">
        <f t="shared" si="9"/>
        <v>196</v>
      </c>
      <c r="AM50" s="20">
        <v>147</v>
      </c>
      <c r="AN50" s="21">
        <v>11</v>
      </c>
      <c r="AO50" s="20">
        <f t="shared" si="10"/>
        <v>158</v>
      </c>
      <c r="AP50" s="21">
        <v>104</v>
      </c>
      <c r="AQ50" s="20">
        <v>15</v>
      </c>
      <c r="AR50" s="20">
        <f t="shared" si="11"/>
        <v>119</v>
      </c>
      <c r="AS50" s="20">
        <v>107</v>
      </c>
      <c r="AT50" s="21">
        <v>2.5</v>
      </c>
      <c r="AU50" s="20">
        <f t="shared" si="12"/>
        <v>109.5</v>
      </c>
      <c r="AV50" s="23">
        <f t="shared" si="13"/>
        <v>1520.15</v>
      </c>
      <c r="AW50" s="22">
        <f t="shared" si="14"/>
        <v>84.5</v>
      </c>
      <c r="AX50" s="20">
        <f t="shared" si="15"/>
        <v>1604.65</v>
      </c>
      <c r="AY50" s="28" t="s">
        <v>28</v>
      </c>
      <c r="AZ50" s="28" t="s">
        <v>28</v>
      </c>
      <c r="BA50" s="28" t="s">
        <v>352</v>
      </c>
      <c r="BB50" s="29">
        <v>44092</v>
      </c>
    </row>
    <row r="51" spans="1:54" hidden="1">
      <c r="A51" s="28" t="str">
        <f t="shared" si="0"/>
        <v>813172178661</v>
      </c>
      <c r="B51" s="30">
        <v>813172</v>
      </c>
      <c r="C51" s="30" t="s">
        <v>149</v>
      </c>
      <c r="D51" s="31">
        <v>178661</v>
      </c>
      <c r="E51" s="28" t="s">
        <v>48</v>
      </c>
      <c r="F51" s="28"/>
      <c r="G51" s="28"/>
      <c r="H51" s="28"/>
      <c r="I51" s="28"/>
      <c r="J51" s="28"/>
      <c r="K51" s="28"/>
      <c r="L51" s="20">
        <v>56</v>
      </c>
      <c r="M51" s="21">
        <v>6</v>
      </c>
      <c r="N51" s="20">
        <f t="shared" si="1"/>
        <v>62</v>
      </c>
      <c r="O51" s="20">
        <v>25</v>
      </c>
      <c r="P51" s="21">
        <v>25</v>
      </c>
      <c r="Q51" s="20">
        <f t="shared" si="2"/>
        <v>50</v>
      </c>
      <c r="R51" s="20">
        <v>64</v>
      </c>
      <c r="S51" s="22">
        <v>14</v>
      </c>
      <c r="T51" s="20">
        <f t="shared" si="3"/>
        <v>78</v>
      </c>
      <c r="U51" s="20">
        <v>69</v>
      </c>
      <c r="V51" s="21">
        <v>14</v>
      </c>
      <c r="W51" s="20">
        <f t="shared" si="4"/>
        <v>83</v>
      </c>
      <c r="X51" s="20">
        <v>35</v>
      </c>
      <c r="Y51" s="22">
        <v>0</v>
      </c>
      <c r="Z51" s="20">
        <f t="shared" si="5"/>
        <v>35</v>
      </c>
      <c r="AA51" s="20">
        <v>104.5</v>
      </c>
      <c r="AB51" s="22">
        <v>0</v>
      </c>
      <c r="AC51" s="20">
        <f t="shared" si="6"/>
        <v>104.5</v>
      </c>
      <c r="AD51" s="20">
        <v>82.5</v>
      </c>
      <c r="AE51" s="22">
        <v>10</v>
      </c>
      <c r="AF51" s="20">
        <f t="shared" si="7"/>
        <v>92.5</v>
      </c>
      <c r="AG51" s="20">
        <v>58</v>
      </c>
      <c r="AH51" s="21">
        <v>15</v>
      </c>
      <c r="AI51" s="20">
        <f t="shared" si="8"/>
        <v>73</v>
      </c>
      <c r="AJ51" s="20">
        <v>115</v>
      </c>
      <c r="AK51" s="21">
        <v>0</v>
      </c>
      <c r="AL51" s="20">
        <f t="shared" si="9"/>
        <v>115</v>
      </c>
      <c r="AM51" s="20">
        <v>81.5</v>
      </c>
      <c r="AN51" s="21">
        <v>0</v>
      </c>
      <c r="AO51" s="20">
        <f t="shared" si="10"/>
        <v>81.5</v>
      </c>
      <c r="AP51" s="21">
        <v>29</v>
      </c>
      <c r="AQ51" s="20">
        <v>10</v>
      </c>
      <c r="AR51" s="20">
        <f t="shared" si="11"/>
        <v>39</v>
      </c>
      <c r="AS51" s="20">
        <v>25</v>
      </c>
      <c r="AT51" s="21">
        <v>0</v>
      </c>
      <c r="AU51" s="20">
        <f t="shared" si="12"/>
        <v>25</v>
      </c>
      <c r="AV51" s="23">
        <f t="shared" si="13"/>
        <v>744.5</v>
      </c>
      <c r="AW51" s="22">
        <f t="shared" si="14"/>
        <v>94</v>
      </c>
      <c r="AX51" s="20">
        <f t="shared" si="15"/>
        <v>838.5</v>
      </c>
      <c r="AY51" s="28" t="s">
        <v>28</v>
      </c>
      <c r="AZ51" s="28" t="s">
        <v>28</v>
      </c>
      <c r="BA51" s="28" t="s">
        <v>352</v>
      </c>
      <c r="BB51" s="29">
        <v>44109</v>
      </c>
    </row>
    <row r="52" spans="1:54" hidden="1">
      <c r="A52" s="28" t="str">
        <f t="shared" si="0"/>
        <v>813521140927</v>
      </c>
      <c r="B52" s="30">
        <v>813521</v>
      </c>
      <c r="C52" s="30" t="s">
        <v>92</v>
      </c>
      <c r="D52" s="31">
        <v>140927</v>
      </c>
      <c r="E52" s="28" t="s">
        <v>59</v>
      </c>
      <c r="F52" s="28"/>
      <c r="G52" s="28"/>
      <c r="H52" s="28"/>
      <c r="I52" s="28"/>
      <c r="J52" s="28"/>
      <c r="K52" s="28"/>
      <c r="L52" s="20">
        <v>55</v>
      </c>
      <c r="M52" s="21">
        <v>0</v>
      </c>
      <c r="N52" s="20">
        <f t="shared" si="1"/>
        <v>55</v>
      </c>
      <c r="O52" s="20">
        <v>15</v>
      </c>
      <c r="P52" s="21">
        <v>5</v>
      </c>
      <c r="Q52" s="20">
        <f t="shared" si="2"/>
        <v>20</v>
      </c>
      <c r="R52" s="20">
        <v>76</v>
      </c>
      <c r="S52" s="22">
        <v>0</v>
      </c>
      <c r="T52" s="20">
        <f t="shared" si="3"/>
        <v>76</v>
      </c>
      <c r="U52" s="20">
        <v>70</v>
      </c>
      <c r="V52" s="21">
        <v>0</v>
      </c>
      <c r="W52" s="20">
        <f t="shared" si="4"/>
        <v>70</v>
      </c>
      <c r="X52" s="20">
        <v>93.75</v>
      </c>
      <c r="Y52" s="22">
        <v>6.75</v>
      </c>
      <c r="Z52" s="20">
        <f t="shared" si="5"/>
        <v>100.5</v>
      </c>
      <c r="AA52" s="20">
        <v>109.5</v>
      </c>
      <c r="AB52" s="22">
        <v>0</v>
      </c>
      <c r="AC52" s="20">
        <f t="shared" si="6"/>
        <v>109.5</v>
      </c>
      <c r="AD52" s="20">
        <v>79</v>
      </c>
      <c r="AE52" s="22">
        <v>0</v>
      </c>
      <c r="AF52" s="20">
        <f t="shared" si="7"/>
        <v>79</v>
      </c>
      <c r="AG52" s="20">
        <v>80.5</v>
      </c>
      <c r="AH52" s="21">
        <v>0</v>
      </c>
      <c r="AI52" s="20">
        <f t="shared" si="8"/>
        <v>80.5</v>
      </c>
      <c r="AJ52" s="20">
        <v>143.5</v>
      </c>
      <c r="AK52" s="21">
        <v>2</v>
      </c>
      <c r="AL52" s="20">
        <f t="shared" si="9"/>
        <v>145.5</v>
      </c>
      <c r="AM52" s="20">
        <v>60</v>
      </c>
      <c r="AN52" s="21">
        <v>0</v>
      </c>
      <c r="AO52" s="20">
        <f t="shared" si="10"/>
        <v>60</v>
      </c>
      <c r="AP52" s="21">
        <v>75</v>
      </c>
      <c r="AQ52" s="20">
        <v>0</v>
      </c>
      <c r="AR52" s="20">
        <f t="shared" si="11"/>
        <v>75</v>
      </c>
      <c r="AS52" s="20">
        <v>111.5</v>
      </c>
      <c r="AT52" s="21">
        <v>0</v>
      </c>
      <c r="AU52" s="20">
        <f t="shared" si="12"/>
        <v>111.5</v>
      </c>
      <c r="AV52" s="23">
        <f t="shared" si="13"/>
        <v>968.75</v>
      </c>
      <c r="AW52" s="22">
        <f t="shared" si="14"/>
        <v>13.75</v>
      </c>
      <c r="AX52" s="20">
        <f t="shared" si="15"/>
        <v>982.5</v>
      </c>
      <c r="AY52" s="28" t="s">
        <v>28</v>
      </c>
      <c r="AZ52" s="28" t="s">
        <v>28</v>
      </c>
      <c r="BA52" s="28" t="s">
        <v>352</v>
      </c>
      <c r="BB52" s="29">
        <v>44142</v>
      </c>
    </row>
    <row r="53" spans="1:54" hidden="1">
      <c r="A53" s="28" t="str">
        <f t="shared" si="0"/>
        <v>813636178661</v>
      </c>
      <c r="B53" s="30">
        <v>813636</v>
      </c>
      <c r="C53" s="30" t="s">
        <v>115</v>
      </c>
      <c r="D53" s="31">
        <v>178661</v>
      </c>
      <c r="E53" s="28" t="s">
        <v>48</v>
      </c>
      <c r="F53" s="28"/>
      <c r="G53" s="28"/>
      <c r="H53" s="28"/>
      <c r="I53" s="28"/>
      <c r="J53" s="28"/>
      <c r="K53" s="28"/>
      <c r="L53" s="20">
        <v>62</v>
      </c>
      <c r="M53" s="21">
        <v>10</v>
      </c>
      <c r="N53" s="20">
        <f t="shared" si="1"/>
        <v>72</v>
      </c>
      <c r="O53" s="20">
        <v>20</v>
      </c>
      <c r="P53" s="21">
        <v>0</v>
      </c>
      <c r="Q53" s="20">
        <f t="shared" si="2"/>
        <v>20</v>
      </c>
      <c r="R53" s="20">
        <v>10</v>
      </c>
      <c r="S53" s="22">
        <v>0</v>
      </c>
      <c r="T53" s="20">
        <f t="shared" si="3"/>
        <v>10</v>
      </c>
      <c r="U53" s="20">
        <v>60.5</v>
      </c>
      <c r="V53" s="21">
        <v>0</v>
      </c>
      <c r="W53" s="20">
        <f t="shared" si="4"/>
        <v>60.5</v>
      </c>
      <c r="X53" s="20">
        <v>45</v>
      </c>
      <c r="Y53" s="22">
        <v>0</v>
      </c>
      <c r="Z53" s="20">
        <f t="shared" si="5"/>
        <v>45</v>
      </c>
      <c r="AA53" s="20">
        <v>31</v>
      </c>
      <c r="AB53" s="22">
        <v>11</v>
      </c>
      <c r="AC53" s="20">
        <f t="shared" si="6"/>
        <v>42</v>
      </c>
      <c r="AD53" s="20">
        <v>10</v>
      </c>
      <c r="AE53" s="22">
        <v>0</v>
      </c>
      <c r="AF53" s="20">
        <f t="shared" si="7"/>
        <v>10</v>
      </c>
      <c r="AG53" s="20">
        <v>0</v>
      </c>
      <c r="AH53" s="21">
        <v>0</v>
      </c>
      <c r="AI53" s="20">
        <f t="shared" si="8"/>
        <v>0</v>
      </c>
      <c r="AJ53" s="20">
        <v>32</v>
      </c>
      <c r="AK53" s="21">
        <v>0</v>
      </c>
      <c r="AL53" s="20">
        <f t="shared" si="9"/>
        <v>32</v>
      </c>
      <c r="AM53" s="20">
        <v>30</v>
      </c>
      <c r="AN53" s="21">
        <v>10</v>
      </c>
      <c r="AO53" s="20">
        <f t="shared" si="10"/>
        <v>40</v>
      </c>
      <c r="AP53" s="21">
        <v>10</v>
      </c>
      <c r="AQ53" s="20">
        <v>0</v>
      </c>
      <c r="AR53" s="20">
        <f t="shared" si="11"/>
        <v>10</v>
      </c>
      <c r="AS53" s="20">
        <v>32.5</v>
      </c>
      <c r="AT53" s="21">
        <v>0</v>
      </c>
      <c r="AU53" s="20">
        <f t="shared" si="12"/>
        <v>32.5</v>
      </c>
      <c r="AV53" s="23">
        <f t="shared" si="13"/>
        <v>343</v>
      </c>
      <c r="AW53" s="22">
        <f t="shared" si="14"/>
        <v>31</v>
      </c>
      <c r="AX53" s="20">
        <f t="shared" si="15"/>
        <v>374</v>
      </c>
      <c r="AY53" s="28" t="s">
        <v>28</v>
      </c>
      <c r="AZ53" s="28" t="s">
        <v>28</v>
      </c>
      <c r="BA53" s="28" t="s">
        <v>352</v>
      </c>
      <c r="BB53" s="29">
        <v>44160</v>
      </c>
    </row>
    <row r="54" spans="1:54" hidden="1">
      <c r="A54" s="28" t="str">
        <f t="shared" si="0"/>
        <v>813672176641</v>
      </c>
      <c r="B54" s="30">
        <v>813672</v>
      </c>
      <c r="C54" s="30" t="s">
        <v>284</v>
      </c>
      <c r="D54" s="31">
        <v>176641</v>
      </c>
      <c r="E54" s="28" t="s">
        <v>66</v>
      </c>
      <c r="F54" s="28"/>
      <c r="G54" s="28"/>
      <c r="H54" s="28"/>
      <c r="I54" s="28"/>
      <c r="J54" s="28"/>
      <c r="K54" s="28"/>
      <c r="L54" s="20">
        <v>50</v>
      </c>
      <c r="M54" s="21">
        <v>0</v>
      </c>
      <c r="N54" s="20">
        <f t="shared" si="1"/>
        <v>50</v>
      </c>
      <c r="O54" s="20">
        <v>50</v>
      </c>
      <c r="P54" s="21">
        <v>0</v>
      </c>
      <c r="Q54" s="20">
        <f t="shared" si="2"/>
        <v>50</v>
      </c>
      <c r="R54" s="20">
        <v>30</v>
      </c>
      <c r="S54" s="22">
        <v>0</v>
      </c>
      <c r="T54" s="20">
        <f t="shared" si="3"/>
        <v>30</v>
      </c>
      <c r="U54" s="20">
        <v>46</v>
      </c>
      <c r="V54" s="21">
        <v>6</v>
      </c>
      <c r="W54" s="20">
        <f t="shared" si="4"/>
        <v>52</v>
      </c>
      <c r="X54" s="20">
        <v>47.2</v>
      </c>
      <c r="Y54" s="22">
        <v>7.2</v>
      </c>
      <c r="Z54" s="20">
        <f t="shared" si="5"/>
        <v>54.400000000000006</v>
      </c>
      <c r="AA54" s="20">
        <v>30</v>
      </c>
      <c r="AB54" s="22">
        <v>0</v>
      </c>
      <c r="AC54" s="20">
        <f t="shared" si="6"/>
        <v>30</v>
      </c>
      <c r="AD54" s="20">
        <v>25</v>
      </c>
      <c r="AE54" s="22">
        <v>0</v>
      </c>
      <c r="AF54" s="20">
        <f t="shared" si="7"/>
        <v>25</v>
      </c>
      <c r="AG54" s="20">
        <v>30</v>
      </c>
      <c r="AH54" s="21">
        <v>0</v>
      </c>
      <c r="AI54" s="20">
        <f t="shared" si="8"/>
        <v>30</v>
      </c>
      <c r="AJ54" s="20">
        <v>20</v>
      </c>
      <c r="AK54" s="21">
        <v>0</v>
      </c>
      <c r="AL54" s="20">
        <f t="shared" si="9"/>
        <v>20</v>
      </c>
      <c r="AM54" s="20">
        <v>10</v>
      </c>
      <c r="AN54" s="21">
        <v>0</v>
      </c>
      <c r="AO54" s="20">
        <f t="shared" si="10"/>
        <v>10</v>
      </c>
      <c r="AP54" s="21">
        <v>0</v>
      </c>
      <c r="AQ54" s="20">
        <v>0</v>
      </c>
      <c r="AR54" s="20">
        <f t="shared" si="11"/>
        <v>0</v>
      </c>
      <c r="AS54" s="20">
        <v>10</v>
      </c>
      <c r="AT54" s="21">
        <v>0</v>
      </c>
      <c r="AU54" s="20">
        <f t="shared" si="12"/>
        <v>10</v>
      </c>
      <c r="AV54" s="23">
        <f t="shared" si="13"/>
        <v>348.2</v>
      </c>
      <c r="AW54" s="22">
        <f t="shared" si="14"/>
        <v>13.2</v>
      </c>
      <c r="AX54" s="20">
        <f t="shared" si="15"/>
        <v>361.4</v>
      </c>
      <c r="AY54" s="28" t="s">
        <v>28</v>
      </c>
      <c r="AZ54" s="28" t="s">
        <v>28</v>
      </c>
      <c r="BA54" s="28" t="s">
        <v>352</v>
      </c>
      <c r="BB54" s="29">
        <v>44162</v>
      </c>
    </row>
    <row r="55" spans="1:54" hidden="1">
      <c r="A55" s="28" t="str">
        <f t="shared" si="0"/>
        <v>813692142984</v>
      </c>
      <c r="B55" s="30">
        <v>813692</v>
      </c>
      <c r="C55" s="30" t="s">
        <v>271</v>
      </c>
      <c r="D55" s="31">
        <v>142984</v>
      </c>
      <c r="E55" s="28" t="s">
        <v>117</v>
      </c>
      <c r="F55" s="28"/>
      <c r="G55" s="28"/>
      <c r="H55" s="28"/>
      <c r="I55" s="28"/>
      <c r="J55" s="28"/>
      <c r="K55" s="28"/>
      <c r="L55" s="20">
        <v>15</v>
      </c>
      <c r="M55" s="21">
        <v>0</v>
      </c>
      <c r="N55" s="20">
        <f t="shared" si="1"/>
        <v>15</v>
      </c>
      <c r="O55" s="20">
        <v>0</v>
      </c>
      <c r="P55" s="21">
        <v>0</v>
      </c>
      <c r="Q55" s="20">
        <f t="shared" si="2"/>
        <v>0</v>
      </c>
      <c r="R55" s="20">
        <v>46.5</v>
      </c>
      <c r="S55" s="22">
        <v>5</v>
      </c>
      <c r="T55" s="20">
        <f t="shared" si="3"/>
        <v>51.5</v>
      </c>
      <c r="U55" s="20">
        <v>46</v>
      </c>
      <c r="V55" s="21">
        <v>0</v>
      </c>
      <c r="W55" s="20">
        <f t="shared" si="4"/>
        <v>46</v>
      </c>
      <c r="X55" s="20">
        <v>18</v>
      </c>
      <c r="Y55" s="22">
        <v>9.5</v>
      </c>
      <c r="Z55" s="20">
        <f t="shared" si="5"/>
        <v>27.5</v>
      </c>
      <c r="AA55" s="20">
        <v>0</v>
      </c>
      <c r="AB55" s="22">
        <v>0</v>
      </c>
      <c r="AC55" s="20">
        <f t="shared" si="6"/>
        <v>0</v>
      </c>
      <c r="AD55" s="20">
        <v>12</v>
      </c>
      <c r="AE55" s="22">
        <v>0</v>
      </c>
      <c r="AF55" s="20">
        <f t="shared" si="7"/>
        <v>12</v>
      </c>
      <c r="AG55" s="20">
        <v>11</v>
      </c>
      <c r="AH55" s="21">
        <v>3.5</v>
      </c>
      <c r="AI55" s="20">
        <f t="shared" si="8"/>
        <v>14.5</v>
      </c>
      <c r="AJ55" s="20">
        <v>83</v>
      </c>
      <c r="AK55" s="21">
        <v>0</v>
      </c>
      <c r="AL55" s="20">
        <f t="shared" si="9"/>
        <v>83</v>
      </c>
      <c r="AM55" s="20">
        <v>15</v>
      </c>
      <c r="AN55" s="21">
        <v>7.5</v>
      </c>
      <c r="AO55" s="20">
        <f t="shared" si="10"/>
        <v>22.5</v>
      </c>
      <c r="AP55" s="21">
        <v>10</v>
      </c>
      <c r="AQ55" s="20">
        <v>0</v>
      </c>
      <c r="AR55" s="20">
        <f t="shared" si="11"/>
        <v>10</v>
      </c>
      <c r="AS55" s="20">
        <v>10</v>
      </c>
      <c r="AT55" s="21">
        <v>0</v>
      </c>
      <c r="AU55" s="20">
        <f t="shared" si="12"/>
        <v>10</v>
      </c>
      <c r="AV55" s="23">
        <f t="shared" si="13"/>
        <v>266.5</v>
      </c>
      <c r="AW55" s="22">
        <f t="shared" si="14"/>
        <v>25.5</v>
      </c>
      <c r="AX55" s="20">
        <f t="shared" si="15"/>
        <v>292</v>
      </c>
      <c r="AY55" s="28" t="s">
        <v>28</v>
      </c>
      <c r="AZ55" s="28" t="s">
        <v>28</v>
      </c>
      <c r="BA55" s="28" t="s">
        <v>352</v>
      </c>
      <c r="BB55" s="29">
        <v>44163</v>
      </c>
    </row>
    <row r="56" spans="1:54" hidden="1">
      <c r="A56" s="28" t="str">
        <f t="shared" si="0"/>
        <v>813728201065</v>
      </c>
      <c r="B56" s="30">
        <v>813728</v>
      </c>
      <c r="C56" s="30" t="s">
        <v>336</v>
      </c>
      <c r="D56" s="31">
        <v>201065</v>
      </c>
      <c r="E56" s="28" t="s">
        <v>133</v>
      </c>
      <c r="F56" s="28"/>
      <c r="G56" s="28"/>
      <c r="H56" s="28"/>
      <c r="I56" s="28"/>
      <c r="J56" s="28"/>
      <c r="K56" s="28"/>
      <c r="L56" s="20">
        <v>0</v>
      </c>
      <c r="M56" s="21">
        <v>0</v>
      </c>
      <c r="N56" s="20">
        <f t="shared" si="1"/>
        <v>0</v>
      </c>
      <c r="O56" s="20">
        <v>10</v>
      </c>
      <c r="P56" s="21">
        <v>0</v>
      </c>
      <c r="Q56" s="20">
        <f t="shared" si="2"/>
        <v>10</v>
      </c>
      <c r="R56" s="20">
        <v>25</v>
      </c>
      <c r="S56" s="22">
        <v>7.5</v>
      </c>
      <c r="T56" s="20">
        <f t="shared" si="3"/>
        <v>32.5</v>
      </c>
      <c r="U56" s="20">
        <v>0</v>
      </c>
      <c r="V56" s="21">
        <v>0</v>
      </c>
      <c r="W56" s="20">
        <f t="shared" si="4"/>
        <v>0</v>
      </c>
      <c r="X56" s="20">
        <v>0</v>
      </c>
      <c r="Y56" s="22">
        <v>0</v>
      </c>
      <c r="Z56" s="20">
        <f t="shared" si="5"/>
        <v>0</v>
      </c>
      <c r="AA56" s="20">
        <v>0</v>
      </c>
      <c r="AB56" s="22">
        <v>0</v>
      </c>
      <c r="AC56" s="20">
        <f t="shared" si="6"/>
        <v>0</v>
      </c>
      <c r="AD56" s="20">
        <v>0</v>
      </c>
      <c r="AE56" s="22">
        <v>0</v>
      </c>
      <c r="AF56" s="20">
        <f t="shared" si="7"/>
        <v>0</v>
      </c>
      <c r="AG56" s="20">
        <v>0</v>
      </c>
      <c r="AH56" s="21">
        <v>0</v>
      </c>
      <c r="AI56" s="20">
        <f t="shared" si="8"/>
        <v>0</v>
      </c>
      <c r="AJ56" s="20">
        <v>0</v>
      </c>
      <c r="AK56" s="21">
        <v>0</v>
      </c>
      <c r="AL56" s="20">
        <f t="shared" si="9"/>
        <v>0</v>
      </c>
      <c r="AM56" s="20">
        <v>0</v>
      </c>
      <c r="AN56" s="21">
        <v>0</v>
      </c>
      <c r="AO56" s="20">
        <f t="shared" si="10"/>
        <v>0</v>
      </c>
      <c r="AP56" s="21">
        <v>10</v>
      </c>
      <c r="AQ56" s="20">
        <v>2.5</v>
      </c>
      <c r="AR56" s="20">
        <f t="shared" si="11"/>
        <v>12.5</v>
      </c>
      <c r="AS56" s="20">
        <v>0</v>
      </c>
      <c r="AT56" s="21">
        <v>0</v>
      </c>
      <c r="AU56" s="20">
        <f t="shared" si="12"/>
        <v>0</v>
      </c>
      <c r="AV56" s="23">
        <f t="shared" si="13"/>
        <v>45</v>
      </c>
      <c r="AW56" s="22">
        <f t="shared" si="14"/>
        <v>10</v>
      </c>
      <c r="AX56" s="20">
        <f t="shared" si="15"/>
        <v>55</v>
      </c>
      <c r="AY56" s="28" t="s">
        <v>28</v>
      </c>
      <c r="AZ56" s="28" t="s">
        <v>28</v>
      </c>
      <c r="BA56" s="28" t="s">
        <v>352</v>
      </c>
      <c r="BB56" s="29">
        <v>44165</v>
      </c>
    </row>
    <row r="57" spans="1:54" hidden="1">
      <c r="A57" s="28" t="str">
        <f t="shared" si="0"/>
        <v>813729140481</v>
      </c>
      <c r="B57" s="30">
        <v>813729</v>
      </c>
      <c r="C57" s="30" t="s">
        <v>298</v>
      </c>
      <c r="D57" s="31">
        <v>140481</v>
      </c>
      <c r="E57" s="28" t="s">
        <v>60</v>
      </c>
      <c r="F57" s="28"/>
      <c r="G57" s="28"/>
      <c r="H57" s="28"/>
      <c r="I57" s="28"/>
      <c r="J57" s="28"/>
      <c r="K57" s="28"/>
      <c r="L57" s="20">
        <v>35</v>
      </c>
      <c r="M57" s="21">
        <v>0</v>
      </c>
      <c r="N57" s="20">
        <f t="shared" si="1"/>
        <v>35</v>
      </c>
      <c r="O57" s="20">
        <v>35</v>
      </c>
      <c r="P57" s="21">
        <v>0</v>
      </c>
      <c r="Q57" s="20">
        <f t="shared" si="2"/>
        <v>35</v>
      </c>
      <c r="R57" s="20">
        <v>50</v>
      </c>
      <c r="S57" s="22">
        <v>0</v>
      </c>
      <c r="T57" s="20">
        <f t="shared" si="3"/>
        <v>50</v>
      </c>
      <c r="U57" s="20">
        <v>75</v>
      </c>
      <c r="V57" s="21">
        <v>0</v>
      </c>
      <c r="W57" s="20">
        <f t="shared" si="4"/>
        <v>75</v>
      </c>
      <c r="X57" s="20">
        <v>35</v>
      </c>
      <c r="Y57" s="22">
        <v>10</v>
      </c>
      <c r="Z57" s="20">
        <f t="shared" si="5"/>
        <v>45</v>
      </c>
      <c r="AA57" s="20">
        <v>162.5</v>
      </c>
      <c r="AB57" s="22">
        <v>0</v>
      </c>
      <c r="AC57" s="20">
        <f t="shared" si="6"/>
        <v>162.5</v>
      </c>
      <c r="AD57" s="20">
        <v>157.4</v>
      </c>
      <c r="AE57" s="22">
        <v>5.4</v>
      </c>
      <c r="AF57" s="20">
        <f t="shared" si="7"/>
        <v>162.80000000000001</v>
      </c>
      <c r="AG57" s="20">
        <v>80</v>
      </c>
      <c r="AH57" s="21">
        <v>0</v>
      </c>
      <c r="AI57" s="20">
        <f t="shared" si="8"/>
        <v>80</v>
      </c>
      <c r="AJ57" s="20">
        <v>192.5</v>
      </c>
      <c r="AK57" s="21">
        <v>0</v>
      </c>
      <c r="AL57" s="20">
        <f t="shared" si="9"/>
        <v>192.5</v>
      </c>
      <c r="AM57" s="20">
        <v>107</v>
      </c>
      <c r="AN57" s="21">
        <v>0</v>
      </c>
      <c r="AO57" s="20">
        <f t="shared" si="10"/>
        <v>107</v>
      </c>
      <c r="AP57" s="21">
        <v>148</v>
      </c>
      <c r="AQ57" s="20">
        <v>0</v>
      </c>
      <c r="AR57" s="20">
        <f t="shared" si="11"/>
        <v>148</v>
      </c>
      <c r="AS57" s="20">
        <v>196</v>
      </c>
      <c r="AT57" s="21">
        <v>0</v>
      </c>
      <c r="AU57" s="20">
        <f t="shared" si="12"/>
        <v>196</v>
      </c>
      <c r="AV57" s="23">
        <f t="shared" si="13"/>
        <v>1273.4000000000001</v>
      </c>
      <c r="AW57" s="22">
        <f t="shared" si="14"/>
        <v>15.4</v>
      </c>
      <c r="AX57" s="20">
        <f t="shared" si="15"/>
        <v>1288.8000000000002</v>
      </c>
      <c r="AY57" s="28" t="s">
        <v>28</v>
      </c>
      <c r="AZ57" s="28" t="s">
        <v>28</v>
      </c>
      <c r="BA57" s="28" t="s">
        <v>352</v>
      </c>
      <c r="BB57" s="29">
        <v>44165</v>
      </c>
    </row>
    <row r="58" spans="1:54" hidden="1">
      <c r="A58" s="28" t="str">
        <f t="shared" si="0"/>
        <v>813896149765</v>
      </c>
      <c r="B58" s="30">
        <v>813896</v>
      </c>
      <c r="C58" s="30" t="s">
        <v>297</v>
      </c>
      <c r="D58" s="31">
        <v>149765</v>
      </c>
      <c r="E58" s="28" t="s">
        <v>142</v>
      </c>
      <c r="F58" s="28"/>
      <c r="G58" s="28"/>
      <c r="H58" s="28"/>
      <c r="I58" s="28"/>
      <c r="J58" s="28"/>
      <c r="K58" s="28"/>
      <c r="L58" s="20">
        <v>12</v>
      </c>
      <c r="M58" s="21">
        <v>0</v>
      </c>
      <c r="N58" s="20">
        <f t="shared" si="1"/>
        <v>12</v>
      </c>
      <c r="O58" s="20">
        <v>10</v>
      </c>
      <c r="P58" s="21">
        <v>0</v>
      </c>
      <c r="Q58" s="20">
        <f t="shared" si="2"/>
        <v>10</v>
      </c>
      <c r="R58" s="20">
        <v>10</v>
      </c>
      <c r="S58" s="22">
        <v>0</v>
      </c>
      <c r="T58" s="20">
        <f t="shared" si="3"/>
        <v>10</v>
      </c>
      <c r="U58" s="20">
        <v>0</v>
      </c>
      <c r="V58" s="21">
        <v>0</v>
      </c>
      <c r="W58" s="20">
        <f t="shared" si="4"/>
        <v>0</v>
      </c>
      <c r="X58" s="20">
        <v>20</v>
      </c>
      <c r="Y58" s="22">
        <v>0</v>
      </c>
      <c r="Z58" s="20">
        <f t="shared" si="5"/>
        <v>20</v>
      </c>
      <c r="AA58" s="20">
        <v>10</v>
      </c>
      <c r="AB58" s="22">
        <v>0</v>
      </c>
      <c r="AC58" s="20">
        <f t="shared" si="6"/>
        <v>10</v>
      </c>
      <c r="AD58" s="20">
        <v>5</v>
      </c>
      <c r="AE58" s="22">
        <v>0</v>
      </c>
      <c r="AF58" s="20">
        <f t="shared" si="7"/>
        <v>5</v>
      </c>
      <c r="AG58" s="20">
        <v>10</v>
      </c>
      <c r="AH58" s="21">
        <v>0</v>
      </c>
      <c r="AI58" s="20">
        <f t="shared" si="8"/>
        <v>10</v>
      </c>
      <c r="AJ58" s="20">
        <v>10</v>
      </c>
      <c r="AK58" s="21">
        <v>0</v>
      </c>
      <c r="AL58" s="20">
        <f t="shared" si="9"/>
        <v>10</v>
      </c>
      <c r="AM58" s="20">
        <v>0</v>
      </c>
      <c r="AN58" s="21">
        <v>0</v>
      </c>
      <c r="AO58" s="20">
        <f t="shared" si="10"/>
        <v>0</v>
      </c>
      <c r="AP58" s="21">
        <v>10</v>
      </c>
      <c r="AQ58" s="20">
        <v>0</v>
      </c>
      <c r="AR58" s="20">
        <f t="shared" si="11"/>
        <v>10</v>
      </c>
      <c r="AS58" s="20">
        <v>20</v>
      </c>
      <c r="AT58" s="21">
        <v>0</v>
      </c>
      <c r="AU58" s="20">
        <f t="shared" si="12"/>
        <v>20</v>
      </c>
      <c r="AV58" s="23">
        <f t="shared" si="13"/>
        <v>117</v>
      </c>
      <c r="AW58" s="22">
        <f t="shared" si="14"/>
        <v>0</v>
      </c>
      <c r="AX58" s="20">
        <f t="shared" si="15"/>
        <v>117</v>
      </c>
      <c r="AY58" s="28" t="s">
        <v>28</v>
      </c>
      <c r="AZ58" s="28" t="s">
        <v>28</v>
      </c>
      <c r="BA58" s="28" t="s">
        <v>352</v>
      </c>
      <c r="BB58" s="29">
        <v>44184</v>
      </c>
    </row>
    <row r="59" spans="1:54" hidden="1">
      <c r="A59" s="28" t="str">
        <f t="shared" si="0"/>
        <v>813909148557</v>
      </c>
      <c r="B59" s="30">
        <v>813909</v>
      </c>
      <c r="C59" s="30" t="s">
        <v>285</v>
      </c>
      <c r="D59" s="31">
        <v>148557</v>
      </c>
      <c r="E59" s="28" t="s">
        <v>27</v>
      </c>
      <c r="F59" s="28"/>
      <c r="G59" s="28"/>
      <c r="H59" s="28"/>
      <c r="I59" s="28"/>
      <c r="J59" s="28"/>
      <c r="K59" s="28"/>
      <c r="L59" s="20">
        <v>20</v>
      </c>
      <c r="M59" s="21">
        <v>0</v>
      </c>
      <c r="N59" s="20">
        <f t="shared" si="1"/>
        <v>20</v>
      </c>
      <c r="O59" s="20">
        <v>30</v>
      </c>
      <c r="P59" s="21">
        <v>0</v>
      </c>
      <c r="Q59" s="20">
        <f t="shared" si="2"/>
        <v>30</v>
      </c>
      <c r="R59" s="20">
        <v>42</v>
      </c>
      <c r="S59" s="22">
        <v>0</v>
      </c>
      <c r="T59" s="20">
        <f t="shared" si="3"/>
        <v>42</v>
      </c>
      <c r="U59" s="20">
        <v>40</v>
      </c>
      <c r="V59" s="21">
        <v>0</v>
      </c>
      <c r="W59" s="20">
        <f t="shared" si="4"/>
        <v>40</v>
      </c>
      <c r="X59" s="20">
        <v>20</v>
      </c>
      <c r="Y59" s="22">
        <v>0</v>
      </c>
      <c r="Z59" s="20">
        <f t="shared" si="5"/>
        <v>20</v>
      </c>
      <c r="AA59" s="20">
        <v>20</v>
      </c>
      <c r="AB59" s="22">
        <v>0</v>
      </c>
      <c r="AC59" s="20">
        <f t="shared" si="6"/>
        <v>20</v>
      </c>
      <c r="AD59" s="20">
        <v>40</v>
      </c>
      <c r="AE59" s="22">
        <v>10</v>
      </c>
      <c r="AF59" s="20">
        <f t="shared" si="7"/>
        <v>50</v>
      </c>
      <c r="AG59" s="20">
        <v>49</v>
      </c>
      <c r="AH59" s="21">
        <v>0</v>
      </c>
      <c r="AI59" s="20">
        <f t="shared" si="8"/>
        <v>49</v>
      </c>
      <c r="AJ59" s="20">
        <v>40</v>
      </c>
      <c r="AK59" s="21">
        <v>0</v>
      </c>
      <c r="AL59" s="20">
        <f t="shared" si="9"/>
        <v>40</v>
      </c>
      <c r="AM59" s="20">
        <v>40</v>
      </c>
      <c r="AN59" s="21">
        <v>0</v>
      </c>
      <c r="AO59" s="20">
        <f t="shared" si="10"/>
        <v>40</v>
      </c>
      <c r="AP59" s="21">
        <v>40</v>
      </c>
      <c r="AQ59" s="20">
        <v>0</v>
      </c>
      <c r="AR59" s="20">
        <f t="shared" si="11"/>
        <v>40</v>
      </c>
      <c r="AS59" s="20">
        <v>40</v>
      </c>
      <c r="AT59" s="21">
        <v>0</v>
      </c>
      <c r="AU59" s="20">
        <f t="shared" si="12"/>
        <v>40</v>
      </c>
      <c r="AV59" s="23">
        <f t="shared" si="13"/>
        <v>421</v>
      </c>
      <c r="AW59" s="22">
        <f t="shared" si="14"/>
        <v>10</v>
      </c>
      <c r="AX59" s="20">
        <f t="shared" si="15"/>
        <v>431</v>
      </c>
      <c r="AY59" s="28" t="s">
        <v>28</v>
      </c>
      <c r="AZ59" s="28" t="s">
        <v>28</v>
      </c>
      <c r="BA59" s="28" t="s">
        <v>352</v>
      </c>
      <c r="BB59" s="29">
        <v>44187</v>
      </c>
    </row>
    <row r="60" spans="1:54" hidden="1">
      <c r="A60" s="28" t="str">
        <f t="shared" si="0"/>
        <v>814183147891</v>
      </c>
      <c r="B60" s="30">
        <v>814183</v>
      </c>
      <c r="C60" s="30" t="s">
        <v>166</v>
      </c>
      <c r="D60" s="31">
        <v>147891</v>
      </c>
      <c r="E60" s="28" t="s">
        <v>165</v>
      </c>
      <c r="F60" s="28"/>
      <c r="G60" s="28"/>
      <c r="H60" s="28"/>
      <c r="I60" s="28"/>
      <c r="J60" s="28"/>
      <c r="K60" s="28"/>
      <c r="L60" s="20">
        <v>80</v>
      </c>
      <c r="M60" s="21">
        <v>0</v>
      </c>
      <c r="N60" s="20">
        <f t="shared" si="1"/>
        <v>80</v>
      </c>
      <c r="O60" s="20">
        <v>61.5</v>
      </c>
      <c r="P60" s="21">
        <v>0</v>
      </c>
      <c r="Q60" s="20">
        <f t="shared" si="2"/>
        <v>61.5</v>
      </c>
      <c r="R60" s="20">
        <v>80</v>
      </c>
      <c r="S60" s="22">
        <v>0</v>
      </c>
      <c r="T60" s="20">
        <f t="shared" si="3"/>
        <v>80</v>
      </c>
      <c r="U60" s="20">
        <v>70</v>
      </c>
      <c r="V60" s="21">
        <v>0</v>
      </c>
      <c r="W60" s="20">
        <f t="shared" si="4"/>
        <v>70</v>
      </c>
      <c r="X60" s="20">
        <v>116</v>
      </c>
      <c r="Y60" s="22">
        <v>0</v>
      </c>
      <c r="Z60" s="20">
        <f t="shared" si="5"/>
        <v>116</v>
      </c>
      <c r="AA60" s="20">
        <v>52.3</v>
      </c>
      <c r="AB60" s="22">
        <v>0</v>
      </c>
      <c r="AC60" s="20">
        <f t="shared" si="6"/>
        <v>52.3</v>
      </c>
      <c r="AD60" s="20">
        <v>70</v>
      </c>
      <c r="AE60" s="22">
        <v>0</v>
      </c>
      <c r="AF60" s="20">
        <f t="shared" si="7"/>
        <v>70</v>
      </c>
      <c r="AG60" s="20">
        <v>20</v>
      </c>
      <c r="AH60" s="21">
        <v>0</v>
      </c>
      <c r="AI60" s="20">
        <f t="shared" si="8"/>
        <v>20</v>
      </c>
      <c r="AJ60" s="20">
        <v>107</v>
      </c>
      <c r="AK60" s="21">
        <v>7.5</v>
      </c>
      <c r="AL60" s="20">
        <f t="shared" si="9"/>
        <v>114.5</v>
      </c>
      <c r="AM60" s="20">
        <v>90</v>
      </c>
      <c r="AN60" s="21">
        <v>0</v>
      </c>
      <c r="AO60" s="20">
        <f t="shared" si="10"/>
        <v>90</v>
      </c>
      <c r="AP60" s="21">
        <v>62</v>
      </c>
      <c r="AQ60" s="20">
        <v>12</v>
      </c>
      <c r="AR60" s="20">
        <f t="shared" si="11"/>
        <v>74</v>
      </c>
      <c r="AS60" s="20">
        <v>47.5</v>
      </c>
      <c r="AT60" s="21">
        <v>0</v>
      </c>
      <c r="AU60" s="20">
        <f t="shared" si="12"/>
        <v>47.5</v>
      </c>
      <c r="AV60" s="23">
        <f t="shared" si="13"/>
        <v>856.3</v>
      </c>
      <c r="AW60" s="22">
        <f t="shared" si="14"/>
        <v>19.5</v>
      </c>
      <c r="AX60" s="20">
        <f t="shared" si="15"/>
        <v>875.8</v>
      </c>
      <c r="AY60" s="28" t="s">
        <v>28</v>
      </c>
      <c r="AZ60" s="28" t="s">
        <v>28</v>
      </c>
      <c r="BA60" s="28" t="s">
        <v>352</v>
      </c>
      <c r="BB60" s="29">
        <v>44215</v>
      </c>
    </row>
    <row r="61" spans="1:54" hidden="1">
      <c r="A61" s="28" t="str">
        <f t="shared" si="0"/>
        <v>814184201065</v>
      </c>
      <c r="B61" s="30">
        <v>814184</v>
      </c>
      <c r="C61" s="30" t="s">
        <v>134</v>
      </c>
      <c r="D61" s="31">
        <v>201065</v>
      </c>
      <c r="E61" s="28" t="s">
        <v>133</v>
      </c>
      <c r="F61" s="28"/>
      <c r="G61" s="28"/>
      <c r="H61" s="28"/>
      <c r="I61" s="28"/>
      <c r="J61" s="28"/>
      <c r="K61" s="28"/>
      <c r="L61" s="20">
        <v>10</v>
      </c>
      <c r="M61" s="21">
        <v>0</v>
      </c>
      <c r="N61" s="20">
        <f t="shared" si="1"/>
        <v>10</v>
      </c>
      <c r="O61" s="20">
        <v>40.5</v>
      </c>
      <c r="P61" s="21">
        <v>14</v>
      </c>
      <c r="Q61" s="20">
        <f t="shared" si="2"/>
        <v>54.5</v>
      </c>
      <c r="R61" s="20">
        <v>0</v>
      </c>
      <c r="S61" s="22">
        <v>0</v>
      </c>
      <c r="T61" s="20">
        <f t="shared" si="3"/>
        <v>0</v>
      </c>
      <c r="U61" s="20">
        <v>0</v>
      </c>
      <c r="V61" s="21">
        <v>0</v>
      </c>
      <c r="W61" s="20">
        <f t="shared" si="4"/>
        <v>0</v>
      </c>
      <c r="X61" s="20">
        <v>0</v>
      </c>
      <c r="Y61" s="22">
        <v>0</v>
      </c>
      <c r="Z61" s="20">
        <f t="shared" si="5"/>
        <v>0</v>
      </c>
      <c r="AA61" s="20">
        <v>0</v>
      </c>
      <c r="AB61" s="22">
        <v>0</v>
      </c>
      <c r="AC61" s="20">
        <f t="shared" si="6"/>
        <v>0</v>
      </c>
      <c r="AD61" s="20">
        <v>0</v>
      </c>
      <c r="AE61" s="22">
        <v>0</v>
      </c>
      <c r="AF61" s="20">
        <f t="shared" si="7"/>
        <v>0</v>
      </c>
      <c r="AG61" s="20">
        <v>0</v>
      </c>
      <c r="AH61" s="21">
        <v>0</v>
      </c>
      <c r="AI61" s="20">
        <f t="shared" si="8"/>
        <v>0</v>
      </c>
      <c r="AJ61" s="20">
        <v>0</v>
      </c>
      <c r="AK61" s="21">
        <v>0</v>
      </c>
      <c r="AL61" s="20">
        <f t="shared" si="9"/>
        <v>0</v>
      </c>
      <c r="AM61" s="20">
        <v>0</v>
      </c>
      <c r="AN61" s="21">
        <v>0</v>
      </c>
      <c r="AO61" s="20">
        <f t="shared" si="10"/>
        <v>0</v>
      </c>
      <c r="AP61" s="21">
        <v>0</v>
      </c>
      <c r="AQ61" s="20">
        <v>0</v>
      </c>
      <c r="AR61" s="20">
        <f t="shared" si="11"/>
        <v>0</v>
      </c>
      <c r="AS61" s="20">
        <v>0</v>
      </c>
      <c r="AT61" s="21">
        <v>0</v>
      </c>
      <c r="AU61" s="20">
        <f t="shared" si="12"/>
        <v>0</v>
      </c>
      <c r="AV61" s="23">
        <f t="shared" si="13"/>
        <v>50.5</v>
      </c>
      <c r="AW61" s="22">
        <f t="shared" si="14"/>
        <v>14</v>
      </c>
      <c r="AX61" s="20">
        <f t="shared" si="15"/>
        <v>64.5</v>
      </c>
      <c r="AY61" s="28" t="s">
        <v>28</v>
      </c>
      <c r="AZ61" s="28" t="s">
        <v>28</v>
      </c>
      <c r="BA61" s="28" t="s">
        <v>352</v>
      </c>
      <c r="BB61" s="29">
        <v>44215</v>
      </c>
    </row>
    <row r="62" spans="1:54" hidden="1">
      <c r="A62" s="28" t="str">
        <f t="shared" si="0"/>
        <v>814227178661</v>
      </c>
      <c r="B62" s="30">
        <v>814227</v>
      </c>
      <c r="C62" s="30" t="s">
        <v>116</v>
      </c>
      <c r="D62" s="31">
        <v>178661</v>
      </c>
      <c r="E62" s="28" t="s">
        <v>48</v>
      </c>
      <c r="F62" s="28"/>
      <c r="G62" s="28"/>
      <c r="H62" s="28"/>
      <c r="I62" s="28"/>
      <c r="J62" s="28"/>
      <c r="K62" s="28"/>
      <c r="L62" s="20">
        <v>40</v>
      </c>
      <c r="M62" s="21">
        <v>0</v>
      </c>
      <c r="N62" s="20">
        <f t="shared" si="1"/>
        <v>40</v>
      </c>
      <c r="O62" s="20">
        <v>10</v>
      </c>
      <c r="P62" s="21">
        <v>0</v>
      </c>
      <c r="Q62" s="20">
        <f t="shared" si="2"/>
        <v>10</v>
      </c>
      <c r="R62" s="20">
        <v>25</v>
      </c>
      <c r="S62" s="22">
        <v>0</v>
      </c>
      <c r="T62" s="20">
        <f t="shared" si="3"/>
        <v>25</v>
      </c>
      <c r="U62" s="20">
        <v>50</v>
      </c>
      <c r="V62" s="21">
        <v>0</v>
      </c>
      <c r="W62" s="20">
        <f t="shared" si="4"/>
        <v>50</v>
      </c>
      <c r="X62" s="20">
        <v>44</v>
      </c>
      <c r="Y62" s="22">
        <v>0</v>
      </c>
      <c r="Z62" s="20">
        <f t="shared" si="5"/>
        <v>44</v>
      </c>
      <c r="AA62" s="20">
        <v>20</v>
      </c>
      <c r="AB62" s="22">
        <v>0</v>
      </c>
      <c r="AC62" s="20">
        <f t="shared" si="6"/>
        <v>20</v>
      </c>
      <c r="AD62" s="20">
        <v>30</v>
      </c>
      <c r="AE62" s="22">
        <v>10</v>
      </c>
      <c r="AF62" s="20">
        <f t="shared" si="7"/>
        <v>40</v>
      </c>
      <c r="AG62" s="20">
        <v>20</v>
      </c>
      <c r="AH62" s="21">
        <v>0</v>
      </c>
      <c r="AI62" s="20">
        <f t="shared" si="8"/>
        <v>20</v>
      </c>
      <c r="AJ62" s="20">
        <v>28</v>
      </c>
      <c r="AK62" s="21">
        <v>0</v>
      </c>
      <c r="AL62" s="20">
        <f t="shared" si="9"/>
        <v>28</v>
      </c>
      <c r="AM62" s="20">
        <v>30</v>
      </c>
      <c r="AN62" s="21">
        <v>10</v>
      </c>
      <c r="AO62" s="20">
        <f t="shared" si="10"/>
        <v>40</v>
      </c>
      <c r="AP62" s="21">
        <v>10</v>
      </c>
      <c r="AQ62" s="20">
        <v>0</v>
      </c>
      <c r="AR62" s="20">
        <f t="shared" si="11"/>
        <v>10</v>
      </c>
      <c r="AS62" s="20">
        <v>100.85</v>
      </c>
      <c r="AT62" s="21">
        <v>0</v>
      </c>
      <c r="AU62" s="20">
        <f t="shared" si="12"/>
        <v>100.85</v>
      </c>
      <c r="AV62" s="23">
        <f t="shared" si="13"/>
        <v>407.85</v>
      </c>
      <c r="AW62" s="22">
        <f t="shared" si="14"/>
        <v>20</v>
      </c>
      <c r="AX62" s="20">
        <f t="shared" si="15"/>
        <v>427.85</v>
      </c>
      <c r="AY62" s="28" t="s">
        <v>28</v>
      </c>
      <c r="AZ62" s="28" t="s">
        <v>28</v>
      </c>
      <c r="BA62" s="28" t="s">
        <v>352</v>
      </c>
      <c r="BB62" s="29">
        <v>44218</v>
      </c>
    </row>
    <row r="63" spans="1:54" hidden="1">
      <c r="A63" s="28" t="str">
        <f t="shared" si="0"/>
        <v>814253149765</v>
      </c>
      <c r="B63" s="30">
        <v>814253</v>
      </c>
      <c r="C63" s="30" t="s">
        <v>217</v>
      </c>
      <c r="D63" s="31">
        <v>149765</v>
      </c>
      <c r="E63" s="28" t="s">
        <v>142</v>
      </c>
      <c r="F63" s="28"/>
      <c r="G63" s="28"/>
      <c r="H63" s="28"/>
      <c r="I63" s="28"/>
      <c r="J63" s="28"/>
      <c r="K63" s="28"/>
      <c r="L63" s="20">
        <v>0</v>
      </c>
      <c r="M63" s="21">
        <v>0</v>
      </c>
      <c r="N63" s="20">
        <f t="shared" si="1"/>
        <v>0</v>
      </c>
      <c r="O63" s="20">
        <v>10</v>
      </c>
      <c r="P63" s="21">
        <v>0</v>
      </c>
      <c r="Q63" s="20">
        <f t="shared" si="2"/>
        <v>10</v>
      </c>
      <c r="R63" s="20">
        <v>0</v>
      </c>
      <c r="S63" s="22">
        <v>0</v>
      </c>
      <c r="T63" s="20">
        <f t="shared" si="3"/>
        <v>0</v>
      </c>
      <c r="U63" s="20">
        <v>0</v>
      </c>
      <c r="V63" s="21">
        <v>0</v>
      </c>
      <c r="W63" s="20">
        <f t="shared" si="4"/>
        <v>0</v>
      </c>
      <c r="X63" s="20">
        <v>0</v>
      </c>
      <c r="Y63" s="22">
        <v>0</v>
      </c>
      <c r="Z63" s="20">
        <f t="shared" si="5"/>
        <v>0</v>
      </c>
      <c r="AA63" s="20">
        <v>0</v>
      </c>
      <c r="AB63" s="22">
        <v>0</v>
      </c>
      <c r="AC63" s="20">
        <f t="shared" si="6"/>
        <v>0</v>
      </c>
      <c r="AD63" s="20">
        <v>0</v>
      </c>
      <c r="AE63" s="22">
        <v>0</v>
      </c>
      <c r="AF63" s="20">
        <f t="shared" si="7"/>
        <v>0</v>
      </c>
      <c r="AG63" s="20">
        <v>0</v>
      </c>
      <c r="AH63" s="21">
        <v>0</v>
      </c>
      <c r="AI63" s="20">
        <f t="shared" si="8"/>
        <v>0</v>
      </c>
      <c r="AJ63" s="20">
        <v>0</v>
      </c>
      <c r="AK63" s="21">
        <v>0</v>
      </c>
      <c r="AL63" s="20">
        <f t="shared" si="9"/>
        <v>0</v>
      </c>
      <c r="AM63" s="20">
        <v>0</v>
      </c>
      <c r="AN63" s="21">
        <v>0</v>
      </c>
      <c r="AO63" s="20">
        <f t="shared" si="10"/>
        <v>0</v>
      </c>
      <c r="AP63" s="21">
        <v>0</v>
      </c>
      <c r="AQ63" s="20">
        <v>0</v>
      </c>
      <c r="AR63" s="20">
        <f t="shared" si="11"/>
        <v>0</v>
      </c>
      <c r="AS63" s="20">
        <v>0</v>
      </c>
      <c r="AT63" s="21">
        <v>0</v>
      </c>
      <c r="AU63" s="20">
        <f t="shared" si="12"/>
        <v>0</v>
      </c>
      <c r="AV63" s="23">
        <f t="shared" si="13"/>
        <v>10</v>
      </c>
      <c r="AW63" s="22">
        <f t="shared" si="14"/>
        <v>0</v>
      </c>
      <c r="AX63" s="20">
        <f t="shared" si="15"/>
        <v>10</v>
      </c>
      <c r="AY63" s="28" t="s">
        <v>28</v>
      </c>
      <c r="AZ63" s="28" t="s">
        <v>28</v>
      </c>
      <c r="BA63" s="28" t="s">
        <v>352</v>
      </c>
      <c r="BB63" s="29">
        <v>44219</v>
      </c>
    </row>
    <row r="64" spans="1:54" hidden="1">
      <c r="A64" s="28" t="str">
        <f t="shared" si="0"/>
        <v>814253175288</v>
      </c>
      <c r="B64" s="30">
        <v>814253</v>
      </c>
      <c r="C64" s="30" t="s">
        <v>217</v>
      </c>
      <c r="D64" s="28">
        <v>175288</v>
      </c>
      <c r="E64" s="28" t="s">
        <v>87</v>
      </c>
      <c r="F64" s="28"/>
      <c r="G64" s="28"/>
      <c r="H64" s="28"/>
      <c r="I64" s="28"/>
      <c r="J64" s="28"/>
      <c r="K64" s="28"/>
      <c r="L64" s="20">
        <v>0</v>
      </c>
      <c r="M64" s="21">
        <v>0</v>
      </c>
      <c r="N64" s="20">
        <f t="shared" si="1"/>
        <v>0</v>
      </c>
      <c r="O64" s="20">
        <v>0</v>
      </c>
      <c r="P64" s="21">
        <v>0</v>
      </c>
      <c r="Q64" s="20">
        <f t="shared" si="2"/>
        <v>0</v>
      </c>
      <c r="R64" s="20">
        <v>0</v>
      </c>
      <c r="S64" s="22">
        <v>0</v>
      </c>
      <c r="T64" s="20">
        <f t="shared" si="3"/>
        <v>0</v>
      </c>
      <c r="U64" s="20">
        <v>0</v>
      </c>
      <c r="V64" s="21">
        <v>0</v>
      </c>
      <c r="W64" s="20">
        <f t="shared" si="4"/>
        <v>0</v>
      </c>
      <c r="X64" s="20">
        <v>0</v>
      </c>
      <c r="Y64" s="22">
        <v>0</v>
      </c>
      <c r="Z64" s="20">
        <f t="shared" si="5"/>
        <v>0</v>
      </c>
      <c r="AA64" s="20">
        <v>0</v>
      </c>
      <c r="AB64" s="22">
        <v>0</v>
      </c>
      <c r="AC64" s="20">
        <f t="shared" si="6"/>
        <v>0</v>
      </c>
      <c r="AD64" s="20">
        <v>0</v>
      </c>
      <c r="AE64" s="22">
        <v>0</v>
      </c>
      <c r="AF64" s="20">
        <f t="shared" si="7"/>
        <v>0</v>
      </c>
      <c r="AG64" s="20">
        <v>0</v>
      </c>
      <c r="AH64" s="21">
        <v>0</v>
      </c>
      <c r="AI64" s="20">
        <f t="shared" si="8"/>
        <v>0</v>
      </c>
      <c r="AJ64" s="20">
        <v>0</v>
      </c>
      <c r="AK64" s="21">
        <v>0</v>
      </c>
      <c r="AL64" s="20">
        <f t="shared" si="9"/>
        <v>0</v>
      </c>
      <c r="AM64" s="20">
        <v>0</v>
      </c>
      <c r="AN64" s="21">
        <v>0</v>
      </c>
      <c r="AO64" s="20">
        <f t="shared" si="10"/>
        <v>0</v>
      </c>
      <c r="AP64" s="21">
        <v>20</v>
      </c>
      <c r="AQ64" s="20">
        <v>0</v>
      </c>
      <c r="AR64" s="20">
        <f t="shared" si="11"/>
        <v>20</v>
      </c>
      <c r="AS64" s="20">
        <v>0</v>
      </c>
      <c r="AT64" s="21">
        <v>0</v>
      </c>
      <c r="AU64" s="20">
        <f t="shared" si="12"/>
        <v>0</v>
      </c>
      <c r="AV64" s="23">
        <f t="shared" si="13"/>
        <v>20</v>
      </c>
      <c r="AW64" s="22">
        <f t="shared" si="14"/>
        <v>0</v>
      </c>
      <c r="AX64" s="20">
        <f t="shared" si="15"/>
        <v>20</v>
      </c>
      <c r="AY64" s="28" t="s">
        <v>28</v>
      </c>
      <c r="AZ64" s="28" t="s">
        <v>28</v>
      </c>
      <c r="BA64" s="28" t="s">
        <v>352</v>
      </c>
      <c r="BB64" s="29">
        <v>44219</v>
      </c>
    </row>
    <row r="65" spans="1:54" hidden="1">
      <c r="A65" s="28" t="str">
        <f t="shared" si="0"/>
        <v>814447140927</v>
      </c>
      <c r="B65" s="30">
        <v>814447</v>
      </c>
      <c r="C65" s="30" t="s">
        <v>73</v>
      </c>
      <c r="D65" s="31">
        <v>140927</v>
      </c>
      <c r="E65" s="28" t="s">
        <v>59</v>
      </c>
      <c r="F65" s="28"/>
      <c r="G65" s="28"/>
      <c r="H65" s="28"/>
      <c r="I65" s="28"/>
      <c r="J65" s="28"/>
      <c r="K65" s="28"/>
      <c r="L65" s="20">
        <v>10</v>
      </c>
      <c r="M65" s="21">
        <v>0</v>
      </c>
      <c r="N65" s="20">
        <f t="shared" si="1"/>
        <v>10</v>
      </c>
      <c r="O65" s="20">
        <v>13</v>
      </c>
      <c r="P65" s="21">
        <v>3</v>
      </c>
      <c r="Q65" s="20">
        <f t="shared" si="2"/>
        <v>16</v>
      </c>
      <c r="R65" s="20">
        <v>0</v>
      </c>
      <c r="S65" s="22">
        <v>0</v>
      </c>
      <c r="T65" s="20">
        <f t="shared" si="3"/>
        <v>0</v>
      </c>
      <c r="U65" s="20">
        <v>57</v>
      </c>
      <c r="V65" s="21">
        <v>0</v>
      </c>
      <c r="W65" s="20">
        <f t="shared" si="4"/>
        <v>57</v>
      </c>
      <c r="X65" s="20">
        <v>20</v>
      </c>
      <c r="Y65" s="22">
        <v>0</v>
      </c>
      <c r="Z65" s="20">
        <f t="shared" si="5"/>
        <v>20</v>
      </c>
      <c r="AA65" s="20">
        <v>20</v>
      </c>
      <c r="AB65" s="22">
        <v>0</v>
      </c>
      <c r="AC65" s="20">
        <f t="shared" si="6"/>
        <v>20</v>
      </c>
      <c r="AD65" s="20">
        <v>20</v>
      </c>
      <c r="AE65" s="22">
        <v>0</v>
      </c>
      <c r="AF65" s="20">
        <f t="shared" si="7"/>
        <v>20</v>
      </c>
      <c r="AG65" s="20">
        <v>30</v>
      </c>
      <c r="AH65" s="21">
        <v>0</v>
      </c>
      <c r="AI65" s="20">
        <f t="shared" si="8"/>
        <v>30</v>
      </c>
      <c r="AJ65" s="20">
        <v>18</v>
      </c>
      <c r="AK65" s="21">
        <v>0</v>
      </c>
      <c r="AL65" s="20">
        <f t="shared" si="9"/>
        <v>18</v>
      </c>
      <c r="AM65" s="20">
        <v>10</v>
      </c>
      <c r="AN65" s="21">
        <v>0</v>
      </c>
      <c r="AO65" s="20">
        <f t="shared" si="10"/>
        <v>10</v>
      </c>
      <c r="AP65" s="21">
        <v>30</v>
      </c>
      <c r="AQ65" s="20">
        <v>0</v>
      </c>
      <c r="AR65" s="20">
        <f t="shared" si="11"/>
        <v>30</v>
      </c>
      <c r="AS65" s="20">
        <v>42.5</v>
      </c>
      <c r="AT65" s="21">
        <v>0</v>
      </c>
      <c r="AU65" s="20">
        <f t="shared" si="12"/>
        <v>42.5</v>
      </c>
      <c r="AV65" s="23">
        <f t="shared" si="13"/>
        <v>270.5</v>
      </c>
      <c r="AW65" s="22">
        <f t="shared" si="14"/>
        <v>3</v>
      </c>
      <c r="AX65" s="20">
        <f t="shared" si="15"/>
        <v>273.5</v>
      </c>
      <c r="AY65" s="28" t="s">
        <v>28</v>
      </c>
      <c r="AZ65" s="28" t="s">
        <v>28</v>
      </c>
      <c r="BA65" s="28" t="s">
        <v>352</v>
      </c>
      <c r="BB65" s="29">
        <v>44238</v>
      </c>
    </row>
    <row r="66" spans="1:54" hidden="1">
      <c r="A66" s="28" t="str">
        <f t="shared" ref="A66:A129" si="16">B66&amp;D66</f>
        <v>814540140927</v>
      </c>
      <c r="B66" s="30">
        <v>814540</v>
      </c>
      <c r="C66" s="30" t="s">
        <v>63</v>
      </c>
      <c r="D66" s="28">
        <v>140927</v>
      </c>
      <c r="E66" s="28" t="s">
        <v>59</v>
      </c>
      <c r="F66" s="28"/>
      <c r="G66" s="28"/>
      <c r="H66" s="28"/>
      <c r="I66" s="28"/>
      <c r="J66" s="28"/>
      <c r="K66" s="28"/>
      <c r="L66" s="20">
        <v>0</v>
      </c>
      <c r="M66" s="21">
        <v>0</v>
      </c>
      <c r="N66" s="20">
        <f t="shared" ref="N66:N129" si="17">SUM(L66:M66)</f>
        <v>0</v>
      </c>
      <c r="O66" s="20">
        <v>0</v>
      </c>
      <c r="P66" s="21">
        <v>0</v>
      </c>
      <c r="Q66" s="20">
        <f t="shared" ref="Q66:Q129" si="18">SUM(O66:P66)</f>
        <v>0</v>
      </c>
      <c r="R66" s="20">
        <v>0</v>
      </c>
      <c r="S66" s="22">
        <v>0</v>
      </c>
      <c r="T66" s="20">
        <f t="shared" ref="T66:T129" si="19">SUM(R66:S66)</f>
        <v>0</v>
      </c>
      <c r="U66" s="20">
        <v>0</v>
      </c>
      <c r="V66" s="21">
        <v>0</v>
      </c>
      <c r="W66" s="20">
        <f t="shared" ref="W66:W129" si="20">SUM(U66:V66)</f>
        <v>0</v>
      </c>
      <c r="X66" s="20">
        <v>0</v>
      </c>
      <c r="Y66" s="22">
        <v>0</v>
      </c>
      <c r="Z66" s="20">
        <f t="shared" ref="Z66:Z129" si="21">SUM(X66:Y66)</f>
        <v>0</v>
      </c>
      <c r="AA66" s="20">
        <v>0</v>
      </c>
      <c r="AB66" s="22">
        <v>0</v>
      </c>
      <c r="AC66" s="20">
        <f t="shared" ref="AC66:AC129" si="22">SUM(AA66:AB66)</f>
        <v>0</v>
      </c>
      <c r="AD66" s="20">
        <v>0</v>
      </c>
      <c r="AE66" s="22">
        <v>0</v>
      </c>
      <c r="AF66" s="20">
        <f t="shared" ref="AF66:AF129" si="23">SUM(AD66:AE66)</f>
        <v>0</v>
      </c>
      <c r="AG66" s="20">
        <v>10</v>
      </c>
      <c r="AH66" s="21">
        <v>0</v>
      </c>
      <c r="AI66" s="20">
        <f t="shared" ref="AI66:AI129" si="24">SUM(AG66:AH66)</f>
        <v>10</v>
      </c>
      <c r="AJ66" s="20">
        <v>0</v>
      </c>
      <c r="AK66" s="21">
        <v>0</v>
      </c>
      <c r="AL66" s="20">
        <f t="shared" ref="AL66:AL129" si="25">SUM(AJ66:AK66)</f>
        <v>0</v>
      </c>
      <c r="AM66" s="20">
        <v>0</v>
      </c>
      <c r="AN66" s="21">
        <v>0</v>
      </c>
      <c r="AO66" s="20">
        <f t="shared" ref="AO66:AO129" si="26">SUM(AM66:AN66)</f>
        <v>0</v>
      </c>
      <c r="AP66" s="21">
        <v>0</v>
      </c>
      <c r="AQ66" s="20">
        <v>0</v>
      </c>
      <c r="AR66" s="20">
        <f t="shared" ref="AR66:AR129" si="27">SUM(AP66:AQ66)</f>
        <v>0</v>
      </c>
      <c r="AS66" s="20">
        <v>0</v>
      </c>
      <c r="AT66" s="21">
        <v>0</v>
      </c>
      <c r="AU66" s="20">
        <f t="shared" ref="AU66:AU129" si="28">SUM(AS66:AT66)</f>
        <v>0</v>
      </c>
      <c r="AV66" s="23">
        <f t="shared" ref="AV66:AV129" si="29">SUM(L66+O66+R66+U66+X66+AA66+AD66+AG66+AJ66+AM66+AP66+AS66)</f>
        <v>10</v>
      </c>
      <c r="AW66" s="22">
        <f t="shared" ref="AW66:AW129" si="30">SUM(M66+P66+S66+V66+Y66+AB66+AE66+AH66+AK66+AN66+AQ66+AT66)</f>
        <v>0</v>
      </c>
      <c r="AX66" s="20">
        <f t="shared" ref="AX66:AX129" si="31">SUM(AV66:AW66)</f>
        <v>10</v>
      </c>
      <c r="AY66" s="28" t="s">
        <v>28</v>
      </c>
      <c r="AZ66" s="28" t="s">
        <v>28</v>
      </c>
      <c r="BA66" s="28" t="s">
        <v>352</v>
      </c>
      <c r="BB66" s="29">
        <v>44246</v>
      </c>
    </row>
    <row r="67" spans="1:54" hidden="1">
      <c r="A67" s="28" t="str">
        <f t="shared" si="16"/>
        <v>814540202479</v>
      </c>
      <c r="B67" s="30">
        <v>814540</v>
      </c>
      <c r="C67" s="30" t="s">
        <v>63</v>
      </c>
      <c r="D67" s="31">
        <v>202479</v>
      </c>
      <c r="E67" s="28" t="s">
        <v>57</v>
      </c>
      <c r="F67" s="28"/>
      <c r="G67" s="28"/>
      <c r="H67" s="28"/>
      <c r="I67" s="28"/>
      <c r="J67" s="28"/>
      <c r="K67" s="28"/>
      <c r="L67" s="20">
        <v>38</v>
      </c>
      <c r="M67" s="21">
        <v>0</v>
      </c>
      <c r="N67" s="20">
        <f t="shared" si="17"/>
        <v>38</v>
      </c>
      <c r="O67" s="20">
        <v>20</v>
      </c>
      <c r="P67" s="21">
        <v>0</v>
      </c>
      <c r="Q67" s="20">
        <f t="shared" si="18"/>
        <v>20</v>
      </c>
      <c r="R67" s="20">
        <v>30</v>
      </c>
      <c r="S67" s="22">
        <v>0</v>
      </c>
      <c r="T67" s="20">
        <f t="shared" si="19"/>
        <v>30</v>
      </c>
      <c r="U67" s="20">
        <v>52.5</v>
      </c>
      <c r="V67" s="21">
        <v>7.5</v>
      </c>
      <c r="W67" s="20">
        <f t="shared" si="20"/>
        <v>60</v>
      </c>
      <c r="X67" s="20">
        <v>30</v>
      </c>
      <c r="Y67" s="22">
        <v>0</v>
      </c>
      <c r="Z67" s="20">
        <f t="shared" si="21"/>
        <v>30</v>
      </c>
      <c r="AA67" s="20">
        <v>55</v>
      </c>
      <c r="AB67" s="22">
        <v>0</v>
      </c>
      <c r="AC67" s="20">
        <f t="shared" si="22"/>
        <v>55</v>
      </c>
      <c r="AD67" s="20">
        <v>37</v>
      </c>
      <c r="AE67" s="22">
        <v>0</v>
      </c>
      <c r="AF67" s="20">
        <f t="shared" si="23"/>
        <v>37</v>
      </c>
      <c r="AG67" s="20">
        <v>27</v>
      </c>
      <c r="AH67" s="21">
        <v>0</v>
      </c>
      <c r="AI67" s="20">
        <f t="shared" si="24"/>
        <v>27</v>
      </c>
      <c r="AJ67" s="20">
        <v>108</v>
      </c>
      <c r="AK67" s="21">
        <v>0</v>
      </c>
      <c r="AL67" s="20">
        <f t="shared" si="25"/>
        <v>108</v>
      </c>
      <c r="AM67" s="20">
        <v>10</v>
      </c>
      <c r="AN67" s="21">
        <v>0</v>
      </c>
      <c r="AO67" s="20">
        <f t="shared" si="26"/>
        <v>10</v>
      </c>
      <c r="AP67" s="21">
        <v>50</v>
      </c>
      <c r="AQ67" s="20">
        <v>0</v>
      </c>
      <c r="AR67" s="20">
        <f t="shared" si="27"/>
        <v>50</v>
      </c>
      <c r="AS67" s="20">
        <v>45.5</v>
      </c>
      <c r="AT67" s="21">
        <v>0</v>
      </c>
      <c r="AU67" s="20">
        <f t="shared" si="28"/>
        <v>45.5</v>
      </c>
      <c r="AV67" s="23">
        <f t="shared" si="29"/>
        <v>503</v>
      </c>
      <c r="AW67" s="22">
        <f t="shared" si="30"/>
        <v>7.5</v>
      </c>
      <c r="AX67" s="20">
        <f t="shared" si="31"/>
        <v>510.5</v>
      </c>
      <c r="AY67" s="28" t="s">
        <v>28</v>
      </c>
      <c r="AZ67" s="28" t="s">
        <v>28</v>
      </c>
      <c r="BA67" s="28" t="s">
        <v>352</v>
      </c>
      <c r="BB67" s="29">
        <v>44246</v>
      </c>
    </row>
    <row r="68" spans="1:54" hidden="1">
      <c r="A68" s="28" t="str">
        <f t="shared" si="16"/>
        <v>814545149765</v>
      </c>
      <c r="B68" s="30">
        <v>814545</v>
      </c>
      <c r="C68" s="30" t="s">
        <v>296</v>
      </c>
      <c r="D68" s="31">
        <v>149765</v>
      </c>
      <c r="E68" s="28" t="s">
        <v>142</v>
      </c>
      <c r="F68" s="28"/>
      <c r="G68" s="28"/>
      <c r="H68" s="28"/>
      <c r="I68" s="28"/>
      <c r="J68" s="28"/>
      <c r="K68" s="28"/>
      <c r="L68" s="20">
        <v>35</v>
      </c>
      <c r="M68" s="21">
        <v>0</v>
      </c>
      <c r="N68" s="20">
        <f t="shared" si="17"/>
        <v>35</v>
      </c>
      <c r="O68" s="20">
        <v>50</v>
      </c>
      <c r="P68" s="21">
        <v>0</v>
      </c>
      <c r="Q68" s="20">
        <f t="shared" si="18"/>
        <v>50</v>
      </c>
      <c r="R68" s="20">
        <v>40</v>
      </c>
      <c r="S68" s="22">
        <v>0</v>
      </c>
      <c r="T68" s="20">
        <f t="shared" si="19"/>
        <v>40</v>
      </c>
      <c r="U68" s="20">
        <v>20</v>
      </c>
      <c r="V68" s="21">
        <v>0</v>
      </c>
      <c r="W68" s="20">
        <f t="shared" si="20"/>
        <v>20</v>
      </c>
      <c r="X68" s="20">
        <v>30</v>
      </c>
      <c r="Y68" s="22">
        <v>0</v>
      </c>
      <c r="Z68" s="20">
        <f t="shared" si="21"/>
        <v>30</v>
      </c>
      <c r="AA68" s="20">
        <v>30</v>
      </c>
      <c r="AB68" s="22">
        <v>0</v>
      </c>
      <c r="AC68" s="20">
        <f t="shared" si="22"/>
        <v>30</v>
      </c>
      <c r="AD68" s="20">
        <v>50</v>
      </c>
      <c r="AE68" s="22">
        <v>0</v>
      </c>
      <c r="AF68" s="20">
        <f t="shared" si="23"/>
        <v>50</v>
      </c>
      <c r="AG68" s="20">
        <v>10</v>
      </c>
      <c r="AH68" s="21">
        <v>0</v>
      </c>
      <c r="AI68" s="20">
        <f t="shared" si="24"/>
        <v>10</v>
      </c>
      <c r="AJ68" s="20">
        <v>25</v>
      </c>
      <c r="AK68" s="21">
        <v>0</v>
      </c>
      <c r="AL68" s="20">
        <f t="shared" si="25"/>
        <v>25</v>
      </c>
      <c r="AM68" s="20">
        <v>15</v>
      </c>
      <c r="AN68" s="21">
        <v>0</v>
      </c>
      <c r="AO68" s="20">
        <f t="shared" si="26"/>
        <v>15</v>
      </c>
      <c r="AP68" s="21">
        <v>20</v>
      </c>
      <c r="AQ68" s="20">
        <v>0</v>
      </c>
      <c r="AR68" s="20">
        <f t="shared" si="27"/>
        <v>20</v>
      </c>
      <c r="AS68" s="20">
        <v>76</v>
      </c>
      <c r="AT68" s="21">
        <v>0</v>
      </c>
      <c r="AU68" s="20">
        <f t="shared" si="28"/>
        <v>76</v>
      </c>
      <c r="AV68" s="23">
        <f t="shared" si="29"/>
        <v>401</v>
      </c>
      <c r="AW68" s="22">
        <f t="shared" si="30"/>
        <v>0</v>
      </c>
      <c r="AX68" s="20">
        <f t="shared" si="31"/>
        <v>401</v>
      </c>
      <c r="AY68" s="28" t="s">
        <v>28</v>
      </c>
      <c r="AZ68" s="28" t="s">
        <v>28</v>
      </c>
      <c r="BA68" s="28" t="s">
        <v>352</v>
      </c>
      <c r="BB68" s="29">
        <v>44246</v>
      </c>
    </row>
    <row r="69" spans="1:54" hidden="1">
      <c r="A69" s="28" t="str">
        <f t="shared" si="16"/>
        <v>814777178661</v>
      </c>
      <c r="B69" s="30">
        <v>814777</v>
      </c>
      <c r="C69" s="30" t="s">
        <v>49</v>
      </c>
      <c r="D69" s="31">
        <v>178661</v>
      </c>
      <c r="E69" s="28" t="s">
        <v>48</v>
      </c>
      <c r="F69" s="28"/>
      <c r="G69" s="28"/>
      <c r="H69" s="28"/>
      <c r="I69" s="28"/>
      <c r="J69" s="28"/>
      <c r="K69" s="28"/>
      <c r="L69" s="20">
        <v>61.5</v>
      </c>
      <c r="M69" s="21">
        <v>10</v>
      </c>
      <c r="N69" s="20">
        <f t="shared" si="17"/>
        <v>71.5</v>
      </c>
      <c r="O69" s="20">
        <v>20</v>
      </c>
      <c r="P69" s="21">
        <v>0</v>
      </c>
      <c r="Q69" s="20">
        <f t="shared" si="18"/>
        <v>20</v>
      </c>
      <c r="R69" s="20">
        <v>55</v>
      </c>
      <c r="S69" s="22">
        <v>20</v>
      </c>
      <c r="T69" s="20">
        <f t="shared" si="19"/>
        <v>75</v>
      </c>
      <c r="U69" s="20">
        <v>36</v>
      </c>
      <c r="V69" s="21">
        <v>0</v>
      </c>
      <c r="W69" s="20">
        <f t="shared" si="20"/>
        <v>36</v>
      </c>
      <c r="X69" s="20">
        <v>30</v>
      </c>
      <c r="Y69" s="22">
        <v>0</v>
      </c>
      <c r="Z69" s="20">
        <f t="shared" si="21"/>
        <v>30</v>
      </c>
      <c r="AA69" s="20">
        <v>39.5</v>
      </c>
      <c r="AB69" s="22">
        <v>0</v>
      </c>
      <c r="AC69" s="20">
        <f t="shared" si="22"/>
        <v>39.5</v>
      </c>
      <c r="AD69" s="20">
        <v>30</v>
      </c>
      <c r="AE69" s="22">
        <v>0</v>
      </c>
      <c r="AF69" s="20">
        <f t="shared" si="23"/>
        <v>30</v>
      </c>
      <c r="AG69" s="20">
        <v>22</v>
      </c>
      <c r="AH69" s="21">
        <v>0</v>
      </c>
      <c r="AI69" s="20">
        <f t="shared" si="24"/>
        <v>22</v>
      </c>
      <c r="AJ69" s="20">
        <v>48</v>
      </c>
      <c r="AK69" s="21">
        <v>20</v>
      </c>
      <c r="AL69" s="20">
        <f t="shared" si="25"/>
        <v>68</v>
      </c>
      <c r="AM69" s="20">
        <v>20</v>
      </c>
      <c r="AN69" s="21">
        <v>0</v>
      </c>
      <c r="AO69" s="20">
        <f t="shared" si="26"/>
        <v>20</v>
      </c>
      <c r="AP69" s="21">
        <v>40</v>
      </c>
      <c r="AQ69" s="20">
        <v>0</v>
      </c>
      <c r="AR69" s="20">
        <f t="shared" si="27"/>
        <v>40</v>
      </c>
      <c r="AS69" s="20">
        <v>22.5</v>
      </c>
      <c r="AT69" s="21">
        <v>0</v>
      </c>
      <c r="AU69" s="20">
        <f t="shared" si="28"/>
        <v>22.5</v>
      </c>
      <c r="AV69" s="23">
        <f t="shared" si="29"/>
        <v>424.5</v>
      </c>
      <c r="AW69" s="22">
        <f t="shared" si="30"/>
        <v>50</v>
      </c>
      <c r="AX69" s="20">
        <f t="shared" si="31"/>
        <v>474.5</v>
      </c>
      <c r="AY69" s="28" t="s">
        <v>28</v>
      </c>
      <c r="AZ69" s="28" t="s">
        <v>28</v>
      </c>
      <c r="BA69" s="28" t="s">
        <v>352</v>
      </c>
      <c r="BB69" s="29">
        <v>44272</v>
      </c>
    </row>
    <row r="70" spans="1:54" hidden="1">
      <c r="A70" s="28" t="str">
        <f t="shared" si="16"/>
        <v>814907179893</v>
      </c>
      <c r="B70" s="30">
        <v>814907</v>
      </c>
      <c r="C70" s="30" t="s">
        <v>214</v>
      </c>
      <c r="D70" s="31">
        <v>179893</v>
      </c>
      <c r="E70" s="28" t="s">
        <v>185</v>
      </c>
      <c r="F70" s="28"/>
      <c r="G70" s="28"/>
      <c r="H70" s="28"/>
      <c r="I70" s="28"/>
      <c r="J70" s="28"/>
      <c r="K70" s="28"/>
      <c r="L70" s="20">
        <v>10</v>
      </c>
      <c r="M70" s="21">
        <v>0</v>
      </c>
      <c r="N70" s="20">
        <f t="shared" si="17"/>
        <v>10</v>
      </c>
      <c r="O70" s="20">
        <v>39</v>
      </c>
      <c r="P70" s="21">
        <v>0</v>
      </c>
      <c r="Q70" s="20">
        <f t="shared" si="18"/>
        <v>39</v>
      </c>
      <c r="R70" s="20">
        <v>77</v>
      </c>
      <c r="S70" s="22">
        <v>0</v>
      </c>
      <c r="T70" s="20">
        <f t="shared" si="19"/>
        <v>77</v>
      </c>
      <c r="U70" s="20">
        <v>30</v>
      </c>
      <c r="V70" s="21">
        <v>0</v>
      </c>
      <c r="W70" s="20">
        <f t="shared" si="20"/>
        <v>30</v>
      </c>
      <c r="X70" s="20">
        <v>20</v>
      </c>
      <c r="Y70" s="22">
        <v>3.5</v>
      </c>
      <c r="Z70" s="20">
        <f t="shared" si="21"/>
        <v>23.5</v>
      </c>
      <c r="AA70" s="20">
        <v>10</v>
      </c>
      <c r="AB70" s="22">
        <v>0</v>
      </c>
      <c r="AC70" s="20">
        <f t="shared" si="22"/>
        <v>10</v>
      </c>
      <c r="AD70" s="20">
        <v>10</v>
      </c>
      <c r="AE70" s="22">
        <v>0</v>
      </c>
      <c r="AF70" s="20">
        <f t="shared" si="23"/>
        <v>10</v>
      </c>
      <c r="AG70" s="20">
        <v>35</v>
      </c>
      <c r="AH70" s="21">
        <v>0</v>
      </c>
      <c r="AI70" s="20">
        <f t="shared" si="24"/>
        <v>35</v>
      </c>
      <c r="AJ70" s="20">
        <v>35</v>
      </c>
      <c r="AK70" s="21">
        <v>0</v>
      </c>
      <c r="AL70" s="20">
        <f t="shared" si="25"/>
        <v>35</v>
      </c>
      <c r="AM70" s="20">
        <v>29.5</v>
      </c>
      <c r="AN70" s="21">
        <v>5</v>
      </c>
      <c r="AO70" s="20">
        <f t="shared" si="26"/>
        <v>34.5</v>
      </c>
      <c r="AP70" s="21">
        <v>51</v>
      </c>
      <c r="AQ70" s="20">
        <v>0</v>
      </c>
      <c r="AR70" s="20">
        <f t="shared" si="27"/>
        <v>51</v>
      </c>
      <c r="AS70" s="20">
        <v>0</v>
      </c>
      <c r="AT70" s="21">
        <v>0</v>
      </c>
      <c r="AU70" s="20">
        <f t="shared" si="28"/>
        <v>0</v>
      </c>
      <c r="AV70" s="23">
        <f t="shared" si="29"/>
        <v>346.5</v>
      </c>
      <c r="AW70" s="22">
        <f t="shared" si="30"/>
        <v>8.5</v>
      </c>
      <c r="AX70" s="20">
        <f t="shared" si="31"/>
        <v>355</v>
      </c>
      <c r="AY70" s="28" t="s">
        <v>28</v>
      </c>
      <c r="AZ70" s="28" t="s">
        <v>28</v>
      </c>
      <c r="BA70" s="28" t="s">
        <v>352</v>
      </c>
      <c r="BB70" s="29">
        <v>44292</v>
      </c>
    </row>
    <row r="71" spans="1:54" hidden="1">
      <c r="A71" s="28" t="str">
        <f t="shared" si="16"/>
        <v>814934202479</v>
      </c>
      <c r="B71" s="30">
        <v>814934</v>
      </c>
      <c r="C71" s="30" t="s">
        <v>160</v>
      </c>
      <c r="D71" s="31">
        <v>202479</v>
      </c>
      <c r="E71" s="28" t="s">
        <v>57</v>
      </c>
      <c r="F71" s="28"/>
      <c r="G71" s="28"/>
      <c r="H71" s="28"/>
      <c r="I71" s="28"/>
      <c r="J71" s="28"/>
      <c r="K71" s="28"/>
      <c r="L71" s="20">
        <v>15</v>
      </c>
      <c r="M71" s="21">
        <v>0</v>
      </c>
      <c r="N71" s="20">
        <f t="shared" si="17"/>
        <v>15</v>
      </c>
      <c r="O71" s="20">
        <v>65</v>
      </c>
      <c r="P71" s="21">
        <v>10</v>
      </c>
      <c r="Q71" s="20">
        <f t="shared" si="18"/>
        <v>75</v>
      </c>
      <c r="R71" s="20">
        <v>55</v>
      </c>
      <c r="S71" s="22">
        <v>0</v>
      </c>
      <c r="T71" s="20">
        <f t="shared" si="19"/>
        <v>55</v>
      </c>
      <c r="U71" s="20">
        <v>92</v>
      </c>
      <c r="V71" s="21">
        <v>0</v>
      </c>
      <c r="W71" s="20">
        <f t="shared" si="20"/>
        <v>92</v>
      </c>
      <c r="X71" s="20">
        <v>79</v>
      </c>
      <c r="Y71" s="22">
        <v>0</v>
      </c>
      <c r="Z71" s="20">
        <f t="shared" si="21"/>
        <v>79</v>
      </c>
      <c r="AA71" s="20">
        <v>45</v>
      </c>
      <c r="AB71" s="22">
        <v>0</v>
      </c>
      <c r="AC71" s="20">
        <f t="shared" si="22"/>
        <v>45</v>
      </c>
      <c r="AD71" s="20">
        <v>38</v>
      </c>
      <c r="AE71" s="22">
        <v>0</v>
      </c>
      <c r="AF71" s="20">
        <f t="shared" si="23"/>
        <v>38</v>
      </c>
      <c r="AG71" s="20">
        <v>20</v>
      </c>
      <c r="AH71" s="21">
        <v>0</v>
      </c>
      <c r="AI71" s="20">
        <f t="shared" si="24"/>
        <v>20</v>
      </c>
      <c r="AJ71" s="20">
        <v>60</v>
      </c>
      <c r="AK71" s="21">
        <v>0</v>
      </c>
      <c r="AL71" s="20">
        <f t="shared" si="25"/>
        <v>60</v>
      </c>
      <c r="AM71" s="20">
        <v>10</v>
      </c>
      <c r="AN71" s="21">
        <v>0</v>
      </c>
      <c r="AO71" s="20">
        <f t="shared" si="26"/>
        <v>10</v>
      </c>
      <c r="AP71" s="21">
        <v>30</v>
      </c>
      <c r="AQ71" s="20">
        <v>0</v>
      </c>
      <c r="AR71" s="20">
        <f t="shared" si="27"/>
        <v>30</v>
      </c>
      <c r="AS71" s="20">
        <v>25</v>
      </c>
      <c r="AT71" s="21">
        <v>0</v>
      </c>
      <c r="AU71" s="20">
        <f t="shared" si="28"/>
        <v>25</v>
      </c>
      <c r="AV71" s="23">
        <f t="shared" si="29"/>
        <v>534</v>
      </c>
      <c r="AW71" s="22">
        <f t="shared" si="30"/>
        <v>10</v>
      </c>
      <c r="AX71" s="20">
        <f t="shared" si="31"/>
        <v>544</v>
      </c>
      <c r="AY71" s="28" t="s">
        <v>28</v>
      </c>
      <c r="AZ71" s="28" t="s">
        <v>28</v>
      </c>
      <c r="BA71" s="28" t="s">
        <v>352</v>
      </c>
      <c r="BB71" s="29">
        <v>44298</v>
      </c>
    </row>
    <row r="72" spans="1:54" hidden="1">
      <c r="A72" s="28" t="str">
        <f t="shared" si="16"/>
        <v>814939202479</v>
      </c>
      <c r="B72" s="30">
        <v>814939</v>
      </c>
      <c r="C72" s="30" t="s">
        <v>102</v>
      </c>
      <c r="D72" s="31">
        <v>202479</v>
      </c>
      <c r="E72" s="28" t="s">
        <v>57</v>
      </c>
      <c r="F72" s="28"/>
      <c r="G72" s="28"/>
      <c r="H72" s="28"/>
      <c r="I72" s="28"/>
      <c r="J72" s="28"/>
      <c r="K72" s="28"/>
      <c r="L72" s="20">
        <v>115</v>
      </c>
      <c r="M72" s="21">
        <v>0</v>
      </c>
      <c r="N72" s="20">
        <f t="shared" si="17"/>
        <v>115</v>
      </c>
      <c r="O72" s="20">
        <v>51</v>
      </c>
      <c r="P72" s="21">
        <v>10</v>
      </c>
      <c r="Q72" s="20">
        <f t="shared" si="18"/>
        <v>61</v>
      </c>
      <c r="R72" s="20">
        <v>105</v>
      </c>
      <c r="S72" s="22">
        <v>10</v>
      </c>
      <c r="T72" s="20">
        <f t="shared" si="19"/>
        <v>115</v>
      </c>
      <c r="U72" s="20">
        <v>95</v>
      </c>
      <c r="V72" s="21">
        <v>0</v>
      </c>
      <c r="W72" s="20">
        <f t="shared" si="20"/>
        <v>95</v>
      </c>
      <c r="X72" s="20">
        <v>168.75</v>
      </c>
      <c r="Y72" s="22">
        <v>5</v>
      </c>
      <c r="Z72" s="20">
        <f t="shared" si="21"/>
        <v>173.75</v>
      </c>
      <c r="AA72" s="20">
        <v>83.5</v>
      </c>
      <c r="AB72" s="22">
        <v>0</v>
      </c>
      <c r="AC72" s="20">
        <f t="shared" si="22"/>
        <v>83.5</v>
      </c>
      <c r="AD72" s="20">
        <v>45</v>
      </c>
      <c r="AE72" s="22">
        <v>0</v>
      </c>
      <c r="AF72" s="20">
        <f t="shared" si="23"/>
        <v>45</v>
      </c>
      <c r="AG72" s="20">
        <v>63.5</v>
      </c>
      <c r="AH72" s="21">
        <v>0</v>
      </c>
      <c r="AI72" s="20">
        <f t="shared" si="24"/>
        <v>63.5</v>
      </c>
      <c r="AJ72" s="20">
        <v>72</v>
      </c>
      <c r="AK72" s="21">
        <v>0</v>
      </c>
      <c r="AL72" s="20">
        <f t="shared" si="25"/>
        <v>72</v>
      </c>
      <c r="AM72" s="20">
        <v>40</v>
      </c>
      <c r="AN72" s="21">
        <v>0</v>
      </c>
      <c r="AO72" s="20">
        <f t="shared" si="26"/>
        <v>40</v>
      </c>
      <c r="AP72" s="21">
        <v>10</v>
      </c>
      <c r="AQ72" s="20">
        <v>0</v>
      </c>
      <c r="AR72" s="20">
        <f t="shared" si="27"/>
        <v>10</v>
      </c>
      <c r="AS72" s="20">
        <v>65.400000000000006</v>
      </c>
      <c r="AT72" s="21">
        <v>0</v>
      </c>
      <c r="AU72" s="20">
        <f t="shared" si="28"/>
        <v>65.400000000000006</v>
      </c>
      <c r="AV72" s="23">
        <f t="shared" si="29"/>
        <v>914.15</v>
      </c>
      <c r="AW72" s="22">
        <f t="shared" si="30"/>
        <v>25</v>
      </c>
      <c r="AX72" s="20">
        <f t="shared" si="31"/>
        <v>939.15</v>
      </c>
      <c r="AY72" s="28" t="s">
        <v>28</v>
      </c>
      <c r="AZ72" s="28" t="s">
        <v>28</v>
      </c>
      <c r="BA72" s="28" t="s">
        <v>352</v>
      </c>
      <c r="BB72" s="29">
        <v>44299</v>
      </c>
    </row>
    <row r="73" spans="1:54" hidden="1">
      <c r="A73" s="28" t="str">
        <f t="shared" si="16"/>
        <v>815104149765</v>
      </c>
      <c r="B73" s="30">
        <v>815104</v>
      </c>
      <c r="C73" s="30" t="s">
        <v>362</v>
      </c>
      <c r="D73" s="31">
        <v>149765</v>
      </c>
      <c r="E73" s="28" t="s">
        <v>142</v>
      </c>
      <c r="F73" s="28"/>
      <c r="G73" s="28"/>
      <c r="H73" s="28"/>
      <c r="I73" s="28"/>
      <c r="J73" s="28"/>
      <c r="K73" s="28"/>
      <c r="L73" s="20">
        <v>0</v>
      </c>
      <c r="M73" s="21">
        <v>0</v>
      </c>
      <c r="N73" s="20">
        <f t="shared" si="17"/>
        <v>0</v>
      </c>
      <c r="O73" s="20">
        <v>0</v>
      </c>
      <c r="P73" s="21">
        <v>0</v>
      </c>
      <c r="Q73" s="20">
        <f t="shared" si="18"/>
        <v>0</v>
      </c>
      <c r="R73" s="20">
        <v>120</v>
      </c>
      <c r="S73" s="22">
        <v>0</v>
      </c>
      <c r="T73" s="20">
        <f t="shared" si="19"/>
        <v>120</v>
      </c>
      <c r="U73" s="20">
        <v>20</v>
      </c>
      <c r="V73" s="21">
        <v>0</v>
      </c>
      <c r="W73" s="20">
        <f t="shared" si="20"/>
        <v>20</v>
      </c>
      <c r="X73" s="20">
        <v>17</v>
      </c>
      <c r="Y73" s="22">
        <v>0</v>
      </c>
      <c r="Z73" s="20">
        <f t="shared" si="21"/>
        <v>17</v>
      </c>
      <c r="AA73" s="20">
        <v>30</v>
      </c>
      <c r="AB73" s="22">
        <v>0</v>
      </c>
      <c r="AC73" s="20">
        <f t="shared" si="22"/>
        <v>30</v>
      </c>
      <c r="AD73" s="20">
        <v>10</v>
      </c>
      <c r="AE73" s="22">
        <v>0</v>
      </c>
      <c r="AF73" s="20">
        <f t="shared" si="23"/>
        <v>10</v>
      </c>
      <c r="AG73" s="20">
        <v>30</v>
      </c>
      <c r="AH73" s="21">
        <v>0</v>
      </c>
      <c r="AI73" s="20">
        <f t="shared" si="24"/>
        <v>30</v>
      </c>
      <c r="AJ73" s="20">
        <v>25</v>
      </c>
      <c r="AK73" s="21">
        <v>0</v>
      </c>
      <c r="AL73" s="20">
        <f t="shared" si="25"/>
        <v>25</v>
      </c>
      <c r="AM73" s="20">
        <v>30</v>
      </c>
      <c r="AN73" s="21">
        <v>0</v>
      </c>
      <c r="AO73" s="20">
        <f t="shared" si="26"/>
        <v>30</v>
      </c>
      <c r="AP73" s="21">
        <v>45</v>
      </c>
      <c r="AQ73" s="20">
        <v>0</v>
      </c>
      <c r="AR73" s="20">
        <f t="shared" si="27"/>
        <v>45</v>
      </c>
      <c r="AS73" s="20">
        <v>76.7</v>
      </c>
      <c r="AT73" s="21">
        <v>0</v>
      </c>
      <c r="AU73" s="20">
        <f t="shared" si="28"/>
        <v>76.7</v>
      </c>
      <c r="AV73" s="23">
        <f t="shared" si="29"/>
        <v>403.7</v>
      </c>
      <c r="AW73" s="22">
        <f t="shared" si="30"/>
        <v>0</v>
      </c>
      <c r="AX73" s="20">
        <f t="shared" si="31"/>
        <v>403.7</v>
      </c>
      <c r="AY73" s="28" t="s">
        <v>28</v>
      </c>
      <c r="AZ73" s="28" t="s">
        <v>28</v>
      </c>
      <c r="BA73" s="28" t="s">
        <v>352</v>
      </c>
      <c r="BB73" s="29">
        <v>44347</v>
      </c>
    </row>
    <row r="74" spans="1:54" hidden="1">
      <c r="A74" s="28" t="str">
        <f t="shared" si="16"/>
        <v>815105205650</v>
      </c>
      <c r="B74" s="30">
        <v>815105</v>
      </c>
      <c r="C74" s="30" t="s">
        <v>375</v>
      </c>
      <c r="D74" s="28">
        <v>205650</v>
      </c>
      <c r="E74" s="28" t="s">
        <v>376</v>
      </c>
      <c r="F74" s="28"/>
      <c r="G74" s="28"/>
      <c r="H74" s="28"/>
      <c r="I74" s="28"/>
      <c r="J74" s="28"/>
      <c r="K74" s="28"/>
      <c r="L74" s="20">
        <v>0</v>
      </c>
      <c r="M74" s="21">
        <v>0</v>
      </c>
      <c r="N74" s="20">
        <f t="shared" si="17"/>
        <v>0</v>
      </c>
      <c r="O74" s="20">
        <v>0</v>
      </c>
      <c r="P74" s="21">
        <v>0</v>
      </c>
      <c r="Q74" s="20">
        <f t="shared" si="18"/>
        <v>0</v>
      </c>
      <c r="R74" s="20">
        <v>0</v>
      </c>
      <c r="S74" s="22">
        <v>0</v>
      </c>
      <c r="T74" s="20">
        <f t="shared" si="19"/>
        <v>0</v>
      </c>
      <c r="U74" s="20">
        <v>63.5</v>
      </c>
      <c r="V74" s="21">
        <v>0</v>
      </c>
      <c r="W74" s="20">
        <f t="shared" si="20"/>
        <v>63.5</v>
      </c>
      <c r="X74" s="20">
        <v>15</v>
      </c>
      <c r="Y74" s="22">
        <v>5</v>
      </c>
      <c r="Z74" s="20">
        <f t="shared" si="21"/>
        <v>20</v>
      </c>
      <c r="AA74" s="20">
        <v>20</v>
      </c>
      <c r="AB74" s="22">
        <v>0</v>
      </c>
      <c r="AC74" s="20">
        <f t="shared" si="22"/>
        <v>20</v>
      </c>
      <c r="AD74" s="20">
        <v>0</v>
      </c>
      <c r="AE74" s="22">
        <v>0</v>
      </c>
      <c r="AF74" s="20">
        <f t="shared" si="23"/>
        <v>0</v>
      </c>
      <c r="AG74" s="20">
        <v>0</v>
      </c>
      <c r="AH74" s="21">
        <v>0</v>
      </c>
      <c r="AI74" s="20">
        <f t="shared" si="24"/>
        <v>0</v>
      </c>
      <c r="AJ74" s="20">
        <v>0</v>
      </c>
      <c r="AK74" s="21">
        <v>0</v>
      </c>
      <c r="AL74" s="20">
        <f t="shared" si="25"/>
        <v>0</v>
      </c>
      <c r="AM74" s="20">
        <v>0</v>
      </c>
      <c r="AN74" s="21">
        <v>0</v>
      </c>
      <c r="AO74" s="20">
        <f t="shared" si="26"/>
        <v>0</v>
      </c>
      <c r="AP74" s="21">
        <v>11</v>
      </c>
      <c r="AQ74" s="20">
        <v>6.75</v>
      </c>
      <c r="AR74" s="20">
        <f t="shared" si="27"/>
        <v>17.75</v>
      </c>
      <c r="AS74" s="20">
        <v>0</v>
      </c>
      <c r="AT74" s="21">
        <v>0</v>
      </c>
      <c r="AU74" s="20">
        <f t="shared" si="28"/>
        <v>0</v>
      </c>
      <c r="AV74" s="23">
        <f t="shared" si="29"/>
        <v>109.5</v>
      </c>
      <c r="AW74" s="22">
        <f t="shared" si="30"/>
        <v>11.75</v>
      </c>
      <c r="AX74" s="20">
        <f t="shared" si="31"/>
        <v>121.25</v>
      </c>
      <c r="AY74" s="28" t="s">
        <v>28</v>
      </c>
      <c r="AZ74" s="28" t="s">
        <v>28</v>
      </c>
      <c r="BA74" s="28" t="s">
        <v>352</v>
      </c>
      <c r="BB74" s="29">
        <v>44347</v>
      </c>
    </row>
    <row r="75" spans="1:54" hidden="1">
      <c r="A75" s="28" t="str">
        <f t="shared" si="16"/>
        <v>815175149765</v>
      </c>
      <c r="B75" s="30">
        <v>815175</v>
      </c>
      <c r="C75" s="30" t="s">
        <v>370</v>
      </c>
      <c r="D75" s="31">
        <v>149765</v>
      </c>
      <c r="E75" s="28" t="s">
        <v>142</v>
      </c>
      <c r="F75" s="28"/>
      <c r="G75" s="28"/>
      <c r="H75" s="28"/>
      <c r="I75" s="28"/>
      <c r="J75" s="28"/>
      <c r="K75" s="28"/>
      <c r="L75" s="20">
        <v>0</v>
      </c>
      <c r="M75" s="21">
        <v>0</v>
      </c>
      <c r="N75" s="20">
        <f t="shared" si="17"/>
        <v>0</v>
      </c>
      <c r="O75" s="20">
        <v>0</v>
      </c>
      <c r="P75" s="21">
        <v>0</v>
      </c>
      <c r="Q75" s="20">
        <f t="shared" si="18"/>
        <v>0</v>
      </c>
      <c r="R75" s="20">
        <v>56.5</v>
      </c>
      <c r="S75" s="22">
        <v>0</v>
      </c>
      <c r="T75" s="20">
        <f t="shared" si="19"/>
        <v>56.5</v>
      </c>
      <c r="U75" s="20">
        <v>0</v>
      </c>
      <c r="V75" s="21">
        <v>0</v>
      </c>
      <c r="W75" s="20">
        <f t="shared" si="20"/>
        <v>0</v>
      </c>
      <c r="X75" s="20">
        <v>35</v>
      </c>
      <c r="Y75" s="22">
        <v>0</v>
      </c>
      <c r="Z75" s="20">
        <f t="shared" si="21"/>
        <v>35</v>
      </c>
      <c r="AA75" s="20">
        <v>30</v>
      </c>
      <c r="AB75" s="22">
        <v>0</v>
      </c>
      <c r="AC75" s="20">
        <f t="shared" si="22"/>
        <v>30</v>
      </c>
      <c r="AD75" s="20">
        <v>30</v>
      </c>
      <c r="AE75" s="22">
        <v>0</v>
      </c>
      <c r="AF75" s="20">
        <f t="shared" si="23"/>
        <v>30</v>
      </c>
      <c r="AG75" s="20">
        <v>20</v>
      </c>
      <c r="AH75" s="21">
        <v>0</v>
      </c>
      <c r="AI75" s="20">
        <f t="shared" si="24"/>
        <v>20</v>
      </c>
      <c r="AJ75" s="20">
        <v>40</v>
      </c>
      <c r="AK75" s="21">
        <v>0</v>
      </c>
      <c r="AL75" s="20">
        <f t="shared" si="25"/>
        <v>40</v>
      </c>
      <c r="AM75" s="20">
        <v>20</v>
      </c>
      <c r="AN75" s="21">
        <v>0</v>
      </c>
      <c r="AO75" s="20">
        <f t="shared" si="26"/>
        <v>20</v>
      </c>
      <c r="AP75" s="21">
        <v>40</v>
      </c>
      <c r="AQ75" s="20">
        <v>0</v>
      </c>
      <c r="AR75" s="20">
        <f t="shared" si="27"/>
        <v>40</v>
      </c>
      <c r="AS75" s="20">
        <v>129.5</v>
      </c>
      <c r="AT75" s="21">
        <v>0</v>
      </c>
      <c r="AU75" s="20">
        <f t="shared" si="28"/>
        <v>129.5</v>
      </c>
      <c r="AV75" s="23">
        <f t="shared" si="29"/>
        <v>401</v>
      </c>
      <c r="AW75" s="22">
        <f t="shared" si="30"/>
        <v>0</v>
      </c>
      <c r="AX75" s="20">
        <f t="shared" si="31"/>
        <v>401</v>
      </c>
      <c r="AY75" s="28" t="s">
        <v>28</v>
      </c>
      <c r="AZ75" s="28" t="s">
        <v>28</v>
      </c>
      <c r="BA75" s="28" t="s">
        <v>352</v>
      </c>
      <c r="BB75" s="29">
        <v>44364</v>
      </c>
    </row>
    <row r="76" spans="1:54" hidden="1">
      <c r="A76" s="28" t="str">
        <f t="shared" si="16"/>
        <v>815176175288</v>
      </c>
      <c r="B76" s="30">
        <v>815176</v>
      </c>
      <c r="C76" s="30" t="s">
        <v>377</v>
      </c>
      <c r="D76" s="28">
        <v>175288</v>
      </c>
      <c r="E76" s="28" t="s">
        <v>87</v>
      </c>
      <c r="F76" s="28"/>
      <c r="G76" s="28"/>
      <c r="H76" s="28"/>
      <c r="I76" s="28"/>
      <c r="J76" s="28"/>
      <c r="K76" s="28"/>
      <c r="L76" s="20">
        <v>0</v>
      </c>
      <c r="M76" s="21">
        <v>0</v>
      </c>
      <c r="N76" s="20">
        <f t="shared" si="17"/>
        <v>0</v>
      </c>
      <c r="O76" s="20">
        <v>0</v>
      </c>
      <c r="P76" s="21">
        <v>0</v>
      </c>
      <c r="Q76" s="20">
        <f t="shared" si="18"/>
        <v>0</v>
      </c>
      <c r="R76" s="20">
        <v>0</v>
      </c>
      <c r="S76" s="22">
        <v>0</v>
      </c>
      <c r="T76" s="20">
        <f t="shared" si="19"/>
        <v>0</v>
      </c>
      <c r="U76" s="20">
        <v>110</v>
      </c>
      <c r="V76" s="21">
        <v>0</v>
      </c>
      <c r="W76" s="20">
        <f t="shared" si="20"/>
        <v>110</v>
      </c>
      <c r="X76" s="20">
        <v>70</v>
      </c>
      <c r="Y76" s="22">
        <v>0</v>
      </c>
      <c r="Z76" s="20">
        <f t="shared" si="21"/>
        <v>70</v>
      </c>
      <c r="AA76" s="20">
        <v>90</v>
      </c>
      <c r="AB76" s="22">
        <v>0</v>
      </c>
      <c r="AC76" s="20">
        <f t="shared" si="22"/>
        <v>90</v>
      </c>
      <c r="AD76" s="20">
        <v>155</v>
      </c>
      <c r="AE76" s="22">
        <v>0</v>
      </c>
      <c r="AF76" s="20">
        <f t="shared" si="23"/>
        <v>155</v>
      </c>
      <c r="AG76" s="20">
        <v>70</v>
      </c>
      <c r="AH76" s="21">
        <v>0</v>
      </c>
      <c r="AI76" s="20">
        <f t="shared" si="24"/>
        <v>70</v>
      </c>
      <c r="AJ76" s="20">
        <v>72</v>
      </c>
      <c r="AK76" s="21">
        <v>0</v>
      </c>
      <c r="AL76" s="20">
        <f t="shared" si="25"/>
        <v>72</v>
      </c>
      <c r="AM76" s="20">
        <v>95</v>
      </c>
      <c r="AN76" s="21">
        <v>0</v>
      </c>
      <c r="AO76" s="20">
        <f t="shared" si="26"/>
        <v>95</v>
      </c>
      <c r="AP76" s="21">
        <v>70</v>
      </c>
      <c r="AQ76" s="20">
        <v>0</v>
      </c>
      <c r="AR76" s="20">
        <f t="shared" si="27"/>
        <v>70</v>
      </c>
      <c r="AS76" s="20">
        <v>125</v>
      </c>
      <c r="AT76" s="21">
        <v>0</v>
      </c>
      <c r="AU76" s="20">
        <f t="shared" si="28"/>
        <v>125</v>
      </c>
      <c r="AV76" s="23">
        <f t="shared" si="29"/>
        <v>857</v>
      </c>
      <c r="AW76" s="22">
        <f t="shared" si="30"/>
        <v>0</v>
      </c>
      <c r="AX76" s="20">
        <f t="shared" si="31"/>
        <v>857</v>
      </c>
      <c r="AY76" s="28" t="s">
        <v>28</v>
      </c>
      <c r="AZ76" s="28" t="s">
        <v>28</v>
      </c>
      <c r="BA76" s="28" t="s">
        <v>352</v>
      </c>
      <c r="BB76" s="29">
        <v>44364</v>
      </c>
    </row>
    <row r="77" spans="1:54" hidden="1">
      <c r="A77" s="28" t="str">
        <f t="shared" si="16"/>
        <v>815237174176</v>
      </c>
      <c r="B77" s="30">
        <v>815237</v>
      </c>
      <c r="C77" s="30" t="s">
        <v>372</v>
      </c>
      <c r="D77" s="31">
        <v>174176</v>
      </c>
      <c r="E77" s="28" t="s">
        <v>373</v>
      </c>
      <c r="F77" s="28"/>
      <c r="G77" s="28"/>
      <c r="H77" s="28"/>
      <c r="I77" s="28"/>
      <c r="J77" s="28"/>
      <c r="K77" s="28"/>
      <c r="L77" s="20">
        <v>0</v>
      </c>
      <c r="M77" s="21">
        <v>0</v>
      </c>
      <c r="N77" s="20">
        <f t="shared" si="17"/>
        <v>0</v>
      </c>
      <c r="O77" s="20">
        <v>0</v>
      </c>
      <c r="P77" s="21">
        <v>0</v>
      </c>
      <c r="Q77" s="20">
        <f t="shared" si="18"/>
        <v>0</v>
      </c>
      <c r="R77" s="20">
        <v>10</v>
      </c>
      <c r="S77" s="22">
        <v>10</v>
      </c>
      <c r="T77" s="20">
        <f t="shared" si="19"/>
        <v>20</v>
      </c>
      <c r="U77" s="20">
        <v>35.35</v>
      </c>
      <c r="V77" s="21">
        <v>10.35</v>
      </c>
      <c r="W77" s="20">
        <f t="shared" si="20"/>
        <v>45.7</v>
      </c>
      <c r="X77" s="20">
        <v>20</v>
      </c>
      <c r="Y77" s="22">
        <v>0</v>
      </c>
      <c r="Z77" s="20">
        <f t="shared" si="21"/>
        <v>20</v>
      </c>
      <c r="AA77" s="20">
        <v>20</v>
      </c>
      <c r="AB77" s="22">
        <v>0</v>
      </c>
      <c r="AC77" s="20">
        <f t="shared" si="22"/>
        <v>20</v>
      </c>
      <c r="AD77" s="20">
        <v>33</v>
      </c>
      <c r="AE77" s="22">
        <v>0</v>
      </c>
      <c r="AF77" s="20">
        <f t="shared" si="23"/>
        <v>33</v>
      </c>
      <c r="AG77" s="20">
        <v>10</v>
      </c>
      <c r="AH77" s="21">
        <v>0</v>
      </c>
      <c r="AI77" s="20">
        <f t="shared" si="24"/>
        <v>10</v>
      </c>
      <c r="AJ77" s="20">
        <v>23</v>
      </c>
      <c r="AK77" s="21">
        <v>0</v>
      </c>
      <c r="AL77" s="20">
        <f t="shared" si="25"/>
        <v>23</v>
      </c>
      <c r="AM77" s="20">
        <v>30.5</v>
      </c>
      <c r="AN77" s="21">
        <v>0</v>
      </c>
      <c r="AO77" s="20">
        <f t="shared" si="26"/>
        <v>30.5</v>
      </c>
      <c r="AP77" s="21">
        <v>10</v>
      </c>
      <c r="AQ77" s="20">
        <v>0</v>
      </c>
      <c r="AR77" s="20">
        <f t="shared" si="27"/>
        <v>10</v>
      </c>
      <c r="AS77" s="20">
        <v>30</v>
      </c>
      <c r="AT77" s="21">
        <v>0</v>
      </c>
      <c r="AU77" s="20">
        <f t="shared" si="28"/>
        <v>30</v>
      </c>
      <c r="AV77" s="23">
        <f t="shared" si="29"/>
        <v>221.85</v>
      </c>
      <c r="AW77" s="22">
        <f t="shared" si="30"/>
        <v>20.350000000000001</v>
      </c>
      <c r="AX77" s="20">
        <f t="shared" si="31"/>
        <v>242.2</v>
      </c>
      <c r="AY77" s="28" t="s">
        <v>28</v>
      </c>
      <c r="AZ77" s="28" t="s">
        <v>28</v>
      </c>
      <c r="BA77" s="28" t="s">
        <v>352</v>
      </c>
      <c r="BB77" s="29">
        <v>44371</v>
      </c>
    </row>
    <row r="78" spans="1:54" hidden="1">
      <c r="A78" s="28" t="str">
        <f t="shared" si="16"/>
        <v>815421149765</v>
      </c>
      <c r="B78" s="30">
        <v>815421</v>
      </c>
      <c r="C78" s="30" t="s">
        <v>383</v>
      </c>
      <c r="D78" s="28">
        <v>149765</v>
      </c>
      <c r="E78" s="28" t="s">
        <v>142</v>
      </c>
      <c r="F78" s="28"/>
      <c r="G78" s="28"/>
      <c r="H78" s="28"/>
      <c r="I78" s="28"/>
      <c r="J78" s="28"/>
      <c r="K78" s="28"/>
      <c r="L78" s="20">
        <v>0</v>
      </c>
      <c r="M78" s="21">
        <v>0</v>
      </c>
      <c r="N78" s="20">
        <f t="shared" si="17"/>
        <v>0</v>
      </c>
      <c r="O78" s="20">
        <v>0</v>
      </c>
      <c r="P78" s="21">
        <v>0</v>
      </c>
      <c r="Q78" s="20">
        <f t="shared" si="18"/>
        <v>0</v>
      </c>
      <c r="R78" s="20">
        <v>0</v>
      </c>
      <c r="S78" s="22">
        <v>0</v>
      </c>
      <c r="T78" s="20">
        <f t="shared" si="19"/>
        <v>0</v>
      </c>
      <c r="U78" s="20">
        <v>50</v>
      </c>
      <c r="V78" s="21">
        <v>0</v>
      </c>
      <c r="W78" s="20">
        <f t="shared" si="20"/>
        <v>50</v>
      </c>
      <c r="X78" s="20">
        <v>40</v>
      </c>
      <c r="Y78" s="22">
        <v>0</v>
      </c>
      <c r="Z78" s="20">
        <f t="shared" si="21"/>
        <v>40</v>
      </c>
      <c r="AA78" s="20">
        <v>50</v>
      </c>
      <c r="AB78" s="22">
        <v>0</v>
      </c>
      <c r="AC78" s="20">
        <f t="shared" si="22"/>
        <v>50</v>
      </c>
      <c r="AD78" s="20">
        <v>37</v>
      </c>
      <c r="AE78" s="22">
        <v>0</v>
      </c>
      <c r="AF78" s="20">
        <f t="shared" si="23"/>
        <v>37</v>
      </c>
      <c r="AG78" s="20">
        <v>60</v>
      </c>
      <c r="AH78" s="21">
        <v>0</v>
      </c>
      <c r="AI78" s="20">
        <f t="shared" si="24"/>
        <v>60</v>
      </c>
      <c r="AJ78" s="20">
        <v>50</v>
      </c>
      <c r="AK78" s="21">
        <v>0</v>
      </c>
      <c r="AL78" s="20">
        <f t="shared" si="25"/>
        <v>50</v>
      </c>
      <c r="AM78" s="20">
        <v>40</v>
      </c>
      <c r="AN78" s="21">
        <v>0</v>
      </c>
      <c r="AO78" s="20">
        <f t="shared" si="26"/>
        <v>40</v>
      </c>
      <c r="AP78" s="21">
        <v>50</v>
      </c>
      <c r="AQ78" s="20">
        <v>0</v>
      </c>
      <c r="AR78" s="20">
        <f t="shared" si="27"/>
        <v>50</v>
      </c>
      <c r="AS78" s="20">
        <v>30</v>
      </c>
      <c r="AT78" s="21">
        <v>0</v>
      </c>
      <c r="AU78" s="20">
        <f t="shared" si="28"/>
        <v>30</v>
      </c>
      <c r="AV78" s="23">
        <f t="shared" si="29"/>
        <v>407</v>
      </c>
      <c r="AW78" s="22">
        <f t="shared" si="30"/>
        <v>0</v>
      </c>
      <c r="AX78" s="20">
        <f t="shared" si="31"/>
        <v>407</v>
      </c>
      <c r="AY78" s="28" t="s">
        <v>28</v>
      </c>
      <c r="AZ78" s="28" t="s">
        <v>28</v>
      </c>
      <c r="BA78" s="28" t="s">
        <v>352</v>
      </c>
      <c r="BB78" s="29">
        <v>44384</v>
      </c>
    </row>
    <row r="79" spans="1:54" hidden="1">
      <c r="A79" s="28" t="str">
        <f t="shared" si="16"/>
        <v>815481205650</v>
      </c>
      <c r="B79" s="30">
        <v>815481</v>
      </c>
      <c r="C79" s="30" t="s">
        <v>16</v>
      </c>
      <c r="D79" s="28">
        <v>205650</v>
      </c>
      <c r="E79" s="28" t="s">
        <v>376</v>
      </c>
      <c r="F79" s="28"/>
      <c r="G79" s="28"/>
      <c r="H79" s="28"/>
      <c r="I79" s="28"/>
      <c r="J79" s="28"/>
      <c r="K79" s="28"/>
      <c r="L79" s="20">
        <v>0</v>
      </c>
      <c r="M79" s="21">
        <v>0</v>
      </c>
      <c r="N79" s="20">
        <f t="shared" si="17"/>
        <v>0</v>
      </c>
      <c r="O79" s="20">
        <v>0</v>
      </c>
      <c r="P79" s="21">
        <v>0</v>
      </c>
      <c r="Q79" s="20">
        <f t="shared" si="18"/>
        <v>0</v>
      </c>
      <c r="R79" s="20">
        <v>0</v>
      </c>
      <c r="S79" s="22">
        <v>0</v>
      </c>
      <c r="T79" s="20">
        <f t="shared" si="19"/>
        <v>0</v>
      </c>
      <c r="U79" s="20">
        <v>20</v>
      </c>
      <c r="V79" s="21">
        <v>0</v>
      </c>
      <c r="W79" s="20">
        <f t="shared" si="20"/>
        <v>20</v>
      </c>
      <c r="X79" s="20">
        <v>10</v>
      </c>
      <c r="Y79" s="22">
        <v>0</v>
      </c>
      <c r="Z79" s="20">
        <f t="shared" si="21"/>
        <v>10</v>
      </c>
      <c r="AA79" s="20">
        <v>10</v>
      </c>
      <c r="AB79" s="22">
        <v>0</v>
      </c>
      <c r="AC79" s="20">
        <f t="shared" si="22"/>
        <v>10</v>
      </c>
      <c r="AD79" s="20">
        <v>10</v>
      </c>
      <c r="AE79" s="22">
        <v>0</v>
      </c>
      <c r="AF79" s="20">
        <f t="shared" si="23"/>
        <v>10</v>
      </c>
      <c r="AG79" s="20">
        <v>0</v>
      </c>
      <c r="AH79" s="21">
        <v>0</v>
      </c>
      <c r="AI79" s="20">
        <f t="shared" si="24"/>
        <v>0</v>
      </c>
      <c r="AJ79" s="20">
        <v>0</v>
      </c>
      <c r="AK79" s="21">
        <v>0</v>
      </c>
      <c r="AL79" s="20">
        <f t="shared" si="25"/>
        <v>0</v>
      </c>
      <c r="AM79" s="20">
        <v>0</v>
      </c>
      <c r="AN79" s="21">
        <v>0</v>
      </c>
      <c r="AO79" s="20">
        <f t="shared" si="26"/>
        <v>0</v>
      </c>
      <c r="AP79" s="21">
        <v>0</v>
      </c>
      <c r="AQ79" s="20">
        <v>0</v>
      </c>
      <c r="AR79" s="20">
        <f t="shared" si="27"/>
        <v>0</v>
      </c>
      <c r="AS79" s="20">
        <v>0</v>
      </c>
      <c r="AT79" s="21">
        <v>0</v>
      </c>
      <c r="AU79" s="20">
        <f t="shared" si="28"/>
        <v>0</v>
      </c>
      <c r="AV79" s="23">
        <f t="shared" si="29"/>
        <v>50</v>
      </c>
      <c r="AW79" s="22">
        <f t="shared" si="30"/>
        <v>0</v>
      </c>
      <c r="AX79" s="20">
        <f t="shared" si="31"/>
        <v>50</v>
      </c>
      <c r="AY79" s="28" t="s">
        <v>28</v>
      </c>
      <c r="AZ79" s="28" t="s">
        <v>28</v>
      </c>
      <c r="BA79" s="28" t="s">
        <v>352</v>
      </c>
      <c r="BB79" s="29">
        <v>44389</v>
      </c>
    </row>
    <row r="80" spans="1:54" hidden="1">
      <c r="A80" s="28" t="str">
        <f t="shared" si="16"/>
        <v>815643119046</v>
      </c>
      <c r="B80" s="30">
        <v>815643</v>
      </c>
      <c r="C80" s="30" t="s">
        <v>398</v>
      </c>
      <c r="D80" s="28">
        <v>119046</v>
      </c>
      <c r="E80" s="28" t="s">
        <v>31</v>
      </c>
      <c r="F80" s="28"/>
      <c r="G80" s="28"/>
      <c r="H80" s="28"/>
      <c r="I80" s="28"/>
      <c r="J80" s="28"/>
      <c r="K80" s="28"/>
      <c r="L80" s="20">
        <v>0</v>
      </c>
      <c r="M80" s="21">
        <v>0</v>
      </c>
      <c r="N80" s="20">
        <f t="shared" si="17"/>
        <v>0</v>
      </c>
      <c r="O80" s="20">
        <v>0</v>
      </c>
      <c r="P80" s="21">
        <v>0</v>
      </c>
      <c r="Q80" s="20">
        <f t="shared" si="18"/>
        <v>0</v>
      </c>
      <c r="R80" s="20">
        <v>0</v>
      </c>
      <c r="S80" s="22">
        <v>0</v>
      </c>
      <c r="T80" s="20">
        <f t="shared" si="19"/>
        <v>0</v>
      </c>
      <c r="U80" s="20">
        <v>10</v>
      </c>
      <c r="V80" s="21">
        <v>0</v>
      </c>
      <c r="W80" s="20">
        <f t="shared" si="20"/>
        <v>10</v>
      </c>
      <c r="X80" s="20">
        <v>60</v>
      </c>
      <c r="Y80" s="22">
        <v>0</v>
      </c>
      <c r="Z80" s="20">
        <f t="shared" si="21"/>
        <v>60</v>
      </c>
      <c r="AA80" s="20">
        <v>30</v>
      </c>
      <c r="AB80" s="22">
        <v>0</v>
      </c>
      <c r="AC80" s="20">
        <f t="shared" si="22"/>
        <v>30</v>
      </c>
      <c r="AD80" s="20">
        <v>22</v>
      </c>
      <c r="AE80" s="22">
        <v>0</v>
      </c>
      <c r="AF80" s="20">
        <f t="shared" si="23"/>
        <v>22</v>
      </c>
      <c r="AG80" s="20">
        <v>20</v>
      </c>
      <c r="AH80" s="21">
        <v>0</v>
      </c>
      <c r="AI80" s="20">
        <f t="shared" si="24"/>
        <v>20</v>
      </c>
      <c r="AJ80" s="20">
        <v>50</v>
      </c>
      <c r="AK80" s="21">
        <v>0</v>
      </c>
      <c r="AL80" s="20">
        <f t="shared" si="25"/>
        <v>50</v>
      </c>
      <c r="AM80" s="20">
        <v>6</v>
      </c>
      <c r="AN80" s="21">
        <v>0</v>
      </c>
      <c r="AO80" s="20">
        <f t="shared" si="26"/>
        <v>6</v>
      </c>
      <c r="AP80" s="21">
        <v>10</v>
      </c>
      <c r="AQ80" s="20">
        <v>0</v>
      </c>
      <c r="AR80" s="20">
        <f t="shared" si="27"/>
        <v>10</v>
      </c>
      <c r="AS80" s="20">
        <v>57</v>
      </c>
      <c r="AT80" s="21">
        <v>0</v>
      </c>
      <c r="AU80" s="20">
        <f t="shared" si="28"/>
        <v>57</v>
      </c>
      <c r="AV80" s="23">
        <f t="shared" si="29"/>
        <v>265</v>
      </c>
      <c r="AW80" s="22">
        <f t="shared" si="30"/>
        <v>0</v>
      </c>
      <c r="AX80" s="20">
        <f t="shared" si="31"/>
        <v>265</v>
      </c>
      <c r="AY80" s="28" t="s">
        <v>28</v>
      </c>
      <c r="AZ80" s="28" t="s">
        <v>28</v>
      </c>
      <c r="BA80" s="28" t="s">
        <v>352</v>
      </c>
      <c r="BB80" s="29">
        <v>44403</v>
      </c>
    </row>
    <row r="81" spans="1:54" hidden="1">
      <c r="A81" s="28" t="str">
        <f t="shared" si="16"/>
        <v>815644119046</v>
      </c>
      <c r="B81" s="30">
        <v>815644</v>
      </c>
      <c r="C81" s="30" t="s">
        <v>399</v>
      </c>
      <c r="D81" s="28">
        <v>119046</v>
      </c>
      <c r="E81" s="28" t="s">
        <v>31</v>
      </c>
      <c r="F81" s="28"/>
      <c r="G81" s="28"/>
      <c r="H81" s="28"/>
      <c r="I81" s="28"/>
      <c r="J81" s="28"/>
      <c r="K81" s="28"/>
      <c r="L81" s="20">
        <v>0</v>
      </c>
      <c r="M81" s="21">
        <v>0</v>
      </c>
      <c r="N81" s="20">
        <f t="shared" si="17"/>
        <v>0</v>
      </c>
      <c r="O81" s="20">
        <v>0</v>
      </c>
      <c r="P81" s="21">
        <v>0</v>
      </c>
      <c r="Q81" s="20">
        <f t="shared" si="18"/>
        <v>0</v>
      </c>
      <c r="R81" s="20">
        <v>0</v>
      </c>
      <c r="S81" s="22">
        <v>0</v>
      </c>
      <c r="T81" s="20">
        <f t="shared" si="19"/>
        <v>0</v>
      </c>
      <c r="U81" s="20">
        <v>10</v>
      </c>
      <c r="V81" s="21">
        <v>0</v>
      </c>
      <c r="W81" s="20">
        <f t="shared" si="20"/>
        <v>10</v>
      </c>
      <c r="X81" s="20">
        <v>55</v>
      </c>
      <c r="Y81" s="22">
        <v>0</v>
      </c>
      <c r="Z81" s="20">
        <f t="shared" si="21"/>
        <v>55</v>
      </c>
      <c r="AA81" s="20">
        <v>60</v>
      </c>
      <c r="AB81" s="22">
        <v>2.5</v>
      </c>
      <c r="AC81" s="20">
        <f t="shared" si="22"/>
        <v>62.5</v>
      </c>
      <c r="AD81" s="20">
        <v>20</v>
      </c>
      <c r="AE81" s="22">
        <v>0</v>
      </c>
      <c r="AF81" s="20">
        <f t="shared" si="23"/>
        <v>20</v>
      </c>
      <c r="AG81" s="20">
        <v>30</v>
      </c>
      <c r="AH81" s="21">
        <v>0</v>
      </c>
      <c r="AI81" s="20">
        <f t="shared" si="24"/>
        <v>30</v>
      </c>
      <c r="AJ81" s="20">
        <v>26.5</v>
      </c>
      <c r="AK81" s="21">
        <v>0</v>
      </c>
      <c r="AL81" s="20">
        <f t="shared" si="25"/>
        <v>26.5</v>
      </c>
      <c r="AM81" s="20">
        <v>20</v>
      </c>
      <c r="AN81" s="21">
        <v>0</v>
      </c>
      <c r="AO81" s="20">
        <f t="shared" si="26"/>
        <v>20</v>
      </c>
      <c r="AP81" s="21">
        <v>57</v>
      </c>
      <c r="AQ81" s="20">
        <v>10</v>
      </c>
      <c r="AR81" s="20">
        <f t="shared" si="27"/>
        <v>67</v>
      </c>
      <c r="AS81" s="20">
        <v>86.5</v>
      </c>
      <c r="AT81" s="21">
        <v>0</v>
      </c>
      <c r="AU81" s="20">
        <f t="shared" si="28"/>
        <v>86.5</v>
      </c>
      <c r="AV81" s="23">
        <f t="shared" si="29"/>
        <v>365</v>
      </c>
      <c r="AW81" s="22">
        <f t="shared" si="30"/>
        <v>12.5</v>
      </c>
      <c r="AX81" s="20">
        <f t="shared" si="31"/>
        <v>377.5</v>
      </c>
      <c r="AY81" s="28" t="s">
        <v>28</v>
      </c>
      <c r="AZ81" s="28" t="s">
        <v>28</v>
      </c>
      <c r="BA81" s="28" t="s">
        <v>352</v>
      </c>
      <c r="BB81" s="29">
        <v>44403</v>
      </c>
    </row>
    <row r="82" spans="1:54" hidden="1">
      <c r="A82" s="28" t="str">
        <f t="shared" si="16"/>
        <v>815645208736</v>
      </c>
      <c r="B82" s="30">
        <v>815645</v>
      </c>
      <c r="C82" s="30" t="s">
        <v>400</v>
      </c>
      <c r="D82" s="28">
        <v>208736</v>
      </c>
      <c r="E82" s="28" t="s">
        <v>134</v>
      </c>
      <c r="F82" s="28"/>
      <c r="G82" s="28"/>
      <c r="H82" s="28"/>
      <c r="I82" s="28"/>
      <c r="J82" s="28"/>
      <c r="K82" s="28"/>
      <c r="L82" s="20">
        <v>0</v>
      </c>
      <c r="M82" s="21">
        <v>0</v>
      </c>
      <c r="N82" s="20">
        <f t="shared" si="17"/>
        <v>0</v>
      </c>
      <c r="O82" s="20">
        <v>0</v>
      </c>
      <c r="P82" s="21">
        <v>0</v>
      </c>
      <c r="Q82" s="20">
        <f t="shared" si="18"/>
        <v>0</v>
      </c>
      <c r="R82" s="20">
        <v>0</v>
      </c>
      <c r="S82" s="22">
        <v>0</v>
      </c>
      <c r="T82" s="20">
        <f t="shared" si="19"/>
        <v>0</v>
      </c>
      <c r="U82" s="20">
        <v>14</v>
      </c>
      <c r="V82" s="21">
        <v>0</v>
      </c>
      <c r="W82" s="20">
        <f t="shared" si="20"/>
        <v>14</v>
      </c>
      <c r="X82" s="20">
        <v>24.6</v>
      </c>
      <c r="Y82" s="22">
        <v>0</v>
      </c>
      <c r="Z82" s="20">
        <f t="shared" si="21"/>
        <v>24.6</v>
      </c>
      <c r="AA82" s="20">
        <v>20</v>
      </c>
      <c r="AB82" s="22">
        <v>0</v>
      </c>
      <c r="AC82" s="20">
        <f t="shared" si="22"/>
        <v>20</v>
      </c>
      <c r="AD82" s="20">
        <v>20</v>
      </c>
      <c r="AE82" s="22">
        <v>0</v>
      </c>
      <c r="AF82" s="20">
        <f t="shared" si="23"/>
        <v>20</v>
      </c>
      <c r="AG82" s="20">
        <v>0</v>
      </c>
      <c r="AH82" s="21">
        <v>0</v>
      </c>
      <c r="AI82" s="20">
        <f t="shared" si="24"/>
        <v>0</v>
      </c>
      <c r="AJ82" s="20">
        <v>0</v>
      </c>
      <c r="AK82" s="21">
        <v>0</v>
      </c>
      <c r="AL82" s="20">
        <f t="shared" si="25"/>
        <v>0</v>
      </c>
      <c r="AM82" s="20">
        <v>0</v>
      </c>
      <c r="AN82" s="21">
        <v>0</v>
      </c>
      <c r="AO82" s="20">
        <f t="shared" si="26"/>
        <v>0</v>
      </c>
      <c r="AP82" s="21">
        <v>10</v>
      </c>
      <c r="AQ82" s="20">
        <v>7.5</v>
      </c>
      <c r="AR82" s="20">
        <f t="shared" si="27"/>
        <v>17.5</v>
      </c>
      <c r="AS82" s="20">
        <v>20</v>
      </c>
      <c r="AT82" s="21">
        <v>0</v>
      </c>
      <c r="AU82" s="20">
        <f t="shared" si="28"/>
        <v>20</v>
      </c>
      <c r="AV82" s="23">
        <f t="shared" si="29"/>
        <v>108.6</v>
      </c>
      <c r="AW82" s="22">
        <f t="shared" si="30"/>
        <v>7.5</v>
      </c>
      <c r="AX82" s="20">
        <f t="shared" si="31"/>
        <v>116.1</v>
      </c>
      <c r="AY82" s="28" t="s">
        <v>28</v>
      </c>
      <c r="AZ82" s="28" t="s">
        <v>28</v>
      </c>
      <c r="BA82" s="28" t="s">
        <v>352</v>
      </c>
      <c r="BB82" s="29">
        <v>44403</v>
      </c>
    </row>
    <row r="83" spans="1:54" hidden="1">
      <c r="A83" s="28" t="str">
        <f t="shared" si="16"/>
        <v>815774149765</v>
      </c>
      <c r="B83" s="30">
        <v>815774</v>
      </c>
      <c r="C83" s="30" t="s">
        <v>415</v>
      </c>
      <c r="D83" s="28">
        <v>149765</v>
      </c>
      <c r="E83" s="28" t="s">
        <v>142</v>
      </c>
      <c r="F83" s="28"/>
      <c r="G83" s="28"/>
      <c r="H83" s="28"/>
      <c r="I83" s="28"/>
      <c r="J83" s="28"/>
      <c r="K83" s="28"/>
      <c r="L83" s="20">
        <v>0</v>
      </c>
      <c r="M83" s="21">
        <v>0</v>
      </c>
      <c r="N83" s="20">
        <f t="shared" si="17"/>
        <v>0</v>
      </c>
      <c r="O83" s="20">
        <v>0</v>
      </c>
      <c r="P83" s="21">
        <v>0</v>
      </c>
      <c r="Q83" s="20">
        <f t="shared" si="18"/>
        <v>0</v>
      </c>
      <c r="R83" s="20">
        <v>0</v>
      </c>
      <c r="S83" s="22">
        <v>0</v>
      </c>
      <c r="T83" s="20">
        <f t="shared" si="19"/>
        <v>0</v>
      </c>
      <c r="U83" s="20">
        <v>0</v>
      </c>
      <c r="V83" s="21">
        <v>0</v>
      </c>
      <c r="W83" s="20">
        <f t="shared" si="20"/>
        <v>0</v>
      </c>
      <c r="X83" s="20">
        <v>20</v>
      </c>
      <c r="Y83" s="22">
        <v>0</v>
      </c>
      <c r="Z83" s="20">
        <f t="shared" si="21"/>
        <v>20</v>
      </c>
      <c r="AA83" s="20">
        <v>30</v>
      </c>
      <c r="AB83" s="22">
        <v>10</v>
      </c>
      <c r="AC83" s="20">
        <f t="shared" si="22"/>
        <v>40</v>
      </c>
      <c r="AD83" s="20">
        <v>22.5</v>
      </c>
      <c r="AE83" s="22">
        <v>0</v>
      </c>
      <c r="AF83" s="20">
        <f t="shared" si="23"/>
        <v>22.5</v>
      </c>
      <c r="AG83" s="20">
        <v>20</v>
      </c>
      <c r="AH83" s="21">
        <v>0</v>
      </c>
      <c r="AI83" s="20">
        <f t="shared" si="24"/>
        <v>20</v>
      </c>
      <c r="AJ83" s="20">
        <v>25</v>
      </c>
      <c r="AK83" s="21">
        <v>0</v>
      </c>
      <c r="AL83" s="20">
        <f t="shared" si="25"/>
        <v>25</v>
      </c>
      <c r="AM83" s="20">
        <v>0</v>
      </c>
      <c r="AN83" s="21">
        <v>0</v>
      </c>
      <c r="AO83" s="20">
        <f t="shared" si="26"/>
        <v>0</v>
      </c>
      <c r="AP83" s="21">
        <v>20</v>
      </c>
      <c r="AQ83" s="20">
        <v>0</v>
      </c>
      <c r="AR83" s="20">
        <f t="shared" si="27"/>
        <v>20</v>
      </c>
      <c r="AS83" s="20">
        <v>0</v>
      </c>
      <c r="AT83" s="21">
        <v>0</v>
      </c>
      <c r="AU83" s="20">
        <f t="shared" si="28"/>
        <v>0</v>
      </c>
      <c r="AV83" s="23">
        <f t="shared" si="29"/>
        <v>137.5</v>
      </c>
      <c r="AW83" s="22">
        <f t="shared" si="30"/>
        <v>10</v>
      </c>
      <c r="AX83" s="20">
        <f t="shared" si="31"/>
        <v>147.5</v>
      </c>
      <c r="AY83" s="28" t="s">
        <v>28</v>
      </c>
      <c r="AZ83" s="28" t="s">
        <v>28</v>
      </c>
      <c r="BA83" s="28" t="s">
        <v>352</v>
      </c>
      <c r="BB83" s="29">
        <v>44407</v>
      </c>
    </row>
    <row r="84" spans="1:54" hidden="1">
      <c r="A84" s="28" t="str">
        <f t="shared" si="16"/>
        <v>815864205650</v>
      </c>
      <c r="B84" s="30">
        <v>815864</v>
      </c>
      <c r="C84" s="30" t="s">
        <v>425</v>
      </c>
      <c r="D84" s="28">
        <v>205650</v>
      </c>
      <c r="E84" s="28" t="s">
        <v>376</v>
      </c>
      <c r="F84" s="28"/>
      <c r="G84" s="28"/>
      <c r="H84" s="28"/>
      <c r="I84" s="28"/>
      <c r="J84" s="28"/>
      <c r="K84" s="28"/>
      <c r="L84" s="20">
        <v>0</v>
      </c>
      <c r="M84" s="21">
        <v>0</v>
      </c>
      <c r="N84" s="20">
        <f t="shared" si="17"/>
        <v>0</v>
      </c>
      <c r="O84" s="20">
        <v>0</v>
      </c>
      <c r="P84" s="21">
        <v>0</v>
      </c>
      <c r="Q84" s="20">
        <f t="shared" si="18"/>
        <v>0</v>
      </c>
      <c r="R84" s="20">
        <v>0</v>
      </c>
      <c r="S84" s="22">
        <v>0</v>
      </c>
      <c r="T84" s="20">
        <f t="shared" si="19"/>
        <v>0</v>
      </c>
      <c r="U84" s="20">
        <v>0</v>
      </c>
      <c r="V84" s="21">
        <v>0</v>
      </c>
      <c r="W84" s="20">
        <f t="shared" si="20"/>
        <v>0</v>
      </c>
      <c r="X84" s="20">
        <v>15</v>
      </c>
      <c r="Y84" s="22">
        <v>0</v>
      </c>
      <c r="Z84" s="20">
        <f t="shared" si="21"/>
        <v>15</v>
      </c>
      <c r="AA84" s="20">
        <v>37.5</v>
      </c>
      <c r="AB84" s="22">
        <v>1.25</v>
      </c>
      <c r="AC84" s="20">
        <f t="shared" si="22"/>
        <v>38.75</v>
      </c>
      <c r="AD84" s="20">
        <v>38.25</v>
      </c>
      <c r="AE84" s="22">
        <v>6</v>
      </c>
      <c r="AF84" s="20">
        <f t="shared" si="23"/>
        <v>44.25</v>
      </c>
      <c r="AG84" s="20">
        <v>10.5</v>
      </c>
      <c r="AH84" s="21">
        <v>10.5</v>
      </c>
      <c r="AI84" s="20">
        <f t="shared" si="24"/>
        <v>21</v>
      </c>
      <c r="AJ84" s="20">
        <v>0</v>
      </c>
      <c r="AK84" s="21">
        <v>0</v>
      </c>
      <c r="AL84" s="20">
        <f t="shared" si="25"/>
        <v>0</v>
      </c>
      <c r="AM84" s="20">
        <v>0</v>
      </c>
      <c r="AN84" s="21">
        <v>0</v>
      </c>
      <c r="AO84" s="20">
        <f t="shared" si="26"/>
        <v>0</v>
      </c>
      <c r="AP84" s="21">
        <v>43</v>
      </c>
      <c r="AQ84" s="20">
        <v>0</v>
      </c>
      <c r="AR84" s="20">
        <f t="shared" si="27"/>
        <v>43</v>
      </c>
      <c r="AS84" s="20">
        <v>100</v>
      </c>
      <c r="AT84" s="21">
        <v>0</v>
      </c>
      <c r="AU84" s="20">
        <f t="shared" si="28"/>
        <v>100</v>
      </c>
      <c r="AV84" s="23">
        <f t="shared" si="29"/>
        <v>244.25</v>
      </c>
      <c r="AW84" s="22">
        <f t="shared" si="30"/>
        <v>17.75</v>
      </c>
      <c r="AX84" s="20">
        <f t="shared" si="31"/>
        <v>262</v>
      </c>
      <c r="AY84" s="29" t="s">
        <v>28</v>
      </c>
      <c r="AZ84" s="28" t="s">
        <v>28</v>
      </c>
      <c r="BA84" s="28" t="s">
        <v>352</v>
      </c>
      <c r="BB84" s="29">
        <v>44414</v>
      </c>
    </row>
    <row r="85" spans="1:54" hidden="1">
      <c r="A85" s="28" t="str">
        <f t="shared" si="16"/>
        <v>816128174176</v>
      </c>
      <c r="B85" s="30">
        <v>816128</v>
      </c>
      <c r="C85" s="30" t="s">
        <v>427</v>
      </c>
      <c r="D85" s="28">
        <v>174176</v>
      </c>
      <c r="E85" s="28" t="s">
        <v>373</v>
      </c>
      <c r="F85" s="28"/>
      <c r="G85" s="28"/>
      <c r="H85" s="28"/>
      <c r="I85" s="28"/>
      <c r="J85" s="28"/>
      <c r="K85" s="28"/>
      <c r="L85" s="20">
        <v>0</v>
      </c>
      <c r="M85" s="21">
        <v>0</v>
      </c>
      <c r="N85" s="20">
        <f t="shared" si="17"/>
        <v>0</v>
      </c>
      <c r="O85" s="20">
        <v>0</v>
      </c>
      <c r="P85" s="21">
        <v>0</v>
      </c>
      <c r="Q85" s="20">
        <f t="shared" si="18"/>
        <v>0</v>
      </c>
      <c r="R85" s="20">
        <v>0</v>
      </c>
      <c r="S85" s="22">
        <v>0</v>
      </c>
      <c r="T85" s="20">
        <f t="shared" si="19"/>
        <v>0</v>
      </c>
      <c r="U85" s="20">
        <v>0</v>
      </c>
      <c r="V85" s="21">
        <v>0</v>
      </c>
      <c r="W85" s="20">
        <f t="shared" si="20"/>
        <v>0</v>
      </c>
      <c r="X85" s="20">
        <v>10</v>
      </c>
      <c r="Y85" s="22">
        <v>0</v>
      </c>
      <c r="Z85" s="20">
        <f t="shared" si="21"/>
        <v>10</v>
      </c>
      <c r="AA85" s="20">
        <v>20</v>
      </c>
      <c r="AB85" s="22">
        <v>0</v>
      </c>
      <c r="AC85" s="20">
        <f t="shared" si="22"/>
        <v>20</v>
      </c>
      <c r="AD85" s="20">
        <v>49</v>
      </c>
      <c r="AE85" s="22">
        <v>10</v>
      </c>
      <c r="AF85" s="20">
        <f t="shared" si="23"/>
        <v>59</v>
      </c>
      <c r="AG85" s="20">
        <v>24</v>
      </c>
      <c r="AH85" s="21">
        <v>0</v>
      </c>
      <c r="AI85" s="20">
        <f t="shared" si="24"/>
        <v>24</v>
      </c>
      <c r="AJ85" s="20">
        <v>48.25</v>
      </c>
      <c r="AK85" s="21">
        <v>0</v>
      </c>
      <c r="AL85" s="20">
        <f t="shared" si="25"/>
        <v>48.25</v>
      </c>
      <c r="AM85" s="20">
        <v>36</v>
      </c>
      <c r="AN85" s="21">
        <v>0</v>
      </c>
      <c r="AO85" s="20">
        <f t="shared" si="26"/>
        <v>36</v>
      </c>
      <c r="AP85" s="21">
        <v>16.25</v>
      </c>
      <c r="AQ85" s="20">
        <v>0</v>
      </c>
      <c r="AR85" s="20">
        <f t="shared" si="27"/>
        <v>16.25</v>
      </c>
      <c r="AS85" s="20">
        <v>32.5</v>
      </c>
      <c r="AT85" s="21">
        <v>0</v>
      </c>
      <c r="AU85" s="20">
        <f t="shared" si="28"/>
        <v>32.5</v>
      </c>
      <c r="AV85" s="23">
        <f t="shared" si="29"/>
        <v>236</v>
      </c>
      <c r="AW85" s="22">
        <f t="shared" si="30"/>
        <v>10</v>
      </c>
      <c r="AX85" s="20">
        <f t="shared" si="31"/>
        <v>246</v>
      </c>
      <c r="AY85" s="29" t="s">
        <v>28</v>
      </c>
      <c r="AZ85" s="28" t="s">
        <v>28</v>
      </c>
      <c r="BA85" s="28" t="s">
        <v>352</v>
      </c>
      <c r="BB85" s="29">
        <v>44434</v>
      </c>
    </row>
    <row r="86" spans="1:54" hidden="1">
      <c r="A86" s="28" t="str">
        <f t="shared" si="16"/>
        <v>816249178661</v>
      </c>
      <c r="B86" s="30">
        <v>816249</v>
      </c>
      <c r="C86" s="30" t="s">
        <v>428</v>
      </c>
      <c r="D86" s="28">
        <v>178661</v>
      </c>
      <c r="E86" s="28" t="s">
        <v>48</v>
      </c>
      <c r="F86" s="28"/>
      <c r="G86" s="28"/>
      <c r="H86" s="28"/>
      <c r="I86" s="28"/>
      <c r="J86" s="28"/>
      <c r="K86" s="28"/>
      <c r="L86" s="20">
        <v>0</v>
      </c>
      <c r="M86" s="21">
        <v>0</v>
      </c>
      <c r="N86" s="20">
        <f t="shared" si="17"/>
        <v>0</v>
      </c>
      <c r="O86" s="20">
        <v>0</v>
      </c>
      <c r="P86" s="21">
        <v>0</v>
      </c>
      <c r="Q86" s="20">
        <f t="shared" si="18"/>
        <v>0</v>
      </c>
      <c r="R86" s="20">
        <v>0</v>
      </c>
      <c r="S86" s="22">
        <v>0</v>
      </c>
      <c r="T86" s="20">
        <f t="shared" si="19"/>
        <v>0</v>
      </c>
      <c r="U86" s="20">
        <v>0</v>
      </c>
      <c r="V86" s="21">
        <v>0</v>
      </c>
      <c r="W86" s="20">
        <f t="shared" si="20"/>
        <v>0</v>
      </c>
      <c r="X86" s="20">
        <v>0</v>
      </c>
      <c r="Y86" s="22">
        <v>0</v>
      </c>
      <c r="Z86" s="20">
        <f t="shared" si="21"/>
        <v>0</v>
      </c>
      <c r="AA86" s="20">
        <v>40</v>
      </c>
      <c r="AB86" s="22">
        <v>0</v>
      </c>
      <c r="AC86" s="20">
        <f t="shared" si="22"/>
        <v>40</v>
      </c>
      <c r="AD86" s="20">
        <v>84.5</v>
      </c>
      <c r="AE86" s="22">
        <v>0</v>
      </c>
      <c r="AF86" s="20">
        <f t="shared" si="23"/>
        <v>84.5</v>
      </c>
      <c r="AG86" s="20">
        <v>35</v>
      </c>
      <c r="AH86" s="21">
        <v>0</v>
      </c>
      <c r="AI86" s="20">
        <f t="shared" si="24"/>
        <v>35</v>
      </c>
      <c r="AJ86" s="20">
        <v>58</v>
      </c>
      <c r="AK86" s="21">
        <v>0</v>
      </c>
      <c r="AL86" s="20">
        <f t="shared" si="25"/>
        <v>58</v>
      </c>
      <c r="AM86" s="20">
        <v>60</v>
      </c>
      <c r="AN86" s="21">
        <v>0</v>
      </c>
      <c r="AO86" s="20">
        <f t="shared" si="26"/>
        <v>60</v>
      </c>
      <c r="AP86" s="21">
        <v>20</v>
      </c>
      <c r="AQ86" s="20">
        <v>0</v>
      </c>
      <c r="AR86" s="20">
        <f t="shared" si="27"/>
        <v>20</v>
      </c>
      <c r="AS86" s="20">
        <v>112</v>
      </c>
      <c r="AT86" s="21">
        <v>0</v>
      </c>
      <c r="AU86" s="20">
        <f t="shared" si="28"/>
        <v>112</v>
      </c>
      <c r="AV86" s="23">
        <f t="shared" si="29"/>
        <v>409.5</v>
      </c>
      <c r="AW86" s="22">
        <f t="shared" si="30"/>
        <v>0</v>
      </c>
      <c r="AX86" s="20">
        <f t="shared" si="31"/>
        <v>409.5</v>
      </c>
      <c r="AY86" s="28" t="s">
        <v>28</v>
      </c>
      <c r="AZ86" s="28" t="s">
        <v>28</v>
      </c>
      <c r="BA86" s="28" t="s">
        <v>352</v>
      </c>
      <c r="BB86" s="29">
        <v>44441</v>
      </c>
    </row>
    <row r="87" spans="1:54" hidden="1">
      <c r="A87" s="28" t="str">
        <f t="shared" si="16"/>
        <v>816270178661</v>
      </c>
      <c r="B87" s="30">
        <v>816270</v>
      </c>
      <c r="C87" s="30" t="s">
        <v>430</v>
      </c>
      <c r="D87" s="28">
        <v>178661</v>
      </c>
      <c r="E87" s="28" t="s">
        <v>48</v>
      </c>
      <c r="F87" s="28"/>
      <c r="G87" s="28"/>
      <c r="H87" s="28"/>
      <c r="I87" s="28"/>
      <c r="J87" s="28"/>
      <c r="K87" s="28"/>
      <c r="L87" s="20">
        <v>0</v>
      </c>
      <c r="M87" s="21">
        <v>0</v>
      </c>
      <c r="N87" s="20">
        <f t="shared" si="17"/>
        <v>0</v>
      </c>
      <c r="O87" s="20">
        <v>0</v>
      </c>
      <c r="P87" s="21">
        <v>0</v>
      </c>
      <c r="Q87" s="20">
        <f t="shared" si="18"/>
        <v>0</v>
      </c>
      <c r="R87" s="20">
        <v>0</v>
      </c>
      <c r="S87" s="22">
        <v>0</v>
      </c>
      <c r="T87" s="20">
        <f t="shared" si="19"/>
        <v>0</v>
      </c>
      <c r="U87" s="20">
        <v>0</v>
      </c>
      <c r="V87" s="21">
        <v>0</v>
      </c>
      <c r="W87" s="20">
        <f t="shared" si="20"/>
        <v>0</v>
      </c>
      <c r="X87" s="20">
        <v>0</v>
      </c>
      <c r="Y87" s="22">
        <v>0</v>
      </c>
      <c r="Z87" s="20">
        <f t="shared" si="21"/>
        <v>0</v>
      </c>
      <c r="AA87" s="20">
        <v>52</v>
      </c>
      <c r="AB87" s="22">
        <v>0</v>
      </c>
      <c r="AC87" s="20">
        <f t="shared" si="22"/>
        <v>52</v>
      </c>
      <c r="AD87" s="20">
        <v>62</v>
      </c>
      <c r="AE87" s="22">
        <v>0</v>
      </c>
      <c r="AF87" s="20">
        <f t="shared" si="23"/>
        <v>62</v>
      </c>
      <c r="AG87" s="20">
        <v>50</v>
      </c>
      <c r="AH87" s="21">
        <v>0</v>
      </c>
      <c r="AI87" s="20">
        <f t="shared" si="24"/>
        <v>50</v>
      </c>
      <c r="AJ87" s="20">
        <v>83</v>
      </c>
      <c r="AK87" s="21">
        <v>0</v>
      </c>
      <c r="AL87" s="20">
        <f t="shared" si="25"/>
        <v>83</v>
      </c>
      <c r="AM87" s="20">
        <v>40</v>
      </c>
      <c r="AN87" s="21">
        <v>0</v>
      </c>
      <c r="AO87" s="20">
        <f t="shared" si="26"/>
        <v>40</v>
      </c>
      <c r="AP87" s="21">
        <v>50</v>
      </c>
      <c r="AQ87" s="20">
        <v>10</v>
      </c>
      <c r="AR87" s="20">
        <f t="shared" si="27"/>
        <v>60</v>
      </c>
      <c r="AS87" s="20">
        <v>84.5</v>
      </c>
      <c r="AT87" s="21">
        <v>0</v>
      </c>
      <c r="AU87" s="20">
        <f t="shared" si="28"/>
        <v>84.5</v>
      </c>
      <c r="AV87" s="23">
        <f t="shared" si="29"/>
        <v>421.5</v>
      </c>
      <c r="AW87" s="22">
        <f t="shared" si="30"/>
        <v>10</v>
      </c>
      <c r="AX87" s="20">
        <f t="shared" si="31"/>
        <v>431.5</v>
      </c>
      <c r="AY87" s="28" t="s">
        <v>28</v>
      </c>
      <c r="AZ87" s="28" t="s">
        <v>28</v>
      </c>
      <c r="BA87" s="28" t="s">
        <v>352</v>
      </c>
      <c r="BB87" s="29">
        <v>44443</v>
      </c>
    </row>
    <row r="88" spans="1:54" hidden="1">
      <c r="A88" s="28" t="str">
        <f t="shared" si="16"/>
        <v>816409140481</v>
      </c>
      <c r="B88" s="30">
        <v>816409</v>
      </c>
      <c r="C88" s="30" t="s">
        <v>434</v>
      </c>
      <c r="D88" s="28">
        <v>140481</v>
      </c>
      <c r="E88" s="28" t="s">
        <v>60</v>
      </c>
      <c r="F88" s="28"/>
      <c r="G88" s="28"/>
      <c r="H88" s="28"/>
      <c r="I88" s="28"/>
      <c r="J88" s="28"/>
      <c r="K88" s="28"/>
      <c r="L88" s="20">
        <v>0</v>
      </c>
      <c r="M88" s="21">
        <v>0</v>
      </c>
      <c r="N88" s="20">
        <f t="shared" si="17"/>
        <v>0</v>
      </c>
      <c r="O88" s="20">
        <v>0</v>
      </c>
      <c r="P88" s="21">
        <v>0</v>
      </c>
      <c r="Q88" s="20">
        <f t="shared" si="18"/>
        <v>0</v>
      </c>
      <c r="R88" s="20">
        <v>0</v>
      </c>
      <c r="S88" s="22">
        <v>0</v>
      </c>
      <c r="T88" s="20">
        <f t="shared" si="19"/>
        <v>0</v>
      </c>
      <c r="U88" s="20">
        <v>0</v>
      </c>
      <c r="V88" s="21">
        <v>0</v>
      </c>
      <c r="W88" s="20">
        <f t="shared" si="20"/>
        <v>0</v>
      </c>
      <c r="X88" s="20">
        <v>0</v>
      </c>
      <c r="Y88" s="22">
        <v>0</v>
      </c>
      <c r="Z88" s="20">
        <f t="shared" si="21"/>
        <v>0</v>
      </c>
      <c r="AA88" s="20">
        <v>31</v>
      </c>
      <c r="AB88" s="22">
        <v>0</v>
      </c>
      <c r="AC88" s="20">
        <f t="shared" si="22"/>
        <v>31</v>
      </c>
      <c r="AD88" s="20">
        <v>22.85</v>
      </c>
      <c r="AE88" s="22">
        <v>12</v>
      </c>
      <c r="AF88" s="20">
        <f t="shared" si="23"/>
        <v>34.85</v>
      </c>
      <c r="AG88" s="20">
        <v>51</v>
      </c>
      <c r="AH88" s="21">
        <v>0</v>
      </c>
      <c r="AI88" s="20">
        <f t="shared" si="24"/>
        <v>51</v>
      </c>
      <c r="AJ88" s="20">
        <v>62.5</v>
      </c>
      <c r="AK88" s="21">
        <v>0</v>
      </c>
      <c r="AL88" s="20">
        <f t="shared" si="25"/>
        <v>62.5</v>
      </c>
      <c r="AM88" s="20">
        <v>55</v>
      </c>
      <c r="AN88" s="21">
        <v>0</v>
      </c>
      <c r="AO88" s="20">
        <f t="shared" si="26"/>
        <v>55</v>
      </c>
      <c r="AP88" s="21">
        <v>88.6</v>
      </c>
      <c r="AQ88" s="20">
        <v>18.600000000000001</v>
      </c>
      <c r="AR88" s="20">
        <f t="shared" si="27"/>
        <v>107.19999999999999</v>
      </c>
      <c r="AS88" s="20">
        <v>110</v>
      </c>
      <c r="AT88" s="21">
        <v>0</v>
      </c>
      <c r="AU88" s="20">
        <f t="shared" si="28"/>
        <v>110</v>
      </c>
      <c r="AV88" s="23">
        <f t="shared" si="29"/>
        <v>420.95</v>
      </c>
      <c r="AW88" s="22">
        <f t="shared" si="30"/>
        <v>30.6</v>
      </c>
      <c r="AX88" s="20">
        <f t="shared" si="31"/>
        <v>451.55</v>
      </c>
      <c r="AY88" s="28" t="s">
        <v>28</v>
      </c>
      <c r="AZ88" s="28" t="s">
        <v>28</v>
      </c>
      <c r="BA88" s="28" t="s">
        <v>352</v>
      </c>
      <c r="BB88" s="29">
        <v>44459</v>
      </c>
    </row>
    <row r="89" spans="1:54" hidden="1">
      <c r="A89" s="28" t="str">
        <f t="shared" si="16"/>
        <v>816554172252</v>
      </c>
      <c r="B89" s="30">
        <v>816554</v>
      </c>
      <c r="C89" s="30" t="s">
        <v>470</v>
      </c>
      <c r="D89" s="28">
        <v>172252</v>
      </c>
      <c r="E89" s="28" t="s">
        <v>111</v>
      </c>
      <c r="F89" s="28"/>
      <c r="G89" s="28"/>
      <c r="H89" s="28"/>
      <c r="I89" s="28"/>
      <c r="J89" s="28"/>
      <c r="K89" s="28"/>
      <c r="L89" s="20">
        <v>0</v>
      </c>
      <c r="M89" s="21">
        <v>0</v>
      </c>
      <c r="N89" s="20">
        <f t="shared" si="17"/>
        <v>0</v>
      </c>
      <c r="O89" s="20">
        <v>0</v>
      </c>
      <c r="P89" s="21">
        <v>0</v>
      </c>
      <c r="Q89" s="20">
        <f t="shared" si="18"/>
        <v>0</v>
      </c>
      <c r="R89" s="20">
        <v>0</v>
      </c>
      <c r="S89" s="22">
        <v>0</v>
      </c>
      <c r="T89" s="20">
        <f t="shared" si="19"/>
        <v>0</v>
      </c>
      <c r="U89" s="20">
        <v>0</v>
      </c>
      <c r="V89" s="21">
        <v>0</v>
      </c>
      <c r="W89" s="20">
        <f t="shared" si="20"/>
        <v>0</v>
      </c>
      <c r="X89" s="20">
        <v>0</v>
      </c>
      <c r="Y89" s="22">
        <v>0</v>
      </c>
      <c r="Z89" s="20">
        <f t="shared" si="21"/>
        <v>0</v>
      </c>
      <c r="AA89" s="20">
        <v>0</v>
      </c>
      <c r="AB89" s="22">
        <v>0</v>
      </c>
      <c r="AC89" s="20">
        <f t="shared" si="22"/>
        <v>0</v>
      </c>
      <c r="AD89" s="20">
        <v>0</v>
      </c>
      <c r="AE89" s="22">
        <v>0</v>
      </c>
      <c r="AF89" s="20">
        <f t="shared" si="23"/>
        <v>0</v>
      </c>
      <c r="AG89" s="20">
        <v>22</v>
      </c>
      <c r="AH89" s="21">
        <v>0</v>
      </c>
      <c r="AI89" s="20">
        <f t="shared" si="24"/>
        <v>22</v>
      </c>
      <c r="AJ89" s="20">
        <v>0</v>
      </c>
      <c r="AK89" s="21">
        <v>0</v>
      </c>
      <c r="AL89" s="20">
        <f t="shared" si="25"/>
        <v>0</v>
      </c>
      <c r="AM89" s="20">
        <v>0</v>
      </c>
      <c r="AN89" s="21">
        <v>0</v>
      </c>
      <c r="AO89" s="20">
        <f t="shared" si="26"/>
        <v>0</v>
      </c>
      <c r="AP89" s="21">
        <v>0</v>
      </c>
      <c r="AQ89" s="20">
        <v>0</v>
      </c>
      <c r="AR89" s="20">
        <f t="shared" si="27"/>
        <v>0</v>
      </c>
      <c r="AS89" s="20">
        <v>0</v>
      </c>
      <c r="AT89" s="21">
        <v>0</v>
      </c>
      <c r="AU89" s="20">
        <f t="shared" si="28"/>
        <v>0</v>
      </c>
      <c r="AV89" s="23">
        <f t="shared" si="29"/>
        <v>22</v>
      </c>
      <c r="AW89" s="22">
        <f t="shared" si="30"/>
        <v>0</v>
      </c>
      <c r="AX89" s="20">
        <f t="shared" si="31"/>
        <v>22</v>
      </c>
      <c r="AY89" s="28" t="s">
        <v>28</v>
      </c>
      <c r="AZ89" s="28" t="s">
        <v>28</v>
      </c>
      <c r="BA89" s="28" t="s">
        <v>352</v>
      </c>
      <c r="BB89" s="29">
        <v>44467</v>
      </c>
    </row>
    <row r="90" spans="1:54" hidden="1">
      <c r="A90" s="28" t="str">
        <f t="shared" si="16"/>
        <v>817054148557</v>
      </c>
      <c r="B90" s="30">
        <v>817054</v>
      </c>
      <c r="C90" s="30" t="s">
        <v>483</v>
      </c>
      <c r="D90" s="28">
        <v>148557</v>
      </c>
      <c r="E90" s="28" t="s">
        <v>27</v>
      </c>
      <c r="F90" s="28"/>
      <c r="G90" s="28"/>
      <c r="H90" s="28"/>
      <c r="I90" s="28"/>
      <c r="J90" s="28"/>
      <c r="K90" s="28"/>
      <c r="L90" s="20">
        <v>0</v>
      </c>
      <c r="M90" s="21">
        <v>0</v>
      </c>
      <c r="N90" s="20">
        <f t="shared" si="17"/>
        <v>0</v>
      </c>
      <c r="O90" s="20">
        <v>0</v>
      </c>
      <c r="P90" s="21">
        <v>0</v>
      </c>
      <c r="Q90" s="20">
        <f t="shared" si="18"/>
        <v>0</v>
      </c>
      <c r="R90" s="20">
        <v>0</v>
      </c>
      <c r="S90" s="22">
        <v>0</v>
      </c>
      <c r="T90" s="20">
        <f t="shared" si="19"/>
        <v>0</v>
      </c>
      <c r="U90" s="20">
        <v>0</v>
      </c>
      <c r="V90" s="21">
        <v>0</v>
      </c>
      <c r="W90" s="20">
        <f t="shared" si="20"/>
        <v>0</v>
      </c>
      <c r="X90" s="20">
        <v>0</v>
      </c>
      <c r="Y90" s="22">
        <v>0</v>
      </c>
      <c r="Z90" s="20">
        <f t="shared" si="21"/>
        <v>0</v>
      </c>
      <c r="AA90" s="20">
        <v>0</v>
      </c>
      <c r="AB90" s="22">
        <v>0</v>
      </c>
      <c r="AC90" s="20">
        <f t="shared" si="22"/>
        <v>0</v>
      </c>
      <c r="AD90" s="20">
        <v>0</v>
      </c>
      <c r="AE90" s="22">
        <v>0</v>
      </c>
      <c r="AF90" s="20">
        <f t="shared" si="23"/>
        <v>0</v>
      </c>
      <c r="AG90" s="20">
        <v>88.5</v>
      </c>
      <c r="AH90" s="21">
        <v>0</v>
      </c>
      <c r="AI90" s="20">
        <f t="shared" si="24"/>
        <v>88.5</v>
      </c>
      <c r="AJ90" s="20">
        <v>64</v>
      </c>
      <c r="AK90" s="21">
        <v>0</v>
      </c>
      <c r="AL90" s="20">
        <f t="shared" si="25"/>
        <v>64</v>
      </c>
      <c r="AM90" s="20">
        <v>42</v>
      </c>
      <c r="AN90" s="21">
        <v>0</v>
      </c>
      <c r="AO90" s="20">
        <f t="shared" si="26"/>
        <v>42</v>
      </c>
      <c r="AP90" s="21">
        <v>54</v>
      </c>
      <c r="AQ90" s="20">
        <v>0</v>
      </c>
      <c r="AR90" s="20">
        <f t="shared" si="27"/>
        <v>54</v>
      </c>
      <c r="AS90" s="20">
        <v>0</v>
      </c>
      <c r="AT90" s="21">
        <v>0</v>
      </c>
      <c r="AU90" s="20">
        <f t="shared" si="28"/>
        <v>0</v>
      </c>
      <c r="AV90" s="23">
        <f t="shared" si="29"/>
        <v>248.5</v>
      </c>
      <c r="AW90" s="22">
        <f t="shared" si="30"/>
        <v>0</v>
      </c>
      <c r="AX90" s="20">
        <f t="shared" si="31"/>
        <v>248.5</v>
      </c>
      <c r="AY90" s="28" t="s">
        <v>28</v>
      </c>
      <c r="AZ90" s="28" t="s">
        <v>28</v>
      </c>
      <c r="BA90" s="28" t="s">
        <v>352</v>
      </c>
      <c r="BB90" s="29">
        <v>44518</v>
      </c>
    </row>
    <row r="91" spans="1:54" hidden="1">
      <c r="A91" s="28" t="str">
        <f t="shared" si="16"/>
        <v>817308209586</v>
      </c>
      <c r="B91" s="30">
        <v>817308</v>
      </c>
      <c r="C91" s="30" t="s">
        <v>509</v>
      </c>
      <c r="D91" s="28">
        <v>209586</v>
      </c>
      <c r="E91" s="28" t="s">
        <v>510</v>
      </c>
      <c r="F91" s="28"/>
      <c r="G91" s="28"/>
      <c r="H91" s="28"/>
      <c r="I91" s="28"/>
      <c r="J91" s="28"/>
      <c r="K91" s="28"/>
      <c r="L91" s="20">
        <v>0</v>
      </c>
      <c r="M91" s="21">
        <v>0</v>
      </c>
      <c r="N91" s="20">
        <f t="shared" si="17"/>
        <v>0</v>
      </c>
      <c r="O91" s="20">
        <v>0</v>
      </c>
      <c r="P91" s="21">
        <v>0</v>
      </c>
      <c r="Q91" s="20">
        <f t="shared" si="18"/>
        <v>0</v>
      </c>
      <c r="R91" s="20">
        <v>0</v>
      </c>
      <c r="S91" s="22">
        <v>0</v>
      </c>
      <c r="T91" s="20">
        <f t="shared" si="19"/>
        <v>0</v>
      </c>
      <c r="U91" s="20">
        <v>0</v>
      </c>
      <c r="V91" s="21">
        <v>0</v>
      </c>
      <c r="W91" s="20">
        <f t="shared" si="20"/>
        <v>0</v>
      </c>
      <c r="X91" s="20">
        <v>0</v>
      </c>
      <c r="Y91" s="22">
        <v>0</v>
      </c>
      <c r="Z91" s="20">
        <f t="shared" si="21"/>
        <v>0</v>
      </c>
      <c r="AA91" s="20">
        <v>0</v>
      </c>
      <c r="AB91" s="22">
        <v>0</v>
      </c>
      <c r="AC91" s="20">
        <f t="shared" si="22"/>
        <v>0</v>
      </c>
      <c r="AD91" s="20">
        <v>0</v>
      </c>
      <c r="AE91" s="22">
        <v>0</v>
      </c>
      <c r="AF91" s="20">
        <f t="shared" si="23"/>
        <v>0</v>
      </c>
      <c r="AG91" s="20">
        <v>0</v>
      </c>
      <c r="AH91" s="21">
        <v>0</v>
      </c>
      <c r="AI91" s="20">
        <f t="shared" si="24"/>
        <v>0</v>
      </c>
      <c r="AJ91" s="20">
        <v>40</v>
      </c>
      <c r="AK91" s="21">
        <v>0</v>
      </c>
      <c r="AL91" s="20">
        <f t="shared" si="25"/>
        <v>40</v>
      </c>
      <c r="AM91" s="20">
        <v>0</v>
      </c>
      <c r="AN91" s="21">
        <v>0</v>
      </c>
      <c r="AO91" s="20">
        <f t="shared" si="26"/>
        <v>0</v>
      </c>
      <c r="AP91" s="21">
        <v>3.5</v>
      </c>
      <c r="AQ91" s="20">
        <v>0</v>
      </c>
      <c r="AR91" s="20">
        <f t="shared" si="27"/>
        <v>3.5</v>
      </c>
      <c r="AS91" s="20">
        <v>0</v>
      </c>
      <c r="AT91" s="21">
        <v>0</v>
      </c>
      <c r="AU91" s="20">
        <f t="shared" si="28"/>
        <v>0</v>
      </c>
      <c r="AV91" s="23">
        <f t="shared" si="29"/>
        <v>43.5</v>
      </c>
      <c r="AW91" s="22">
        <f t="shared" si="30"/>
        <v>0</v>
      </c>
      <c r="AX91" s="20">
        <f t="shared" si="31"/>
        <v>43.5</v>
      </c>
      <c r="AY91" s="28" t="s">
        <v>28</v>
      </c>
      <c r="AZ91" s="28" t="s">
        <v>28</v>
      </c>
      <c r="BA91" s="28" t="s">
        <v>352</v>
      </c>
      <c r="BB91" s="29">
        <v>44544</v>
      </c>
    </row>
    <row r="92" spans="1:54" hidden="1">
      <c r="A92" s="28" t="str">
        <f t="shared" si="16"/>
        <v>817610148557</v>
      </c>
      <c r="B92" s="30">
        <v>817610</v>
      </c>
      <c r="C92" s="30" t="s">
        <v>503</v>
      </c>
      <c r="D92" s="28">
        <v>148557</v>
      </c>
      <c r="E92" s="28" t="s">
        <v>27</v>
      </c>
      <c r="F92" s="28"/>
      <c r="G92" s="28"/>
      <c r="H92" s="28"/>
      <c r="I92" s="28"/>
      <c r="J92" s="28"/>
      <c r="K92" s="28"/>
      <c r="L92" s="20">
        <v>0</v>
      </c>
      <c r="M92" s="21">
        <v>0</v>
      </c>
      <c r="N92" s="20">
        <f t="shared" si="17"/>
        <v>0</v>
      </c>
      <c r="O92" s="20">
        <v>0</v>
      </c>
      <c r="P92" s="21">
        <v>0</v>
      </c>
      <c r="Q92" s="20">
        <f t="shared" si="18"/>
        <v>0</v>
      </c>
      <c r="R92" s="20">
        <v>0</v>
      </c>
      <c r="S92" s="22">
        <v>0</v>
      </c>
      <c r="T92" s="20">
        <f t="shared" si="19"/>
        <v>0</v>
      </c>
      <c r="U92" s="20">
        <v>0</v>
      </c>
      <c r="V92" s="21">
        <v>0</v>
      </c>
      <c r="W92" s="20">
        <f t="shared" si="20"/>
        <v>0</v>
      </c>
      <c r="X92" s="20">
        <v>0</v>
      </c>
      <c r="Y92" s="22">
        <v>0</v>
      </c>
      <c r="Z92" s="20">
        <f t="shared" si="21"/>
        <v>0</v>
      </c>
      <c r="AA92" s="20">
        <v>0</v>
      </c>
      <c r="AB92" s="22">
        <v>0</v>
      </c>
      <c r="AC92" s="20">
        <f t="shared" si="22"/>
        <v>0</v>
      </c>
      <c r="AD92" s="20">
        <v>0</v>
      </c>
      <c r="AE92" s="22">
        <v>0</v>
      </c>
      <c r="AF92" s="20">
        <f t="shared" si="23"/>
        <v>0</v>
      </c>
      <c r="AG92" s="20">
        <v>0</v>
      </c>
      <c r="AH92" s="21">
        <v>0</v>
      </c>
      <c r="AI92" s="20">
        <f t="shared" si="24"/>
        <v>0</v>
      </c>
      <c r="AJ92" s="20">
        <v>0</v>
      </c>
      <c r="AK92" s="21">
        <v>0</v>
      </c>
      <c r="AL92" s="20">
        <f t="shared" si="25"/>
        <v>0</v>
      </c>
      <c r="AM92" s="20">
        <v>28</v>
      </c>
      <c r="AN92" s="21">
        <v>0</v>
      </c>
      <c r="AO92" s="20">
        <f t="shared" si="26"/>
        <v>28</v>
      </c>
      <c r="AP92" s="21">
        <v>55</v>
      </c>
      <c r="AQ92" s="20">
        <v>0</v>
      </c>
      <c r="AR92" s="20">
        <f t="shared" si="27"/>
        <v>55</v>
      </c>
      <c r="AS92" s="20">
        <v>50</v>
      </c>
      <c r="AT92" s="21">
        <v>0</v>
      </c>
      <c r="AU92" s="20">
        <f t="shared" si="28"/>
        <v>50</v>
      </c>
      <c r="AV92" s="23">
        <f t="shared" si="29"/>
        <v>133</v>
      </c>
      <c r="AW92" s="22">
        <f t="shared" si="30"/>
        <v>0</v>
      </c>
      <c r="AX92" s="20">
        <f t="shared" si="31"/>
        <v>133</v>
      </c>
      <c r="AY92" s="28" t="s">
        <v>28</v>
      </c>
      <c r="AZ92" s="28" t="s">
        <v>28</v>
      </c>
      <c r="BA92" s="28" t="s">
        <v>352</v>
      </c>
      <c r="BB92" s="29">
        <v>44567</v>
      </c>
    </row>
    <row r="93" spans="1:54" hidden="1">
      <c r="A93" s="28" t="str">
        <f t="shared" si="16"/>
        <v>817792178661</v>
      </c>
      <c r="B93" s="30">
        <v>817792</v>
      </c>
      <c r="C93" s="30" t="s">
        <v>515</v>
      </c>
      <c r="D93" s="28">
        <v>178661</v>
      </c>
      <c r="E93" s="28" t="s">
        <v>48</v>
      </c>
      <c r="F93" s="28"/>
      <c r="G93" s="28"/>
      <c r="H93" s="28"/>
      <c r="I93" s="28"/>
      <c r="J93" s="28"/>
      <c r="K93" s="28"/>
      <c r="L93" s="20">
        <v>0</v>
      </c>
      <c r="M93" s="21">
        <v>0</v>
      </c>
      <c r="N93" s="20">
        <f t="shared" si="17"/>
        <v>0</v>
      </c>
      <c r="O93" s="20">
        <v>0</v>
      </c>
      <c r="P93" s="21">
        <v>0</v>
      </c>
      <c r="Q93" s="20">
        <f t="shared" si="18"/>
        <v>0</v>
      </c>
      <c r="R93" s="20">
        <v>0</v>
      </c>
      <c r="S93" s="22">
        <v>0</v>
      </c>
      <c r="T93" s="20">
        <f t="shared" si="19"/>
        <v>0</v>
      </c>
      <c r="U93" s="20">
        <v>0</v>
      </c>
      <c r="V93" s="21">
        <v>0</v>
      </c>
      <c r="W93" s="20">
        <f t="shared" si="20"/>
        <v>0</v>
      </c>
      <c r="X93" s="20">
        <v>0</v>
      </c>
      <c r="Y93" s="22">
        <v>0</v>
      </c>
      <c r="Z93" s="20">
        <f t="shared" si="21"/>
        <v>0</v>
      </c>
      <c r="AA93" s="20">
        <v>0</v>
      </c>
      <c r="AB93" s="22">
        <v>0</v>
      </c>
      <c r="AC93" s="20">
        <f t="shared" si="22"/>
        <v>0</v>
      </c>
      <c r="AD93" s="20">
        <v>0</v>
      </c>
      <c r="AE93" s="22">
        <v>0</v>
      </c>
      <c r="AF93" s="20">
        <f t="shared" si="23"/>
        <v>0</v>
      </c>
      <c r="AG93" s="20">
        <v>0</v>
      </c>
      <c r="AH93" s="21">
        <v>0</v>
      </c>
      <c r="AI93" s="20">
        <f t="shared" si="24"/>
        <v>0</v>
      </c>
      <c r="AJ93" s="20">
        <v>0</v>
      </c>
      <c r="AK93" s="21">
        <v>0</v>
      </c>
      <c r="AL93" s="20">
        <f t="shared" si="25"/>
        <v>0</v>
      </c>
      <c r="AM93" s="20">
        <v>40</v>
      </c>
      <c r="AN93" s="21">
        <v>0</v>
      </c>
      <c r="AO93" s="20">
        <f t="shared" si="26"/>
        <v>40</v>
      </c>
      <c r="AP93" s="21">
        <v>35</v>
      </c>
      <c r="AQ93" s="20">
        <v>0</v>
      </c>
      <c r="AR93" s="20">
        <f t="shared" si="27"/>
        <v>35</v>
      </c>
      <c r="AS93" s="20">
        <v>51.5</v>
      </c>
      <c r="AT93" s="21">
        <v>0</v>
      </c>
      <c r="AU93" s="20">
        <f t="shared" si="28"/>
        <v>51.5</v>
      </c>
      <c r="AV93" s="23">
        <f t="shared" si="29"/>
        <v>126.5</v>
      </c>
      <c r="AW93" s="22">
        <f t="shared" si="30"/>
        <v>0</v>
      </c>
      <c r="AX93" s="20">
        <f t="shared" si="31"/>
        <v>126.5</v>
      </c>
      <c r="AY93" s="28" t="s">
        <v>28</v>
      </c>
      <c r="AZ93" s="28" t="s">
        <v>28</v>
      </c>
      <c r="BA93" s="28" t="s">
        <v>352</v>
      </c>
      <c r="BB93" s="29">
        <v>44585</v>
      </c>
    </row>
    <row r="94" spans="1:54" hidden="1">
      <c r="A94" s="28" t="str">
        <f t="shared" si="16"/>
        <v>817943210619</v>
      </c>
      <c r="B94" s="30">
        <v>817943</v>
      </c>
      <c r="C94" s="30" t="s">
        <v>130</v>
      </c>
      <c r="D94" s="28">
        <v>210619</v>
      </c>
      <c r="E94" s="28" t="s">
        <v>524</v>
      </c>
      <c r="F94" s="28"/>
      <c r="G94" s="28"/>
      <c r="H94" s="28"/>
      <c r="I94" s="28"/>
      <c r="J94" s="28"/>
      <c r="K94" s="28"/>
      <c r="L94" s="20">
        <v>0</v>
      </c>
      <c r="M94" s="21">
        <v>0</v>
      </c>
      <c r="N94" s="20">
        <f t="shared" si="17"/>
        <v>0</v>
      </c>
      <c r="O94" s="20">
        <v>0</v>
      </c>
      <c r="P94" s="21">
        <v>0</v>
      </c>
      <c r="Q94" s="20">
        <f t="shared" si="18"/>
        <v>0</v>
      </c>
      <c r="R94" s="20">
        <v>0</v>
      </c>
      <c r="S94" s="22">
        <v>0</v>
      </c>
      <c r="T94" s="20">
        <f t="shared" si="19"/>
        <v>0</v>
      </c>
      <c r="U94" s="20">
        <v>0</v>
      </c>
      <c r="V94" s="21">
        <v>0</v>
      </c>
      <c r="W94" s="20">
        <f t="shared" si="20"/>
        <v>0</v>
      </c>
      <c r="X94" s="20">
        <v>0</v>
      </c>
      <c r="Y94" s="22">
        <v>0</v>
      </c>
      <c r="Z94" s="20">
        <f t="shared" si="21"/>
        <v>0</v>
      </c>
      <c r="AA94" s="20">
        <v>0</v>
      </c>
      <c r="AB94" s="22">
        <v>0</v>
      </c>
      <c r="AC94" s="20">
        <f t="shared" si="22"/>
        <v>0</v>
      </c>
      <c r="AD94" s="20">
        <v>0</v>
      </c>
      <c r="AE94" s="22">
        <v>0</v>
      </c>
      <c r="AF94" s="20">
        <f t="shared" si="23"/>
        <v>0</v>
      </c>
      <c r="AG94" s="20">
        <v>0</v>
      </c>
      <c r="AH94" s="21">
        <v>0</v>
      </c>
      <c r="AI94" s="20">
        <f t="shared" si="24"/>
        <v>0</v>
      </c>
      <c r="AJ94" s="20">
        <v>0</v>
      </c>
      <c r="AK94" s="21">
        <v>0</v>
      </c>
      <c r="AL94" s="20">
        <f t="shared" si="25"/>
        <v>0</v>
      </c>
      <c r="AM94" s="20">
        <v>0</v>
      </c>
      <c r="AN94" s="21">
        <v>0</v>
      </c>
      <c r="AO94" s="20">
        <f t="shared" si="26"/>
        <v>0</v>
      </c>
      <c r="AP94" s="21">
        <v>165</v>
      </c>
      <c r="AQ94" s="20">
        <v>0</v>
      </c>
      <c r="AR94" s="20">
        <f t="shared" si="27"/>
        <v>165</v>
      </c>
      <c r="AS94" s="20">
        <v>163</v>
      </c>
      <c r="AT94" s="21">
        <v>0</v>
      </c>
      <c r="AU94" s="20">
        <f t="shared" si="28"/>
        <v>163</v>
      </c>
      <c r="AV94" s="23">
        <f t="shared" si="29"/>
        <v>328</v>
      </c>
      <c r="AW94" s="22">
        <f t="shared" si="30"/>
        <v>0</v>
      </c>
      <c r="AX94" s="20">
        <f t="shared" si="31"/>
        <v>328</v>
      </c>
      <c r="AY94" s="28" t="s">
        <v>28</v>
      </c>
      <c r="AZ94" s="28" t="s">
        <v>28</v>
      </c>
      <c r="BA94" s="28" t="s">
        <v>352</v>
      </c>
      <c r="BB94" s="29">
        <v>44593</v>
      </c>
    </row>
    <row r="95" spans="1:54" hidden="1">
      <c r="A95" s="28" t="str">
        <f t="shared" si="16"/>
        <v>818256142984</v>
      </c>
      <c r="B95" s="30">
        <v>818256</v>
      </c>
      <c r="C95" s="30" t="s">
        <v>544</v>
      </c>
      <c r="D95" s="28">
        <v>142984</v>
      </c>
      <c r="E95" s="28" t="s">
        <v>117</v>
      </c>
      <c r="F95" s="28"/>
      <c r="G95" s="28"/>
      <c r="H95" s="28"/>
      <c r="I95" s="28"/>
      <c r="J95" s="28"/>
      <c r="K95" s="28"/>
      <c r="L95" s="20">
        <v>0</v>
      </c>
      <c r="M95" s="21">
        <v>0</v>
      </c>
      <c r="N95" s="20">
        <f t="shared" si="17"/>
        <v>0</v>
      </c>
      <c r="O95" s="20">
        <v>0</v>
      </c>
      <c r="P95" s="21">
        <v>0</v>
      </c>
      <c r="Q95" s="20">
        <f t="shared" si="18"/>
        <v>0</v>
      </c>
      <c r="R95" s="20">
        <v>0</v>
      </c>
      <c r="S95" s="22">
        <v>0</v>
      </c>
      <c r="T95" s="20">
        <f t="shared" si="19"/>
        <v>0</v>
      </c>
      <c r="U95" s="20">
        <v>0</v>
      </c>
      <c r="V95" s="21">
        <v>0</v>
      </c>
      <c r="W95" s="20">
        <f t="shared" si="20"/>
        <v>0</v>
      </c>
      <c r="X95" s="20">
        <v>0</v>
      </c>
      <c r="Y95" s="22">
        <v>0</v>
      </c>
      <c r="Z95" s="20">
        <f t="shared" si="21"/>
        <v>0</v>
      </c>
      <c r="AA95" s="20">
        <v>0</v>
      </c>
      <c r="AB95" s="22">
        <v>0</v>
      </c>
      <c r="AC95" s="20">
        <f t="shared" si="22"/>
        <v>0</v>
      </c>
      <c r="AD95" s="20">
        <v>0</v>
      </c>
      <c r="AE95" s="22">
        <v>0</v>
      </c>
      <c r="AF95" s="20">
        <f t="shared" si="23"/>
        <v>0</v>
      </c>
      <c r="AG95" s="20">
        <v>0</v>
      </c>
      <c r="AH95" s="21">
        <v>0</v>
      </c>
      <c r="AI95" s="20">
        <f t="shared" si="24"/>
        <v>0</v>
      </c>
      <c r="AJ95" s="20">
        <v>0</v>
      </c>
      <c r="AK95" s="21">
        <v>0</v>
      </c>
      <c r="AL95" s="20">
        <f t="shared" si="25"/>
        <v>0</v>
      </c>
      <c r="AM95" s="20">
        <v>0</v>
      </c>
      <c r="AN95" s="21">
        <v>0</v>
      </c>
      <c r="AO95" s="20">
        <f t="shared" si="26"/>
        <v>0</v>
      </c>
      <c r="AP95" s="21">
        <v>0</v>
      </c>
      <c r="AQ95" s="20">
        <v>0</v>
      </c>
      <c r="AR95" s="20">
        <f t="shared" si="27"/>
        <v>0</v>
      </c>
      <c r="AS95" s="20">
        <v>15</v>
      </c>
      <c r="AT95" s="21">
        <v>0</v>
      </c>
      <c r="AU95" s="20">
        <f t="shared" si="28"/>
        <v>15</v>
      </c>
      <c r="AV95" s="23">
        <f t="shared" si="29"/>
        <v>15</v>
      </c>
      <c r="AW95" s="22">
        <f t="shared" si="30"/>
        <v>0</v>
      </c>
      <c r="AX95" s="20">
        <f t="shared" si="31"/>
        <v>15</v>
      </c>
      <c r="AY95" s="28" t="s">
        <v>28</v>
      </c>
      <c r="AZ95" s="28" t="s">
        <v>28</v>
      </c>
      <c r="BA95" s="28" t="s">
        <v>352</v>
      </c>
      <c r="BB95" s="29">
        <v>44623</v>
      </c>
    </row>
    <row r="96" spans="1:54" hidden="1">
      <c r="A96" s="28" t="str">
        <f t="shared" si="16"/>
        <v>818325148557</v>
      </c>
      <c r="B96" s="30">
        <v>818325</v>
      </c>
      <c r="C96" s="30" t="s">
        <v>539</v>
      </c>
      <c r="D96" s="28">
        <v>148557</v>
      </c>
      <c r="E96" s="28" t="s">
        <v>27</v>
      </c>
      <c r="F96" s="28"/>
      <c r="G96" s="28"/>
      <c r="H96" s="28"/>
      <c r="I96" s="28"/>
      <c r="J96" s="28"/>
      <c r="K96" s="28"/>
      <c r="L96" s="20">
        <v>0</v>
      </c>
      <c r="M96" s="21">
        <v>0</v>
      </c>
      <c r="N96" s="20">
        <f t="shared" si="17"/>
        <v>0</v>
      </c>
      <c r="O96" s="20">
        <v>0</v>
      </c>
      <c r="P96" s="21">
        <v>0</v>
      </c>
      <c r="Q96" s="20">
        <f t="shared" si="18"/>
        <v>0</v>
      </c>
      <c r="R96" s="20">
        <v>0</v>
      </c>
      <c r="S96" s="22">
        <v>0</v>
      </c>
      <c r="T96" s="20">
        <f t="shared" si="19"/>
        <v>0</v>
      </c>
      <c r="U96" s="20">
        <v>0</v>
      </c>
      <c r="V96" s="21">
        <v>0</v>
      </c>
      <c r="W96" s="20">
        <f t="shared" si="20"/>
        <v>0</v>
      </c>
      <c r="X96" s="20">
        <v>0</v>
      </c>
      <c r="Y96" s="22">
        <v>0</v>
      </c>
      <c r="Z96" s="20">
        <f t="shared" si="21"/>
        <v>0</v>
      </c>
      <c r="AA96" s="20">
        <v>0</v>
      </c>
      <c r="AB96" s="22">
        <v>0</v>
      </c>
      <c r="AC96" s="20">
        <f t="shared" si="22"/>
        <v>0</v>
      </c>
      <c r="AD96" s="20">
        <v>0</v>
      </c>
      <c r="AE96" s="22">
        <v>0</v>
      </c>
      <c r="AF96" s="20">
        <f t="shared" si="23"/>
        <v>0</v>
      </c>
      <c r="AG96" s="20">
        <v>0</v>
      </c>
      <c r="AH96" s="21">
        <v>0</v>
      </c>
      <c r="AI96" s="20">
        <f t="shared" si="24"/>
        <v>0</v>
      </c>
      <c r="AJ96" s="20">
        <v>0</v>
      </c>
      <c r="AK96" s="21">
        <v>0</v>
      </c>
      <c r="AL96" s="20">
        <f t="shared" si="25"/>
        <v>0</v>
      </c>
      <c r="AM96" s="20">
        <v>0</v>
      </c>
      <c r="AN96" s="21">
        <v>0</v>
      </c>
      <c r="AO96" s="20">
        <f t="shared" si="26"/>
        <v>0</v>
      </c>
      <c r="AP96" s="21">
        <v>0</v>
      </c>
      <c r="AQ96" s="20">
        <v>0</v>
      </c>
      <c r="AR96" s="20">
        <f t="shared" si="27"/>
        <v>0</v>
      </c>
      <c r="AS96" s="20">
        <v>10</v>
      </c>
      <c r="AT96" s="21">
        <v>0</v>
      </c>
      <c r="AU96" s="20">
        <f t="shared" si="28"/>
        <v>10</v>
      </c>
      <c r="AV96" s="23">
        <f t="shared" si="29"/>
        <v>10</v>
      </c>
      <c r="AW96" s="22">
        <f t="shared" si="30"/>
        <v>0</v>
      </c>
      <c r="AX96" s="20">
        <f t="shared" si="31"/>
        <v>10</v>
      </c>
      <c r="AY96" s="28" t="s">
        <v>28</v>
      </c>
      <c r="AZ96" s="28" t="s">
        <v>28</v>
      </c>
      <c r="BA96" s="28" t="s">
        <v>352</v>
      </c>
      <c r="BB96" s="29">
        <v>44629</v>
      </c>
    </row>
    <row r="97" spans="1:54" hidden="1">
      <c r="A97" s="28" t="str">
        <f t="shared" si="16"/>
        <v>818340210619</v>
      </c>
      <c r="B97" s="30">
        <v>818340</v>
      </c>
      <c r="C97" s="30" t="s">
        <v>540</v>
      </c>
      <c r="D97" s="28">
        <v>210619</v>
      </c>
      <c r="E97" s="28" t="s">
        <v>524</v>
      </c>
      <c r="F97" s="28"/>
      <c r="G97" s="28"/>
      <c r="H97" s="28"/>
      <c r="I97" s="28"/>
      <c r="J97" s="28"/>
      <c r="K97" s="28"/>
      <c r="L97" s="20">
        <v>0</v>
      </c>
      <c r="M97" s="21">
        <v>0</v>
      </c>
      <c r="N97" s="20">
        <f t="shared" si="17"/>
        <v>0</v>
      </c>
      <c r="O97" s="20">
        <v>0</v>
      </c>
      <c r="P97" s="21">
        <v>0</v>
      </c>
      <c r="Q97" s="20">
        <f t="shared" si="18"/>
        <v>0</v>
      </c>
      <c r="R97" s="20">
        <v>0</v>
      </c>
      <c r="S97" s="22">
        <v>0</v>
      </c>
      <c r="T97" s="20">
        <f t="shared" si="19"/>
        <v>0</v>
      </c>
      <c r="U97" s="20">
        <v>0</v>
      </c>
      <c r="V97" s="21">
        <v>0</v>
      </c>
      <c r="W97" s="20">
        <f t="shared" si="20"/>
        <v>0</v>
      </c>
      <c r="X97" s="20">
        <v>0</v>
      </c>
      <c r="Y97" s="22">
        <v>0</v>
      </c>
      <c r="Z97" s="20">
        <f t="shared" si="21"/>
        <v>0</v>
      </c>
      <c r="AA97" s="20">
        <v>0</v>
      </c>
      <c r="AB97" s="22">
        <v>0</v>
      </c>
      <c r="AC97" s="20">
        <f t="shared" si="22"/>
        <v>0</v>
      </c>
      <c r="AD97" s="20">
        <v>0</v>
      </c>
      <c r="AE97" s="22">
        <v>0</v>
      </c>
      <c r="AF97" s="20">
        <f t="shared" si="23"/>
        <v>0</v>
      </c>
      <c r="AG97" s="20">
        <v>0</v>
      </c>
      <c r="AH97" s="21">
        <v>0</v>
      </c>
      <c r="AI97" s="20">
        <f t="shared" si="24"/>
        <v>0</v>
      </c>
      <c r="AJ97" s="20">
        <v>0</v>
      </c>
      <c r="AK97" s="21">
        <v>0</v>
      </c>
      <c r="AL97" s="20">
        <f t="shared" si="25"/>
        <v>0</v>
      </c>
      <c r="AM97" s="20">
        <v>0</v>
      </c>
      <c r="AN97" s="21">
        <v>0</v>
      </c>
      <c r="AO97" s="20">
        <f t="shared" si="26"/>
        <v>0</v>
      </c>
      <c r="AP97" s="21">
        <v>0</v>
      </c>
      <c r="AQ97" s="20">
        <v>0</v>
      </c>
      <c r="AR97" s="20">
        <f t="shared" si="27"/>
        <v>0</v>
      </c>
      <c r="AS97" s="20">
        <v>80</v>
      </c>
      <c r="AT97" s="21">
        <v>0</v>
      </c>
      <c r="AU97" s="20">
        <f t="shared" si="28"/>
        <v>80</v>
      </c>
      <c r="AV97" s="23">
        <f t="shared" si="29"/>
        <v>80</v>
      </c>
      <c r="AW97" s="22">
        <f t="shared" si="30"/>
        <v>0</v>
      </c>
      <c r="AX97" s="20">
        <f t="shared" si="31"/>
        <v>80</v>
      </c>
      <c r="AY97" s="28" t="s">
        <v>28</v>
      </c>
      <c r="AZ97" s="28" t="s">
        <v>28</v>
      </c>
      <c r="BA97" s="28" t="s">
        <v>352</v>
      </c>
      <c r="BB97" s="29">
        <v>44632</v>
      </c>
    </row>
    <row r="98" spans="1:54" hidden="1">
      <c r="A98" s="28" t="str">
        <f t="shared" si="16"/>
        <v>818341210619</v>
      </c>
      <c r="B98" s="30">
        <v>818341</v>
      </c>
      <c r="C98" s="30" t="s">
        <v>541</v>
      </c>
      <c r="D98" s="28">
        <v>210619</v>
      </c>
      <c r="E98" s="28" t="s">
        <v>524</v>
      </c>
      <c r="F98" s="28"/>
      <c r="G98" s="28"/>
      <c r="H98" s="28"/>
      <c r="I98" s="28"/>
      <c r="J98" s="28"/>
      <c r="K98" s="28"/>
      <c r="L98" s="20">
        <v>0</v>
      </c>
      <c r="M98" s="21">
        <v>0</v>
      </c>
      <c r="N98" s="20">
        <f t="shared" si="17"/>
        <v>0</v>
      </c>
      <c r="O98" s="20">
        <v>0</v>
      </c>
      <c r="P98" s="21">
        <v>0</v>
      </c>
      <c r="Q98" s="20">
        <f t="shared" si="18"/>
        <v>0</v>
      </c>
      <c r="R98" s="20">
        <v>0</v>
      </c>
      <c r="S98" s="22">
        <v>0</v>
      </c>
      <c r="T98" s="20">
        <f t="shared" si="19"/>
        <v>0</v>
      </c>
      <c r="U98" s="20">
        <v>0</v>
      </c>
      <c r="V98" s="21">
        <v>0</v>
      </c>
      <c r="W98" s="20">
        <f t="shared" si="20"/>
        <v>0</v>
      </c>
      <c r="X98" s="20">
        <v>0</v>
      </c>
      <c r="Y98" s="22">
        <v>0</v>
      </c>
      <c r="Z98" s="20">
        <f t="shared" si="21"/>
        <v>0</v>
      </c>
      <c r="AA98" s="20">
        <v>0</v>
      </c>
      <c r="AB98" s="22">
        <v>0</v>
      </c>
      <c r="AC98" s="20">
        <f t="shared" si="22"/>
        <v>0</v>
      </c>
      <c r="AD98" s="20">
        <v>0</v>
      </c>
      <c r="AE98" s="22">
        <v>0</v>
      </c>
      <c r="AF98" s="20">
        <f t="shared" si="23"/>
        <v>0</v>
      </c>
      <c r="AG98" s="20">
        <v>0</v>
      </c>
      <c r="AH98" s="21">
        <v>0</v>
      </c>
      <c r="AI98" s="20">
        <f t="shared" si="24"/>
        <v>0</v>
      </c>
      <c r="AJ98" s="20">
        <v>0</v>
      </c>
      <c r="AK98" s="21">
        <v>0</v>
      </c>
      <c r="AL98" s="20">
        <f t="shared" si="25"/>
        <v>0</v>
      </c>
      <c r="AM98" s="20">
        <v>0</v>
      </c>
      <c r="AN98" s="21">
        <v>0</v>
      </c>
      <c r="AO98" s="20">
        <f t="shared" si="26"/>
        <v>0</v>
      </c>
      <c r="AP98" s="21">
        <v>0</v>
      </c>
      <c r="AQ98" s="20">
        <v>0</v>
      </c>
      <c r="AR98" s="20">
        <f t="shared" si="27"/>
        <v>0</v>
      </c>
      <c r="AS98" s="20">
        <v>85</v>
      </c>
      <c r="AT98" s="21">
        <v>0</v>
      </c>
      <c r="AU98" s="20">
        <f t="shared" si="28"/>
        <v>85</v>
      </c>
      <c r="AV98" s="23">
        <f t="shared" si="29"/>
        <v>85</v>
      </c>
      <c r="AW98" s="22">
        <f t="shared" si="30"/>
        <v>0</v>
      </c>
      <c r="AX98" s="20">
        <f t="shared" si="31"/>
        <v>85</v>
      </c>
      <c r="AY98" s="28" t="s">
        <v>28</v>
      </c>
      <c r="AZ98" s="28" t="s">
        <v>28</v>
      </c>
      <c r="BA98" s="28" t="s">
        <v>352</v>
      </c>
      <c r="BB98" s="29">
        <v>44632</v>
      </c>
    </row>
    <row r="99" spans="1:54" hidden="1">
      <c r="A99" s="28" t="str">
        <f t="shared" si="16"/>
        <v>818347140927</v>
      </c>
      <c r="B99" s="30">
        <v>818347</v>
      </c>
      <c r="C99" s="30" t="s">
        <v>338</v>
      </c>
      <c r="D99" s="28">
        <v>140927</v>
      </c>
      <c r="E99" s="28" t="s">
        <v>59</v>
      </c>
      <c r="F99" s="28"/>
      <c r="G99" s="28"/>
      <c r="H99" s="28"/>
      <c r="I99" s="28"/>
      <c r="J99" s="28"/>
      <c r="K99" s="28"/>
      <c r="L99" s="20">
        <v>0</v>
      </c>
      <c r="M99" s="21">
        <v>0</v>
      </c>
      <c r="N99" s="20">
        <f t="shared" si="17"/>
        <v>0</v>
      </c>
      <c r="O99" s="20">
        <v>0</v>
      </c>
      <c r="P99" s="21">
        <v>0</v>
      </c>
      <c r="Q99" s="20">
        <f t="shared" si="18"/>
        <v>0</v>
      </c>
      <c r="R99" s="20">
        <v>0</v>
      </c>
      <c r="S99" s="22">
        <v>0</v>
      </c>
      <c r="T99" s="20">
        <f t="shared" si="19"/>
        <v>0</v>
      </c>
      <c r="U99" s="20">
        <v>0</v>
      </c>
      <c r="V99" s="21">
        <v>0</v>
      </c>
      <c r="W99" s="20">
        <f t="shared" si="20"/>
        <v>0</v>
      </c>
      <c r="X99" s="20">
        <v>0</v>
      </c>
      <c r="Y99" s="22">
        <v>0</v>
      </c>
      <c r="Z99" s="20">
        <f t="shared" si="21"/>
        <v>0</v>
      </c>
      <c r="AA99" s="20">
        <v>0</v>
      </c>
      <c r="AB99" s="22">
        <v>0</v>
      </c>
      <c r="AC99" s="20">
        <f t="shared" si="22"/>
        <v>0</v>
      </c>
      <c r="AD99" s="20">
        <v>0</v>
      </c>
      <c r="AE99" s="22">
        <v>0</v>
      </c>
      <c r="AF99" s="20">
        <f t="shared" si="23"/>
        <v>0</v>
      </c>
      <c r="AG99" s="20">
        <v>0</v>
      </c>
      <c r="AH99" s="21">
        <v>0</v>
      </c>
      <c r="AI99" s="20">
        <f t="shared" si="24"/>
        <v>0</v>
      </c>
      <c r="AJ99" s="20">
        <v>0</v>
      </c>
      <c r="AK99" s="21">
        <v>0</v>
      </c>
      <c r="AL99" s="20">
        <f t="shared" si="25"/>
        <v>0</v>
      </c>
      <c r="AM99" s="20">
        <v>0</v>
      </c>
      <c r="AN99" s="21">
        <v>0</v>
      </c>
      <c r="AO99" s="20">
        <f t="shared" si="26"/>
        <v>0</v>
      </c>
      <c r="AP99" s="21">
        <v>0</v>
      </c>
      <c r="AQ99" s="20">
        <v>0</v>
      </c>
      <c r="AR99" s="20">
        <f t="shared" si="27"/>
        <v>0</v>
      </c>
      <c r="AS99" s="20">
        <v>40</v>
      </c>
      <c r="AT99" s="21">
        <v>0</v>
      </c>
      <c r="AU99" s="20">
        <f t="shared" si="28"/>
        <v>40</v>
      </c>
      <c r="AV99" s="23">
        <f t="shared" si="29"/>
        <v>40</v>
      </c>
      <c r="AW99" s="22">
        <f t="shared" si="30"/>
        <v>0</v>
      </c>
      <c r="AX99" s="20">
        <f t="shared" si="31"/>
        <v>40</v>
      </c>
      <c r="AY99" s="28" t="s">
        <v>28</v>
      </c>
      <c r="AZ99" s="28" t="s">
        <v>28</v>
      </c>
      <c r="BA99" s="28" t="s">
        <v>352</v>
      </c>
      <c r="BB99" s="29">
        <v>44632</v>
      </c>
    </row>
    <row r="100" spans="1:54" hidden="1">
      <c r="A100" s="28" t="str">
        <f t="shared" si="16"/>
        <v>818440119046</v>
      </c>
      <c r="B100" s="30">
        <v>818440</v>
      </c>
      <c r="C100" s="30" t="s">
        <v>79</v>
      </c>
      <c r="D100" s="28">
        <v>119046</v>
      </c>
      <c r="E100" s="28" t="s">
        <v>31</v>
      </c>
      <c r="F100" s="28"/>
      <c r="G100" s="28"/>
      <c r="H100" s="28"/>
      <c r="I100" s="28"/>
      <c r="J100" s="28"/>
      <c r="K100" s="28"/>
      <c r="L100" s="20">
        <v>0</v>
      </c>
      <c r="M100" s="21">
        <v>0</v>
      </c>
      <c r="N100" s="20">
        <f t="shared" si="17"/>
        <v>0</v>
      </c>
      <c r="O100" s="20">
        <v>0</v>
      </c>
      <c r="P100" s="21">
        <v>0</v>
      </c>
      <c r="Q100" s="20">
        <f t="shared" si="18"/>
        <v>0</v>
      </c>
      <c r="R100" s="20">
        <v>0</v>
      </c>
      <c r="S100" s="22">
        <v>0</v>
      </c>
      <c r="T100" s="20">
        <f t="shared" si="19"/>
        <v>0</v>
      </c>
      <c r="U100" s="20">
        <v>0</v>
      </c>
      <c r="V100" s="21">
        <v>0</v>
      </c>
      <c r="W100" s="20">
        <f t="shared" si="20"/>
        <v>0</v>
      </c>
      <c r="X100" s="20">
        <v>0</v>
      </c>
      <c r="Y100" s="22">
        <v>0</v>
      </c>
      <c r="Z100" s="20">
        <f t="shared" si="21"/>
        <v>0</v>
      </c>
      <c r="AA100" s="20">
        <v>0</v>
      </c>
      <c r="AB100" s="22">
        <v>0</v>
      </c>
      <c r="AC100" s="20">
        <f t="shared" si="22"/>
        <v>0</v>
      </c>
      <c r="AD100" s="20">
        <v>0</v>
      </c>
      <c r="AE100" s="22">
        <v>0</v>
      </c>
      <c r="AF100" s="20">
        <f t="shared" si="23"/>
        <v>0</v>
      </c>
      <c r="AG100" s="20">
        <v>0</v>
      </c>
      <c r="AH100" s="21">
        <v>0</v>
      </c>
      <c r="AI100" s="20">
        <f t="shared" si="24"/>
        <v>0</v>
      </c>
      <c r="AJ100" s="20">
        <v>0</v>
      </c>
      <c r="AK100" s="21">
        <v>0</v>
      </c>
      <c r="AL100" s="20">
        <f t="shared" si="25"/>
        <v>0</v>
      </c>
      <c r="AM100" s="20">
        <v>0</v>
      </c>
      <c r="AN100" s="21">
        <v>0</v>
      </c>
      <c r="AO100" s="20">
        <f t="shared" si="26"/>
        <v>0</v>
      </c>
      <c r="AP100" s="21">
        <v>0</v>
      </c>
      <c r="AQ100" s="20">
        <v>0</v>
      </c>
      <c r="AR100" s="20">
        <f t="shared" si="27"/>
        <v>0</v>
      </c>
      <c r="AS100" s="20">
        <v>115</v>
      </c>
      <c r="AT100" s="21">
        <v>0</v>
      </c>
      <c r="AU100" s="20">
        <f t="shared" si="28"/>
        <v>115</v>
      </c>
      <c r="AV100" s="23">
        <f t="shared" si="29"/>
        <v>115</v>
      </c>
      <c r="AW100" s="22">
        <f t="shared" si="30"/>
        <v>0</v>
      </c>
      <c r="AX100" s="20">
        <f t="shared" si="31"/>
        <v>115</v>
      </c>
      <c r="AY100" s="28" t="s">
        <v>28</v>
      </c>
      <c r="AZ100" s="28" t="s">
        <v>28</v>
      </c>
      <c r="BA100" s="28" t="s">
        <v>352</v>
      </c>
      <c r="BB100" s="29">
        <v>44643</v>
      </c>
    </row>
    <row r="101" spans="1:54" hidden="1">
      <c r="A101" s="28" t="str">
        <f t="shared" si="16"/>
        <v>818441210619</v>
      </c>
      <c r="B101" s="30">
        <v>818441</v>
      </c>
      <c r="C101" s="30" t="s">
        <v>545</v>
      </c>
      <c r="D101" s="28">
        <v>210619</v>
      </c>
      <c r="E101" s="28" t="s">
        <v>524</v>
      </c>
      <c r="F101" s="28"/>
      <c r="G101" s="28"/>
      <c r="H101" s="28"/>
      <c r="I101" s="28"/>
      <c r="J101" s="28"/>
      <c r="K101" s="28"/>
      <c r="L101" s="20">
        <v>0</v>
      </c>
      <c r="M101" s="21">
        <v>0</v>
      </c>
      <c r="N101" s="20">
        <f t="shared" si="17"/>
        <v>0</v>
      </c>
      <c r="O101" s="20">
        <v>0</v>
      </c>
      <c r="P101" s="21">
        <v>0</v>
      </c>
      <c r="Q101" s="20">
        <f t="shared" si="18"/>
        <v>0</v>
      </c>
      <c r="R101" s="20">
        <v>0</v>
      </c>
      <c r="S101" s="22">
        <v>0</v>
      </c>
      <c r="T101" s="20">
        <f t="shared" si="19"/>
        <v>0</v>
      </c>
      <c r="U101" s="20">
        <v>0</v>
      </c>
      <c r="V101" s="21">
        <v>0</v>
      </c>
      <c r="W101" s="20">
        <f t="shared" si="20"/>
        <v>0</v>
      </c>
      <c r="X101" s="20">
        <v>0</v>
      </c>
      <c r="Y101" s="22">
        <v>0</v>
      </c>
      <c r="Z101" s="20">
        <f t="shared" si="21"/>
        <v>0</v>
      </c>
      <c r="AA101" s="20">
        <v>0</v>
      </c>
      <c r="AB101" s="22">
        <v>0</v>
      </c>
      <c r="AC101" s="20">
        <f t="shared" si="22"/>
        <v>0</v>
      </c>
      <c r="AD101" s="20">
        <v>0</v>
      </c>
      <c r="AE101" s="22">
        <v>0</v>
      </c>
      <c r="AF101" s="20">
        <f t="shared" si="23"/>
        <v>0</v>
      </c>
      <c r="AG101" s="20">
        <v>0</v>
      </c>
      <c r="AH101" s="21">
        <v>0</v>
      </c>
      <c r="AI101" s="20">
        <f t="shared" si="24"/>
        <v>0</v>
      </c>
      <c r="AJ101" s="20">
        <v>0</v>
      </c>
      <c r="AK101" s="21">
        <v>0</v>
      </c>
      <c r="AL101" s="20">
        <f t="shared" si="25"/>
        <v>0</v>
      </c>
      <c r="AM101" s="20">
        <v>0</v>
      </c>
      <c r="AN101" s="21">
        <v>0</v>
      </c>
      <c r="AO101" s="20">
        <f t="shared" si="26"/>
        <v>0</v>
      </c>
      <c r="AP101" s="21">
        <v>0</v>
      </c>
      <c r="AQ101" s="20">
        <v>0</v>
      </c>
      <c r="AR101" s="20">
        <f t="shared" si="27"/>
        <v>0</v>
      </c>
      <c r="AS101" s="20">
        <v>96</v>
      </c>
      <c r="AT101" s="21">
        <v>0</v>
      </c>
      <c r="AU101" s="20">
        <f t="shared" si="28"/>
        <v>96</v>
      </c>
      <c r="AV101" s="23">
        <f t="shared" si="29"/>
        <v>96</v>
      </c>
      <c r="AW101" s="22">
        <f t="shared" si="30"/>
        <v>0</v>
      </c>
      <c r="AX101" s="20">
        <f t="shared" si="31"/>
        <v>96</v>
      </c>
      <c r="AY101" s="28" t="s">
        <v>28</v>
      </c>
      <c r="AZ101" s="28" t="s">
        <v>28</v>
      </c>
      <c r="BA101" s="28" t="s">
        <v>352</v>
      </c>
      <c r="BB101" s="29">
        <v>44643</v>
      </c>
    </row>
    <row r="102" spans="1:54" hidden="1">
      <c r="A102" s="28" t="str">
        <f t="shared" si="16"/>
        <v>818354202479</v>
      </c>
      <c r="B102" s="30">
        <v>818354</v>
      </c>
      <c r="C102" s="30" t="s">
        <v>16</v>
      </c>
      <c r="D102" s="28">
        <v>202479</v>
      </c>
      <c r="E102" s="28" t="s">
        <v>57</v>
      </c>
      <c r="F102" s="28"/>
      <c r="G102" s="28"/>
      <c r="H102" s="28"/>
      <c r="I102" s="28"/>
      <c r="J102" s="28"/>
      <c r="K102" s="28"/>
      <c r="L102" s="20">
        <v>0</v>
      </c>
      <c r="M102" s="21">
        <v>0</v>
      </c>
      <c r="N102" s="20">
        <f t="shared" si="17"/>
        <v>0</v>
      </c>
      <c r="O102" s="20">
        <v>0</v>
      </c>
      <c r="P102" s="21">
        <v>0</v>
      </c>
      <c r="Q102" s="20">
        <f t="shared" si="18"/>
        <v>0</v>
      </c>
      <c r="R102" s="20">
        <v>0</v>
      </c>
      <c r="S102" s="22">
        <v>0</v>
      </c>
      <c r="T102" s="20">
        <f t="shared" si="19"/>
        <v>0</v>
      </c>
      <c r="U102" s="20">
        <v>0</v>
      </c>
      <c r="V102" s="21">
        <v>0</v>
      </c>
      <c r="W102" s="20">
        <f t="shared" si="20"/>
        <v>0</v>
      </c>
      <c r="X102" s="20">
        <v>0</v>
      </c>
      <c r="Y102" s="22">
        <v>0</v>
      </c>
      <c r="Z102" s="20">
        <f t="shared" si="21"/>
        <v>0</v>
      </c>
      <c r="AA102" s="20">
        <v>0</v>
      </c>
      <c r="AB102" s="22">
        <v>0</v>
      </c>
      <c r="AC102" s="20">
        <f t="shared" si="22"/>
        <v>0</v>
      </c>
      <c r="AD102" s="20">
        <v>0</v>
      </c>
      <c r="AE102" s="22">
        <v>0</v>
      </c>
      <c r="AF102" s="20">
        <f t="shared" si="23"/>
        <v>0</v>
      </c>
      <c r="AG102" s="20">
        <v>0</v>
      </c>
      <c r="AH102" s="21">
        <v>0</v>
      </c>
      <c r="AI102" s="20">
        <f t="shared" si="24"/>
        <v>0</v>
      </c>
      <c r="AJ102" s="20">
        <v>0</v>
      </c>
      <c r="AK102" s="21">
        <v>0</v>
      </c>
      <c r="AL102" s="20">
        <f t="shared" si="25"/>
        <v>0</v>
      </c>
      <c r="AM102" s="20">
        <v>0</v>
      </c>
      <c r="AN102" s="21">
        <v>0</v>
      </c>
      <c r="AO102" s="20">
        <f t="shared" si="26"/>
        <v>0</v>
      </c>
      <c r="AP102" s="21">
        <v>0</v>
      </c>
      <c r="AQ102" s="20">
        <v>0</v>
      </c>
      <c r="AR102" s="20">
        <f t="shared" si="27"/>
        <v>0</v>
      </c>
      <c r="AS102" s="20">
        <v>35</v>
      </c>
      <c r="AT102" s="21">
        <v>0</v>
      </c>
      <c r="AU102" s="20">
        <f t="shared" si="28"/>
        <v>35</v>
      </c>
      <c r="AV102" s="23">
        <f t="shared" si="29"/>
        <v>35</v>
      </c>
      <c r="AW102" s="22">
        <f t="shared" si="30"/>
        <v>0</v>
      </c>
      <c r="AX102" s="20">
        <f t="shared" si="31"/>
        <v>35</v>
      </c>
      <c r="AY102" s="28" t="s">
        <v>28</v>
      </c>
      <c r="AZ102" s="28" t="s">
        <v>28</v>
      </c>
      <c r="BA102" s="28" t="s">
        <v>352</v>
      </c>
      <c r="BB102" s="29">
        <v>44632</v>
      </c>
    </row>
    <row r="103" spans="1:54" hidden="1">
      <c r="A103" s="28" t="str">
        <f t="shared" si="16"/>
        <v>818483210619</v>
      </c>
      <c r="B103" s="30">
        <v>818483</v>
      </c>
      <c r="C103" s="30" t="s">
        <v>546</v>
      </c>
      <c r="D103" s="28">
        <v>210619</v>
      </c>
      <c r="E103" s="28" t="s">
        <v>524</v>
      </c>
      <c r="F103" s="28"/>
      <c r="G103" s="28"/>
      <c r="H103" s="28"/>
      <c r="I103" s="28"/>
      <c r="J103" s="28"/>
      <c r="K103" s="28"/>
      <c r="L103" s="20">
        <v>0</v>
      </c>
      <c r="M103" s="21">
        <v>0</v>
      </c>
      <c r="N103" s="20">
        <f t="shared" si="17"/>
        <v>0</v>
      </c>
      <c r="O103" s="20">
        <v>0</v>
      </c>
      <c r="P103" s="21">
        <v>0</v>
      </c>
      <c r="Q103" s="20">
        <f t="shared" si="18"/>
        <v>0</v>
      </c>
      <c r="R103" s="20">
        <v>0</v>
      </c>
      <c r="S103" s="22">
        <v>0</v>
      </c>
      <c r="T103" s="20">
        <f t="shared" si="19"/>
        <v>0</v>
      </c>
      <c r="U103" s="20">
        <v>0</v>
      </c>
      <c r="V103" s="21">
        <v>0</v>
      </c>
      <c r="W103" s="20">
        <f t="shared" si="20"/>
        <v>0</v>
      </c>
      <c r="X103" s="20">
        <v>0</v>
      </c>
      <c r="Y103" s="22">
        <v>0</v>
      </c>
      <c r="Z103" s="20">
        <f t="shared" si="21"/>
        <v>0</v>
      </c>
      <c r="AA103" s="20">
        <v>0</v>
      </c>
      <c r="AB103" s="22">
        <v>0</v>
      </c>
      <c r="AC103" s="20">
        <f t="shared" si="22"/>
        <v>0</v>
      </c>
      <c r="AD103" s="20">
        <v>0</v>
      </c>
      <c r="AE103" s="22">
        <v>0</v>
      </c>
      <c r="AF103" s="20">
        <f t="shared" si="23"/>
        <v>0</v>
      </c>
      <c r="AG103" s="20">
        <v>0</v>
      </c>
      <c r="AH103" s="21">
        <v>0</v>
      </c>
      <c r="AI103" s="20">
        <f t="shared" si="24"/>
        <v>0</v>
      </c>
      <c r="AJ103" s="20">
        <v>0</v>
      </c>
      <c r="AK103" s="21">
        <v>0</v>
      </c>
      <c r="AL103" s="20">
        <f t="shared" si="25"/>
        <v>0</v>
      </c>
      <c r="AM103" s="20">
        <v>0</v>
      </c>
      <c r="AN103" s="21">
        <v>0</v>
      </c>
      <c r="AO103" s="20">
        <f t="shared" si="26"/>
        <v>0</v>
      </c>
      <c r="AP103" s="21">
        <v>0</v>
      </c>
      <c r="AQ103" s="20">
        <v>0</v>
      </c>
      <c r="AR103" s="20">
        <f t="shared" si="27"/>
        <v>0</v>
      </c>
      <c r="AS103" s="20">
        <v>63.5</v>
      </c>
      <c r="AT103" s="21">
        <v>42</v>
      </c>
      <c r="AU103" s="20">
        <f t="shared" si="28"/>
        <v>105.5</v>
      </c>
      <c r="AV103" s="23">
        <f t="shared" si="29"/>
        <v>63.5</v>
      </c>
      <c r="AW103" s="22">
        <f t="shared" si="30"/>
        <v>42</v>
      </c>
      <c r="AX103" s="20">
        <f t="shared" si="31"/>
        <v>105.5</v>
      </c>
      <c r="AY103" s="28" t="s">
        <v>28</v>
      </c>
      <c r="AZ103" s="28" t="s">
        <v>28</v>
      </c>
      <c r="BA103" s="28" t="s">
        <v>352</v>
      </c>
      <c r="BB103" s="29">
        <v>44646</v>
      </c>
    </row>
    <row r="104" spans="1:54" hidden="1">
      <c r="A104" s="28" t="str">
        <f t="shared" si="16"/>
        <v>801588119047</v>
      </c>
      <c r="B104" s="30">
        <v>801588</v>
      </c>
      <c r="C104" s="30" t="s">
        <v>42</v>
      </c>
      <c r="D104" s="31">
        <v>119047</v>
      </c>
      <c r="E104" s="28" t="s">
        <v>41</v>
      </c>
      <c r="F104" s="28"/>
      <c r="G104" s="28"/>
      <c r="H104" s="28"/>
      <c r="I104" s="28"/>
      <c r="J104" s="28"/>
      <c r="K104" s="28"/>
      <c r="L104" s="20">
        <v>194</v>
      </c>
      <c r="M104" s="21">
        <v>0</v>
      </c>
      <c r="N104" s="20">
        <f t="shared" si="17"/>
        <v>194</v>
      </c>
      <c r="O104" s="20">
        <v>174.5</v>
      </c>
      <c r="P104" s="21">
        <v>0</v>
      </c>
      <c r="Q104" s="20">
        <f t="shared" si="18"/>
        <v>174.5</v>
      </c>
      <c r="R104" s="20">
        <v>221.5</v>
      </c>
      <c r="S104" s="22">
        <v>0</v>
      </c>
      <c r="T104" s="20">
        <f t="shared" si="19"/>
        <v>221.5</v>
      </c>
      <c r="U104" s="20">
        <v>175.3</v>
      </c>
      <c r="V104" s="21">
        <v>0</v>
      </c>
      <c r="W104" s="20">
        <f t="shared" si="20"/>
        <v>175.3</v>
      </c>
      <c r="X104" s="20">
        <v>187</v>
      </c>
      <c r="Y104" s="22">
        <v>0</v>
      </c>
      <c r="Z104" s="20">
        <f t="shared" si="21"/>
        <v>187</v>
      </c>
      <c r="AA104" s="20">
        <v>139</v>
      </c>
      <c r="AB104" s="22">
        <v>0</v>
      </c>
      <c r="AC104" s="20">
        <f t="shared" si="22"/>
        <v>139</v>
      </c>
      <c r="AD104" s="20">
        <v>127</v>
      </c>
      <c r="AE104" s="22">
        <v>0</v>
      </c>
      <c r="AF104" s="20">
        <f t="shared" si="23"/>
        <v>127</v>
      </c>
      <c r="AG104" s="20">
        <v>121</v>
      </c>
      <c r="AH104" s="21">
        <v>0</v>
      </c>
      <c r="AI104" s="20">
        <f t="shared" si="24"/>
        <v>121</v>
      </c>
      <c r="AJ104" s="20">
        <v>102.5</v>
      </c>
      <c r="AK104" s="21">
        <v>0</v>
      </c>
      <c r="AL104" s="20">
        <f t="shared" si="25"/>
        <v>102.5</v>
      </c>
      <c r="AM104" s="20">
        <v>156</v>
      </c>
      <c r="AN104" s="21">
        <v>0</v>
      </c>
      <c r="AO104" s="20">
        <f t="shared" si="26"/>
        <v>156</v>
      </c>
      <c r="AP104" s="21">
        <v>144</v>
      </c>
      <c r="AQ104" s="20">
        <v>0</v>
      </c>
      <c r="AR104" s="20">
        <f t="shared" si="27"/>
        <v>144</v>
      </c>
      <c r="AS104" s="20">
        <v>149</v>
      </c>
      <c r="AT104" s="21">
        <v>0</v>
      </c>
      <c r="AU104" s="20">
        <f t="shared" si="28"/>
        <v>149</v>
      </c>
      <c r="AV104" s="23">
        <f t="shared" si="29"/>
        <v>1890.8</v>
      </c>
      <c r="AW104" s="22">
        <f t="shared" si="30"/>
        <v>0</v>
      </c>
      <c r="AX104" s="20">
        <f t="shared" si="31"/>
        <v>1890.8</v>
      </c>
      <c r="AY104" s="28" t="s">
        <v>2</v>
      </c>
      <c r="AZ104" s="28" t="s">
        <v>28</v>
      </c>
      <c r="BA104" s="28" t="s">
        <v>352</v>
      </c>
      <c r="BB104" s="29">
        <v>41271</v>
      </c>
    </row>
    <row r="105" spans="1:54" hidden="1">
      <c r="A105" s="28" t="str">
        <f t="shared" si="16"/>
        <v>801589119047</v>
      </c>
      <c r="B105" s="30">
        <v>801589</v>
      </c>
      <c r="C105" s="30" t="s">
        <v>44</v>
      </c>
      <c r="D105" s="31">
        <v>119047</v>
      </c>
      <c r="E105" s="28" t="s">
        <v>41</v>
      </c>
      <c r="F105" s="28"/>
      <c r="G105" s="28"/>
      <c r="H105" s="28"/>
      <c r="I105" s="28"/>
      <c r="J105" s="28"/>
      <c r="K105" s="28"/>
      <c r="L105" s="20">
        <v>41.5</v>
      </c>
      <c r="M105" s="21">
        <v>0</v>
      </c>
      <c r="N105" s="20">
        <f t="shared" si="17"/>
        <v>41.5</v>
      </c>
      <c r="O105" s="20">
        <v>20</v>
      </c>
      <c r="P105" s="21">
        <v>0</v>
      </c>
      <c r="Q105" s="20">
        <f t="shared" si="18"/>
        <v>20</v>
      </c>
      <c r="R105" s="20">
        <v>35</v>
      </c>
      <c r="S105" s="22">
        <v>0</v>
      </c>
      <c r="T105" s="20">
        <f t="shared" si="19"/>
        <v>35</v>
      </c>
      <c r="U105" s="20">
        <v>21.5</v>
      </c>
      <c r="V105" s="21">
        <v>0</v>
      </c>
      <c r="W105" s="20">
        <f t="shared" si="20"/>
        <v>21.5</v>
      </c>
      <c r="X105" s="20">
        <v>27</v>
      </c>
      <c r="Y105" s="22">
        <v>0</v>
      </c>
      <c r="Z105" s="20">
        <f t="shared" si="21"/>
        <v>27</v>
      </c>
      <c r="AA105" s="20">
        <v>20</v>
      </c>
      <c r="AB105" s="22">
        <v>0</v>
      </c>
      <c r="AC105" s="20">
        <f t="shared" si="22"/>
        <v>20</v>
      </c>
      <c r="AD105" s="20">
        <v>77</v>
      </c>
      <c r="AE105" s="22">
        <v>0</v>
      </c>
      <c r="AF105" s="20">
        <f t="shared" si="23"/>
        <v>77</v>
      </c>
      <c r="AG105" s="20">
        <v>0</v>
      </c>
      <c r="AH105" s="21">
        <v>0</v>
      </c>
      <c r="AI105" s="20">
        <f t="shared" si="24"/>
        <v>0</v>
      </c>
      <c r="AJ105" s="20">
        <v>0</v>
      </c>
      <c r="AK105" s="21">
        <v>0</v>
      </c>
      <c r="AL105" s="20">
        <f t="shared" si="25"/>
        <v>0</v>
      </c>
      <c r="AM105" s="20">
        <v>33</v>
      </c>
      <c r="AN105" s="21">
        <v>0</v>
      </c>
      <c r="AO105" s="20">
        <f t="shared" si="26"/>
        <v>33</v>
      </c>
      <c r="AP105" s="21">
        <v>40</v>
      </c>
      <c r="AQ105" s="20">
        <v>0</v>
      </c>
      <c r="AR105" s="20">
        <f t="shared" si="27"/>
        <v>40</v>
      </c>
      <c r="AS105" s="20">
        <v>42</v>
      </c>
      <c r="AT105" s="21">
        <v>0</v>
      </c>
      <c r="AU105" s="20">
        <f t="shared" si="28"/>
        <v>42</v>
      </c>
      <c r="AV105" s="23">
        <f t="shared" si="29"/>
        <v>357</v>
      </c>
      <c r="AW105" s="22">
        <f t="shared" si="30"/>
        <v>0</v>
      </c>
      <c r="AX105" s="20">
        <f t="shared" si="31"/>
        <v>357</v>
      </c>
      <c r="AY105" s="28" t="s">
        <v>2</v>
      </c>
      <c r="AZ105" s="28" t="s">
        <v>28</v>
      </c>
      <c r="BA105" s="28" t="s">
        <v>352</v>
      </c>
      <c r="BB105" s="29">
        <v>41271</v>
      </c>
    </row>
    <row r="106" spans="1:54" hidden="1">
      <c r="A106" s="28" t="str">
        <f t="shared" si="16"/>
        <v>801590119047</v>
      </c>
      <c r="B106" s="30">
        <v>801590</v>
      </c>
      <c r="C106" s="30" t="s">
        <v>126</v>
      </c>
      <c r="D106" s="31">
        <v>119047</v>
      </c>
      <c r="E106" s="28" t="s">
        <v>41</v>
      </c>
      <c r="F106" s="28"/>
      <c r="G106" s="28"/>
      <c r="H106" s="28"/>
      <c r="I106" s="28"/>
      <c r="J106" s="28"/>
      <c r="K106" s="28"/>
      <c r="L106" s="20">
        <v>41.5</v>
      </c>
      <c r="M106" s="21">
        <v>0</v>
      </c>
      <c r="N106" s="20">
        <f t="shared" si="17"/>
        <v>41.5</v>
      </c>
      <c r="O106" s="20">
        <v>41.5</v>
      </c>
      <c r="P106" s="21">
        <v>0</v>
      </c>
      <c r="Q106" s="20">
        <f t="shared" si="18"/>
        <v>41.5</v>
      </c>
      <c r="R106" s="20">
        <v>99.5</v>
      </c>
      <c r="S106" s="22">
        <v>0</v>
      </c>
      <c r="T106" s="20">
        <f t="shared" si="19"/>
        <v>99.5</v>
      </c>
      <c r="U106" s="20">
        <v>72</v>
      </c>
      <c r="V106" s="21">
        <v>0</v>
      </c>
      <c r="W106" s="20">
        <f t="shared" si="20"/>
        <v>72</v>
      </c>
      <c r="X106" s="20">
        <v>20</v>
      </c>
      <c r="Y106" s="22">
        <v>0</v>
      </c>
      <c r="Z106" s="20">
        <f t="shared" si="21"/>
        <v>20</v>
      </c>
      <c r="AA106" s="20">
        <v>42</v>
      </c>
      <c r="AB106" s="22">
        <v>0</v>
      </c>
      <c r="AC106" s="20">
        <f t="shared" si="22"/>
        <v>42</v>
      </c>
      <c r="AD106" s="20">
        <v>64</v>
      </c>
      <c r="AE106" s="22">
        <v>0</v>
      </c>
      <c r="AF106" s="20">
        <f t="shared" si="23"/>
        <v>64</v>
      </c>
      <c r="AG106" s="20">
        <v>47</v>
      </c>
      <c r="AH106" s="21">
        <v>0</v>
      </c>
      <c r="AI106" s="20">
        <f t="shared" si="24"/>
        <v>47</v>
      </c>
      <c r="AJ106" s="20">
        <v>30</v>
      </c>
      <c r="AK106" s="21">
        <v>0</v>
      </c>
      <c r="AL106" s="20">
        <f t="shared" si="25"/>
        <v>30</v>
      </c>
      <c r="AM106" s="20">
        <v>71</v>
      </c>
      <c r="AN106" s="21">
        <v>0</v>
      </c>
      <c r="AO106" s="20">
        <f t="shared" si="26"/>
        <v>71</v>
      </c>
      <c r="AP106" s="21">
        <v>74</v>
      </c>
      <c r="AQ106" s="20">
        <v>0</v>
      </c>
      <c r="AR106" s="20">
        <f t="shared" si="27"/>
        <v>74</v>
      </c>
      <c r="AS106" s="20">
        <v>47.5</v>
      </c>
      <c r="AT106" s="21">
        <v>0</v>
      </c>
      <c r="AU106" s="20">
        <f t="shared" si="28"/>
        <v>47.5</v>
      </c>
      <c r="AV106" s="23">
        <f t="shared" si="29"/>
        <v>650</v>
      </c>
      <c r="AW106" s="22">
        <f t="shared" si="30"/>
        <v>0</v>
      </c>
      <c r="AX106" s="20">
        <f t="shared" si="31"/>
        <v>650</v>
      </c>
      <c r="AY106" s="28" t="s">
        <v>2</v>
      </c>
      <c r="AZ106" s="28" t="s">
        <v>28</v>
      </c>
      <c r="BA106" s="28" t="s">
        <v>352</v>
      </c>
      <c r="BB106" s="29">
        <v>41271</v>
      </c>
    </row>
    <row r="107" spans="1:54" hidden="1">
      <c r="A107" s="28" t="str">
        <f t="shared" si="16"/>
        <v>801627202865</v>
      </c>
      <c r="B107" s="30">
        <v>801627</v>
      </c>
      <c r="C107" s="30" t="s">
        <v>121</v>
      </c>
      <c r="D107" s="31">
        <v>202865</v>
      </c>
      <c r="E107" s="28" t="s">
        <v>84</v>
      </c>
      <c r="F107" s="28"/>
      <c r="G107" s="28"/>
      <c r="H107" s="28"/>
      <c r="I107" s="28"/>
      <c r="J107" s="28"/>
      <c r="K107" s="28"/>
      <c r="L107" s="20">
        <v>84</v>
      </c>
      <c r="M107" s="21">
        <v>0</v>
      </c>
      <c r="N107" s="20">
        <f t="shared" si="17"/>
        <v>84</v>
      </c>
      <c r="O107" s="20">
        <v>131</v>
      </c>
      <c r="P107" s="21">
        <v>0</v>
      </c>
      <c r="Q107" s="20">
        <f t="shared" si="18"/>
        <v>131</v>
      </c>
      <c r="R107" s="20">
        <v>110</v>
      </c>
      <c r="S107" s="22">
        <v>0</v>
      </c>
      <c r="T107" s="20">
        <f t="shared" si="19"/>
        <v>110</v>
      </c>
      <c r="U107" s="20">
        <v>86.5</v>
      </c>
      <c r="V107" s="21">
        <v>0</v>
      </c>
      <c r="W107" s="20">
        <f t="shared" si="20"/>
        <v>86.5</v>
      </c>
      <c r="X107" s="20">
        <v>83</v>
      </c>
      <c r="Y107" s="22">
        <v>0</v>
      </c>
      <c r="Z107" s="20">
        <f t="shared" si="21"/>
        <v>83</v>
      </c>
      <c r="AA107" s="20">
        <v>84</v>
      </c>
      <c r="AB107" s="22">
        <v>0</v>
      </c>
      <c r="AC107" s="20">
        <f t="shared" si="22"/>
        <v>84</v>
      </c>
      <c r="AD107" s="20">
        <v>22</v>
      </c>
      <c r="AE107" s="22">
        <v>0</v>
      </c>
      <c r="AF107" s="20">
        <f t="shared" si="23"/>
        <v>22</v>
      </c>
      <c r="AG107" s="20">
        <v>41</v>
      </c>
      <c r="AH107" s="21">
        <v>0</v>
      </c>
      <c r="AI107" s="20">
        <f t="shared" si="24"/>
        <v>41</v>
      </c>
      <c r="AJ107" s="20">
        <v>104.5</v>
      </c>
      <c r="AK107" s="21">
        <v>0</v>
      </c>
      <c r="AL107" s="20">
        <f t="shared" si="25"/>
        <v>104.5</v>
      </c>
      <c r="AM107" s="20">
        <v>0</v>
      </c>
      <c r="AN107" s="21">
        <v>0</v>
      </c>
      <c r="AO107" s="20">
        <f t="shared" si="26"/>
        <v>0</v>
      </c>
      <c r="AP107" s="21">
        <v>42</v>
      </c>
      <c r="AQ107" s="20">
        <v>0</v>
      </c>
      <c r="AR107" s="20">
        <f t="shared" si="27"/>
        <v>42</v>
      </c>
      <c r="AS107" s="20">
        <v>42</v>
      </c>
      <c r="AT107" s="21">
        <v>0</v>
      </c>
      <c r="AU107" s="20">
        <f t="shared" si="28"/>
        <v>42</v>
      </c>
      <c r="AV107" s="23">
        <f t="shared" si="29"/>
        <v>830</v>
      </c>
      <c r="AW107" s="22">
        <f t="shared" si="30"/>
        <v>0</v>
      </c>
      <c r="AX107" s="20">
        <f t="shared" si="31"/>
        <v>830</v>
      </c>
      <c r="AY107" s="28" t="s">
        <v>2</v>
      </c>
      <c r="AZ107" s="28" t="s">
        <v>28</v>
      </c>
      <c r="BA107" s="28" t="s">
        <v>352</v>
      </c>
      <c r="BB107" s="29">
        <v>41283</v>
      </c>
    </row>
    <row r="108" spans="1:54" hidden="1">
      <c r="A108" s="28" t="str">
        <f t="shared" si="16"/>
        <v>802165143531</v>
      </c>
      <c r="B108" s="30">
        <v>802165</v>
      </c>
      <c r="C108" s="30" t="s">
        <v>128</v>
      </c>
      <c r="D108" s="31">
        <v>143531</v>
      </c>
      <c r="E108" s="28" t="s">
        <v>127</v>
      </c>
      <c r="F108" s="28"/>
      <c r="G108" s="28"/>
      <c r="H108" s="28"/>
      <c r="I108" s="28"/>
      <c r="J108" s="28"/>
      <c r="K108" s="28"/>
      <c r="L108" s="20">
        <v>42</v>
      </c>
      <c r="M108" s="21">
        <v>0</v>
      </c>
      <c r="N108" s="20">
        <f t="shared" si="17"/>
        <v>42</v>
      </c>
      <c r="O108" s="20">
        <v>61.5</v>
      </c>
      <c r="P108" s="21">
        <v>0</v>
      </c>
      <c r="Q108" s="20">
        <f t="shared" si="18"/>
        <v>61.5</v>
      </c>
      <c r="R108" s="20">
        <v>124.5</v>
      </c>
      <c r="S108" s="22">
        <v>0</v>
      </c>
      <c r="T108" s="20">
        <f t="shared" si="19"/>
        <v>124.5</v>
      </c>
      <c r="U108" s="20">
        <v>42</v>
      </c>
      <c r="V108" s="21">
        <v>0</v>
      </c>
      <c r="W108" s="20">
        <f t="shared" si="20"/>
        <v>42</v>
      </c>
      <c r="X108" s="20">
        <v>46.5</v>
      </c>
      <c r="Y108" s="22">
        <v>0</v>
      </c>
      <c r="Z108" s="20">
        <f t="shared" si="21"/>
        <v>46.5</v>
      </c>
      <c r="AA108" s="20">
        <v>12.5</v>
      </c>
      <c r="AB108" s="22">
        <v>0</v>
      </c>
      <c r="AC108" s="20">
        <f t="shared" si="22"/>
        <v>12.5</v>
      </c>
      <c r="AD108" s="20">
        <v>25</v>
      </c>
      <c r="AE108" s="22">
        <v>0</v>
      </c>
      <c r="AF108" s="20">
        <f t="shared" si="23"/>
        <v>25</v>
      </c>
      <c r="AG108" s="20">
        <v>25</v>
      </c>
      <c r="AH108" s="21">
        <v>0</v>
      </c>
      <c r="AI108" s="20">
        <f t="shared" si="24"/>
        <v>25</v>
      </c>
      <c r="AJ108" s="20">
        <v>50</v>
      </c>
      <c r="AK108" s="21">
        <v>0</v>
      </c>
      <c r="AL108" s="20">
        <f t="shared" si="25"/>
        <v>50</v>
      </c>
      <c r="AM108" s="20">
        <v>41.5</v>
      </c>
      <c r="AN108" s="21">
        <v>0</v>
      </c>
      <c r="AO108" s="20">
        <f t="shared" si="26"/>
        <v>41.5</v>
      </c>
      <c r="AP108" s="21">
        <v>42</v>
      </c>
      <c r="AQ108" s="20">
        <v>0</v>
      </c>
      <c r="AR108" s="20">
        <f t="shared" si="27"/>
        <v>42</v>
      </c>
      <c r="AS108" s="20">
        <v>12.5</v>
      </c>
      <c r="AT108" s="21">
        <v>0</v>
      </c>
      <c r="AU108" s="20">
        <f t="shared" si="28"/>
        <v>12.5</v>
      </c>
      <c r="AV108" s="23">
        <f t="shared" si="29"/>
        <v>525</v>
      </c>
      <c r="AW108" s="22">
        <f t="shared" si="30"/>
        <v>0</v>
      </c>
      <c r="AX108" s="20">
        <f t="shared" si="31"/>
        <v>525</v>
      </c>
      <c r="AY108" s="28" t="s">
        <v>2</v>
      </c>
      <c r="AZ108" s="28" t="s">
        <v>28</v>
      </c>
      <c r="BA108" s="28" t="s">
        <v>352</v>
      </c>
      <c r="BB108" s="29">
        <v>41461</v>
      </c>
    </row>
    <row r="109" spans="1:54" hidden="1">
      <c r="A109" s="28" t="str">
        <f t="shared" si="16"/>
        <v>802918143531</v>
      </c>
      <c r="B109" s="30">
        <v>802918</v>
      </c>
      <c r="C109" s="30" t="s">
        <v>157</v>
      </c>
      <c r="D109" s="31">
        <v>143531</v>
      </c>
      <c r="E109" s="28" t="s">
        <v>127</v>
      </c>
      <c r="F109" s="28"/>
      <c r="G109" s="28"/>
      <c r="H109" s="28"/>
      <c r="I109" s="28"/>
      <c r="J109" s="28"/>
      <c r="K109" s="28"/>
      <c r="L109" s="20">
        <v>15</v>
      </c>
      <c r="M109" s="21">
        <v>0</v>
      </c>
      <c r="N109" s="20">
        <f t="shared" si="17"/>
        <v>15</v>
      </c>
      <c r="O109" s="20">
        <v>20</v>
      </c>
      <c r="P109" s="21">
        <v>0</v>
      </c>
      <c r="Q109" s="20">
        <f t="shared" si="18"/>
        <v>20</v>
      </c>
      <c r="R109" s="20">
        <v>38</v>
      </c>
      <c r="S109" s="22">
        <v>0</v>
      </c>
      <c r="T109" s="20">
        <f t="shared" si="19"/>
        <v>38</v>
      </c>
      <c r="U109" s="20">
        <v>20.5</v>
      </c>
      <c r="V109" s="21">
        <v>0</v>
      </c>
      <c r="W109" s="20">
        <f t="shared" si="20"/>
        <v>20.5</v>
      </c>
      <c r="X109" s="20">
        <v>15</v>
      </c>
      <c r="Y109" s="22">
        <v>0</v>
      </c>
      <c r="Z109" s="20">
        <f t="shared" si="21"/>
        <v>15</v>
      </c>
      <c r="AA109" s="20">
        <v>0</v>
      </c>
      <c r="AB109" s="22">
        <v>0</v>
      </c>
      <c r="AC109" s="20">
        <f t="shared" si="22"/>
        <v>0</v>
      </c>
      <c r="AD109" s="20">
        <v>0</v>
      </c>
      <c r="AE109" s="22">
        <v>0</v>
      </c>
      <c r="AF109" s="20">
        <f t="shared" si="23"/>
        <v>0</v>
      </c>
      <c r="AG109" s="20">
        <v>12.5</v>
      </c>
      <c r="AH109" s="21">
        <v>0</v>
      </c>
      <c r="AI109" s="20">
        <f t="shared" si="24"/>
        <v>12.5</v>
      </c>
      <c r="AJ109" s="20">
        <v>0</v>
      </c>
      <c r="AK109" s="21">
        <v>0</v>
      </c>
      <c r="AL109" s="20">
        <f t="shared" si="25"/>
        <v>0</v>
      </c>
      <c r="AM109" s="20">
        <v>13</v>
      </c>
      <c r="AN109" s="21">
        <v>13</v>
      </c>
      <c r="AO109" s="20">
        <f t="shared" si="26"/>
        <v>26</v>
      </c>
      <c r="AP109" s="21">
        <v>0</v>
      </c>
      <c r="AQ109" s="20">
        <v>0</v>
      </c>
      <c r="AR109" s="20">
        <f t="shared" si="27"/>
        <v>0</v>
      </c>
      <c r="AS109" s="20">
        <v>13</v>
      </c>
      <c r="AT109" s="21">
        <v>0</v>
      </c>
      <c r="AU109" s="20">
        <f t="shared" si="28"/>
        <v>13</v>
      </c>
      <c r="AV109" s="23">
        <f t="shared" si="29"/>
        <v>147</v>
      </c>
      <c r="AW109" s="22">
        <f t="shared" si="30"/>
        <v>13</v>
      </c>
      <c r="AX109" s="20">
        <f t="shared" si="31"/>
        <v>160</v>
      </c>
      <c r="AY109" s="28" t="s">
        <v>2</v>
      </c>
      <c r="AZ109" s="28" t="s">
        <v>28</v>
      </c>
      <c r="BA109" s="28" t="s">
        <v>352</v>
      </c>
      <c r="BB109" s="29">
        <v>41535</v>
      </c>
    </row>
    <row r="110" spans="1:54" hidden="1">
      <c r="A110" s="28" t="str">
        <f t="shared" si="16"/>
        <v>803820129599</v>
      </c>
      <c r="B110" s="30">
        <v>803820</v>
      </c>
      <c r="C110" s="30" t="s">
        <v>22</v>
      </c>
      <c r="D110" s="31">
        <v>129599</v>
      </c>
      <c r="E110" s="28" t="s">
        <v>21</v>
      </c>
      <c r="F110" s="28"/>
      <c r="G110" s="28"/>
      <c r="H110" s="28"/>
      <c r="I110" s="28"/>
      <c r="J110" s="28"/>
      <c r="K110" s="28"/>
      <c r="L110" s="20">
        <v>41.5</v>
      </c>
      <c r="M110" s="21">
        <v>0</v>
      </c>
      <c r="N110" s="20">
        <f t="shared" si="17"/>
        <v>41.5</v>
      </c>
      <c r="O110" s="20">
        <v>50</v>
      </c>
      <c r="P110" s="21">
        <v>0</v>
      </c>
      <c r="Q110" s="20">
        <f t="shared" si="18"/>
        <v>50</v>
      </c>
      <c r="R110" s="20">
        <v>62</v>
      </c>
      <c r="S110" s="22">
        <v>0</v>
      </c>
      <c r="T110" s="20">
        <f t="shared" si="19"/>
        <v>62</v>
      </c>
      <c r="U110" s="20">
        <v>42</v>
      </c>
      <c r="V110" s="21">
        <v>0</v>
      </c>
      <c r="W110" s="20">
        <f t="shared" si="20"/>
        <v>42</v>
      </c>
      <c r="X110" s="20">
        <v>39.75</v>
      </c>
      <c r="Y110" s="22">
        <v>13.75</v>
      </c>
      <c r="Z110" s="20">
        <f t="shared" si="21"/>
        <v>53.5</v>
      </c>
      <c r="AA110" s="20">
        <v>56.5</v>
      </c>
      <c r="AB110" s="22">
        <v>2</v>
      </c>
      <c r="AC110" s="20">
        <f t="shared" si="22"/>
        <v>58.5</v>
      </c>
      <c r="AD110" s="20">
        <v>66.25</v>
      </c>
      <c r="AE110" s="22">
        <v>5.5</v>
      </c>
      <c r="AF110" s="20">
        <f t="shared" si="23"/>
        <v>71.75</v>
      </c>
      <c r="AG110" s="20">
        <v>26</v>
      </c>
      <c r="AH110" s="21">
        <v>0</v>
      </c>
      <c r="AI110" s="20">
        <f t="shared" si="24"/>
        <v>26</v>
      </c>
      <c r="AJ110" s="20">
        <v>52</v>
      </c>
      <c r="AK110" s="21">
        <v>0</v>
      </c>
      <c r="AL110" s="20">
        <f t="shared" si="25"/>
        <v>52</v>
      </c>
      <c r="AM110" s="20">
        <v>45</v>
      </c>
      <c r="AN110" s="21">
        <v>0</v>
      </c>
      <c r="AO110" s="20">
        <f t="shared" si="26"/>
        <v>45</v>
      </c>
      <c r="AP110" s="21">
        <v>63.5</v>
      </c>
      <c r="AQ110" s="20">
        <v>0</v>
      </c>
      <c r="AR110" s="20">
        <f t="shared" si="27"/>
        <v>63.5</v>
      </c>
      <c r="AS110" s="20">
        <v>66.5</v>
      </c>
      <c r="AT110" s="21">
        <v>0</v>
      </c>
      <c r="AU110" s="20">
        <f t="shared" si="28"/>
        <v>66.5</v>
      </c>
      <c r="AV110" s="23">
        <f t="shared" si="29"/>
        <v>611</v>
      </c>
      <c r="AW110" s="22">
        <f t="shared" si="30"/>
        <v>21.25</v>
      </c>
      <c r="AX110" s="20">
        <f t="shared" si="31"/>
        <v>632.25</v>
      </c>
      <c r="AY110" s="28" t="s">
        <v>2</v>
      </c>
      <c r="AZ110" s="28" t="s">
        <v>28</v>
      </c>
      <c r="BA110" s="28" t="s">
        <v>352</v>
      </c>
      <c r="BB110" s="29">
        <v>42032</v>
      </c>
    </row>
    <row r="111" spans="1:54" hidden="1">
      <c r="A111" s="28" t="str">
        <f t="shared" si="16"/>
        <v>805151202865</v>
      </c>
      <c r="B111" s="30">
        <v>805151</v>
      </c>
      <c r="C111" s="30" t="s">
        <v>95</v>
      </c>
      <c r="D111" s="31">
        <v>202865</v>
      </c>
      <c r="E111" s="28" t="s">
        <v>84</v>
      </c>
      <c r="F111" s="28"/>
      <c r="G111" s="28"/>
      <c r="H111" s="28"/>
      <c r="I111" s="28"/>
      <c r="J111" s="28"/>
      <c r="K111" s="28"/>
      <c r="L111" s="20">
        <v>105.5</v>
      </c>
      <c r="M111" s="21">
        <v>0</v>
      </c>
      <c r="N111" s="20">
        <f t="shared" si="17"/>
        <v>105.5</v>
      </c>
      <c r="O111" s="20">
        <v>165.5</v>
      </c>
      <c r="P111" s="21">
        <v>0</v>
      </c>
      <c r="Q111" s="20">
        <f t="shared" si="18"/>
        <v>165.5</v>
      </c>
      <c r="R111" s="20">
        <v>335.5</v>
      </c>
      <c r="S111" s="22">
        <v>22.5</v>
      </c>
      <c r="T111" s="20">
        <f t="shared" si="19"/>
        <v>358</v>
      </c>
      <c r="U111" s="20">
        <v>217</v>
      </c>
      <c r="V111" s="21">
        <v>0</v>
      </c>
      <c r="W111" s="20">
        <f t="shared" si="20"/>
        <v>217</v>
      </c>
      <c r="X111" s="20">
        <v>148.5</v>
      </c>
      <c r="Y111" s="22">
        <v>0</v>
      </c>
      <c r="Z111" s="20">
        <f t="shared" si="21"/>
        <v>148.5</v>
      </c>
      <c r="AA111" s="20">
        <v>137.5</v>
      </c>
      <c r="AB111" s="22">
        <v>0</v>
      </c>
      <c r="AC111" s="20">
        <f t="shared" si="22"/>
        <v>137.5</v>
      </c>
      <c r="AD111" s="20">
        <v>61</v>
      </c>
      <c r="AE111" s="22">
        <v>0</v>
      </c>
      <c r="AF111" s="20">
        <f t="shared" si="23"/>
        <v>61</v>
      </c>
      <c r="AG111" s="20">
        <v>145.5</v>
      </c>
      <c r="AH111" s="21">
        <v>0</v>
      </c>
      <c r="AI111" s="20">
        <f t="shared" si="24"/>
        <v>145.5</v>
      </c>
      <c r="AJ111" s="20">
        <v>233.5</v>
      </c>
      <c r="AK111" s="21">
        <v>12.5</v>
      </c>
      <c r="AL111" s="20">
        <f t="shared" si="25"/>
        <v>246</v>
      </c>
      <c r="AM111" s="20">
        <v>92.5</v>
      </c>
      <c r="AN111" s="21">
        <v>0</v>
      </c>
      <c r="AO111" s="20">
        <f t="shared" si="26"/>
        <v>92.5</v>
      </c>
      <c r="AP111" s="21">
        <v>127.5</v>
      </c>
      <c r="AQ111" s="20">
        <v>4.5</v>
      </c>
      <c r="AR111" s="20">
        <f t="shared" si="27"/>
        <v>132</v>
      </c>
      <c r="AS111" s="20">
        <v>178.5</v>
      </c>
      <c r="AT111" s="21">
        <v>11.5</v>
      </c>
      <c r="AU111" s="20">
        <f t="shared" si="28"/>
        <v>190</v>
      </c>
      <c r="AV111" s="23">
        <f t="shared" si="29"/>
        <v>1948</v>
      </c>
      <c r="AW111" s="22">
        <f t="shared" si="30"/>
        <v>51</v>
      </c>
      <c r="AX111" s="20">
        <f t="shared" si="31"/>
        <v>1999</v>
      </c>
      <c r="AY111" s="28" t="s">
        <v>2</v>
      </c>
      <c r="AZ111" s="28" t="s">
        <v>28</v>
      </c>
      <c r="BA111" s="28" t="s">
        <v>352</v>
      </c>
      <c r="BB111" s="29">
        <v>42528</v>
      </c>
    </row>
    <row r="112" spans="1:54" hidden="1">
      <c r="A112" s="28" t="str">
        <f t="shared" si="16"/>
        <v>805158202865</v>
      </c>
      <c r="B112" s="30">
        <v>805158</v>
      </c>
      <c r="C112" s="30" t="s">
        <v>132</v>
      </c>
      <c r="D112" s="31">
        <v>202865</v>
      </c>
      <c r="E112" s="28" t="s">
        <v>84</v>
      </c>
      <c r="F112" s="28"/>
      <c r="G112" s="28"/>
      <c r="H112" s="28"/>
      <c r="I112" s="28"/>
      <c r="J112" s="28"/>
      <c r="K112" s="28"/>
      <c r="L112" s="20">
        <v>54.5</v>
      </c>
      <c r="M112" s="21">
        <v>0</v>
      </c>
      <c r="N112" s="20">
        <f t="shared" si="17"/>
        <v>54.5</v>
      </c>
      <c r="O112" s="20">
        <v>41.5</v>
      </c>
      <c r="P112" s="21">
        <v>0</v>
      </c>
      <c r="Q112" s="20">
        <f t="shared" si="18"/>
        <v>41.5</v>
      </c>
      <c r="R112" s="20">
        <v>126</v>
      </c>
      <c r="S112" s="22">
        <v>0</v>
      </c>
      <c r="T112" s="20">
        <f t="shared" si="19"/>
        <v>126</v>
      </c>
      <c r="U112" s="20">
        <v>81.5</v>
      </c>
      <c r="V112" s="21">
        <v>0</v>
      </c>
      <c r="W112" s="20">
        <f t="shared" si="20"/>
        <v>81.5</v>
      </c>
      <c r="X112" s="20">
        <v>97</v>
      </c>
      <c r="Y112" s="22">
        <v>0</v>
      </c>
      <c r="Z112" s="20">
        <f t="shared" si="21"/>
        <v>97</v>
      </c>
      <c r="AA112" s="20">
        <v>32.5</v>
      </c>
      <c r="AB112" s="22">
        <v>0</v>
      </c>
      <c r="AC112" s="20">
        <f t="shared" si="22"/>
        <v>32.5</v>
      </c>
      <c r="AD112" s="20">
        <v>70</v>
      </c>
      <c r="AE112" s="22">
        <v>0</v>
      </c>
      <c r="AF112" s="20">
        <f t="shared" si="23"/>
        <v>70</v>
      </c>
      <c r="AG112" s="20">
        <v>98.5</v>
      </c>
      <c r="AH112" s="21">
        <v>3</v>
      </c>
      <c r="AI112" s="20">
        <f t="shared" si="24"/>
        <v>101.5</v>
      </c>
      <c r="AJ112" s="20">
        <v>94</v>
      </c>
      <c r="AK112" s="21">
        <v>0</v>
      </c>
      <c r="AL112" s="20">
        <f t="shared" si="25"/>
        <v>94</v>
      </c>
      <c r="AM112" s="20">
        <v>57</v>
      </c>
      <c r="AN112" s="21">
        <v>0</v>
      </c>
      <c r="AO112" s="20">
        <f t="shared" si="26"/>
        <v>57</v>
      </c>
      <c r="AP112" s="21">
        <v>77.5</v>
      </c>
      <c r="AQ112" s="20">
        <v>0</v>
      </c>
      <c r="AR112" s="20">
        <f t="shared" si="27"/>
        <v>77.5</v>
      </c>
      <c r="AS112" s="20">
        <v>71</v>
      </c>
      <c r="AT112" s="21">
        <v>0</v>
      </c>
      <c r="AU112" s="20">
        <f t="shared" si="28"/>
        <v>71</v>
      </c>
      <c r="AV112" s="23">
        <f t="shared" si="29"/>
        <v>901</v>
      </c>
      <c r="AW112" s="22">
        <f t="shared" si="30"/>
        <v>3</v>
      </c>
      <c r="AX112" s="20">
        <f t="shared" si="31"/>
        <v>904</v>
      </c>
      <c r="AY112" s="28" t="s">
        <v>2</v>
      </c>
      <c r="AZ112" s="28" t="s">
        <v>28</v>
      </c>
      <c r="BA112" s="28" t="s">
        <v>352</v>
      </c>
      <c r="BB112" s="29">
        <v>42530</v>
      </c>
    </row>
    <row r="113" spans="1:54" hidden="1">
      <c r="A113" s="28" t="str">
        <f t="shared" si="16"/>
        <v>805811202865</v>
      </c>
      <c r="B113" s="30">
        <v>805811</v>
      </c>
      <c r="C113" s="30" t="s">
        <v>96</v>
      </c>
      <c r="D113" s="31">
        <v>202865</v>
      </c>
      <c r="E113" s="28" t="s">
        <v>84</v>
      </c>
      <c r="F113" s="28"/>
      <c r="G113" s="28"/>
      <c r="H113" s="28"/>
      <c r="I113" s="28"/>
      <c r="J113" s="28"/>
      <c r="K113" s="28"/>
      <c r="L113" s="20">
        <v>30</v>
      </c>
      <c r="M113" s="21">
        <v>0</v>
      </c>
      <c r="N113" s="20">
        <f t="shared" si="17"/>
        <v>30</v>
      </c>
      <c r="O113" s="20">
        <v>94</v>
      </c>
      <c r="P113" s="21">
        <v>0</v>
      </c>
      <c r="Q113" s="20">
        <f t="shared" si="18"/>
        <v>94</v>
      </c>
      <c r="R113" s="20">
        <v>207.5</v>
      </c>
      <c r="S113" s="22">
        <v>0</v>
      </c>
      <c r="T113" s="20">
        <f t="shared" si="19"/>
        <v>207.5</v>
      </c>
      <c r="U113" s="20">
        <v>181.5</v>
      </c>
      <c r="V113" s="21">
        <v>0</v>
      </c>
      <c r="W113" s="20">
        <f t="shared" si="20"/>
        <v>181.5</v>
      </c>
      <c r="X113" s="20">
        <v>116</v>
      </c>
      <c r="Y113" s="22">
        <v>12.5</v>
      </c>
      <c r="Z113" s="20">
        <f t="shared" si="21"/>
        <v>128.5</v>
      </c>
      <c r="AA113" s="20">
        <v>192</v>
      </c>
      <c r="AB113" s="22">
        <v>0</v>
      </c>
      <c r="AC113" s="20">
        <f t="shared" si="22"/>
        <v>192</v>
      </c>
      <c r="AD113" s="20">
        <v>104</v>
      </c>
      <c r="AE113" s="22">
        <v>0</v>
      </c>
      <c r="AF113" s="20">
        <f t="shared" si="23"/>
        <v>104</v>
      </c>
      <c r="AG113" s="20">
        <v>142</v>
      </c>
      <c r="AH113" s="21">
        <v>0</v>
      </c>
      <c r="AI113" s="20">
        <f t="shared" si="24"/>
        <v>142</v>
      </c>
      <c r="AJ113" s="20">
        <v>276.5</v>
      </c>
      <c r="AK113" s="21">
        <v>0</v>
      </c>
      <c r="AL113" s="20">
        <f t="shared" si="25"/>
        <v>276.5</v>
      </c>
      <c r="AM113" s="20">
        <v>143</v>
      </c>
      <c r="AN113" s="21">
        <v>0</v>
      </c>
      <c r="AO113" s="20">
        <f t="shared" si="26"/>
        <v>143</v>
      </c>
      <c r="AP113" s="21">
        <v>100.5</v>
      </c>
      <c r="AQ113" s="20">
        <v>0</v>
      </c>
      <c r="AR113" s="20">
        <f t="shared" si="27"/>
        <v>100.5</v>
      </c>
      <c r="AS113" s="20">
        <v>141</v>
      </c>
      <c r="AT113" s="21">
        <v>12.5</v>
      </c>
      <c r="AU113" s="20">
        <f t="shared" si="28"/>
        <v>153.5</v>
      </c>
      <c r="AV113" s="23">
        <f t="shared" si="29"/>
        <v>1728</v>
      </c>
      <c r="AW113" s="22">
        <f t="shared" si="30"/>
        <v>25</v>
      </c>
      <c r="AX113" s="20">
        <f t="shared" si="31"/>
        <v>1753</v>
      </c>
      <c r="AY113" s="28" t="s">
        <v>2</v>
      </c>
      <c r="AZ113" s="28" t="s">
        <v>28</v>
      </c>
      <c r="BA113" s="28" t="s">
        <v>352</v>
      </c>
      <c r="BB113" s="29">
        <v>42704</v>
      </c>
    </row>
    <row r="114" spans="1:54" hidden="1">
      <c r="A114" s="28" t="str">
        <f t="shared" si="16"/>
        <v>806234202865</v>
      </c>
      <c r="B114" s="30">
        <v>806234</v>
      </c>
      <c r="C114" s="30" t="s">
        <v>98</v>
      </c>
      <c r="D114" s="31">
        <v>202865</v>
      </c>
      <c r="E114" s="28" t="s">
        <v>84</v>
      </c>
      <c r="F114" s="28"/>
      <c r="G114" s="28"/>
      <c r="H114" s="28"/>
      <c r="I114" s="28"/>
      <c r="J114" s="28"/>
      <c r="K114" s="28"/>
      <c r="L114" s="20">
        <v>42</v>
      </c>
      <c r="M114" s="21">
        <v>0</v>
      </c>
      <c r="N114" s="20">
        <f t="shared" si="17"/>
        <v>42</v>
      </c>
      <c r="O114" s="20">
        <v>0</v>
      </c>
      <c r="P114" s="21">
        <v>0</v>
      </c>
      <c r="Q114" s="20">
        <f t="shared" si="18"/>
        <v>0</v>
      </c>
      <c r="R114" s="20">
        <v>0</v>
      </c>
      <c r="S114" s="22">
        <v>0</v>
      </c>
      <c r="T114" s="20">
        <f t="shared" si="19"/>
        <v>0</v>
      </c>
      <c r="U114" s="20">
        <v>0</v>
      </c>
      <c r="V114" s="21">
        <v>0</v>
      </c>
      <c r="W114" s="20">
        <f t="shared" si="20"/>
        <v>0</v>
      </c>
      <c r="X114" s="20">
        <v>0</v>
      </c>
      <c r="Y114" s="22">
        <v>0</v>
      </c>
      <c r="Z114" s="20">
        <f t="shared" si="21"/>
        <v>0</v>
      </c>
      <c r="AA114" s="20">
        <v>0</v>
      </c>
      <c r="AB114" s="22">
        <v>0</v>
      </c>
      <c r="AC114" s="20">
        <f t="shared" si="22"/>
        <v>0</v>
      </c>
      <c r="AD114" s="20">
        <v>0</v>
      </c>
      <c r="AE114" s="22">
        <v>0</v>
      </c>
      <c r="AF114" s="20">
        <f t="shared" si="23"/>
        <v>0</v>
      </c>
      <c r="AG114" s="20">
        <v>0</v>
      </c>
      <c r="AH114" s="21">
        <v>0</v>
      </c>
      <c r="AI114" s="20">
        <f t="shared" si="24"/>
        <v>0</v>
      </c>
      <c r="AJ114" s="20">
        <v>115.5</v>
      </c>
      <c r="AK114" s="21">
        <v>0</v>
      </c>
      <c r="AL114" s="20">
        <f t="shared" si="25"/>
        <v>115.5</v>
      </c>
      <c r="AM114" s="20">
        <v>87</v>
      </c>
      <c r="AN114" s="21">
        <v>0</v>
      </c>
      <c r="AO114" s="20">
        <f t="shared" si="26"/>
        <v>87</v>
      </c>
      <c r="AP114" s="21">
        <v>45</v>
      </c>
      <c r="AQ114" s="20">
        <v>0</v>
      </c>
      <c r="AR114" s="20">
        <f t="shared" si="27"/>
        <v>45</v>
      </c>
      <c r="AS114" s="20">
        <v>111</v>
      </c>
      <c r="AT114" s="21">
        <v>0</v>
      </c>
      <c r="AU114" s="20">
        <f t="shared" si="28"/>
        <v>111</v>
      </c>
      <c r="AV114" s="23">
        <f t="shared" si="29"/>
        <v>400.5</v>
      </c>
      <c r="AW114" s="22">
        <f t="shared" si="30"/>
        <v>0</v>
      </c>
      <c r="AX114" s="20">
        <f t="shared" si="31"/>
        <v>400.5</v>
      </c>
      <c r="AY114" s="28" t="s">
        <v>2</v>
      </c>
      <c r="AZ114" s="28" t="s">
        <v>28</v>
      </c>
      <c r="BA114" s="28" t="s">
        <v>352</v>
      </c>
      <c r="BB114" s="29">
        <v>42832</v>
      </c>
    </row>
    <row r="115" spans="1:54" hidden="1">
      <c r="A115" s="28" t="str">
        <f t="shared" si="16"/>
        <v>806436119023</v>
      </c>
      <c r="B115" s="30">
        <v>806436</v>
      </c>
      <c r="C115" s="30" t="s">
        <v>138</v>
      </c>
      <c r="D115" s="31">
        <v>119023</v>
      </c>
      <c r="E115" s="28" t="s">
        <v>35</v>
      </c>
      <c r="F115" s="28"/>
      <c r="G115" s="28"/>
      <c r="H115" s="28"/>
      <c r="I115" s="28"/>
      <c r="J115" s="28"/>
      <c r="K115" s="28"/>
      <c r="L115" s="20">
        <v>101</v>
      </c>
      <c r="M115" s="21">
        <v>0</v>
      </c>
      <c r="N115" s="20">
        <f t="shared" si="17"/>
        <v>101</v>
      </c>
      <c r="O115" s="20">
        <v>41.5</v>
      </c>
      <c r="P115" s="21">
        <v>0</v>
      </c>
      <c r="Q115" s="20">
        <f t="shared" si="18"/>
        <v>41.5</v>
      </c>
      <c r="R115" s="20">
        <v>170.5</v>
      </c>
      <c r="S115" s="22">
        <v>0</v>
      </c>
      <c r="T115" s="20">
        <f t="shared" si="19"/>
        <v>170.5</v>
      </c>
      <c r="U115" s="20">
        <v>103</v>
      </c>
      <c r="V115" s="21">
        <v>0</v>
      </c>
      <c r="W115" s="20">
        <f t="shared" si="20"/>
        <v>103</v>
      </c>
      <c r="X115" s="20">
        <v>0</v>
      </c>
      <c r="Y115" s="22">
        <v>0</v>
      </c>
      <c r="Z115" s="20">
        <f t="shared" si="21"/>
        <v>0</v>
      </c>
      <c r="AA115" s="20">
        <v>162</v>
      </c>
      <c r="AB115" s="22">
        <v>0</v>
      </c>
      <c r="AC115" s="20">
        <f t="shared" si="22"/>
        <v>162</v>
      </c>
      <c r="AD115" s="20">
        <v>172</v>
      </c>
      <c r="AE115" s="22">
        <v>0</v>
      </c>
      <c r="AF115" s="20">
        <f t="shared" si="23"/>
        <v>172</v>
      </c>
      <c r="AG115" s="20">
        <v>205.5</v>
      </c>
      <c r="AH115" s="21">
        <v>0</v>
      </c>
      <c r="AI115" s="20">
        <f t="shared" si="24"/>
        <v>205.5</v>
      </c>
      <c r="AJ115" s="20">
        <v>161</v>
      </c>
      <c r="AK115" s="21">
        <v>0</v>
      </c>
      <c r="AL115" s="20">
        <f t="shared" si="25"/>
        <v>161</v>
      </c>
      <c r="AM115" s="20">
        <v>106</v>
      </c>
      <c r="AN115" s="21">
        <v>0</v>
      </c>
      <c r="AO115" s="20">
        <f t="shared" si="26"/>
        <v>106</v>
      </c>
      <c r="AP115" s="21">
        <v>146</v>
      </c>
      <c r="AQ115" s="20">
        <v>0</v>
      </c>
      <c r="AR115" s="20">
        <f t="shared" si="27"/>
        <v>146</v>
      </c>
      <c r="AS115" s="20">
        <v>159</v>
      </c>
      <c r="AT115" s="21">
        <v>0</v>
      </c>
      <c r="AU115" s="20">
        <f t="shared" si="28"/>
        <v>159</v>
      </c>
      <c r="AV115" s="23">
        <f t="shared" si="29"/>
        <v>1527.5</v>
      </c>
      <c r="AW115" s="22">
        <f t="shared" si="30"/>
        <v>0</v>
      </c>
      <c r="AX115" s="20">
        <f t="shared" si="31"/>
        <v>1527.5</v>
      </c>
      <c r="AY115" s="28" t="s">
        <v>2</v>
      </c>
      <c r="AZ115" s="28" t="s">
        <v>28</v>
      </c>
      <c r="BA115" s="28" t="s">
        <v>352</v>
      </c>
      <c r="BB115" s="29">
        <v>42893</v>
      </c>
    </row>
    <row r="116" spans="1:54" hidden="1">
      <c r="A116" s="28" t="str">
        <f t="shared" si="16"/>
        <v>806439119023</v>
      </c>
      <c r="B116" s="30">
        <v>806439</v>
      </c>
      <c r="C116" s="30" t="s">
        <v>145</v>
      </c>
      <c r="D116" s="31">
        <v>119023</v>
      </c>
      <c r="E116" s="28" t="s">
        <v>35</v>
      </c>
      <c r="F116" s="28"/>
      <c r="G116" s="28"/>
      <c r="H116" s="28"/>
      <c r="I116" s="28"/>
      <c r="J116" s="28"/>
      <c r="K116" s="28"/>
      <c r="L116" s="20">
        <v>101</v>
      </c>
      <c r="M116" s="21">
        <v>0</v>
      </c>
      <c r="N116" s="20">
        <f t="shared" si="17"/>
        <v>101</v>
      </c>
      <c r="O116" s="20">
        <v>115.5</v>
      </c>
      <c r="P116" s="21">
        <v>0</v>
      </c>
      <c r="Q116" s="20">
        <f t="shared" si="18"/>
        <v>115.5</v>
      </c>
      <c r="R116" s="20">
        <v>211</v>
      </c>
      <c r="S116" s="22">
        <v>0</v>
      </c>
      <c r="T116" s="20">
        <f t="shared" si="19"/>
        <v>211</v>
      </c>
      <c r="U116" s="20">
        <v>241</v>
      </c>
      <c r="V116" s="21">
        <v>0</v>
      </c>
      <c r="W116" s="20">
        <f t="shared" si="20"/>
        <v>241</v>
      </c>
      <c r="X116" s="20">
        <v>0</v>
      </c>
      <c r="Y116" s="22">
        <v>0</v>
      </c>
      <c r="Z116" s="20">
        <f t="shared" si="21"/>
        <v>0</v>
      </c>
      <c r="AA116" s="20">
        <v>200.5</v>
      </c>
      <c r="AB116" s="22">
        <v>0</v>
      </c>
      <c r="AC116" s="20">
        <f t="shared" si="22"/>
        <v>200.5</v>
      </c>
      <c r="AD116" s="20">
        <v>129</v>
      </c>
      <c r="AE116" s="22">
        <v>0</v>
      </c>
      <c r="AF116" s="20">
        <f t="shared" si="23"/>
        <v>129</v>
      </c>
      <c r="AG116" s="20">
        <v>0</v>
      </c>
      <c r="AH116" s="21">
        <v>0</v>
      </c>
      <c r="AI116" s="20">
        <f t="shared" si="24"/>
        <v>0</v>
      </c>
      <c r="AJ116" s="20">
        <v>160</v>
      </c>
      <c r="AK116" s="21">
        <v>0</v>
      </c>
      <c r="AL116" s="20">
        <f t="shared" si="25"/>
        <v>160</v>
      </c>
      <c r="AM116" s="20">
        <v>56</v>
      </c>
      <c r="AN116" s="21">
        <v>0</v>
      </c>
      <c r="AO116" s="20">
        <f t="shared" si="26"/>
        <v>56</v>
      </c>
      <c r="AP116" s="21">
        <v>112</v>
      </c>
      <c r="AQ116" s="20">
        <v>0</v>
      </c>
      <c r="AR116" s="20">
        <f t="shared" si="27"/>
        <v>112</v>
      </c>
      <c r="AS116" s="20">
        <v>219</v>
      </c>
      <c r="AT116" s="21">
        <v>0</v>
      </c>
      <c r="AU116" s="20">
        <f t="shared" si="28"/>
        <v>219</v>
      </c>
      <c r="AV116" s="23">
        <f t="shared" si="29"/>
        <v>1545</v>
      </c>
      <c r="AW116" s="22">
        <f t="shared" si="30"/>
        <v>0</v>
      </c>
      <c r="AX116" s="20">
        <f t="shared" si="31"/>
        <v>1545</v>
      </c>
      <c r="AY116" s="28" t="s">
        <v>2</v>
      </c>
      <c r="AZ116" s="28" t="s">
        <v>28</v>
      </c>
      <c r="BA116" s="28" t="s">
        <v>352</v>
      </c>
      <c r="BB116" s="29">
        <v>42893</v>
      </c>
    </row>
    <row r="117" spans="1:54" hidden="1">
      <c r="A117" s="28" t="str">
        <f t="shared" si="16"/>
        <v>806440119023</v>
      </c>
      <c r="B117" s="30">
        <v>806440</v>
      </c>
      <c r="C117" s="30" t="s">
        <v>366</v>
      </c>
      <c r="D117" s="31">
        <v>119023</v>
      </c>
      <c r="E117" s="28" t="s">
        <v>35</v>
      </c>
      <c r="F117" s="28"/>
      <c r="G117" s="28"/>
      <c r="H117" s="28"/>
      <c r="I117" s="28"/>
      <c r="J117" s="28"/>
      <c r="K117" s="28"/>
      <c r="L117" s="20">
        <v>0</v>
      </c>
      <c r="M117" s="21">
        <v>0</v>
      </c>
      <c r="N117" s="20">
        <f t="shared" si="17"/>
        <v>0</v>
      </c>
      <c r="O117" s="20">
        <v>0</v>
      </c>
      <c r="P117" s="21">
        <v>0</v>
      </c>
      <c r="Q117" s="20">
        <f t="shared" si="18"/>
        <v>0</v>
      </c>
      <c r="R117" s="20">
        <v>23</v>
      </c>
      <c r="S117" s="22">
        <v>0</v>
      </c>
      <c r="T117" s="20">
        <f t="shared" si="19"/>
        <v>23</v>
      </c>
      <c r="U117" s="20">
        <v>0</v>
      </c>
      <c r="V117" s="21">
        <v>0</v>
      </c>
      <c r="W117" s="20">
        <f t="shared" si="20"/>
        <v>0</v>
      </c>
      <c r="X117" s="20">
        <v>0</v>
      </c>
      <c r="Y117" s="22">
        <v>0</v>
      </c>
      <c r="Z117" s="20">
        <f t="shared" si="21"/>
        <v>0</v>
      </c>
      <c r="AA117" s="20">
        <v>51.5</v>
      </c>
      <c r="AB117" s="22">
        <v>0</v>
      </c>
      <c r="AC117" s="20">
        <f t="shared" si="22"/>
        <v>51.5</v>
      </c>
      <c r="AD117" s="20">
        <v>43</v>
      </c>
      <c r="AE117" s="22">
        <v>0</v>
      </c>
      <c r="AF117" s="20">
        <f t="shared" si="23"/>
        <v>43</v>
      </c>
      <c r="AG117" s="20">
        <v>0</v>
      </c>
      <c r="AH117" s="21">
        <v>0</v>
      </c>
      <c r="AI117" s="20">
        <f t="shared" si="24"/>
        <v>0</v>
      </c>
      <c r="AJ117" s="20">
        <v>0</v>
      </c>
      <c r="AK117" s="21">
        <v>0</v>
      </c>
      <c r="AL117" s="20">
        <f t="shared" si="25"/>
        <v>0</v>
      </c>
      <c r="AM117" s="20">
        <v>51</v>
      </c>
      <c r="AN117" s="21">
        <v>0</v>
      </c>
      <c r="AO117" s="20">
        <f t="shared" si="26"/>
        <v>51</v>
      </c>
      <c r="AP117" s="21">
        <v>0</v>
      </c>
      <c r="AQ117" s="20">
        <v>0</v>
      </c>
      <c r="AR117" s="20">
        <f t="shared" si="27"/>
        <v>0</v>
      </c>
      <c r="AS117" s="20">
        <v>0</v>
      </c>
      <c r="AT117" s="21">
        <v>0</v>
      </c>
      <c r="AU117" s="20">
        <f t="shared" si="28"/>
        <v>0</v>
      </c>
      <c r="AV117" s="23">
        <f t="shared" si="29"/>
        <v>168.5</v>
      </c>
      <c r="AW117" s="22">
        <f t="shared" si="30"/>
        <v>0</v>
      </c>
      <c r="AX117" s="20">
        <f t="shared" si="31"/>
        <v>168.5</v>
      </c>
      <c r="AY117" s="28" t="s">
        <v>2</v>
      </c>
      <c r="AZ117" s="28" t="s">
        <v>28</v>
      </c>
      <c r="BA117" s="28" t="s">
        <v>352</v>
      </c>
      <c r="BB117" s="29">
        <v>42893</v>
      </c>
    </row>
    <row r="118" spans="1:54" hidden="1">
      <c r="A118" s="28" t="str">
        <f t="shared" si="16"/>
        <v>806754177450</v>
      </c>
      <c r="B118" s="30">
        <v>806754</v>
      </c>
      <c r="C118" s="30" t="s">
        <v>264</v>
      </c>
      <c r="D118" s="31">
        <v>177450</v>
      </c>
      <c r="E118" s="28" t="s">
        <v>249</v>
      </c>
      <c r="F118" s="28"/>
      <c r="G118" s="28"/>
      <c r="H118" s="28"/>
      <c r="I118" s="28"/>
      <c r="J118" s="28"/>
      <c r="K118" s="28"/>
      <c r="L118" s="20">
        <v>60</v>
      </c>
      <c r="M118" s="21">
        <v>0</v>
      </c>
      <c r="N118" s="20">
        <f t="shared" si="17"/>
        <v>60</v>
      </c>
      <c r="O118" s="20">
        <v>5</v>
      </c>
      <c r="P118" s="21">
        <v>0</v>
      </c>
      <c r="Q118" s="20">
        <f t="shared" si="18"/>
        <v>5</v>
      </c>
      <c r="R118" s="20">
        <v>22.599999999999998</v>
      </c>
      <c r="S118" s="22">
        <v>0.9</v>
      </c>
      <c r="T118" s="20">
        <f t="shared" si="19"/>
        <v>23.499999999999996</v>
      </c>
      <c r="U118" s="20">
        <v>50</v>
      </c>
      <c r="V118" s="21">
        <v>0</v>
      </c>
      <c r="W118" s="20">
        <f t="shared" si="20"/>
        <v>50</v>
      </c>
      <c r="X118" s="20">
        <v>65.75</v>
      </c>
      <c r="Y118" s="22">
        <v>0</v>
      </c>
      <c r="Z118" s="20">
        <f t="shared" si="21"/>
        <v>65.75</v>
      </c>
      <c r="AA118" s="20">
        <v>28</v>
      </c>
      <c r="AB118" s="22">
        <v>0</v>
      </c>
      <c r="AC118" s="20">
        <f t="shared" si="22"/>
        <v>28</v>
      </c>
      <c r="AD118" s="20">
        <v>30</v>
      </c>
      <c r="AE118" s="22">
        <v>0</v>
      </c>
      <c r="AF118" s="20">
        <f t="shared" si="23"/>
        <v>30</v>
      </c>
      <c r="AG118" s="20">
        <v>10</v>
      </c>
      <c r="AH118" s="21">
        <v>0</v>
      </c>
      <c r="AI118" s="20">
        <f t="shared" si="24"/>
        <v>10</v>
      </c>
      <c r="AJ118" s="20">
        <v>57</v>
      </c>
      <c r="AK118" s="21">
        <v>0</v>
      </c>
      <c r="AL118" s="20">
        <f t="shared" si="25"/>
        <v>57</v>
      </c>
      <c r="AM118" s="20">
        <v>10</v>
      </c>
      <c r="AN118" s="21">
        <v>0</v>
      </c>
      <c r="AO118" s="20">
        <f t="shared" si="26"/>
        <v>10</v>
      </c>
      <c r="AP118" s="21">
        <v>35</v>
      </c>
      <c r="AQ118" s="20">
        <v>0</v>
      </c>
      <c r="AR118" s="20">
        <f t="shared" si="27"/>
        <v>35</v>
      </c>
      <c r="AS118" s="20">
        <v>35</v>
      </c>
      <c r="AT118" s="21">
        <v>0</v>
      </c>
      <c r="AU118" s="20">
        <f t="shared" si="28"/>
        <v>35</v>
      </c>
      <c r="AV118" s="23">
        <f t="shared" si="29"/>
        <v>408.35</v>
      </c>
      <c r="AW118" s="22">
        <f t="shared" si="30"/>
        <v>0.9</v>
      </c>
      <c r="AX118" s="20">
        <f t="shared" si="31"/>
        <v>409.25</v>
      </c>
      <c r="AY118" s="28" t="s">
        <v>2</v>
      </c>
      <c r="AZ118" s="28" t="s">
        <v>28</v>
      </c>
      <c r="BA118" s="28" t="s">
        <v>352</v>
      </c>
      <c r="BB118" s="29">
        <v>42895</v>
      </c>
    </row>
    <row r="119" spans="1:54" hidden="1">
      <c r="A119" s="28" t="str">
        <f t="shared" si="16"/>
        <v>806882119023</v>
      </c>
      <c r="B119" s="30">
        <v>806882</v>
      </c>
      <c r="C119" s="30" t="s">
        <v>156</v>
      </c>
      <c r="D119" s="31">
        <v>119023</v>
      </c>
      <c r="E119" s="28" t="s">
        <v>35</v>
      </c>
      <c r="F119" s="28"/>
      <c r="G119" s="28"/>
      <c r="H119" s="28"/>
      <c r="I119" s="28"/>
      <c r="J119" s="28"/>
      <c r="K119" s="28"/>
      <c r="L119" s="20">
        <v>104</v>
      </c>
      <c r="M119" s="21">
        <v>0</v>
      </c>
      <c r="N119" s="20">
        <f t="shared" si="17"/>
        <v>104</v>
      </c>
      <c r="O119" s="20">
        <v>115</v>
      </c>
      <c r="P119" s="21">
        <v>8</v>
      </c>
      <c r="Q119" s="20">
        <f t="shared" si="18"/>
        <v>123</v>
      </c>
      <c r="R119" s="20">
        <v>215</v>
      </c>
      <c r="S119" s="22">
        <v>0</v>
      </c>
      <c r="T119" s="20">
        <f t="shared" si="19"/>
        <v>215</v>
      </c>
      <c r="U119" s="20">
        <v>225</v>
      </c>
      <c r="V119" s="21">
        <v>0</v>
      </c>
      <c r="W119" s="20">
        <f t="shared" si="20"/>
        <v>225</v>
      </c>
      <c r="X119" s="20">
        <v>88.5</v>
      </c>
      <c r="Y119" s="22">
        <v>0</v>
      </c>
      <c r="Z119" s="20">
        <f t="shared" si="21"/>
        <v>88.5</v>
      </c>
      <c r="AA119" s="20">
        <v>220</v>
      </c>
      <c r="AB119" s="22">
        <v>0</v>
      </c>
      <c r="AC119" s="20">
        <f t="shared" si="22"/>
        <v>220</v>
      </c>
      <c r="AD119" s="20">
        <v>129</v>
      </c>
      <c r="AE119" s="22">
        <v>0</v>
      </c>
      <c r="AF119" s="20">
        <f t="shared" si="23"/>
        <v>129</v>
      </c>
      <c r="AG119" s="20">
        <v>0</v>
      </c>
      <c r="AH119" s="21">
        <v>0</v>
      </c>
      <c r="AI119" s="20">
        <f t="shared" si="24"/>
        <v>0</v>
      </c>
      <c r="AJ119" s="20">
        <v>113</v>
      </c>
      <c r="AK119" s="21">
        <v>0</v>
      </c>
      <c r="AL119" s="20">
        <f t="shared" si="25"/>
        <v>113</v>
      </c>
      <c r="AM119" s="20">
        <v>53</v>
      </c>
      <c r="AN119" s="21">
        <v>0</v>
      </c>
      <c r="AO119" s="20">
        <f t="shared" si="26"/>
        <v>53</v>
      </c>
      <c r="AP119" s="21">
        <v>107</v>
      </c>
      <c r="AQ119" s="20">
        <v>0</v>
      </c>
      <c r="AR119" s="20">
        <f t="shared" si="27"/>
        <v>107</v>
      </c>
      <c r="AS119" s="20">
        <v>149</v>
      </c>
      <c r="AT119" s="21">
        <v>0</v>
      </c>
      <c r="AU119" s="20">
        <f t="shared" si="28"/>
        <v>149</v>
      </c>
      <c r="AV119" s="23">
        <f t="shared" si="29"/>
        <v>1518.5</v>
      </c>
      <c r="AW119" s="22">
        <f t="shared" si="30"/>
        <v>8</v>
      </c>
      <c r="AX119" s="20">
        <f t="shared" si="31"/>
        <v>1526.5</v>
      </c>
      <c r="AY119" s="28" t="s">
        <v>2</v>
      </c>
      <c r="AZ119" s="28" t="s">
        <v>28</v>
      </c>
      <c r="BA119" s="28" t="s">
        <v>352</v>
      </c>
      <c r="BB119" s="29">
        <v>42993</v>
      </c>
    </row>
    <row r="120" spans="1:54" hidden="1">
      <c r="A120" s="28" t="str">
        <f t="shared" si="16"/>
        <v>806926119047</v>
      </c>
      <c r="B120" s="30">
        <v>806926</v>
      </c>
      <c r="C120" s="30" t="s">
        <v>131</v>
      </c>
      <c r="D120" s="31">
        <v>119047</v>
      </c>
      <c r="E120" s="28" t="s">
        <v>41</v>
      </c>
      <c r="F120" s="28"/>
      <c r="G120" s="28"/>
      <c r="H120" s="28"/>
      <c r="I120" s="28"/>
      <c r="J120" s="28"/>
      <c r="K120" s="28"/>
      <c r="L120" s="20">
        <v>34</v>
      </c>
      <c r="M120" s="21">
        <v>0</v>
      </c>
      <c r="N120" s="20">
        <f t="shared" si="17"/>
        <v>34</v>
      </c>
      <c r="O120" s="20">
        <v>33.5</v>
      </c>
      <c r="P120" s="21">
        <v>0</v>
      </c>
      <c r="Q120" s="20">
        <f t="shared" si="18"/>
        <v>33.5</v>
      </c>
      <c r="R120" s="20">
        <v>21.5</v>
      </c>
      <c r="S120" s="22">
        <v>0</v>
      </c>
      <c r="T120" s="20">
        <f t="shared" si="19"/>
        <v>21.5</v>
      </c>
      <c r="U120" s="20">
        <v>91.5</v>
      </c>
      <c r="V120" s="21">
        <v>0</v>
      </c>
      <c r="W120" s="20">
        <f t="shared" si="20"/>
        <v>91.5</v>
      </c>
      <c r="X120" s="20">
        <v>42</v>
      </c>
      <c r="Y120" s="22">
        <v>0</v>
      </c>
      <c r="Z120" s="20">
        <f t="shared" si="21"/>
        <v>42</v>
      </c>
      <c r="AA120" s="20">
        <v>57</v>
      </c>
      <c r="AB120" s="22">
        <v>0</v>
      </c>
      <c r="AC120" s="20">
        <f t="shared" si="22"/>
        <v>57</v>
      </c>
      <c r="AD120" s="20">
        <v>20</v>
      </c>
      <c r="AE120" s="22">
        <v>0</v>
      </c>
      <c r="AF120" s="20">
        <f t="shared" si="23"/>
        <v>20</v>
      </c>
      <c r="AG120" s="20">
        <v>50</v>
      </c>
      <c r="AH120" s="21">
        <v>0</v>
      </c>
      <c r="AI120" s="20">
        <f t="shared" si="24"/>
        <v>50</v>
      </c>
      <c r="AJ120" s="20">
        <v>50</v>
      </c>
      <c r="AK120" s="21">
        <v>0</v>
      </c>
      <c r="AL120" s="20">
        <f t="shared" si="25"/>
        <v>50</v>
      </c>
      <c r="AM120" s="20">
        <v>42.5</v>
      </c>
      <c r="AN120" s="21">
        <v>0</v>
      </c>
      <c r="AO120" s="20">
        <f t="shared" si="26"/>
        <v>42.5</v>
      </c>
      <c r="AP120" s="21">
        <v>0</v>
      </c>
      <c r="AQ120" s="20">
        <v>0</v>
      </c>
      <c r="AR120" s="20">
        <f t="shared" si="27"/>
        <v>0</v>
      </c>
      <c r="AS120" s="20">
        <v>48</v>
      </c>
      <c r="AT120" s="21">
        <v>0</v>
      </c>
      <c r="AU120" s="20">
        <f t="shared" si="28"/>
        <v>48</v>
      </c>
      <c r="AV120" s="23">
        <f t="shared" si="29"/>
        <v>490</v>
      </c>
      <c r="AW120" s="22">
        <f t="shared" si="30"/>
        <v>0</v>
      </c>
      <c r="AX120" s="20">
        <f t="shared" si="31"/>
        <v>490</v>
      </c>
      <c r="AY120" s="28" t="s">
        <v>2</v>
      </c>
      <c r="AZ120" s="28" t="s">
        <v>28</v>
      </c>
      <c r="BA120" s="28" t="s">
        <v>352</v>
      </c>
      <c r="BB120" s="29">
        <v>43004</v>
      </c>
    </row>
    <row r="121" spans="1:54" hidden="1">
      <c r="A121" s="28" t="str">
        <f t="shared" si="16"/>
        <v>807002171479</v>
      </c>
      <c r="B121" s="30">
        <v>807002</v>
      </c>
      <c r="C121" s="30" t="s">
        <v>74</v>
      </c>
      <c r="D121" s="31">
        <v>171479</v>
      </c>
      <c r="E121" s="28" t="s">
        <v>72</v>
      </c>
      <c r="F121" s="28"/>
      <c r="G121" s="28"/>
      <c r="H121" s="28"/>
      <c r="I121" s="28"/>
      <c r="J121" s="28"/>
      <c r="K121" s="28"/>
      <c r="L121" s="20">
        <v>113</v>
      </c>
      <c r="M121" s="21">
        <v>0</v>
      </c>
      <c r="N121" s="20">
        <f t="shared" si="17"/>
        <v>113</v>
      </c>
      <c r="O121" s="20">
        <v>116.6</v>
      </c>
      <c r="P121" s="21">
        <v>0</v>
      </c>
      <c r="Q121" s="20">
        <f t="shared" si="18"/>
        <v>116.6</v>
      </c>
      <c r="R121" s="20">
        <v>99</v>
      </c>
      <c r="S121" s="22">
        <v>0</v>
      </c>
      <c r="T121" s="20">
        <f t="shared" si="19"/>
        <v>99</v>
      </c>
      <c r="U121" s="20">
        <v>167.5</v>
      </c>
      <c r="V121" s="21">
        <v>0</v>
      </c>
      <c r="W121" s="20">
        <f t="shared" si="20"/>
        <v>167.5</v>
      </c>
      <c r="X121" s="20">
        <v>171.5</v>
      </c>
      <c r="Y121" s="22">
        <v>0</v>
      </c>
      <c r="Z121" s="20">
        <f t="shared" si="21"/>
        <v>171.5</v>
      </c>
      <c r="AA121" s="20">
        <v>153</v>
      </c>
      <c r="AB121" s="22">
        <v>0</v>
      </c>
      <c r="AC121" s="20">
        <f t="shared" si="22"/>
        <v>153</v>
      </c>
      <c r="AD121" s="20">
        <v>141</v>
      </c>
      <c r="AE121" s="22">
        <v>0</v>
      </c>
      <c r="AF121" s="20">
        <f t="shared" si="23"/>
        <v>141</v>
      </c>
      <c r="AG121" s="20">
        <v>34.5</v>
      </c>
      <c r="AH121" s="21">
        <v>7.5</v>
      </c>
      <c r="AI121" s="20">
        <f t="shared" si="24"/>
        <v>42</v>
      </c>
      <c r="AJ121" s="20">
        <v>149.5</v>
      </c>
      <c r="AK121" s="21">
        <v>0</v>
      </c>
      <c r="AL121" s="20">
        <f t="shared" si="25"/>
        <v>149.5</v>
      </c>
      <c r="AM121" s="20">
        <v>25</v>
      </c>
      <c r="AN121" s="21">
        <v>12.5</v>
      </c>
      <c r="AO121" s="20">
        <f t="shared" si="26"/>
        <v>37.5</v>
      </c>
      <c r="AP121" s="21">
        <v>10</v>
      </c>
      <c r="AQ121" s="20">
        <v>0</v>
      </c>
      <c r="AR121" s="20">
        <f t="shared" si="27"/>
        <v>10</v>
      </c>
      <c r="AS121" s="20">
        <v>107.5</v>
      </c>
      <c r="AT121" s="21">
        <v>0</v>
      </c>
      <c r="AU121" s="20">
        <f t="shared" si="28"/>
        <v>107.5</v>
      </c>
      <c r="AV121" s="23">
        <f t="shared" si="29"/>
        <v>1288.0999999999999</v>
      </c>
      <c r="AW121" s="22">
        <f t="shared" si="30"/>
        <v>20</v>
      </c>
      <c r="AX121" s="20">
        <f t="shared" si="31"/>
        <v>1308.0999999999999</v>
      </c>
      <c r="AY121" s="28" t="s">
        <v>2</v>
      </c>
      <c r="AZ121" s="28" t="s">
        <v>28</v>
      </c>
      <c r="BA121" s="28" t="s">
        <v>352</v>
      </c>
      <c r="BB121" s="29">
        <v>43033</v>
      </c>
    </row>
    <row r="122" spans="1:54" hidden="1">
      <c r="A122" s="28" t="str">
        <f t="shared" si="16"/>
        <v>807143119023</v>
      </c>
      <c r="B122" s="30">
        <v>807143</v>
      </c>
      <c r="C122" s="30" t="s">
        <v>451</v>
      </c>
      <c r="D122" s="28">
        <v>119023</v>
      </c>
      <c r="E122" s="28" t="s">
        <v>35</v>
      </c>
      <c r="F122" s="28"/>
      <c r="G122" s="28"/>
      <c r="H122" s="28"/>
      <c r="I122" s="28"/>
      <c r="J122" s="28"/>
      <c r="K122" s="28"/>
      <c r="L122" s="20">
        <v>0</v>
      </c>
      <c r="M122" s="21">
        <v>0</v>
      </c>
      <c r="N122" s="20">
        <f t="shared" si="17"/>
        <v>0</v>
      </c>
      <c r="O122" s="20">
        <v>0</v>
      </c>
      <c r="P122" s="21">
        <v>0</v>
      </c>
      <c r="Q122" s="20">
        <f t="shared" si="18"/>
        <v>0</v>
      </c>
      <c r="R122" s="20">
        <v>0</v>
      </c>
      <c r="S122" s="22">
        <v>0</v>
      </c>
      <c r="T122" s="20">
        <f t="shared" si="19"/>
        <v>0</v>
      </c>
      <c r="U122" s="20">
        <v>0</v>
      </c>
      <c r="V122" s="21">
        <v>0</v>
      </c>
      <c r="W122" s="20">
        <f t="shared" si="20"/>
        <v>0</v>
      </c>
      <c r="X122" s="20">
        <v>0</v>
      </c>
      <c r="Y122" s="22">
        <v>0</v>
      </c>
      <c r="Z122" s="20">
        <f t="shared" si="21"/>
        <v>0</v>
      </c>
      <c r="AA122" s="20">
        <v>0</v>
      </c>
      <c r="AB122" s="22">
        <v>0</v>
      </c>
      <c r="AC122" s="20">
        <f t="shared" si="22"/>
        <v>0</v>
      </c>
      <c r="AD122" s="20">
        <v>129</v>
      </c>
      <c r="AE122" s="22">
        <v>0</v>
      </c>
      <c r="AF122" s="20">
        <f t="shared" si="23"/>
        <v>129</v>
      </c>
      <c r="AG122" s="20">
        <v>145.5</v>
      </c>
      <c r="AH122" s="21">
        <v>0</v>
      </c>
      <c r="AI122" s="20">
        <f t="shared" si="24"/>
        <v>145.5</v>
      </c>
      <c r="AJ122" s="20">
        <v>105</v>
      </c>
      <c r="AK122" s="21">
        <v>0</v>
      </c>
      <c r="AL122" s="20">
        <f t="shared" si="25"/>
        <v>105</v>
      </c>
      <c r="AM122" s="20">
        <v>55</v>
      </c>
      <c r="AN122" s="21">
        <v>0</v>
      </c>
      <c r="AO122" s="20">
        <f t="shared" si="26"/>
        <v>55</v>
      </c>
      <c r="AP122" s="21">
        <v>166.5</v>
      </c>
      <c r="AQ122" s="20">
        <v>0</v>
      </c>
      <c r="AR122" s="20">
        <f t="shared" si="27"/>
        <v>166.5</v>
      </c>
      <c r="AS122" s="20">
        <v>157</v>
      </c>
      <c r="AT122" s="21">
        <v>0</v>
      </c>
      <c r="AU122" s="20">
        <f t="shared" si="28"/>
        <v>157</v>
      </c>
      <c r="AV122" s="23">
        <f t="shared" si="29"/>
        <v>758</v>
      </c>
      <c r="AW122" s="22">
        <f t="shared" si="30"/>
        <v>0</v>
      </c>
      <c r="AX122" s="20">
        <f t="shared" si="31"/>
        <v>758</v>
      </c>
      <c r="AY122" s="28" t="s">
        <v>2</v>
      </c>
      <c r="AZ122" s="28" t="s">
        <v>28</v>
      </c>
      <c r="BA122" s="28" t="s">
        <v>352</v>
      </c>
      <c r="BB122" s="29">
        <v>43406</v>
      </c>
    </row>
    <row r="123" spans="1:54" hidden="1">
      <c r="A123" s="28" t="str">
        <f t="shared" si="16"/>
        <v>807779202865</v>
      </c>
      <c r="B123" s="30">
        <v>807779</v>
      </c>
      <c r="C123" s="30" t="s">
        <v>148</v>
      </c>
      <c r="D123" s="31">
        <v>202865</v>
      </c>
      <c r="E123" s="28" t="s">
        <v>84</v>
      </c>
      <c r="F123" s="28"/>
      <c r="G123" s="28"/>
      <c r="H123" s="28"/>
      <c r="I123" s="28"/>
      <c r="J123" s="28"/>
      <c r="K123" s="28"/>
      <c r="L123" s="20">
        <v>0</v>
      </c>
      <c r="M123" s="21">
        <v>0</v>
      </c>
      <c r="N123" s="20">
        <f t="shared" si="17"/>
        <v>0</v>
      </c>
      <c r="O123" s="20">
        <v>0</v>
      </c>
      <c r="P123" s="21">
        <v>0</v>
      </c>
      <c r="Q123" s="20">
        <f t="shared" si="18"/>
        <v>0</v>
      </c>
      <c r="R123" s="20">
        <v>13</v>
      </c>
      <c r="S123" s="22">
        <v>0</v>
      </c>
      <c r="T123" s="20">
        <f t="shared" si="19"/>
        <v>13</v>
      </c>
      <c r="U123" s="20">
        <v>0</v>
      </c>
      <c r="V123" s="21">
        <v>0</v>
      </c>
      <c r="W123" s="20">
        <f t="shared" si="20"/>
        <v>0</v>
      </c>
      <c r="X123" s="20">
        <v>0</v>
      </c>
      <c r="Y123" s="22">
        <v>0</v>
      </c>
      <c r="Z123" s="20">
        <f t="shared" si="21"/>
        <v>0</v>
      </c>
      <c r="AA123" s="20">
        <v>0</v>
      </c>
      <c r="AB123" s="22">
        <v>0</v>
      </c>
      <c r="AC123" s="20">
        <f t="shared" si="22"/>
        <v>0</v>
      </c>
      <c r="AD123" s="20">
        <v>0</v>
      </c>
      <c r="AE123" s="22">
        <v>0</v>
      </c>
      <c r="AF123" s="20">
        <f t="shared" si="23"/>
        <v>0</v>
      </c>
      <c r="AG123" s="20">
        <v>0</v>
      </c>
      <c r="AH123" s="21">
        <v>0</v>
      </c>
      <c r="AI123" s="20">
        <f t="shared" si="24"/>
        <v>0</v>
      </c>
      <c r="AJ123" s="20">
        <v>0</v>
      </c>
      <c r="AK123" s="21">
        <v>0</v>
      </c>
      <c r="AL123" s="20">
        <f t="shared" si="25"/>
        <v>0</v>
      </c>
      <c r="AM123" s="20">
        <v>0</v>
      </c>
      <c r="AN123" s="21">
        <v>0</v>
      </c>
      <c r="AO123" s="20">
        <f t="shared" si="26"/>
        <v>0</v>
      </c>
      <c r="AP123" s="21">
        <v>0</v>
      </c>
      <c r="AQ123" s="20">
        <v>0</v>
      </c>
      <c r="AR123" s="20">
        <f t="shared" si="27"/>
        <v>0</v>
      </c>
      <c r="AS123" s="20">
        <v>0</v>
      </c>
      <c r="AT123" s="21">
        <v>0</v>
      </c>
      <c r="AU123" s="20">
        <f t="shared" si="28"/>
        <v>0</v>
      </c>
      <c r="AV123" s="23">
        <f t="shared" si="29"/>
        <v>13</v>
      </c>
      <c r="AW123" s="22">
        <f t="shared" si="30"/>
        <v>0</v>
      </c>
      <c r="AX123" s="20">
        <f t="shared" si="31"/>
        <v>13</v>
      </c>
      <c r="AY123" s="28" t="s">
        <v>2</v>
      </c>
      <c r="AZ123" s="28" t="s">
        <v>28</v>
      </c>
      <c r="BA123" s="28" t="s">
        <v>352</v>
      </c>
      <c r="BB123" s="29">
        <v>43487</v>
      </c>
    </row>
    <row r="124" spans="1:54" hidden="1">
      <c r="A124" s="28" t="str">
        <f t="shared" si="16"/>
        <v>808644119023</v>
      </c>
      <c r="B124" s="30">
        <v>808644</v>
      </c>
      <c r="C124" s="30" t="s">
        <v>151</v>
      </c>
      <c r="D124" s="31">
        <v>119023</v>
      </c>
      <c r="E124" s="28" t="s">
        <v>35</v>
      </c>
      <c r="F124" s="28"/>
      <c r="G124" s="28"/>
      <c r="H124" s="28"/>
      <c r="I124" s="28"/>
      <c r="J124" s="28"/>
      <c r="K124" s="28"/>
      <c r="L124" s="20">
        <v>100</v>
      </c>
      <c r="M124" s="21">
        <v>0</v>
      </c>
      <c r="N124" s="20">
        <f t="shared" si="17"/>
        <v>100</v>
      </c>
      <c r="O124" s="20">
        <v>116</v>
      </c>
      <c r="P124" s="21">
        <v>0</v>
      </c>
      <c r="Q124" s="20">
        <f t="shared" si="18"/>
        <v>116</v>
      </c>
      <c r="R124" s="20">
        <v>222.5</v>
      </c>
      <c r="S124" s="22">
        <v>0</v>
      </c>
      <c r="T124" s="20">
        <f t="shared" si="19"/>
        <v>222.5</v>
      </c>
      <c r="U124" s="20">
        <v>214.5</v>
      </c>
      <c r="V124" s="21">
        <v>0</v>
      </c>
      <c r="W124" s="20">
        <f t="shared" si="20"/>
        <v>214.5</v>
      </c>
      <c r="X124" s="20">
        <v>105.5</v>
      </c>
      <c r="Y124" s="22">
        <v>0</v>
      </c>
      <c r="Z124" s="20">
        <f t="shared" si="21"/>
        <v>105.5</v>
      </c>
      <c r="AA124" s="20">
        <v>182</v>
      </c>
      <c r="AB124" s="22">
        <v>0</v>
      </c>
      <c r="AC124" s="20">
        <f t="shared" si="22"/>
        <v>182</v>
      </c>
      <c r="AD124" s="20">
        <v>128</v>
      </c>
      <c r="AE124" s="22">
        <v>0</v>
      </c>
      <c r="AF124" s="20">
        <f t="shared" si="23"/>
        <v>128</v>
      </c>
      <c r="AG124" s="20">
        <v>0</v>
      </c>
      <c r="AH124" s="21">
        <v>0</v>
      </c>
      <c r="AI124" s="20">
        <f t="shared" si="24"/>
        <v>0</v>
      </c>
      <c r="AJ124" s="20">
        <v>204.5</v>
      </c>
      <c r="AK124" s="21">
        <v>0</v>
      </c>
      <c r="AL124" s="20">
        <f t="shared" si="25"/>
        <v>204.5</v>
      </c>
      <c r="AM124" s="20">
        <v>53</v>
      </c>
      <c r="AN124" s="21">
        <v>0</v>
      </c>
      <c r="AO124" s="20">
        <f t="shared" si="26"/>
        <v>53</v>
      </c>
      <c r="AP124" s="21">
        <v>108</v>
      </c>
      <c r="AQ124" s="20">
        <v>0</v>
      </c>
      <c r="AR124" s="20">
        <f t="shared" si="27"/>
        <v>108</v>
      </c>
      <c r="AS124" s="20">
        <v>112</v>
      </c>
      <c r="AT124" s="21">
        <v>0</v>
      </c>
      <c r="AU124" s="20">
        <f t="shared" si="28"/>
        <v>112</v>
      </c>
      <c r="AV124" s="23">
        <f t="shared" si="29"/>
        <v>1546</v>
      </c>
      <c r="AW124" s="22">
        <f t="shared" si="30"/>
        <v>0</v>
      </c>
      <c r="AX124" s="20">
        <f t="shared" si="31"/>
        <v>1546</v>
      </c>
      <c r="AY124" s="28" t="s">
        <v>2</v>
      </c>
      <c r="AZ124" s="28" t="s">
        <v>28</v>
      </c>
      <c r="BA124" s="28" t="s">
        <v>352</v>
      </c>
      <c r="BB124" s="29">
        <v>43277</v>
      </c>
    </row>
    <row r="125" spans="1:54" hidden="1">
      <c r="A125" s="28" t="str">
        <f t="shared" si="16"/>
        <v>808925119023</v>
      </c>
      <c r="B125" s="30">
        <v>808925</v>
      </c>
      <c r="C125" s="30" t="s">
        <v>464</v>
      </c>
      <c r="D125" s="28">
        <v>119023</v>
      </c>
      <c r="E125" s="28" t="s">
        <v>35</v>
      </c>
      <c r="F125" s="28"/>
      <c r="G125" s="28"/>
      <c r="H125" s="28"/>
      <c r="I125" s="28"/>
      <c r="J125" s="28"/>
      <c r="K125" s="28"/>
      <c r="L125" s="20">
        <v>0</v>
      </c>
      <c r="M125" s="21">
        <v>0</v>
      </c>
      <c r="N125" s="20">
        <f t="shared" si="17"/>
        <v>0</v>
      </c>
      <c r="O125" s="20">
        <v>0</v>
      </c>
      <c r="P125" s="21">
        <v>0</v>
      </c>
      <c r="Q125" s="20">
        <f t="shared" si="18"/>
        <v>0</v>
      </c>
      <c r="R125" s="20">
        <v>0</v>
      </c>
      <c r="S125" s="22">
        <v>0</v>
      </c>
      <c r="T125" s="20">
        <f t="shared" si="19"/>
        <v>0</v>
      </c>
      <c r="U125" s="20">
        <v>0</v>
      </c>
      <c r="V125" s="21">
        <v>0</v>
      </c>
      <c r="W125" s="20">
        <f t="shared" si="20"/>
        <v>0</v>
      </c>
      <c r="X125" s="20">
        <v>0</v>
      </c>
      <c r="Y125" s="22">
        <v>0</v>
      </c>
      <c r="Z125" s="20">
        <f t="shared" si="21"/>
        <v>0</v>
      </c>
      <c r="AA125" s="20">
        <v>0</v>
      </c>
      <c r="AB125" s="22">
        <v>0</v>
      </c>
      <c r="AC125" s="20">
        <f t="shared" si="22"/>
        <v>0</v>
      </c>
      <c r="AD125" s="20">
        <v>152</v>
      </c>
      <c r="AE125" s="22">
        <v>0</v>
      </c>
      <c r="AF125" s="20">
        <f t="shared" si="23"/>
        <v>152</v>
      </c>
      <c r="AG125" s="20">
        <v>144</v>
      </c>
      <c r="AH125" s="21">
        <v>0</v>
      </c>
      <c r="AI125" s="20">
        <f t="shared" si="24"/>
        <v>144</v>
      </c>
      <c r="AJ125" s="20">
        <v>106</v>
      </c>
      <c r="AK125" s="21">
        <v>0</v>
      </c>
      <c r="AL125" s="20">
        <f t="shared" si="25"/>
        <v>106</v>
      </c>
      <c r="AM125" s="20">
        <v>62</v>
      </c>
      <c r="AN125" s="21">
        <v>0</v>
      </c>
      <c r="AO125" s="20">
        <f t="shared" si="26"/>
        <v>62</v>
      </c>
      <c r="AP125" s="21">
        <v>155</v>
      </c>
      <c r="AQ125" s="20">
        <v>0</v>
      </c>
      <c r="AR125" s="20">
        <f t="shared" si="27"/>
        <v>155</v>
      </c>
      <c r="AS125" s="20">
        <v>107</v>
      </c>
      <c r="AT125" s="21">
        <v>0</v>
      </c>
      <c r="AU125" s="20">
        <f t="shared" si="28"/>
        <v>107</v>
      </c>
      <c r="AV125" s="23">
        <f t="shared" si="29"/>
        <v>726</v>
      </c>
      <c r="AW125" s="22">
        <f t="shared" si="30"/>
        <v>0</v>
      </c>
      <c r="AX125" s="20">
        <f t="shared" si="31"/>
        <v>726</v>
      </c>
      <c r="AY125" s="28" t="s">
        <v>2</v>
      </c>
      <c r="AZ125" s="28" t="s">
        <v>28</v>
      </c>
      <c r="BA125" s="28" t="s">
        <v>352</v>
      </c>
      <c r="BB125" s="29">
        <v>43293</v>
      </c>
    </row>
    <row r="126" spans="1:54" hidden="1">
      <c r="A126" s="28" t="str">
        <f t="shared" si="16"/>
        <v>808926119023</v>
      </c>
      <c r="B126" s="30">
        <v>808926</v>
      </c>
      <c r="C126" s="30" t="s">
        <v>465</v>
      </c>
      <c r="D126" s="28">
        <v>119023</v>
      </c>
      <c r="E126" s="28" t="s">
        <v>35</v>
      </c>
      <c r="F126" s="28"/>
      <c r="G126" s="28"/>
      <c r="H126" s="28"/>
      <c r="I126" s="28"/>
      <c r="J126" s="28"/>
      <c r="K126" s="28"/>
      <c r="L126" s="20">
        <v>0</v>
      </c>
      <c r="M126" s="21">
        <v>0</v>
      </c>
      <c r="N126" s="20">
        <f t="shared" si="17"/>
        <v>0</v>
      </c>
      <c r="O126" s="20">
        <v>0</v>
      </c>
      <c r="P126" s="21">
        <v>0</v>
      </c>
      <c r="Q126" s="20">
        <f t="shared" si="18"/>
        <v>0</v>
      </c>
      <c r="R126" s="20">
        <v>0</v>
      </c>
      <c r="S126" s="22">
        <v>0</v>
      </c>
      <c r="T126" s="20">
        <f t="shared" si="19"/>
        <v>0</v>
      </c>
      <c r="U126" s="20">
        <v>0</v>
      </c>
      <c r="V126" s="21">
        <v>0</v>
      </c>
      <c r="W126" s="20">
        <f t="shared" si="20"/>
        <v>0</v>
      </c>
      <c r="X126" s="20">
        <v>0</v>
      </c>
      <c r="Y126" s="22">
        <v>0</v>
      </c>
      <c r="Z126" s="20">
        <f t="shared" si="21"/>
        <v>0</v>
      </c>
      <c r="AA126" s="20">
        <v>0</v>
      </c>
      <c r="AB126" s="22">
        <v>0</v>
      </c>
      <c r="AC126" s="20">
        <f t="shared" si="22"/>
        <v>0</v>
      </c>
      <c r="AD126" s="20">
        <v>127</v>
      </c>
      <c r="AE126" s="22">
        <v>0</v>
      </c>
      <c r="AF126" s="20">
        <f t="shared" si="23"/>
        <v>127</v>
      </c>
      <c r="AG126" s="20">
        <v>138.5</v>
      </c>
      <c r="AH126" s="21">
        <v>0</v>
      </c>
      <c r="AI126" s="20">
        <f t="shared" si="24"/>
        <v>138.5</v>
      </c>
      <c r="AJ126" s="20">
        <v>0</v>
      </c>
      <c r="AK126" s="21">
        <v>0</v>
      </c>
      <c r="AL126" s="20">
        <f t="shared" si="25"/>
        <v>0</v>
      </c>
      <c r="AM126" s="20">
        <v>57.5</v>
      </c>
      <c r="AN126" s="21">
        <v>0</v>
      </c>
      <c r="AO126" s="20">
        <f t="shared" si="26"/>
        <v>57.5</v>
      </c>
      <c r="AP126" s="21">
        <v>199.7</v>
      </c>
      <c r="AQ126" s="20">
        <v>0</v>
      </c>
      <c r="AR126" s="20">
        <f t="shared" si="27"/>
        <v>199.7</v>
      </c>
      <c r="AS126" s="20">
        <v>124</v>
      </c>
      <c r="AT126" s="21">
        <v>0</v>
      </c>
      <c r="AU126" s="20">
        <f t="shared" si="28"/>
        <v>124</v>
      </c>
      <c r="AV126" s="23">
        <f t="shared" si="29"/>
        <v>646.70000000000005</v>
      </c>
      <c r="AW126" s="22">
        <f t="shared" si="30"/>
        <v>0</v>
      </c>
      <c r="AX126" s="20">
        <f t="shared" si="31"/>
        <v>646.70000000000005</v>
      </c>
      <c r="AY126" s="28" t="s">
        <v>2</v>
      </c>
      <c r="AZ126" s="28" t="s">
        <v>28</v>
      </c>
      <c r="BA126" s="28" t="s">
        <v>352</v>
      </c>
      <c r="BB126" s="29">
        <v>43293</v>
      </c>
    </row>
    <row r="127" spans="1:54" hidden="1">
      <c r="A127" s="28" t="str">
        <f t="shared" si="16"/>
        <v>811475178844</v>
      </c>
      <c r="B127" s="30">
        <v>811475</v>
      </c>
      <c r="C127" s="30" t="s">
        <v>20</v>
      </c>
      <c r="D127" s="31">
        <v>178844</v>
      </c>
      <c r="E127" s="28" t="s">
        <v>19</v>
      </c>
      <c r="F127" s="28"/>
      <c r="G127" s="28"/>
      <c r="H127" s="28"/>
      <c r="I127" s="28"/>
      <c r="J127" s="28"/>
      <c r="K127" s="28"/>
      <c r="L127" s="20">
        <v>17</v>
      </c>
      <c r="M127" s="21">
        <v>0</v>
      </c>
      <c r="N127" s="20">
        <f t="shared" si="17"/>
        <v>17</v>
      </c>
      <c r="O127" s="20">
        <v>0</v>
      </c>
      <c r="P127" s="21">
        <v>0</v>
      </c>
      <c r="Q127" s="20">
        <f t="shared" si="18"/>
        <v>0</v>
      </c>
      <c r="R127" s="20">
        <v>7</v>
      </c>
      <c r="S127" s="22">
        <v>0</v>
      </c>
      <c r="T127" s="20">
        <f t="shared" si="19"/>
        <v>7</v>
      </c>
      <c r="U127" s="20">
        <v>0</v>
      </c>
      <c r="V127" s="21">
        <v>0</v>
      </c>
      <c r="W127" s="20">
        <f t="shared" si="20"/>
        <v>0</v>
      </c>
      <c r="X127" s="20">
        <v>0</v>
      </c>
      <c r="Y127" s="22">
        <v>0</v>
      </c>
      <c r="Z127" s="20">
        <f t="shared" si="21"/>
        <v>0</v>
      </c>
      <c r="AA127" s="20">
        <v>0</v>
      </c>
      <c r="AB127" s="22">
        <v>0</v>
      </c>
      <c r="AC127" s="20">
        <f t="shared" si="22"/>
        <v>0</v>
      </c>
      <c r="AD127" s="20">
        <v>0</v>
      </c>
      <c r="AE127" s="22">
        <v>0</v>
      </c>
      <c r="AF127" s="20">
        <f t="shared" si="23"/>
        <v>0</v>
      </c>
      <c r="AG127" s="20">
        <v>0</v>
      </c>
      <c r="AH127" s="21">
        <v>0</v>
      </c>
      <c r="AI127" s="20">
        <f t="shared" si="24"/>
        <v>0</v>
      </c>
      <c r="AJ127" s="20">
        <v>0</v>
      </c>
      <c r="AK127" s="21">
        <v>0</v>
      </c>
      <c r="AL127" s="20">
        <f t="shared" si="25"/>
        <v>0</v>
      </c>
      <c r="AM127" s="20">
        <v>0</v>
      </c>
      <c r="AN127" s="21">
        <v>0</v>
      </c>
      <c r="AO127" s="20">
        <f t="shared" si="26"/>
        <v>0</v>
      </c>
      <c r="AP127" s="21">
        <v>0</v>
      </c>
      <c r="AQ127" s="20">
        <v>0</v>
      </c>
      <c r="AR127" s="20">
        <f t="shared" si="27"/>
        <v>0</v>
      </c>
      <c r="AS127" s="20">
        <v>0</v>
      </c>
      <c r="AT127" s="21">
        <v>0</v>
      </c>
      <c r="AU127" s="20">
        <f t="shared" si="28"/>
        <v>0</v>
      </c>
      <c r="AV127" s="23">
        <f t="shared" si="29"/>
        <v>24</v>
      </c>
      <c r="AW127" s="22">
        <f t="shared" si="30"/>
        <v>0</v>
      </c>
      <c r="AX127" s="20">
        <f t="shared" si="31"/>
        <v>24</v>
      </c>
      <c r="AY127" s="28" t="s">
        <v>2</v>
      </c>
      <c r="AZ127" s="28" t="s">
        <v>28</v>
      </c>
      <c r="BA127" s="28" t="s">
        <v>352</v>
      </c>
      <c r="BB127" s="29">
        <v>43871</v>
      </c>
    </row>
    <row r="128" spans="1:54" hidden="1">
      <c r="A128" s="28" t="str">
        <f t="shared" si="16"/>
        <v>812299143531</v>
      </c>
      <c r="B128" s="30">
        <v>812299</v>
      </c>
      <c r="C128" s="30" t="s">
        <v>130</v>
      </c>
      <c r="D128" s="31">
        <v>143531</v>
      </c>
      <c r="E128" s="28" t="s">
        <v>127</v>
      </c>
      <c r="F128" s="28"/>
      <c r="G128" s="28"/>
      <c r="H128" s="28"/>
      <c r="I128" s="28"/>
      <c r="J128" s="28"/>
      <c r="K128" s="28"/>
      <c r="L128" s="20">
        <v>20</v>
      </c>
      <c r="M128" s="21">
        <v>0</v>
      </c>
      <c r="N128" s="20">
        <f t="shared" si="17"/>
        <v>20</v>
      </c>
      <c r="O128" s="20">
        <v>0</v>
      </c>
      <c r="P128" s="21">
        <v>0</v>
      </c>
      <c r="Q128" s="20">
        <f t="shared" si="18"/>
        <v>0</v>
      </c>
      <c r="R128" s="20">
        <v>49</v>
      </c>
      <c r="S128" s="22">
        <v>0</v>
      </c>
      <c r="T128" s="20">
        <f t="shared" si="19"/>
        <v>49</v>
      </c>
      <c r="U128" s="20">
        <v>21</v>
      </c>
      <c r="V128" s="21">
        <v>0</v>
      </c>
      <c r="W128" s="20">
        <f t="shared" si="20"/>
        <v>21</v>
      </c>
      <c r="X128" s="20">
        <v>26.5</v>
      </c>
      <c r="Y128" s="22">
        <v>0</v>
      </c>
      <c r="Z128" s="20">
        <f t="shared" si="21"/>
        <v>26.5</v>
      </c>
      <c r="AA128" s="20">
        <v>0</v>
      </c>
      <c r="AB128" s="22">
        <v>0</v>
      </c>
      <c r="AC128" s="20">
        <f t="shared" si="22"/>
        <v>0</v>
      </c>
      <c r="AD128" s="20">
        <v>0</v>
      </c>
      <c r="AE128" s="22">
        <v>0</v>
      </c>
      <c r="AF128" s="20">
        <f t="shared" si="23"/>
        <v>0</v>
      </c>
      <c r="AG128" s="20">
        <v>20</v>
      </c>
      <c r="AH128" s="21">
        <v>0</v>
      </c>
      <c r="AI128" s="20">
        <f t="shared" si="24"/>
        <v>20</v>
      </c>
      <c r="AJ128" s="20">
        <v>30</v>
      </c>
      <c r="AK128" s="21">
        <v>0</v>
      </c>
      <c r="AL128" s="20">
        <f t="shared" si="25"/>
        <v>30</v>
      </c>
      <c r="AM128" s="20">
        <v>0</v>
      </c>
      <c r="AN128" s="21">
        <v>0</v>
      </c>
      <c r="AO128" s="20">
        <f t="shared" si="26"/>
        <v>0</v>
      </c>
      <c r="AP128" s="21">
        <v>54.5</v>
      </c>
      <c r="AQ128" s="20">
        <v>0</v>
      </c>
      <c r="AR128" s="20">
        <f t="shared" si="27"/>
        <v>54.5</v>
      </c>
      <c r="AS128" s="20">
        <v>0</v>
      </c>
      <c r="AT128" s="21">
        <v>0</v>
      </c>
      <c r="AU128" s="20">
        <f t="shared" si="28"/>
        <v>0</v>
      </c>
      <c r="AV128" s="23">
        <f t="shared" si="29"/>
        <v>221</v>
      </c>
      <c r="AW128" s="22">
        <f t="shared" si="30"/>
        <v>0</v>
      </c>
      <c r="AX128" s="20">
        <f t="shared" si="31"/>
        <v>221</v>
      </c>
      <c r="AY128" s="28" t="s">
        <v>2</v>
      </c>
      <c r="AZ128" s="28" t="s">
        <v>28</v>
      </c>
      <c r="BA128" s="28" t="s">
        <v>352</v>
      </c>
      <c r="BB128" s="29">
        <v>44033</v>
      </c>
    </row>
    <row r="129" spans="1:54" hidden="1">
      <c r="A129" s="28" t="str">
        <f t="shared" si="16"/>
        <v>812741129599</v>
      </c>
      <c r="B129" s="30">
        <v>812741</v>
      </c>
      <c r="C129" s="30" t="s">
        <v>26</v>
      </c>
      <c r="D129" s="31">
        <v>129599</v>
      </c>
      <c r="E129" s="28" t="s">
        <v>21</v>
      </c>
      <c r="F129" s="28"/>
      <c r="G129" s="28"/>
      <c r="H129" s="28"/>
      <c r="I129" s="28"/>
      <c r="J129" s="28"/>
      <c r="K129" s="28"/>
      <c r="L129" s="20">
        <v>41</v>
      </c>
      <c r="M129" s="21">
        <v>0</v>
      </c>
      <c r="N129" s="20">
        <f t="shared" si="17"/>
        <v>41</v>
      </c>
      <c r="O129" s="20">
        <v>40.5</v>
      </c>
      <c r="P129" s="21">
        <v>0</v>
      </c>
      <c r="Q129" s="20">
        <f t="shared" si="18"/>
        <v>40.5</v>
      </c>
      <c r="R129" s="20">
        <v>41.5</v>
      </c>
      <c r="S129" s="22">
        <v>0</v>
      </c>
      <c r="T129" s="20">
        <f t="shared" si="19"/>
        <v>41.5</v>
      </c>
      <c r="U129" s="20">
        <v>0</v>
      </c>
      <c r="V129" s="21">
        <v>0</v>
      </c>
      <c r="W129" s="20">
        <f t="shared" si="20"/>
        <v>0</v>
      </c>
      <c r="X129" s="20">
        <v>22.25</v>
      </c>
      <c r="Y129" s="22">
        <v>2.25</v>
      </c>
      <c r="Z129" s="20">
        <f t="shared" si="21"/>
        <v>24.5</v>
      </c>
      <c r="AA129" s="20">
        <v>42.5</v>
      </c>
      <c r="AB129" s="22">
        <v>0</v>
      </c>
      <c r="AC129" s="20">
        <f t="shared" si="22"/>
        <v>42.5</v>
      </c>
      <c r="AD129" s="20">
        <v>45</v>
      </c>
      <c r="AE129" s="22">
        <v>2.5</v>
      </c>
      <c r="AF129" s="20">
        <f t="shared" si="23"/>
        <v>47.5</v>
      </c>
      <c r="AG129" s="20">
        <v>10.5</v>
      </c>
      <c r="AH129" s="21">
        <v>0.5</v>
      </c>
      <c r="AI129" s="20">
        <f t="shared" si="24"/>
        <v>11</v>
      </c>
      <c r="AJ129" s="20">
        <v>30</v>
      </c>
      <c r="AK129" s="21">
        <v>0</v>
      </c>
      <c r="AL129" s="20">
        <f t="shared" si="25"/>
        <v>30</v>
      </c>
      <c r="AM129" s="20">
        <v>13.5</v>
      </c>
      <c r="AN129" s="21">
        <v>0</v>
      </c>
      <c r="AO129" s="20">
        <f t="shared" si="26"/>
        <v>13.5</v>
      </c>
      <c r="AP129" s="21">
        <v>20</v>
      </c>
      <c r="AQ129" s="20">
        <v>0</v>
      </c>
      <c r="AR129" s="20">
        <f t="shared" si="27"/>
        <v>20</v>
      </c>
      <c r="AS129" s="20">
        <v>0</v>
      </c>
      <c r="AT129" s="21">
        <v>0</v>
      </c>
      <c r="AU129" s="20">
        <f t="shared" si="28"/>
        <v>0</v>
      </c>
      <c r="AV129" s="23">
        <f t="shared" si="29"/>
        <v>306.75</v>
      </c>
      <c r="AW129" s="22">
        <f t="shared" si="30"/>
        <v>5.25</v>
      </c>
      <c r="AX129" s="20">
        <f t="shared" si="31"/>
        <v>312</v>
      </c>
      <c r="AY129" s="28" t="s">
        <v>2</v>
      </c>
      <c r="AZ129" s="28" t="s">
        <v>28</v>
      </c>
      <c r="BA129" s="28" t="s">
        <v>352</v>
      </c>
      <c r="BB129" s="29">
        <v>44075</v>
      </c>
    </row>
    <row r="130" spans="1:54" hidden="1">
      <c r="A130" s="28" t="str">
        <f t="shared" ref="A130:A193" si="32">B130&amp;D130</f>
        <v>812944177829</v>
      </c>
      <c r="B130" s="30">
        <v>812944</v>
      </c>
      <c r="C130" s="30" t="s">
        <v>120</v>
      </c>
      <c r="D130" s="31">
        <v>177829</v>
      </c>
      <c r="E130" s="28" t="s">
        <v>69</v>
      </c>
      <c r="F130" s="28"/>
      <c r="G130" s="28"/>
      <c r="H130" s="28"/>
      <c r="I130" s="28"/>
      <c r="J130" s="28"/>
      <c r="K130" s="28"/>
      <c r="L130" s="20">
        <v>13</v>
      </c>
      <c r="M130" s="21">
        <v>0</v>
      </c>
      <c r="N130" s="20">
        <f t="shared" ref="N130:N193" si="33">SUM(L130:M130)</f>
        <v>13</v>
      </c>
      <c r="O130" s="20">
        <v>41</v>
      </c>
      <c r="P130" s="21">
        <v>0</v>
      </c>
      <c r="Q130" s="20">
        <f t="shared" ref="Q130:Q193" si="34">SUM(O130:P130)</f>
        <v>41</v>
      </c>
      <c r="R130" s="20">
        <v>42</v>
      </c>
      <c r="S130" s="22">
        <v>0</v>
      </c>
      <c r="T130" s="20">
        <f t="shared" ref="T130:T193" si="35">SUM(R130:S130)</f>
        <v>42</v>
      </c>
      <c r="U130" s="20">
        <v>56.5</v>
      </c>
      <c r="V130" s="21">
        <v>17.5</v>
      </c>
      <c r="W130" s="20">
        <f t="shared" ref="W130:W193" si="36">SUM(U130:V130)</f>
        <v>74</v>
      </c>
      <c r="X130" s="20">
        <v>25.5</v>
      </c>
      <c r="Y130" s="22">
        <v>5</v>
      </c>
      <c r="Z130" s="20">
        <f t="shared" ref="Z130:Z193" si="37">SUM(X130:Y130)</f>
        <v>30.5</v>
      </c>
      <c r="AA130" s="20">
        <v>56</v>
      </c>
      <c r="AB130" s="22">
        <v>0</v>
      </c>
      <c r="AC130" s="20">
        <f t="shared" ref="AC130:AC193" si="38">SUM(AA130:AB130)</f>
        <v>56</v>
      </c>
      <c r="AD130" s="20">
        <v>74</v>
      </c>
      <c r="AE130" s="22">
        <v>0</v>
      </c>
      <c r="AF130" s="20">
        <f t="shared" ref="AF130:AF193" si="39">SUM(AD130:AE130)</f>
        <v>74</v>
      </c>
      <c r="AG130" s="20">
        <v>60.5</v>
      </c>
      <c r="AH130" s="21">
        <v>0</v>
      </c>
      <c r="AI130" s="20">
        <f t="shared" ref="AI130:AI193" si="40">SUM(AG130:AH130)</f>
        <v>60.5</v>
      </c>
      <c r="AJ130" s="20">
        <v>90</v>
      </c>
      <c r="AK130" s="21">
        <v>0</v>
      </c>
      <c r="AL130" s="20">
        <f t="shared" ref="AL130:AL193" si="41">SUM(AJ130:AK130)</f>
        <v>90</v>
      </c>
      <c r="AM130" s="20">
        <v>45</v>
      </c>
      <c r="AN130" s="21">
        <v>0</v>
      </c>
      <c r="AO130" s="20">
        <f t="shared" ref="AO130:AO193" si="42">SUM(AM130:AN130)</f>
        <v>45</v>
      </c>
      <c r="AP130" s="21">
        <v>54</v>
      </c>
      <c r="AQ130" s="20">
        <v>0</v>
      </c>
      <c r="AR130" s="20">
        <f t="shared" ref="AR130:AR193" si="43">SUM(AP130:AQ130)</f>
        <v>54</v>
      </c>
      <c r="AS130" s="20">
        <v>59</v>
      </c>
      <c r="AT130" s="21">
        <v>12</v>
      </c>
      <c r="AU130" s="20">
        <f t="shared" ref="AU130:AU193" si="44">SUM(AS130:AT130)</f>
        <v>71</v>
      </c>
      <c r="AV130" s="23">
        <f t="shared" ref="AV130:AV193" si="45">SUM(L130+O130+R130+U130+X130+AA130+AD130+AG130+AJ130+AM130+AP130+AS130)</f>
        <v>616.5</v>
      </c>
      <c r="AW130" s="22">
        <f t="shared" ref="AW130:AW193" si="46">SUM(M130+P130+S130+V130+Y130+AB130+AE130+AH130+AK130+AN130+AQ130+AT130)</f>
        <v>34.5</v>
      </c>
      <c r="AX130" s="20">
        <f t="shared" ref="AX130:AX193" si="47">SUM(AV130:AW130)</f>
        <v>651</v>
      </c>
      <c r="AY130" s="28" t="s">
        <v>2</v>
      </c>
      <c r="AZ130" s="28" t="s">
        <v>28</v>
      </c>
      <c r="BA130" s="28" t="s">
        <v>352</v>
      </c>
      <c r="BB130" s="29">
        <v>44091</v>
      </c>
    </row>
    <row r="131" spans="1:54" hidden="1">
      <c r="A131" s="28" t="str">
        <f t="shared" si="32"/>
        <v>812967177829</v>
      </c>
      <c r="B131" s="30">
        <v>812967</v>
      </c>
      <c r="C131" s="30" t="s">
        <v>119</v>
      </c>
      <c r="D131" s="31">
        <v>177829</v>
      </c>
      <c r="E131" s="28" t="s">
        <v>69</v>
      </c>
      <c r="F131" s="28"/>
      <c r="G131" s="28"/>
      <c r="H131" s="28"/>
      <c r="I131" s="28"/>
      <c r="J131" s="28"/>
      <c r="K131" s="28"/>
      <c r="L131" s="20">
        <v>58.5</v>
      </c>
      <c r="M131" s="21">
        <v>0</v>
      </c>
      <c r="N131" s="20">
        <f t="shared" si="33"/>
        <v>58.5</v>
      </c>
      <c r="O131" s="20">
        <v>62.5</v>
      </c>
      <c r="P131" s="21">
        <v>0</v>
      </c>
      <c r="Q131" s="20">
        <f t="shared" si="34"/>
        <v>62.5</v>
      </c>
      <c r="R131" s="20">
        <v>81</v>
      </c>
      <c r="S131" s="22">
        <v>0</v>
      </c>
      <c r="T131" s="20">
        <f t="shared" si="35"/>
        <v>81</v>
      </c>
      <c r="U131" s="20">
        <v>106.5</v>
      </c>
      <c r="V131" s="21">
        <v>5</v>
      </c>
      <c r="W131" s="20">
        <f t="shared" si="36"/>
        <v>111.5</v>
      </c>
      <c r="X131" s="20">
        <v>72.5</v>
      </c>
      <c r="Y131" s="22">
        <v>12.5</v>
      </c>
      <c r="Z131" s="20">
        <f t="shared" si="37"/>
        <v>85</v>
      </c>
      <c r="AA131" s="20">
        <v>97</v>
      </c>
      <c r="AB131" s="22">
        <v>0</v>
      </c>
      <c r="AC131" s="20">
        <f t="shared" si="38"/>
        <v>97</v>
      </c>
      <c r="AD131" s="20">
        <v>26</v>
      </c>
      <c r="AE131" s="22">
        <v>0</v>
      </c>
      <c r="AF131" s="20">
        <f t="shared" si="39"/>
        <v>26</v>
      </c>
      <c r="AG131" s="20">
        <v>41</v>
      </c>
      <c r="AH131" s="21">
        <v>0</v>
      </c>
      <c r="AI131" s="20">
        <f t="shared" si="40"/>
        <v>41</v>
      </c>
      <c r="AJ131" s="20">
        <v>58</v>
      </c>
      <c r="AK131" s="21">
        <v>0</v>
      </c>
      <c r="AL131" s="20">
        <f t="shared" si="41"/>
        <v>58</v>
      </c>
      <c r="AM131" s="20">
        <v>85.5</v>
      </c>
      <c r="AN131" s="21">
        <v>0</v>
      </c>
      <c r="AO131" s="20">
        <f t="shared" si="42"/>
        <v>85.5</v>
      </c>
      <c r="AP131" s="21">
        <v>84.5</v>
      </c>
      <c r="AQ131" s="20">
        <v>0</v>
      </c>
      <c r="AR131" s="20">
        <f t="shared" si="43"/>
        <v>84.5</v>
      </c>
      <c r="AS131" s="20">
        <v>133</v>
      </c>
      <c r="AT131" s="21">
        <v>42.5</v>
      </c>
      <c r="AU131" s="20">
        <f t="shared" si="44"/>
        <v>175.5</v>
      </c>
      <c r="AV131" s="23">
        <f t="shared" si="45"/>
        <v>906</v>
      </c>
      <c r="AW131" s="22">
        <f t="shared" si="46"/>
        <v>60</v>
      </c>
      <c r="AX131" s="20">
        <f t="shared" si="47"/>
        <v>966</v>
      </c>
      <c r="AY131" s="28" t="s">
        <v>2</v>
      </c>
      <c r="AZ131" s="28" t="s">
        <v>28</v>
      </c>
      <c r="BA131" s="28" t="s">
        <v>352</v>
      </c>
      <c r="BB131" s="29">
        <v>44092</v>
      </c>
    </row>
    <row r="132" spans="1:54" hidden="1">
      <c r="A132" s="28" t="str">
        <f t="shared" si="32"/>
        <v>813154170708</v>
      </c>
      <c r="B132" s="30">
        <v>813154</v>
      </c>
      <c r="C132" s="30" t="s">
        <v>152</v>
      </c>
      <c r="D132" s="31">
        <v>170708</v>
      </c>
      <c r="E132" s="28" t="s">
        <v>129</v>
      </c>
      <c r="F132" s="28"/>
      <c r="G132" s="28"/>
      <c r="H132" s="28"/>
      <c r="I132" s="28"/>
      <c r="J132" s="28"/>
      <c r="K132" s="28"/>
      <c r="L132" s="20">
        <v>34</v>
      </c>
      <c r="M132" s="21">
        <v>5</v>
      </c>
      <c r="N132" s="20">
        <f t="shared" si="33"/>
        <v>39</v>
      </c>
      <c r="O132" s="20">
        <v>76.5</v>
      </c>
      <c r="P132" s="21">
        <v>0</v>
      </c>
      <c r="Q132" s="20">
        <f t="shared" si="34"/>
        <v>76.5</v>
      </c>
      <c r="R132" s="20">
        <v>175</v>
      </c>
      <c r="S132" s="22">
        <v>0</v>
      </c>
      <c r="T132" s="20">
        <f t="shared" si="35"/>
        <v>175</v>
      </c>
      <c r="U132" s="20">
        <v>110</v>
      </c>
      <c r="V132" s="21">
        <v>0</v>
      </c>
      <c r="W132" s="20">
        <f t="shared" si="36"/>
        <v>110</v>
      </c>
      <c r="X132" s="20">
        <v>60</v>
      </c>
      <c r="Y132" s="22">
        <v>0</v>
      </c>
      <c r="Z132" s="20">
        <f t="shared" si="37"/>
        <v>60</v>
      </c>
      <c r="AA132" s="20">
        <v>10</v>
      </c>
      <c r="AB132" s="22">
        <v>0</v>
      </c>
      <c r="AC132" s="20">
        <f t="shared" si="38"/>
        <v>10</v>
      </c>
      <c r="AD132" s="20">
        <v>10</v>
      </c>
      <c r="AE132" s="22">
        <v>0</v>
      </c>
      <c r="AF132" s="20">
        <f t="shared" si="39"/>
        <v>10</v>
      </c>
      <c r="AG132" s="20">
        <v>50.5</v>
      </c>
      <c r="AH132" s="21">
        <v>7.5</v>
      </c>
      <c r="AI132" s="20">
        <f t="shared" si="40"/>
        <v>58</v>
      </c>
      <c r="AJ132" s="20">
        <v>0</v>
      </c>
      <c r="AK132" s="21">
        <v>0</v>
      </c>
      <c r="AL132" s="20">
        <f t="shared" si="41"/>
        <v>0</v>
      </c>
      <c r="AM132" s="20">
        <v>46</v>
      </c>
      <c r="AN132" s="21">
        <v>0</v>
      </c>
      <c r="AO132" s="20">
        <f t="shared" si="42"/>
        <v>46</v>
      </c>
      <c r="AP132" s="21">
        <v>64</v>
      </c>
      <c r="AQ132" s="20">
        <v>0</v>
      </c>
      <c r="AR132" s="20">
        <f t="shared" si="43"/>
        <v>64</v>
      </c>
      <c r="AS132" s="20">
        <v>62</v>
      </c>
      <c r="AT132" s="21">
        <v>0</v>
      </c>
      <c r="AU132" s="20">
        <f t="shared" si="44"/>
        <v>62</v>
      </c>
      <c r="AV132" s="23">
        <f t="shared" si="45"/>
        <v>698</v>
      </c>
      <c r="AW132" s="22">
        <f t="shared" si="46"/>
        <v>12.5</v>
      </c>
      <c r="AX132" s="20">
        <f t="shared" si="47"/>
        <v>710.5</v>
      </c>
      <c r="AY132" s="28" t="s">
        <v>2</v>
      </c>
      <c r="AZ132" s="28" t="s">
        <v>28</v>
      </c>
      <c r="BA132" s="28" t="s">
        <v>352</v>
      </c>
      <c r="BB132" s="29">
        <v>44105</v>
      </c>
    </row>
    <row r="133" spans="1:54" hidden="1">
      <c r="A133" s="28" t="str">
        <f t="shared" si="32"/>
        <v>813385175392</v>
      </c>
      <c r="B133" s="30">
        <v>813385</v>
      </c>
      <c r="C133" s="30" t="s">
        <v>89</v>
      </c>
      <c r="D133" s="31">
        <v>175392</v>
      </c>
      <c r="E133" s="28" t="s">
        <v>88</v>
      </c>
      <c r="F133" s="28"/>
      <c r="G133" s="28"/>
      <c r="H133" s="28"/>
      <c r="I133" s="28"/>
      <c r="J133" s="28"/>
      <c r="K133" s="28"/>
      <c r="L133" s="20">
        <v>38.5</v>
      </c>
      <c r="M133" s="21">
        <v>0</v>
      </c>
      <c r="N133" s="20">
        <f t="shared" si="33"/>
        <v>38.5</v>
      </c>
      <c r="O133" s="20">
        <v>52.5</v>
      </c>
      <c r="P133" s="21">
        <v>0</v>
      </c>
      <c r="Q133" s="20">
        <f t="shared" si="34"/>
        <v>52.5</v>
      </c>
      <c r="R133" s="20">
        <v>50</v>
      </c>
      <c r="S133" s="22">
        <v>0</v>
      </c>
      <c r="T133" s="20">
        <f t="shared" si="35"/>
        <v>50</v>
      </c>
      <c r="U133" s="20">
        <v>57</v>
      </c>
      <c r="V133" s="21">
        <v>0</v>
      </c>
      <c r="W133" s="20">
        <f t="shared" si="36"/>
        <v>57</v>
      </c>
      <c r="X133" s="20">
        <v>30</v>
      </c>
      <c r="Y133" s="22">
        <v>0</v>
      </c>
      <c r="Z133" s="20">
        <f t="shared" si="37"/>
        <v>30</v>
      </c>
      <c r="AA133" s="20">
        <v>66.5</v>
      </c>
      <c r="AB133" s="22">
        <v>5</v>
      </c>
      <c r="AC133" s="20">
        <f t="shared" si="38"/>
        <v>71.5</v>
      </c>
      <c r="AD133" s="20">
        <v>25</v>
      </c>
      <c r="AE133" s="22">
        <v>5</v>
      </c>
      <c r="AF133" s="20">
        <f t="shared" si="39"/>
        <v>30</v>
      </c>
      <c r="AG133" s="20">
        <v>39</v>
      </c>
      <c r="AH133" s="21">
        <v>0</v>
      </c>
      <c r="AI133" s="20">
        <f t="shared" si="40"/>
        <v>39</v>
      </c>
      <c r="AJ133" s="20">
        <v>15</v>
      </c>
      <c r="AK133" s="21">
        <v>3</v>
      </c>
      <c r="AL133" s="20">
        <f t="shared" si="41"/>
        <v>18</v>
      </c>
      <c r="AM133" s="20">
        <v>84</v>
      </c>
      <c r="AN133" s="21">
        <v>0</v>
      </c>
      <c r="AO133" s="20">
        <f t="shared" si="42"/>
        <v>84</v>
      </c>
      <c r="AP133" s="21">
        <v>46</v>
      </c>
      <c r="AQ133" s="20">
        <v>0</v>
      </c>
      <c r="AR133" s="20">
        <f t="shared" si="43"/>
        <v>46</v>
      </c>
      <c r="AS133" s="20">
        <v>36</v>
      </c>
      <c r="AT133" s="21">
        <v>0</v>
      </c>
      <c r="AU133" s="20">
        <f t="shared" si="44"/>
        <v>36</v>
      </c>
      <c r="AV133" s="23">
        <f t="shared" si="45"/>
        <v>539.5</v>
      </c>
      <c r="AW133" s="22">
        <f t="shared" si="46"/>
        <v>13</v>
      </c>
      <c r="AX133" s="20">
        <f t="shared" si="47"/>
        <v>552.5</v>
      </c>
      <c r="AY133" s="28" t="s">
        <v>2</v>
      </c>
      <c r="AZ133" s="28" t="s">
        <v>28</v>
      </c>
      <c r="BA133" s="28" t="s">
        <v>352</v>
      </c>
      <c r="BB133" s="29">
        <v>44128</v>
      </c>
    </row>
    <row r="134" spans="1:54" hidden="1">
      <c r="A134" s="28" t="str">
        <f t="shared" si="32"/>
        <v>813746204013</v>
      </c>
      <c r="B134" s="30">
        <v>813746</v>
      </c>
      <c r="C134" s="30" t="s">
        <v>82</v>
      </c>
      <c r="D134" s="31">
        <v>204013</v>
      </c>
      <c r="E134" s="28" t="s">
        <v>80</v>
      </c>
      <c r="F134" s="28"/>
      <c r="G134" s="28"/>
      <c r="H134" s="28"/>
      <c r="I134" s="28"/>
      <c r="J134" s="28"/>
      <c r="K134" s="28"/>
      <c r="L134" s="20">
        <v>40</v>
      </c>
      <c r="M134" s="21">
        <v>0</v>
      </c>
      <c r="N134" s="20">
        <f t="shared" si="33"/>
        <v>40</v>
      </c>
      <c r="O134" s="20">
        <v>67.5</v>
      </c>
      <c r="P134" s="21">
        <v>0</v>
      </c>
      <c r="Q134" s="20">
        <f t="shared" si="34"/>
        <v>67.5</v>
      </c>
      <c r="R134" s="20">
        <v>83.5</v>
      </c>
      <c r="S134" s="22">
        <v>0</v>
      </c>
      <c r="T134" s="20">
        <f t="shared" si="35"/>
        <v>83.5</v>
      </c>
      <c r="U134" s="20">
        <v>75</v>
      </c>
      <c r="V134" s="21">
        <v>0</v>
      </c>
      <c r="W134" s="20">
        <f t="shared" si="36"/>
        <v>75</v>
      </c>
      <c r="X134" s="20">
        <v>0</v>
      </c>
      <c r="Y134" s="22">
        <v>0</v>
      </c>
      <c r="Z134" s="20">
        <f t="shared" si="37"/>
        <v>0</v>
      </c>
      <c r="AA134" s="20">
        <v>0</v>
      </c>
      <c r="AB134" s="22">
        <v>0</v>
      </c>
      <c r="AC134" s="20">
        <f t="shared" si="38"/>
        <v>0</v>
      </c>
      <c r="AD134" s="20">
        <v>0</v>
      </c>
      <c r="AE134" s="22">
        <v>0</v>
      </c>
      <c r="AF134" s="20">
        <f t="shared" si="39"/>
        <v>0</v>
      </c>
      <c r="AG134" s="20">
        <v>0</v>
      </c>
      <c r="AH134" s="21">
        <v>0</v>
      </c>
      <c r="AI134" s="20">
        <f t="shared" si="40"/>
        <v>0</v>
      </c>
      <c r="AJ134" s="20">
        <v>0</v>
      </c>
      <c r="AK134" s="21">
        <v>0</v>
      </c>
      <c r="AL134" s="20">
        <f t="shared" si="41"/>
        <v>0</v>
      </c>
      <c r="AM134" s="20">
        <v>0</v>
      </c>
      <c r="AN134" s="21">
        <v>0</v>
      </c>
      <c r="AO134" s="20">
        <f t="shared" si="42"/>
        <v>0</v>
      </c>
      <c r="AP134" s="21">
        <v>0</v>
      </c>
      <c r="AQ134" s="20">
        <v>0</v>
      </c>
      <c r="AR134" s="20">
        <f t="shared" si="43"/>
        <v>0</v>
      </c>
      <c r="AS134" s="20">
        <v>0</v>
      </c>
      <c r="AT134" s="21">
        <v>0</v>
      </c>
      <c r="AU134" s="20">
        <f t="shared" si="44"/>
        <v>0</v>
      </c>
      <c r="AV134" s="23">
        <f t="shared" si="45"/>
        <v>266</v>
      </c>
      <c r="AW134" s="22">
        <f t="shared" si="46"/>
        <v>0</v>
      </c>
      <c r="AX134" s="20">
        <f t="shared" si="47"/>
        <v>266</v>
      </c>
      <c r="AY134" s="28" t="s">
        <v>2</v>
      </c>
      <c r="AZ134" s="28" t="s">
        <v>28</v>
      </c>
      <c r="BA134" s="28" t="s">
        <v>352</v>
      </c>
      <c r="BB134" s="29">
        <v>44168</v>
      </c>
    </row>
    <row r="135" spans="1:54" hidden="1">
      <c r="A135" s="28" t="str">
        <f t="shared" si="32"/>
        <v>813876204013</v>
      </c>
      <c r="B135" s="30">
        <v>813876</v>
      </c>
      <c r="C135" s="30" t="s">
        <v>83</v>
      </c>
      <c r="D135" s="31">
        <v>204013</v>
      </c>
      <c r="E135" s="28" t="s">
        <v>80</v>
      </c>
      <c r="F135" s="28"/>
      <c r="G135" s="28"/>
      <c r="H135" s="28"/>
      <c r="I135" s="28"/>
      <c r="J135" s="28"/>
      <c r="K135" s="28"/>
      <c r="L135" s="20">
        <v>28.5</v>
      </c>
      <c r="M135" s="21">
        <v>0</v>
      </c>
      <c r="N135" s="20">
        <f t="shared" si="33"/>
        <v>28.5</v>
      </c>
      <c r="O135" s="20">
        <v>38</v>
      </c>
      <c r="P135" s="21">
        <v>0</v>
      </c>
      <c r="Q135" s="20">
        <f t="shared" si="34"/>
        <v>38</v>
      </c>
      <c r="R135" s="20">
        <v>57</v>
      </c>
      <c r="S135" s="22">
        <v>0</v>
      </c>
      <c r="T135" s="20">
        <f t="shared" si="35"/>
        <v>57</v>
      </c>
      <c r="U135" s="20">
        <v>37.5</v>
      </c>
      <c r="V135" s="21">
        <v>12.5</v>
      </c>
      <c r="W135" s="20">
        <f t="shared" si="36"/>
        <v>50</v>
      </c>
      <c r="X135" s="20">
        <v>0</v>
      </c>
      <c r="Y135" s="22">
        <v>0</v>
      </c>
      <c r="Z135" s="20">
        <f t="shared" si="37"/>
        <v>0</v>
      </c>
      <c r="AA135" s="20">
        <v>10</v>
      </c>
      <c r="AB135" s="22">
        <v>0</v>
      </c>
      <c r="AC135" s="20">
        <f t="shared" si="38"/>
        <v>10</v>
      </c>
      <c r="AD135" s="20">
        <v>10</v>
      </c>
      <c r="AE135" s="22">
        <v>0</v>
      </c>
      <c r="AF135" s="20">
        <f t="shared" si="39"/>
        <v>10</v>
      </c>
      <c r="AG135" s="20">
        <v>17</v>
      </c>
      <c r="AH135" s="21">
        <v>0</v>
      </c>
      <c r="AI135" s="20">
        <f t="shared" si="40"/>
        <v>17</v>
      </c>
      <c r="AJ135" s="20">
        <v>25</v>
      </c>
      <c r="AK135" s="21">
        <v>0</v>
      </c>
      <c r="AL135" s="20">
        <f t="shared" si="41"/>
        <v>25</v>
      </c>
      <c r="AM135" s="20">
        <v>20</v>
      </c>
      <c r="AN135" s="21">
        <v>0</v>
      </c>
      <c r="AO135" s="20">
        <f t="shared" si="42"/>
        <v>20</v>
      </c>
      <c r="AP135" s="21">
        <v>10</v>
      </c>
      <c r="AQ135" s="20">
        <v>0</v>
      </c>
      <c r="AR135" s="20">
        <f t="shared" si="43"/>
        <v>10</v>
      </c>
      <c r="AS135" s="20">
        <v>10</v>
      </c>
      <c r="AT135" s="21">
        <v>0</v>
      </c>
      <c r="AU135" s="20">
        <f t="shared" si="44"/>
        <v>10</v>
      </c>
      <c r="AV135" s="23">
        <f t="shared" si="45"/>
        <v>263</v>
      </c>
      <c r="AW135" s="22">
        <f t="shared" si="46"/>
        <v>12.5</v>
      </c>
      <c r="AX135" s="20">
        <f t="shared" si="47"/>
        <v>275.5</v>
      </c>
      <c r="AY135" s="28" t="s">
        <v>2</v>
      </c>
      <c r="AZ135" s="28" t="s">
        <v>28</v>
      </c>
      <c r="BA135" s="28" t="s">
        <v>352</v>
      </c>
      <c r="BB135" s="29">
        <v>44183</v>
      </c>
    </row>
    <row r="136" spans="1:54" hidden="1">
      <c r="A136" s="28" t="str">
        <f t="shared" si="32"/>
        <v>813877119023</v>
      </c>
      <c r="B136" s="30">
        <v>813877</v>
      </c>
      <c r="C136" s="30" t="s">
        <v>368</v>
      </c>
      <c r="D136" s="31">
        <v>119023</v>
      </c>
      <c r="E136" s="28" t="s">
        <v>35</v>
      </c>
      <c r="F136" s="28"/>
      <c r="G136" s="28"/>
      <c r="H136" s="28"/>
      <c r="I136" s="28"/>
      <c r="J136" s="28"/>
      <c r="K136" s="28"/>
      <c r="L136" s="20">
        <v>0</v>
      </c>
      <c r="M136" s="21">
        <v>0</v>
      </c>
      <c r="N136" s="20">
        <f t="shared" si="33"/>
        <v>0</v>
      </c>
      <c r="O136" s="20">
        <v>0</v>
      </c>
      <c r="P136" s="21">
        <v>0</v>
      </c>
      <c r="Q136" s="20">
        <f t="shared" si="34"/>
        <v>0</v>
      </c>
      <c r="R136" s="20">
        <v>20</v>
      </c>
      <c r="S136" s="22">
        <v>0</v>
      </c>
      <c r="T136" s="20">
        <f t="shared" si="35"/>
        <v>20</v>
      </c>
      <c r="U136" s="20">
        <v>0</v>
      </c>
      <c r="V136" s="21">
        <v>0</v>
      </c>
      <c r="W136" s="20">
        <f t="shared" si="36"/>
        <v>0</v>
      </c>
      <c r="X136" s="20">
        <v>0</v>
      </c>
      <c r="Y136" s="22">
        <v>0</v>
      </c>
      <c r="Z136" s="20">
        <f t="shared" si="37"/>
        <v>0</v>
      </c>
      <c r="AA136" s="20">
        <v>0</v>
      </c>
      <c r="AB136" s="22">
        <v>0</v>
      </c>
      <c r="AC136" s="20">
        <f t="shared" si="38"/>
        <v>0</v>
      </c>
      <c r="AD136" s="20">
        <v>0</v>
      </c>
      <c r="AE136" s="22">
        <v>0</v>
      </c>
      <c r="AF136" s="20">
        <f t="shared" si="39"/>
        <v>0</v>
      </c>
      <c r="AG136" s="20">
        <v>0</v>
      </c>
      <c r="AH136" s="21">
        <v>0</v>
      </c>
      <c r="AI136" s="20">
        <f t="shared" si="40"/>
        <v>0</v>
      </c>
      <c r="AJ136" s="20">
        <v>5</v>
      </c>
      <c r="AK136" s="21">
        <v>0</v>
      </c>
      <c r="AL136" s="20">
        <f t="shared" si="41"/>
        <v>5</v>
      </c>
      <c r="AM136" s="20">
        <v>0</v>
      </c>
      <c r="AN136" s="21">
        <v>0</v>
      </c>
      <c r="AO136" s="20">
        <f t="shared" si="42"/>
        <v>0</v>
      </c>
      <c r="AP136" s="21">
        <v>0</v>
      </c>
      <c r="AQ136" s="20">
        <v>0</v>
      </c>
      <c r="AR136" s="20">
        <f t="shared" si="43"/>
        <v>0</v>
      </c>
      <c r="AS136" s="20">
        <v>0</v>
      </c>
      <c r="AT136" s="21">
        <v>0</v>
      </c>
      <c r="AU136" s="20">
        <f t="shared" si="44"/>
        <v>0</v>
      </c>
      <c r="AV136" s="23">
        <f t="shared" si="45"/>
        <v>25</v>
      </c>
      <c r="AW136" s="22">
        <f t="shared" si="46"/>
        <v>0</v>
      </c>
      <c r="AX136" s="20">
        <f t="shared" si="47"/>
        <v>25</v>
      </c>
      <c r="AY136" s="28" t="s">
        <v>2</v>
      </c>
      <c r="AZ136" s="28" t="s">
        <v>28</v>
      </c>
      <c r="BA136" s="28" t="s">
        <v>352</v>
      </c>
      <c r="BB136" s="29">
        <v>44183</v>
      </c>
    </row>
    <row r="137" spans="1:54" hidden="1">
      <c r="A137" s="28" t="str">
        <f t="shared" si="32"/>
        <v>813894202865</v>
      </c>
      <c r="B137" s="30">
        <v>813894</v>
      </c>
      <c r="C137" s="30" t="s">
        <v>85</v>
      </c>
      <c r="D137" s="31">
        <v>202865</v>
      </c>
      <c r="E137" s="28" t="s">
        <v>84</v>
      </c>
      <c r="F137" s="28"/>
      <c r="G137" s="28"/>
      <c r="H137" s="28"/>
      <c r="I137" s="28"/>
      <c r="J137" s="28"/>
      <c r="K137" s="28"/>
      <c r="L137" s="20">
        <v>79</v>
      </c>
      <c r="M137" s="21">
        <v>0</v>
      </c>
      <c r="N137" s="20">
        <f t="shared" si="33"/>
        <v>79</v>
      </c>
      <c r="O137" s="20">
        <v>95.5</v>
      </c>
      <c r="P137" s="21">
        <v>11.25</v>
      </c>
      <c r="Q137" s="20">
        <f t="shared" si="34"/>
        <v>106.75</v>
      </c>
      <c r="R137" s="20">
        <v>114</v>
      </c>
      <c r="S137" s="22">
        <v>0</v>
      </c>
      <c r="T137" s="20">
        <f t="shared" si="35"/>
        <v>114</v>
      </c>
      <c r="U137" s="20">
        <v>85.5</v>
      </c>
      <c r="V137" s="21">
        <v>0</v>
      </c>
      <c r="W137" s="20">
        <f t="shared" si="36"/>
        <v>85.5</v>
      </c>
      <c r="X137" s="20">
        <v>85</v>
      </c>
      <c r="Y137" s="22">
        <v>0</v>
      </c>
      <c r="Z137" s="20">
        <f t="shared" si="37"/>
        <v>85</v>
      </c>
      <c r="AA137" s="20">
        <v>83.5</v>
      </c>
      <c r="AB137" s="22">
        <v>0</v>
      </c>
      <c r="AC137" s="20">
        <f t="shared" si="38"/>
        <v>83.5</v>
      </c>
      <c r="AD137" s="20">
        <v>91.5</v>
      </c>
      <c r="AE137" s="22">
        <v>0</v>
      </c>
      <c r="AF137" s="20">
        <f t="shared" si="39"/>
        <v>91.5</v>
      </c>
      <c r="AG137" s="20">
        <v>42</v>
      </c>
      <c r="AH137" s="21">
        <v>0</v>
      </c>
      <c r="AI137" s="20">
        <f t="shared" si="40"/>
        <v>42</v>
      </c>
      <c r="AJ137" s="20">
        <v>60</v>
      </c>
      <c r="AK137" s="21">
        <v>0</v>
      </c>
      <c r="AL137" s="20">
        <f t="shared" si="41"/>
        <v>60</v>
      </c>
      <c r="AM137" s="20">
        <v>39.5</v>
      </c>
      <c r="AN137" s="21">
        <v>0</v>
      </c>
      <c r="AO137" s="20">
        <f t="shared" si="42"/>
        <v>39.5</v>
      </c>
      <c r="AP137" s="21">
        <v>84</v>
      </c>
      <c r="AQ137" s="20">
        <v>0</v>
      </c>
      <c r="AR137" s="20">
        <f t="shared" si="43"/>
        <v>84</v>
      </c>
      <c r="AS137" s="20">
        <v>42</v>
      </c>
      <c r="AT137" s="21">
        <v>0</v>
      </c>
      <c r="AU137" s="20">
        <f t="shared" si="44"/>
        <v>42</v>
      </c>
      <c r="AV137" s="23">
        <f t="shared" si="45"/>
        <v>901.5</v>
      </c>
      <c r="AW137" s="22">
        <f t="shared" si="46"/>
        <v>11.25</v>
      </c>
      <c r="AX137" s="20">
        <f t="shared" si="47"/>
        <v>912.75</v>
      </c>
      <c r="AY137" s="28" t="s">
        <v>2</v>
      </c>
      <c r="AZ137" s="28" t="s">
        <v>28</v>
      </c>
      <c r="BA137" s="28" t="s">
        <v>352</v>
      </c>
      <c r="BB137" s="29">
        <v>44184</v>
      </c>
    </row>
    <row r="138" spans="1:54" hidden="1">
      <c r="A138" s="28" t="str">
        <f t="shared" si="32"/>
        <v>813895204013</v>
      </c>
      <c r="B138" s="30">
        <v>813895</v>
      </c>
      <c r="C138" s="30" t="s">
        <v>81</v>
      </c>
      <c r="D138" s="31">
        <v>204013</v>
      </c>
      <c r="E138" s="28" t="s">
        <v>80</v>
      </c>
      <c r="F138" s="28"/>
      <c r="G138" s="28"/>
      <c r="H138" s="28"/>
      <c r="I138" s="28"/>
      <c r="J138" s="28"/>
      <c r="K138" s="28"/>
      <c r="L138" s="20">
        <v>72</v>
      </c>
      <c r="M138" s="21">
        <v>0</v>
      </c>
      <c r="N138" s="20">
        <f t="shared" si="33"/>
        <v>72</v>
      </c>
      <c r="O138" s="20">
        <v>65.5</v>
      </c>
      <c r="P138" s="21">
        <v>0</v>
      </c>
      <c r="Q138" s="20">
        <f t="shared" si="34"/>
        <v>65.5</v>
      </c>
      <c r="R138" s="20">
        <v>58</v>
      </c>
      <c r="S138" s="22">
        <v>0</v>
      </c>
      <c r="T138" s="20">
        <f t="shared" si="35"/>
        <v>58</v>
      </c>
      <c r="U138" s="20">
        <v>69</v>
      </c>
      <c r="V138" s="21">
        <v>0</v>
      </c>
      <c r="W138" s="20">
        <f t="shared" si="36"/>
        <v>69</v>
      </c>
      <c r="X138" s="20">
        <v>30</v>
      </c>
      <c r="Y138" s="22">
        <v>0</v>
      </c>
      <c r="Z138" s="20">
        <f t="shared" si="37"/>
        <v>30</v>
      </c>
      <c r="AA138" s="20">
        <v>48</v>
      </c>
      <c r="AB138" s="22">
        <v>0</v>
      </c>
      <c r="AC138" s="20">
        <f t="shared" si="38"/>
        <v>48</v>
      </c>
      <c r="AD138" s="20">
        <v>51.5</v>
      </c>
      <c r="AE138" s="22">
        <v>0</v>
      </c>
      <c r="AF138" s="20">
        <f t="shared" si="39"/>
        <v>51.5</v>
      </c>
      <c r="AG138" s="20">
        <v>18</v>
      </c>
      <c r="AH138" s="21">
        <v>0</v>
      </c>
      <c r="AI138" s="20">
        <f t="shared" si="40"/>
        <v>18</v>
      </c>
      <c r="AJ138" s="20">
        <v>57</v>
      </c>
      <c r="AK138" s="21">
        <v>0</v>
      </c>
      <c r="AL138" s="20">
        <f t="shared" si="41"/>
        <v>57</v>
      </c>
      <c r="AM138" s="20">
        <v>59.7</v>
      </c>
      <c r="AN138" s="21">
        <v>0</v>
      </c>
      <c r="AO138" s="20">
        <f t="shared" si="42"/>
        <v>59.7</v>
      </c>
      <c r="AP138" s="21">
        <v>20</v>
      </c>
      <c r="AQ138" s="20">
        <v>0</v>
      </c>
      <c r="AR138" s="20">
        <f t="shared" si="43"/>
        <v>20</v>
      </c>
      <c r="AS138" s="20">
        <v>47.5</v>
      </c>
      <c r="AT138" s="21">
        <v>5</v>
      </c>
      <c r="AU138" s="20">
        <f t="shared" si="44"/>
        <v>52.5</v>
      </c>
      <c r="AV138" s="23">
        <f t="shared" si="45"/>
        <v>596.20000000000005</v>
      </c>
      <c r="AW138" s="22">
        <f t="shared" si="46"/>
        <v>5</v>
      </c>
      <c r="AX138" s="20">
        <f t="shared" si="47"/>
        <v>601.20000000000005</v>
      </c>
      <c r="AY138" s="28" t="s">
        <v>2</v>
      </c>
      <c r="AZ138" s="28" t="s">
        <v>28</v>
      </c>
      <c r="BA138" s="28" t="s">
        <v>352</v>
      </c>
      <c r="BB138" s="29">
        <v>44184</v>
      </c>
    </row>
    <row r="139" spans="1:54" hidden="1">
      <c r="A139" s="28" t="str">
        <f t="shared" si="32"/>
        <v>814096179473</v>
      </c>
      <c r="B139" s="30">
        <v>814096</v>
      </c>
      <c r="C139" s="30" t="s">
        <v>114</v>
      </c>
      <c r="D139" s="31">
        <v>179473</v>
      </c>
      <c r="E139" s="28" t="s">
        <v>113</v>
      </c>
      <c r="F139" s="28"/>
      <c r="G139" s="28"/>
      <c r="H139" s="28"/>
      <c r="I139" s="28"/>
      <c r="J139" s="28"/>
      <c r="K139" s="28"/>
      <c r="L139" s="20">
        <v>16.5</v>
      </c>
      <c r="M139" s="21">
        <v>0</v>
      </c>
      <c r="N139" s="20">
        <f t="shared" si="33"/>
        <v>16.5</v>
      </c>
      <c r="O139" s="20">
        <v>0</v>
      </c>
      <c r="P139" s="21">
        <v>0</v>
      </c>
      <c r="Q139" s="20">
        <f t="shared" si="34"/>
        <v>0</v>
      </c>
      <c r="R139" s="20">
        <v>6.5</v>
      </c>
      <c r="S139" s="22">
        <v>0</v>
      </c>
      <c r="T139" s="20">
        <f t="shared" si="35"/>
        <v>6.5</v>
      </c>
      <c r="U139" s="20">
        <v>10</v>
      </c>
      <c r="V139" s="21">
        <v>0</v>
      </c>
      <c r="W139" s="20">
        <f t="shared" si="36"/>
        <v>10</v>
      </c>
      <c r="X139" s="20">
        <v>5</v>
      </c>
      <c r="Y139" s="22">
        <v>0</v>
      </c>
      <c r="Z139" s="20">
        <f t="shared" si="37"/>
        <v>5</v>
      </c>
      <c r="AA139" s="20">
        <v>2.5</v>
      </c>
      <c r="AB139" s="22">
        <v>0</v>
      </c>
      <c r="AC139" s="20">
        <f t="shared" si="38"/>
        <v>2.5</v>
      </c>
      <c r="AD139" s="20">
        <v>0</v>
      </c>
      <c r="AE139" s="22">
        <v>0</v>
      </c>
      <c r="AF139" s="20">
        <f t="shared" si="39"/>
        <v>0</v>
      </c>
      <c r="AG139" s="20">
        <v>2.5</v>
      </c>
      <c r="AH139" s="21">
        <v>0</v>
      </c>
      <c r="AI139" s="20">
        <f t="shared" si="40"/>
        <v>2.5</v>
      </c>
      <c r="AJ139" s="20">
        <v>0</v>
      </c>
      <c r="AK139" s="21">
        <v>0</v>
      </c>
      <c r="AL139" s="20">
        <f t="shared" si="41"/>
        <v>0</v>
      </c>
      <c r="AM139" s="20">
        <v>0</v>
      </c>
      <c r="AN139" s="21">
        <v>0</v>
      </c>
      <c r="AO139" s="20">
        <f t="shared" si="42"/>
        <v>0</v>
      </c>
      <c r="AP139" s="21">
        <v>0</v>
      </c>
      <c r="AQ139" s="20">
        <v>0</v>
      </c>
      <c r="AR139" s="20">
        <f t="shared" si="43"/>
        <v>0</v>
      </c>
      <c r="AS139" s="20">
        <v>0</v>
      </c>
      <c r="AT139" s="21">
        <v>0</v>
      </c>
      <c r="AU139" s="20">
        <f t="shared" si="44"/>
        <v>0</v>
      </c>
      <c r="AV139" s="23">
        <f t="shared" si="45"/>
        <v>43</v>
      </c>
      <c r="AW139" s="22">
        <f t="shared" si="46"/>
        <v>0</v>
      </c>
      <c r="AX139" s="20">
        <f t="shared" si="47"/>
        <v>43</v>
      </c>
      <c r="AY139" s="28" t="s">
        <v>2</v>
      </c>
      <c r="AZ139" s="28" t="s">
        <v>28</v>
      </c>
      <c r="BA139" s="28" t="s">
        <v>352</v>
      </c>
      <c r="BB139" s="29">
        <v>44203</v>
      </c>
    </row>
    <row r="140" spans="1:54" hidden="1">
      <c r="A140" s="28" t="str">
        <f t="shared" si="32"/>
        <v>814416177829</v>
      </c>
      <c r="B140" s="30">
        <v>814416</v>
      </c>
      <c r="C140" s="30" t="s">
        <v>24</v>
      </c>
      <c r="D140" s="31">
        <v>177829</v>
      </c>
      <c r="E140" s="28" t="s">
        <v>69</v>
      </c>
      <c r="F140" s="28"/>
      <c r="G140" s="28"/>
      <c r="H140" s="28"/>
      <c r="I140" s="28"/>
      <c r="J140" s="28"/>
      <c r="K140" s="28"/>
      <c r="L140" s="20">
        <v>0</v>
      </c>
      <c r="M140" s="21">
        <v>0</v>
      </c>
      <c r="N140" s="20">
        <f t="shared" si="33"/>
        <v>0</v>
      </c>
      <c r="O140" s="20">
        <v>0</v>
      </c>
      <c r="P140" s="21">
        <v>0</v>
      </c>
      <c r="Q140" s="20">
        <f t="shared" si="34"/>
        <v>0</v>
      </c>
      <c r="R140" s="20">
        <v>22</v>
      </c>
      <c r="S140" s="22">
        <v>0</v>
      </c>
      <c r="T140" s="20">
        <f t="shared" si="35"/>
        <v>22</v>
      </c>
      <c r="U140" s="20">
        <v>25.5</v>
      </c>
      <c r="V140" s="21">
        <v>0</v>
      </c>
      <c r="W140" s="20">
        <f t="shared" si="36"/>
        <v>25.5</v>
      </c>
      <c r="X140" s="20">
        <v>20</v>
      </c>
      <c r="Y140" s="22">
        <v>0</v>
      </c>
      <c r="Z140" s="20">
        <f t="shared" si="37"/>
        <v>20</v>
      </c>
      <c r="AA140" s="20">
        <v>0</v>
      </c>
      <c r="AB140" s="22">
        <v>0</v>
      </c>
      <c r="AC140" s="20">
        <f t="shared" si="38"/>
        <v>0</v>
      </c>
      <c r="AD140" s="20">
        <v>0</v>
      </c>
      <c r="AE140" s="22">
        <v>0</v>
      </c>
      <c r="AF140" s="20">
        <f t="shared" si="39"/>
        <v>0</v>
      </c>
      <c r="AG140" s="20">
        <v>0</v>
      </c>
      <c r="AH140" s="21">
        <v>0</v>
      </c>
      <c r="AI140" s="20">
        <f t="shared" si="40"/>
        <v>0</v>
      </c>
      <c r="AJ140" s="20">
        <v>0</v>
      </c>
      <c r="AK140" s="21">
        <v>0</v>
      </c>
      <c r="AL140" s="20">
        <f t="shared" si="41"/>
        <v>0</v>
      </c>
      <c r="AM140" s="20">
        <v>0</v>
      </c>
      <c r="AN140" s="21">
        <v>0</v>
      </c>
      <c r="AO140" s="20">
        <f t="shared" si="42"/>
        <v>0</v>
      </c>
      <c r="AP140" s="21">
        <v>0</v>
      </c>
      <c r="AQ140" s="20">
        <v>0</v>
      </c>
      <c r="AR140" s="20">
        <f t="shared" si="43"/>
        <v>0</v>
      </c>
      <c r="AS140" s="20">
        <v>0</v>
      </c>
      <c r="AT140" s="21">
        <v>0</v>
      </c>
      <c r="AU140" s="20">
        <f t="shared" si="44"/>
        <v>0</v>
      </c>
      <c r="AV140" s="23">
        <f t="shared" si="45"/>
        <v>67.5</v>
      </c>
      <c r="AW140" s="22">
        <f t="shared" si="46"/>
        <v>0</v>
      </c>
      <c r="AX140" s="20">
        <f t="shared" si="47"/>
        <v>67.5</v>
      </c>
      <c r="AY140" s="28" t="s">
        <v>2</v>
      </c>
      <c r="AZ140" s="28" t="s">
        <v>28</v>
      </c>
      <c r="BA140" s="28" t="s">
        <v>352</v>
      </c>
      <c r="BB140" s="29">
        <v>44235</v>
      </c>
    </row>
    <row r="141" spans="1:54" hidden="1">
      <c r="A141" s="28" t="str">
        <f t="shared" si="32"/>
        <v>814499171479</v>
      </c>
      <c r="B141" s="30">
        <v>814499</v>
      </c>
      <c r="C141" s="30" t="s">
        <v>73</v>
      </c>
      <c r="D141" s="31">
        <v>171479</v>
      </c>
      <c r="E141" s="28" t="s">
        <v>72</v>
      </c>
      <c r="F141" s="28"/>
      <c r="G141" s="28"/>
      <c r="H141" s="28"/>
      <c r="I141" s="28"/>
      <c r="J141" s="28"/>
      <c r="K141" s="28"/>
      <c r="L141" s="20">
        <v>137.5</v>
      </c>
      <c r="M141" s="21">
        <v>0</v>
      </c>
      <c r="N141" s="20">
        <f t="shared" si="33"/>
        <v>137.5</v>
      </c>
      <c r="O141" s="20">
        <v>203</v>
      </c>
      <c r="P141" s="21">
        <v>0</v>
      </c>
      <c r="Q141" s="20">
        <f t="shared" si="34"/>
        <v>203</v>
      </c>
      <c r="R141" s="20">
        <v>205.5</v>
      </c>
      <c r="S141" s="22">
        <v>12.5</v>
      </c>
      <c r="T141" s="20">
        <f t="shared" si="35"/>
        <v>218</v>
      </c>
      <c r="U141" s="20">
        <v>218</v>
      </c>
      <c r="V141" s="21">
        <v>0</v>
      </c>
      <c r="W141" s="20">
        <f t="shared" si="36"/>
        <v>218</v>
      </c>
      <c r="X141" s="20">
        <v>207.5</v>
      </c>
      <c r="Y141" s="22">
        <v>25</v>
      </c>
      <c r="Z141" s="20">
        <f t="shared" si="37"/>
        <v>232.5</v>
      </c>
      <c r="AA141" s="20">
        <v>140</v>
      </c>
      <c r="AB141" s="22">
        <v>0</v>
      </c>
      <c r="AC141" s="20">
        <f t="shared" si="38"/>
        <v>140</v>
      </c>
      <c r="AD141" s="20">
        <v>162.5</v>
      </c>
      <c r="AE141" s="22">
        <v>25</v>
      </c>
      <c r="AF141" s="20">
        <f t="shared" si="39"/>
        <v>187.5</v>
      </c>
      <c r="AG141" s="20">
        <v>77</v>
      </c>
      <c r="AH141" s="21">
        <v>0</v>
      </c>
      <c r="AI141" s="20">
        <f t="shared" si="40"/>
        <v>77</v>
      </c>
      <c r="AJ141" s="20">
        <v>117.5</v>
      </c>
      <c r="AK141" s="21">
        <v>12.5</v>
      </c>
      <c r="AL141" s="20">
        <f t="shared" si="41"/>
        <v>130</v>
      </c>
      <c r="AM141" s="20">
        <v>37.5</v>
      </c>
      <c r="AN141" s="21">
        <v>37.5</v>
      </c>
      <c r="AO141" s="20">
        <f t="shared" si="42"/>
        <v>75</v>
      </c>
      <c r="AP141" s="21">
        <v>50</v>
      </c>
      <c r="AQ141" s="20">
        <v>50</v>
      </c>
      <c r="AR141" s="20">
        <f t="shared" si="43"/>
        <v>100</v>
      </c>
      <c r="AS141" s="20">
        <v>52.5</v>
      </c>
      <c r="AT141" s="21">
        <v>15</v>
      </c>
      <c r="AU141" s="20">
        <f t="shared" si="44"/>
        <v>67.5</v>
      </c>
      <c r="AV141" s="23">
        <f t="shared" si="45"/>
        <v>1608.5</v>
      </c>
      <c r="AW141" s="22">
        <f t="shared" si="46"/>
        <v>177.5</v>
      </c>
      <c r="AX141" s="20">
        <f t="shared" si="47"/>
        <v>1786</v>
      </c>
      <c r="AY141" s="28" t="s">
        <v>2</v>
      </c>
      <c r="AZ141" s="28" t="s">
        <v>28</v>
      </c>
      <c r="BA141" s="28" t="s">
        <v>352</v>
      </c>
      <c r="BB141" s="29">
        <v>44243</v>
      </c>
    </row>
    <row r="142" spans="1:54" hidden="1">
      <c r="A142" s="28" t="str">
        <f t="shared" si="32"/>
        <v>814671119023</v>
      </c>
      <c r="B142" s="30">
        <v>814671</v>
      </c>
      <c r="C142" s="30" t="s">
        <v>36</v>
      </c>
      <c r="D142" s="31">
        <v>119023</v>
      </c>
      <c r="E142" s="28" t="s">
        <v>35</v>
      </c>
      <c r="F142" s="28"/>
      <c r="G142" s="28"/>
      <c r="H142" s="28"/>
      <c r="I142" s="28"/>
      <c r="J142" s="28"/>
      <c r="K142" s="28"/>
      <c r="L142" s="20">
        <v>100.5</v>
      </c>
      <c r="M142" s="21">
        <v>0</v>
      </c>
      <c r="N142" s="20">
        <f t="shared" si="33"/>
        <v>100.5</v>
      </c>
      <c r="O142" s="20">
        <v>116</v>
      </c>
      <c r="P142" s="21">
        <v>0</v>
      </c>
      <c r="Q142" s="20">
        <f t="shared" si="34"/>
        <v>116</v>
      </c>
      <c r="R142" s="20">
        <v>211</v>
      </c>
      <c r="S142" s="22">
        <v>0</v>
      </c>
      <c r="T142" s="20">
        <f t="shared" si="35"/>
        <v>211</v>
      </c>
      <c r="U142" s="20">
        <v>130</v>
      </c>
      <c r="V142" s="21">
        <v>0</v>
      </c>
      <c r="W142" s="20">
        <f t="shared" si="36"/>
        <v>130</v>
      </c>
      <c r="X142" s="20">
        <v>139</v>
      </c>
      <c r="Y142" s="22">
        <v>0</v>
      </c>
      <c r="Z142" s="20">
        <f t="shared" si="37"/>
        <v>139</v>
      </c>
      <c r="AA142" s="20">
        <v>167.5</v>
      </c>
      <c r="AB142" s="22">
        <v>0</v>
      </c>
      <c r="AC142" s="20">
        <f t="shared" si="38"/>
        <v>167.5</v>
      </c>
      <c r="AD142" s="20">
        <v>149</v>
      </c>
      <c r="AE142" s="22">
        <v>0</v>
      </c>
      <c r="AF142" s="20">
        <f t="shared" si="39"/>
        <v>149</v>
      </c>
      <c r="AG142" s="20">
        <v>139</v>
      </c>
      <c r="AH142" s="21">
        <v>0</v>
      </c>
      <c r="AI142" s="20">
        <f t="shared" si="40"/>
        <v>139</v>
      </c>
      <c r="AJ142" s="20">
        <v>218.5</v>
      </c>
      <c r="AK142" s="21">
        <v>20</v>
      </c>
      <c r="AL142" s="20">
        <f t="shared" si="41"/>
        <v>238.5</v>
      </c>
      <c r="AM142" s="20">
        <v>160.5</v>
      </c>
      <c r="AN142" s="21">
        <v>0</v>
      </c>
      <c r="AO142" s="20">
        <f t="shared" si="42"/>
        <v>160.5</v>
      </c>
      <c r="AP142" s="21">
        <v>113.5</v>
      </c>
      <c r="AQ142" s="20">
        <v>0</v>
      </c>
      <c r="AR142" s="20">
        <f t="shared" si="43"/>
        <v>113.5</v>
      </c>
      <c r="AS142" s="20">
        <v>172</v>
      </c>
      <c r="AT142" s="21">
        <v>0</v>
      </c>
      <c r="AU142" s="20">
        <f t="shared" si="44"/>
        <v>172</v>
      </c>
      <c r="AV142" s="23">
        <f t="shared" si="45"/>
        <v>1816.5</v>
      </c>
      <c r="AW142" s="22">
        <f t="shared" si="46"/>
        <v>20</v>
      </c>
      <c r="AX142" s="20">
        <f t="shared" si="47"/>
        <v>1836.5</v>
      </c>
      <c r="AY142" s="28" t="s">
        <v>2</v>
      </c>
      <c r="AZ142" s="28" t="s">
        <v>28</v>
      </c>
      <c r="BA142" s="28" t="s">
        <v>352</v>
      </c>
      <c r="BB142" s="29">
        <v>44257</v>
      </c>
    </row>
    <row r="143" spans="1:54" hidden="1">
      <c r="A143" s="28" t="str">
        <f t="shared" si="32"/>
        <v>814733119023</v>
      </c>
      <c r="B143" s="30">
        <v>814733</v>
      </c>
      <c r="C143" s="30" t="s">
        <v>122</v>
      </c>
      <c r="D143" s="31">
        <v>119023</v>
      </c>
      <c r="E143" s="28" t="s">
        <v>35</v>
      </c>
      <c r="F143" s="28"/>
      <c r="G143" s="28"/>
      <c r="H143" s="28"/>
      <c r="I143" s="28"/>
      <c r="J143" s="28"/>
      <c r="K143" s="28"/>
      <c r="L143" s="20">
        <v>102</v>
      </c>
      <c r="M143" s="21">
        <v>16</v>
      </c>
      <c r="N143" s="20">
        <f t="shared" si="33"/>
        <v>118</v>
      </c>
      <c r="O143" s="20">
        <v>125</v>
      </c>
      <c r="P143" s="21">
        <v>0</v>
      </c>
      <c r="Q143" s="20">
        <f t="shared" si="34"/>
        <v>125</v>
      </c>
      <c r="R143" s="20">
        <v>149</v>
      </c>
      <c r="S143" s="22">
        <v>0</v>
      </c>
      <c r="T143" s="20">
        <f t="shared" si="35"/>
        <v>149</v>
      </c>
      <c r="U143" s="20">
        <v>193.5</v>
      </c>
      <c r="V143" s="21">
        <v>0</v>
      </c>
      <c r="W143" s="20">
        <f t="shared" si="36"/>
        <v>193.5</v>
      </c>
      <c r="X143" s="20">
        <v>107</v>
      </c>
      <c r="Y143" s="22">
        <v>0</v>
      </c>
      <c r="Z143" s="20">
        <f t="shared" si="37"/>
        <v>107</v>
      </c>
      <c r="AA143" s="20">
        <v>152</v>
      </c>
      <c r="AB143" s="22">
        <v>0</v>
      </c>
      <c r="AC143" s="20">
        <f t="shared" si="38"/>
        <v>152</v>
      </c>
      <c r="AD143" s="20">
        <v>106</v>
      </c>
      <c r="AE143" s="22">
        <v>0</v>
      </c>
      <c r="AF143" s="20">
        <f t="shared" si="39"/>
        <v>106</v>
      </c>
      <c r="AG143" s="20">
        <v>0</v>
      </c>
      <c r="AH143" s="21">
        <v>0</v>
      </c>
      <c r="AI143" s="20">
        <f t="shared" si="40"/>
        <v>0</v>
      </c>
      <c r="AJ143" s="20">
        <v>202.5</v>
      </c>
      <c r="AK143" s="21">
        <v>21.5</v>
      </c>
      <c r="AL143" s="20">
        <f t="shared" si="41"/>
        <v>224</v>
      </c>
      <c r="AM143" s="20">
        <v>198</v>
      </c>
      <c r="AN143" s="21">
        <v>0</v>
      </c>
      <c r="AO143" s="20">
        <f t="shared" si="42"/>
        <v>198</v>
      </c>
      <c r="AP143" s="21">
        <v>109.7</v>
      </c>
      <c r="AQ143" s="20">
        <v>0</v>
      </c>
      <c r="AR143" s="20">
        <f t="shared" si="43"/>
        <v>109.7</v>
      </c>
      <c r="AS143" s="20">
        <v>162.5</v>
      </c>
      <c r="AT143" s="21">
        <v>0</v>
      </c>
      <c r="AU143" s="20">
        <f t="shared" si="44"/>
        <v>162.5</v>
      </c>
      <c r="AV143" s="23">
        <f t="shared" si="45"/>
        <v>1607.2</v>
      </c>
      <c r="AW143" s="22">
        <f t="shared" si="46"/>
        <v>37.5</v>
      </c>
      <c r="AX143" s="20">
        <f t="shared" si="47"/>
        <v>1644.7</v>
      </c>
      <c r="AY143" s="28" t="s">
        <v>2</v>
      </c>
      <c r="AZ143" s="28" t="s">
        <v>28</v>
      </c>
      <c r="BA143" s="28" t="s">
        <v>352</v>
      </c>
      <c r="BB143" s="29">
        <v>44266</v>
      </c>
    </row>
    <row r="144" spans="1:54" hidden="1">
      <c r="A144" s="28" t="str">
        <f t="shared" si="32"/>
        <v>814749171469</v>
      </c>
      <c r="B144" s="30">
        <v>814749</v>
      </c>
      <c r="C144" s="30" t="s">
        <v>71</v>
      </c>
      <c r="D144" s="31">
        <v>171469</v>
      </c>
      <c r="E144" s="28" t="s">
        <v>70</v>
      </c>
      <c r="F144" s="28"/>
      <c r="G144" s="28"/>
      <c r="H144" s="28"/>
      <c r="I144" s="28"/>
      <c r="J144" s="28"/>
      <c r="K144" s="28"/>
      <c r="L144" s="20">
        <v>43</v>
      </c>
      <c r="M144" s="21">
        <v>0</v>
      </c>
      <c r="N144" s="20">
        <f t="shared" si="33"/>
        <v>43</v>
      </c>
      <c r="O144" s="20">
        <v>172</v>
      </c>
      <c r="P144" s="21">
        <v>0</v>
      </c>
      <c r="Q144" s="20">
        <f t="shared" si="34"/>
        <v>172</v>
      </c>
      <c r="R144" s="20">
        <v>127</v>
      </c>
      <c r="S144" s="22">
        <v>0</v>
      </c>
      <c r="T144" s="20">
        <f t="shared" si="35"/>
        <v>127</v>
      </c>
      <c r="U144" s="20">
        <v>126</v>
      </c>
      <c r="V144" s="21">
        <v>0</v>
      </c>
      <c r="W144" s="20">
        <f t="shared" si="36"/>
        <v>126</v>
      </c>
      <c r="X144" s="20">
        <v>126.5</v>
      </c>
      <c r="Y144" s="22">
        <v>0</v>
      </c>
      <c r="Z144" s="20">
        <f t="shared" si="37"/>
        <v>126.5</v>
      </c>
      <c r="AA144" s="20">
        <v>129</v>
      </c>
      <c r="AB144" s="22">
        <v>0</v>
      </c>
      <c r="AC144" s="20">
        <f t="shared" si="38"/>
        <v>129</v>
      </c>
      <c r="AD144" s="20">
        <v>132</v>
      </c>
      <c r="AE144" s="22">
        <v>0</v>
      </c>
      <c r="AF144" s="20">
        <f t="shared" si="39"/>
        <v>132</v>
      </c>
      <c r="AG144" s="20">
        <v>126</v>
      </c>
      <c r="AH144" s="21">
        <v>0</v>
      </c>
      <c r="AI144" s="20">
        <f t="shared" si="40"/>
        <v>126</v>
      </c>
      <c r="AJ144" s="20">
        <v>168</v>
      </c>
      <c r="AK144" s="21">
        <v>0</v>
      </c>
      <c r="AL144" s="20">
        <f t="shared" si="41"/>
        <v>168</v>
      </c>
      <c r="AM144" s="20">
        <v>127</v>
      </c>
      <c r="AN144" s="21">
        <v>0</v>
      </c>
      <c r="AO144" s="20">
        <f t="shared" si="42"/>
        <v>127</v>
      </c>
      <c r="AP144" s="21">
        <v>127</v>
      </c>
      <c r="AQ144" s="20">
        <v>0</v>
      </c>
      <c r="AR144" s="20">
        <f t="shared" si="43"/>
        <v>127</v>
      </c>
      <c r="AS144" s="20">
        <v>146</v>
      </c>
      <c r="AT144" s="21">
        <v>0</v>
      </c>
      <c r="AU144" s="20">
        <f t="shared" si="44"/>
        <v>146</v>
      </c>
      <c r="AV144" s="23">
        <f t="shared" si="45"/>
        <v>1549.5</v>
      </c>
      <c r="AW144" s="22">
        <f t="shared" si="46"/>
        <v>0</v>
      </c>
      <c r="AX144" s="20">
        <f t="shared" si="47"/>
        <v>1549.5</v>
      </c>
      <c r="AY144" s="28" t="s">
        <v>2</v>
      </c>
      <c r="AZ144" s="28" t="s">
        <v>28</v>
      </c>
      <c r="BA144" s="28" t="s">
        <v>352</v>
      </c>
      <c r="BB144" s="29">
        <v>44268</v>
      </c>
    </row>
    <row r="145" spans="1:54" hidden="1">
      <c r="A145" s="28" t="str">
        <f t="shared" si="32"/>
        <v>814776202865</v>
      </c>
      <c r="B145" s="30">
        <v>814776</v>
      </c>
      <c r="C145" s="30" t="s">
        <v>86</v>
      </c>
      <c r="D145" s="31">
        <v>202865</v>
      </c>
      <c r="E145" s="28" t="s">
        <v>84</v>
      </c>
      <c r="F145" s="28"/>
      <c r="G145" s="28"/>
      <c r="H145" s="28"/>
      <c r="I145" s="28"/>
      <c r="J145" s="28"/>
      <c r="K145" s="28"/>
      <c r="L145" s="20">
        <v>48.5</v>
      </c>
      <c r="M145" s="21">
        <v>0</v>
      </c>
      <c r="N145" s="20">
        <f t="shared" si="33"/>
        <v>48.5</v>
      </c>
      <c r="O145" s="20">
        <v>88.5</v>
      </c>
      <c r="P145" s="21">
        <v>0</v>
      </c>
      <c r="Q145" s="20">
        <f t="shared" si="34"/>
        <v>88.5</v>
      </c>
      <c r="R145" s="20">
        <v>170.5</v>
      </c>
      <c r="S145" s="22">
        <v>0</v>
      </c>
      <c r="T145" s="20">
        <f t="shared" si="35"/>
        <v>170.5</v>
      </c>
      <c r="U145" s="20">
        <v>98</v>
      </c>
      <c r="V145" s="21">
        <v>0</v>
      </c>
      <c r="W145" s="20">
        <f t="shared" si="36"/>
        <v>98</v>
      </c>
      <c r="X145" s="20">
        <v>121</v>
      </c>
      <c r="Y145" s="22">
        <v>0</v>
      </c>
      <c r="Z145" s="20">
        <f t="shared" si="37"/>
        <v>121</v>
      </c>
      <c r="AA145" s="20">
        <v>84</v>
      </c>
      <c r="AB145" s="22">
        <v>0</v>
      </c>
      <c r="AC145" s="20">
        <f t="shared" si="38"/>
        <v>84</v>
      </c>
      <c r="AD145" s="20">
        <v>32</v>
      </c>
      <c r="AE145" s="22">
        <v>0</v>
      </c>
      <c r="AF145" s="20">
        <f t="shared" si="39"/>
        <v>32</v>
      </c>
      <c r="AG145" s="20">
        <v>106</v>
      </c>
      <c r="AH145" s="21">
        <v>0</v>
      </c>
      <c r="AI145" s="20">
        <f t="shared" si="40"/>
        <v>106</v>
      </c>
      <c r="AJ145" s="20">
        <v>218</v>
      </c>
      <c r="AK145" s="21">
        <v>0</v>
      </c>
      <c r="AL145" s="20">
        <f t="shared" si="41"/>
        <v>218</v>
      </c>
      <c r="AM145" s="20">
        <v>126</v>
      </c>
      <c r="AN145" s="21">
        <v>0</v>
      </c>
      <c r="AO145" s="20">
        <f t="shared" si="42"/>
        <v>126</v>
      </c>
      <c r="AP145" s="21">
        <v>116</v>
      </c>
      <c r="AQ145" s="20">
        <v>0</v>
      </c>
      <c r="AR145" s="20">
        <f t="shared" si="43"/>
        <v>116</v>
      </c>
      <c r="AS145" s="20">
        <v>168</v>
      </c>
      <c r="AT145" s="21">
        <v>0</v>
      </c>
      <c r="AU145" s="20">
        <f t="shared" si="44"/>
        <v>168</v>
      </c>
      <c r="AV145" s="23">
        <f t="shared" si="45"/>
        <v>1376.5</v>
      </c>
      <c r="AW145" s="22">
        <f t="shared" si="46"/>
        <v>0</v>
      </c>
      <c r="AX145" s="20">
        <f t="shared" si="47"/>
        <v>1376.5</v>
      </c>
      <c r="AY145" s="28" t="s">
        <v>2</v>
      </c>
      <c r="AZ145" s="28" t="s">
        <v>28</v>
      </c>
      <c r="BA145" s="28" t="s">
        <v>352</v>
      </c>
      <c r="BB145" s="29">
        <v>44272</v>
      </c>
    </row>
    <row r="146" spans="1:54" hidden="1">
      <c r="A146" s="28" t="str">
        <f t="shared" si="32"/>
        <v>815440144996</v>
      </c>
      <c r="B146" s="30">
        <v>815440</v>
      </c>
      <c r="C146" s="30" t="s">
        <v>385</v>
      </c>
      <c r="D146" s="28">
        <v>144996</v>
      </c>
      <c r="E146" s="28" t="s">
        <v>386</v>
      </c>
      <c r="F146" s="28"/>
      <c r="G146" s="28"/>
      <c r="H146" s="28"/>
      <c r="I146" s="28"/>
      <c r="J146" s="28"/>
      <c r="K146" s="28"/>
      <c r="L146" s="20">
        <v>0</v>
      </c>
      <c r="M146" s="21">
        <v>0</v>
      </c>
      <c r="N146" s="20">
        <f t="shared" si="33"/>
        <v>0</v>
      </c>
      <c r="O146" s="20">
        <v>0</v>
      </c>
      <c r="P146" s="21">
        <v>0</v>
      </c>
      <c r="Q146" s="20">
        <f t="shared" si="34"/>
        <v>0</v>
      </c>
      <c r="R146" s="20">
        <v>0</v>
      </c>
      <c r="S146" s="22">
        <v>0</v>
      </c>
      <c r="T146" s="20">
        <f t="shared" si="35"/>
        <v>0</v>
      </c>
      <c r="U146" s="20">
        <v>32.5</v>
      </c>
      <c r="V146" s="21">
        <v>0</v>
      </c>
      <c r="W146" s="20">
        <f t="shared" si="36"/>
        <v>32.5</v>
      </c>
      <c r="X146" s="20">
        <v>22</v>
      </c>
      <c r="Y146" s="22">
        <v>0</v>
      </c>
      <c r="Z146" s="20">
        <f t="shared" si="37"/>
        <v>22</v>
      </c>
      <c r="AA146" s="20">
        <v>54</v>
      </c>
      <c r="AB146" s="22">
        <v>0</v>
      </c>
      <c r="AC146" s="20">
        <f t="shared" si="38"/>
        <v>54</v>
      </c>
      <c r="AD146" s="20">
        <v>21</v>
      </c>
      <c r="AE146" s="22">
        <v>0</v>
      </c>
      <c r="AF146" s="20">
        <f t="shared" si="39"/>
        <v>21</v>
      </c>
      <c r="AG146" s="20">
        <v>65.5</v>
      </c>
      <c r="AH146" s="21">
        <v>0</v>
      </c>
      <c r="AI146" s="20">
        <f t="shared" si="40"/>
        <v>65.5</v>
      </c>
      <c r="AJ146" s="20">
        <v>27</v>
      </c>
      <c r="AK146" s="21">
        <v>0</v>
      </c>
      <c r="AL146" s="20">
        <f t="shared" si="41"/>
        <v>27</v>
      </c>
      <c r="AM146" s="20">
        <v>63</v>
      </c>
      <c r="AN146" s="21">
        <v>0</v>
      </c>
      <c r="AO146" s="20">
        <f t="shared" si="42"/>
        <v>63</v>
      </c>
      <c r="AP146" s="21">
        <v>73.5</v>
      </c>
      <c r="AQ146" s="20">
        <v>0</v>
      </c>
      <c r="AR146" s="20">
        <f t="shared" si="43"/>
        <v>73.5</v>
      </c>
      <c r="AS146" s="20">
        <v>66</v>
      </c>
      <c r="AT146" s="21">
        <v>0</v>
      </c>
      <c r="AU146" s="20">
        <f t="shared" si="44"/>
        <v>66</v>
      </c>
      <c r="AV146" s="23">
        <f t="shared" si="45"/>
        <v>424.5</v>
      </c>
      <c r="AW146" s="22">
        <f t="shared" si="46"/>
        <v>0</v>
      </c>
      <c r="AX146" s="20">
        <f t="shared" si="47"/>
        <v>424.5</v>
      </c>
      <c r="AY146" s="28" t="s">
        <v>2</v>
      </c>
      <c r="AZ146" s="28" t="s">
        <v>28</v>
      </c>
      <c r="BA146" s="28" t="s">
        <v>352</v>
      </c>
      <c r="BB146" s="29">
        <v>44386</v>
      </c>
    </row>
    <row r="147" spans="1:54" hidden="1">
      <c r="A147" s="28" t="str">
        <f t="shared" si="32"/>
        <v>815576119047</v>
      </c>
      <c r="B147" s="30">
        <v>815576</v>
      </c>
      <c r="C147" s="30" t="s">
        <v>390</v>
      </c>
      <c r="D147" s="28">
        <v>119047</v>
      </c>
      <c r="E147" s="28" t="s">
        <v>41</v>
      </c>
      <c r="F147" s="28"/>
      <c r="G147" s="28"/>
      <c r="H147" s="28"/>
      <c r="I147" s="28"/>
      <c r="J147" s="28"/>
      <c r="K147" s="28"/>
      <c r="L147" s="20">
        <v>0</v>
      </c>
      <c r="M147" s="21">
        <v>0</v>
      </c>
      <c r="N147" s="20">
        <f t="shared" si="33"/>
        <v>0</v>
      </c>
      <c r="O147" s="20">
        <v>0</v>
      </c>
      <c r="P147" s="21">
        <v>0</v>
      </c>
      <c r="Q147" s="20">
        <f t="shared" si="34"/>
        <v>0</v>
      </c>
      <c r="R147" s="20">
        <v>0</v>
      </c>
      <c r="S147" s="22">
        <v>0</v>
      </c>
      <c r="T147" s="20">
        <f t="shared" si="35"/>
        <v>0</v>
      </c>
      <c r="U147" s="20">
        <v>59.5</v>
      </c>
      <c r="V147" s="21">
        <v>0</v>
      </c>
      <c r="W147" s="20">
        <f t="shared" si="36"/>
        <v>59.5</v>
      </c>
      <c r="X147" s="20">
        <v>93</v>
      </c>
      <c r="Y147" s="22">
        <v>0</v>
      </c>
      <c r="Z147" s="20">
        <f t="shared" si="37"/>
        <v>93</v>
      </c>
      <c r="AA147" s="20">
        <v>90</v>
      </c>
      <c r="AB147" s="22">
        <v>0</v>
      </c>
      <c r="AC147" s="20">
        <f t="shared" si="38"/>
        <v>90</v>
      </c>
      <c r="AD147" s="20">
        <v>132</v>
      </c>
      <c r="AE147" s="22">
        <v>0</v>
      </c>
      <c r="AF147" s="20">
        <f t="shared" si="39"/>
        <v>132</v>
      </c>
      <c r="AG147" s="20">
        <v>63</v>
      </c>
      <c r="AH147" s="21">
        <v>0</v>
      </c>
      <c r="AI147" s="20">
        <f t="shared" si="40"/>
        <v>63</v>
      </c>
      <c r="AJ147" s="20">
        <v>40</v>
      </c>
      <c r="AK147" s="21">
        <v>0</v>
      </c>
      <c r="AL147" s="20">
        <f t="shared" si="41"/>
        <v>40</v>
      </c>
      <c r="AM147" s="20">
        <v>40</v>
      </c>
      <c r="AN147" s="21">
        <v>0</v>
      </c>
      <c r="AO147" s="20">
        <f t="shared" si="42"/>
        <v>40</v>
      </c>
      <c r="AP147" s="21">
        <v>57</v>
      </c>
      <c r="AQ147" s="20">
        <v>0</v>
      </c>
      <c r="AR147" s="20">
        <f t="shared" si="43"/>
        <v>57</v>
      </c>
      <c r="AS147" s="20">
        <v>99</v>
      </c>
      <c r="AT147" s="21">
        <v>0</v>
      </c>
      <c r="AU147" s="20">
        <f t="shared" si="44"/>
        <v>99</v>
      </c>
      <c r="AV147" s="23">
        <f t="shared" si="45"/>
        <v>673.5</v>
      </c>
      <c r="AW147" s="22">
        <f t="shared" si="46"/>
        <v>0</v>
      </c>
      <c r="AX147" s="20">
        <f t="shared" si="47"/>
        <v>673.5</v>
      </c>
      <c r="AY147" s="28" t="s">
        <v>2</v>
      </c>
      <c r="AZ147" s="28" t="s">
        <v>28</v>
      </c>
      <c r="BA147" s="28" t="s">
        <v>352</v>
      </c>
      <c r="BB147" s="29">
        <v>44398</v>
      </c>
    </row>
    <row r="148" spans="1:54" hidden="1">
      <c r="A148" s="28" t="str">
        <f t="shared" si="32"/>
        <v>815713119023</v>
      </c>
      <c r="B148" s="30">
        <v>815713</v>
      </c>
      <c r="C148" s="30" t="s">
        <v>516</v>
      </c>
      <c r="D148" s="28">
        <v>119023</v>
      </c>
      <c r="E148" s="28" t="s">
        <v>35</v>
      </c>
      <c r="F148" s="28"/>
      <c r="G148" s="28"/>
      <c r="H148" s="28"/>
      <c r="I148" s="28"/>
      <c r="J148" s="28"/>
      <c r="K148" s="28"/>
      <c r="L148" s="20">
        <v>0</v>
      </c>
      <c r="M148" s="21">
        <v>0</v>
      </c>
      <c r="N148" s="20">
        <f t="shared" si="33"/>
        <v>0</v>
      </c>
      <c r="O148" s="20">
        <v>0</v>
      </c>
      <c r="P148" s="21">
        <v>0</v>
      </c>
      <c r="Q148" s="20">
        <f t="shared" si="34"/>
        <v>0</v>
      </c>
      <c r="R148" s="20">
        <v>0</v>
      </c>
      <c r="S148" s="22">
        <v>0</v>
      </c>
      <c r="T148" s="20">
        <f t="shared" si="35"/>
        <v>0</v>
      </c>
      <c r="U148" s="20">
        <v>0</v>
      </c>
      <c r="V148" s="21">
        <v>0</v>
      </c>
      <c r="W148" s="20">
        <f t="shared" si="36"/>
        <v>0</v>
      </c>
      <c r="X148" s="20">
        <v>0</v>
      </c>
      <c r="Y148" s="22">
        <v>0</v>
      </c>
      <c r="Z148" s="20">
        <f t="shared" si="37"/>
        <v>0</v>
      </c>
      <c r="AA148" s="20">
        <v>0</v>
      </c>
      <c r="AB148" s="22">
        <v>0</v>
      </c>
      <c r="AC148" s="20">
        <f t="shared" si="38"/>
        <v>0</v>
      </c>
      <c r="AD148" s="20">
        <v>0</v>
      </c>
      <c r="AE148" s="22">
        <v>0</v>
      </c>
      <c r="AF148" s="20">
        <f t="shared" si="39"/>
        <v>0</v>
      </c>
      <c r="AG148" s="20">
        <v>0</v>
      </c>
      <c r="AH148" s="21">
        <v>0</v>
      </c>
      <c r="AI148" s="20">
        <f t="shared" si="40"/>
        <v>0</v>
      </c>
      <c r="AJ148" s="20">
        <v>0</v>
      </c>
      <c r="AK148" s="21">
        <v>0</v>
      </c>
      <c r="AL148" s="20">
        <f t="shared" si="41"/>
        <v>0</v>
      </c>
      <c r="AM148" s="20">
        <v>30.5</v>
      </c>
      <c r="AN148" s="21">
        <v>0</v>
      </c>
      <c r="AO148" s="20">
        <f t="shared" si="42"/>
        <v>30.5</v>
      </c>
      <c r="AP148" s="21">
        <v>0</v>
      </c>
      <c r="AQ148" s="20">
        <v>0</v>
      </c>
      <c r="AR148" s="20">
        <f t="shared" si="43"/>
        <v>0</v>
      </c>
      <c r="AS148" s="20">
        <v>128</v>
      </c>
      <c r="AT148" s="21">
        <v>0</v>
      </c>
      <c r="AU148" s="20">
        <f t="shared" si="44"/>
        <v>128</v>
      </c>
      <c r="AV148" s="23">
        <f t="shared" si="45"/>
        <v>158.5</v>
      </c>
      <c r="AW148" s="22">
        <f t="shared" si="46"/>
        <v>0</v>
      </c>
      <c r="AX148" s="20">
        <f t="shared" si="47"/>
        <v>158.5</v>
      </c>
      <c r="AY148" s="28" t="s">
        <v>2</v>
      </c>
      <c r="AZ148" s="28" t="s">
        <v>28</v>
      </c>
      <c r="BA148" s="28" t="s">
        <v>352</v>
      </c>
      <c r="BB148" s="29">
        <v>44405</v>
      </c>
    </row>
    <row r="149" spans="1:54" hidden="1">
      <c r="A149" s="28" t="str">
        <f t="shared" si="32"/>
        <v>816352119047</v>
      </c>
      <c r="B149" s="30">
        <v>816352</v>
      </c>
      <c r="C149" s="30" t="s">
        <v>132</v>
      </c>
      <c r="D149" s="28">
        <v>119047</v>
      </c>
      <c r="E149" s="28" t="s">
        <v>41</v>
      </c>
      <c r="F149" s="28"/>
      <c r="G149" s="28"/>
      <c r="H149" s="28"/>
      <c r="I149" s="28"/>
      <c r="J149" s="28"/>
      <c r="K149" s="28"/>
      <c r="L149" s="20">
        <v>0</v>
      </c>
      <c r="M149" s="21">
        <v>0</v>
      </c>
      <c r="N149" s="20">
        <f t="shared" si="33"/>
        <v>0</v>
      </c>
      <c r="O149" s="20">
        <v>0</v>
      </c>
      <c r="P149" s="21">
        <v>0</v>
      </c>
      <c r="Q149" s="20">
        <f t="shared" si="34"/>
        <v>0</v>
      </c>
      <c r="R149" s="20">
        <v>0</v>
      </c>
      <c r="S149" s="22">
        <v>0</v>
      </c>
      <c r="T149" s="20">
        <f t="shared" si="35"/>
        <v>0</v>
      </c>
      <c r="U149" s="20">
        <v>0</v>
      </c>
      <c r="V149" s="21">
        <v>0</v>
      </c>
      <c r="W149" s="20">
        <f t="shared" si="36"/>
        <v>0</v>
      </c>
      <c r="X149" s="20">
        <v>0</v>
      </c>
      <c r="Y149" s="22">
        <v>0</v>
      </c>
      <c r="Z149" s="20">
        <f t="shared" si="37"/>
        <v>0</v>
      </c>
      <c r="AA149" s="20">
        <v>0</v>
      </c>
      <c r="AB149" s="22">
        <v>0</v>
      </c>
      <c r="AC149" s="20">
        <f t="shared" si="38"/>
        <v>0</v>
      </c>
      <c r="AD149" s="20">
        <v>22</v>
      </c>
      <c r="AE149" s="22">
        <v>0</v>
      </c>
      <c r="AF149" s="20">
        <f t="shared" si="39"/>
        <v>22</v>
      </c>
      <c r="AG149" s="20">
        <v>30</v>
      </c>
      <c r="AH149" s="21">
        <v>0</v>
      </c>
      <c r="AI149" s="20">
        <f t="shared" si="40"/>
        <v>30</v>
      </c>
      <c r="AJ149" s="20">
        <v>22</v>
      </c>
      <c r="AK149" s="21">
        <v>0</v>
      </c>
      <c r="AL149" s="20">
        <f t="shared" si="41"/>
        <v>22</v>
      </c>
      <c r="AM149" s="20">
        <v>44</v>
      </c>
      <c r="AN149" s="21">
        <v>0</v>
      </c>
      <c r="AO149" s="20">
        <f t="shared" si="42"/>
        <v>44</v>
      </c>
      <c r="AP149" s="21">
        <v>41.5</v>
      </c>
      <c r="AQ149" s="20">
        <v>0</v>
      </c>
      <c r="AR149" s="20">
        <f t="shared" si="43"/>
        <v>41.5</v>
      </c>
      <c r="AS149" s="20">
        <v>35</v>
      </c>
      <c r="AT149" s="21">
        <v>0</v>
      </c>
      <c r="AU149" s="20">
        <f t="shared" si="44"/>
        <v>35</v>
      </c>
      <c r="AV149" s="23">
        <f t="shared" si="45"/>
        <v>194.5</v>
      </c>
      <c r="AW149" s="22">
        <f t="shared" si="46"/>
        <v>0</v>
      </c>
      <c r="AX149" s="20">
        <f t="shared" si="47"/>
        <v>194.5</v>
      </c>
      <c r="AY149" s="28" t="s">
        <v>2</v>
      </c>
      <c r="AZ149" s="28" t="s">
        <v>28</v>
      </c>
      <c r="BA149" s="28" t="s">
        <v>352</v>
      </c>
      <c r="BB149" s="29">
        <v>44455</v>
      </c>
    </row>
    <row r="150" spans="1:54" hidden="1">
      <c r="A150" s="28" t="str">
        <f t="shared" si="32"/>
        <v>816437177245</v>
      </c>
      <c r="B150" s="30">
        <v>816437</v>
      </c>
      <c r="C150" s="30" t="s">
        <v>467</v>
      </c>
      <c r="D150" s="28">
        <v>177245</v>
      </c>
      <c r="E150" s="28" t="s">
        <v>416</v>
      </c>
      <c r="F150" s="28"/>
      <c r="G150" s="28"/>
      <c r="H150" s="28"/>
      <c r="I150" s="28"/>
      <c r="J150" s="28"/>
      <c r="K150" s="28"/>
      <c r="L150" s="20">
        <v>0</v>
      </c>
      <c r="M150" s="21">
        <v>0</v>
      </c>
      <c r="N150" s="20">
        <f t="shared" si="33"/>
        <v>0</v>
      </c>
      <c r="O150" s="20">
        <v>0</v>
      </c>
      <c r="P150" s="21">
        <v>0</v>
      </c>
      <c r="Q150" s="20">
        <f t="shared" si="34"/>
        <v>0</v>
      </c>
      <c r="R150" s="20">
        <v>0</v>
      </c>
      <c r="S150" s="22">
        <v>0</v>
      </c>
      <c r="T150" s="20">
        <f t="shared" si="35"/>
        <v>0</v>
      </c>
      <c r="U150" s="20">
        <v>0</v>
      </c>
      <c r="V150" s="21">
        <v>0</v>
      </c>
      <c r="W150" s="20">
        <f t="shared" si="36"/>
        <v>0</v>
      </c>
      <c r="X150" s="20">
        <v>0</v>
      </c>
      <c r="Y150" s="22">
        <v>0</v>
      </c>
      <c r="Z150" s="20">
        <f t="shared" si="37"/>
        <v>0</v>
      </c>
      <c r="AA150" s="20">
        <v>0</v>
      </c>
      <c r="AB150" s="22">
        <v>0</v>
      </c>
      <c r="AC150" s="20">
        <f t="shared" si="38"/>
        <v>0</v>
      </c>
      <c r="AD150" s="20">
        <v>32</v>
      </c>
      <c r="AE150" s="22">
        <v>0</v>
      </c>
      <c r="AF150" s="20">
        <f t="shared" si="39"/>
        <v>32</v>
      </c>
      <c r="AG150" s="20">
        <v>10</v>
      </c>
      <c r="AH150" s="21">
        <v>0</v>
      </c>
      <c r="AI150" s="20">
        <f t="shared" si="40"/>
        <v>10</v>
      </c>
      <c r="AJ150" s="20">
        <v>0</v>
      </c>
      <c r="AK150" s="21">
        <v>0</v>
      </c>
      <c r="AL150" s="20">
        <f t="shared" si="41"/>
        <v>0</v>
      </c>
      <c r="AM150" s="20">
        <v>0</v>
      </c>
      <c r="AN150" s="21">
        <v>0</v>
      </c>
      <c r="AO150" s="20">
        <f t="shared" si="42"/>
        <v>0</v>
      </c>
      <c r="AP150" s="21">
        <v>0</v>
      </c>
      <c r="AQ150" s="20">
        <v>0</v>
      </c>
      <c r="AR150" s="20">
        <f t="shared" si="43"/>
        <v>0</v>
      </c>
      <c r="AS150" s="20">
        <v>0</v>
      </c>
      <c r="AT150" s="21">
        <v>0</v>
      </c>
      <c r="AU150" s="20">
        <f t="shared" si="44"/>
        <v>0</v>
      </c>
      <c r="AV150" s="23">
        <f t="shared" si="45"/>
        <v>42</v>
      </c>
      <c r="AW150" s="22">
        <f t="shared" si="46"/>
        <v>0</v>
      </c>
      <c r="AX150" s="20">
        <f t="shared" si="47"/>
        <v>42</v>
      </c>
      <c r="AY150" s="28" t="s">
        <v>2</v>
      </c>
      <c r="AZ150" s="28" t="s">
        <v>28</v>
      </c>
      <c r="BA150" s="28" t="s">
        <v>352</v>
      </c>
      <c r="BB150" s="29">
        <v>44461</v>
      </c>
    </row>
    <row r="151" spans="1:54" hidden="1">
      <c r="A151" s="28" t="str">
        <f t="shared" si="32"/>
        <v>816534119047</v>
      </c>
      <c r="B151" s="30">
        <v>816534</v>
      </c>
      <c r="C151" s="30" t="s">
        <v>455</v>
      </c>
      <c r="D151" s="28">
        <v>119047</v>
      </c>
      <c r="E151" s="28" t="s">
        <v>41</v>
      </c>
      <c r="F151" s="28"/>
      <c r="G151" s="28"/>
      <c r="H151" s="28"/>
      <c r="I151" s="28"/>
      <c r="J151" s="28"/>
      <c r="K151" s="28"/>
      <c r="L151" s="20">
        <v>0</v>
      </c>
      <c r="M151" s="21">
        <v>0</v>
      </c>
      <c r="N151" s="20">
        <f t="shared" si="33"/>
        <v>0</v>
      </c>
      <c r="O151" s="20">
        <v>0</v>
      </c>
      <c r="P151" s="21">
        <v>0</v>
      </c>
      <c r="Q151" s="20">
        <f t="shared" si="34"/>
        <v>0</v>
      </c>
      <c r="R151" s="20">
        <v>0</v>
      </c>
      <c r="S151" s="22">
        <v>0</v>
      </c>
      <c r="T151" s="20">
        <f t="shared" si="35"/>
        <v>0</v>
      </c>
      <c r="U151" s="20">
        <v>0</v>
      </c>
      <c r="V151" s="21">
        <v>0</v>
      </c>
      <c r="W151" s="20">
        <f t="shared" si="36"/>
        <v>0</v>
      </c>
      <c r="X151" s="20">
        <v>0</v>
      </c>
      <c r="Y151" s="22">
        <v>0</v>
      </c>
      <c r="Z151" s="20">
        <f t="shared" si="37"/>
        <v>0</v>
      </c>
      <c r="AA151" s="20">
        <v>0</v>
      </c>
      <c r="AB151" s="22">
        <v>0</v>
      </c>
      <c r="AC151" s="20">
        <f t="shared" si="38"/>
        <v>0</v>
      </c>
      <c r="AD151" s="20">
        <v>87</v>
      </c>
      <c r="AE151" s="22">
        <v>0</v>
      </c>
      <c r="AF151" s="20">
        <f t="shared" si="39"/>
        <v>87</v>
      </c>
      <c r="AG151" s="20">
        <v>68</v>
      </c>
      <c r="AH151" s="21">
        <v>0</v>
      </c>
      <c r="AI151" s="20">
        <f t="shared" si="40"/>
        <v>68</v>
      </c>
      <c r="AJ151" s="20">
        <v>81</v>
      </c>
      <c r="AK151" s="21">
        <v>0</v>
      </c>
      <c r="AL151" s="20">
        <f t="shared" si="41"/>
        <v>81</v>
      </c>
      <c r="AM151" s="20">
        <v>84</v>
      </c>
      <c r="AN151" s="21">
        <v>0</v>
      </c>
      <c r="AO151" s="20">
        <f t="shared" si="42"/>
        <v>84</v>
      </c>
      <c r="AP151" s="21">
        <v>54</v>
      </c>
      <c r="AQ151" s="20">
        <v>0</v>
      </c>
      <c r="AR151" s="20">
        <f t="shared" si="43"/>
        <v>54</v>
      </c>
      <c r="AS151" s="20">
        <v>84</v>
      </c>
      <c r="AT151" s="21">
        <v>0</v>
      </c>
      <c r="AU151" s="20">
        <f t="shared" si="44"/>
        <v>84</v>
      </c>
      <c r="AV151" s="23">
        <f t="shared" si="45"/>
        <v>458</v>
      </c>
      <c r="AW151" s="22">
        <f t="shared" si="46"/>
        <v>0</v>
      </c>
      <c r="AX151" s="20">
        <f t="shared" si="47"/>
        <v>458</v>
      </c>
      <c r="AY151" s="28" t="s">
        <v>2</v>
      </c>
      <c r="AZ151" s="28" t="s">
        <v>28</v>
      </c>
      <c r="BA151" s="28" t="s">
        <v>352</v>
      </c>
      <c r="BB151" s="29">
        <v>44466</v>
      </c>
    </row>
    <row r="152" spans="1:54" hidden="1">
      <c r="A152" s="28" t="str">
        <f t="shared" si="32"/>
        <v>816555170708</v>
      </c>
      <c r="B152" s="30">
        <v>816555</v>
      </c>
      <c r="C152" s="30" t="s">
        <v>449</v>
      </c>
      <c r="D152" s="28">
        <v>170708</v>
      </c>
      <c r="E152" s="28" t="s">
        <v>129</v>
      </c>
      <c r="F152" s="28"/>
      <c r="G152" s="28"/>
      <c r="H152" s="28"/>
      <c r="I152" s="28"/>
      <c r="J152" s="28"/>
      <c r="K152" s="28"/>
      <c r="L152" s="20">
        <v>0</v>
      </c>
      <c r="M152" s="21">
        <v>0</v>
      </c>
      <c r="N152" s="20">
        <f t="shared" si="33"/>
        <v>0</v>
      </c>
      <c r="O152" s="20">
        <v>0</v>
      </c>
      <c r="P152" s="21">
        <v>0</v>
      </c>
      <c r="Q152" s="20">
        <f t="shared" si="34"/>
        <v>0</v>
      </c>
      <c r="R152" s="20">
        <v>0</v>
      </c>
      <c r="S152" s="22">
        <v>0</v>
      </c>
      <c r="T152" s="20">
        <f t="shared" si="35"/>
        <v>0</v>
      </c>
      <c r="U152" s="20">
        <v>0</v>
      </c>
      <c r="V152" s="21">
        <v>0</v>
      </c>
      <c r="W152" s="20">
        <f t="shared" si="36"/>
        <v>0</v>
      </c>
      <c r="X152" s="20">
        <v>0</v>
      </c>
      <c r="Y152" s="22">
        <v>0</v>
      </c>
      <c r="Z152" s="20">
        <f t="shared" si="37"/>
        <v>0</v>
      </c>
      <c r="AA152" s="20">
        <v>10</v>
      </c>
      <c r="AB152" s="22">
        <v>0</v>
      </c>
      <c r="AC152" s="20">
        <f t="shared" si="38"/>
        <v>10</v>
      </c>
      <c r="AD152" s="20">
        <v>100</v>
      </c>
      <c r="AE152" s="22">
        <v>0</v>
      </c>
      <c r="AF152" s="20">
        <f t="shared" si="39"/>
        <v>100</v>
      </c>
      <c r="AG152" s="20">
        <v>41</v>
      </c>
      <c r="AH152" s="21">
        <v>0</v>
      </c>
      <c r="AI152" s="20">
        <f t="shared" si="40"/>
        <v>41</v>
      </c>
      <c r="AJ152" s="20">
        <v>12.5</v>
      </c>
      <c r="AK152" s="21">
        <v>4</v>
      </c>
      <c r="AL152" s="20">
        <f t="shared" si="41"/>
        <v>16.5</v>
      </c>
      <c r="AM152" s="20">
        <v>82</v>
      </c>
      <c r="AN152" s="21">
        <v>0</v>
      </c>
      <c r="AO152" s="20">
        <f t="shared" si="42"/>
        <v>82</v>
      </c>
      <c r="AP152" s="21">
        <v>20</v>
      </c>
      <c r="AQ152" s="20">
        <v>0</v>
      </c>
      <c r="AR152" s="20">
        <f t="shared" si="43"/>
        <v>20</v>
      </c>
      <c r="AS152" s="20">
        <v>148</v>
      </c>
      <c r="AT152" s="21">
        <v>0</v>
      </c>
      <c r="AU152" s="20">
        <f t="shared" si="44"/>
        <v>148</v>
      </c>
      <c r="AV152" s="23">
        <f t="shared" si="45"/>
        <v>413.5</v>
      </c>
      <c r="AW152" s="22">
        <f t="shared" si="46"/>
        <v>4</v>
      </c>
      <c r="AX152" s="20">
        <f t="shared" si="47"/>
        <v>417.5</v>
      </c>
      <c r="AY152" s="28" t="s">
        <v>2</v>
      </c>
      <c r="AZ152" s="28" t="s">
        <v>28</v>
      </c>
      <c r="BA152" s="28" t="s">
        <v>352</v>
      </c>
      <c r="BB152" s="29">
        <v>44467</v>
      </c>
    </row>
    <row r="153" spans="1:54" hidden="1">
      <c r="A153" s="28" t="str">
        <f t="shared" si="32"/>
        <v>816742170708</v>
      </c>
      <c r="B153" s="30">
        <v>816742</v>
      </c>
      <c r="C153" s="30" t="s">
        <v>468</v>
      </c>
      <c r="D153" s="28">
        <v>170708</v>
      </c>
      <c r="E153" s="28" t="s">
        <v>129</v>
      </c>
      <c r="F153" s="28"/>
      <c r="G153" s="28"/>
      <c r="H153" s="28"/>
      <c r="I153" s="28"/>
      <c r="J153" s="28"/>
      <c r="K153" s="28"/>
      <c r="L153" s="20">
        <v>0</v>
      </c>
      <c r="M153" s="21">
        <v>0</v>
      </c>
      <c r="N153" s="20">
        <f t="shared" si="33"/>
        <v>0</v>
      </c>
      <c r="O153" s="20">
        <v>0</v>
      </c>
      <c r="P153" s="21">
        <v>0</v>
      </c>
      <c r="Q153" s="20">
        <f t="shared" si="34"/>
        <v>0</v>
      </c>
      <c r="R153" s="20">
        <v>0</v>
      </c>
      <c r="S153" s="22">
        <v>0</v>
      </c>
      <c r="T153" s="20">
        <f t="shared" si="35"/>
        <v>0</v>
      </c>
      <c r="U153" s="20">
        <v>0</v>
      </c>
      <c r="V153" s="21">
        <v>0</v>
      </c>
      <c r="W153" s="20">
        <f t="shared" si="36"/>
        <v>0</v>
      </c>
      <c r="X153" s="20">
        <v>0</v>
      </c>
      <c r="Y153" s="22">
        <v>0</v>
      </c>
      <c r="Z153" s="20">
        <f t="shared" si="37"/>
        <v>0</v>
      </c>
      <c r="AA153" s="20">
        <v>0</v>
      </c>
      <c r="AB153" s="22">
        <v>0</v>
      </c>
      <c r="AC153" s="20">
        <f t="shared" si="38"/>
        <v>0</v>
      </c>
      <c r="AD153" s="20">
        <v>20</v>
      </c>
      <c r="AE153" s="22">
        <v>0</v>
      </c>
      <c r="AF153" s="20">
        <f t="shared" si="39"/>
        <v>20</v>
      </c>
      <c r="AG153" s="20">
        <v>20.5</v>
      </c>
      <c r="AH153" s="21">
        <v>0</v>
      </c>
      <c r="AI153" s="20">
        <f t="shared" si="40"/>
        <v>20.5</v>
      </c>
      <c r="AJ153" s="20">
        <v>12.5</v>
      </c>
      <c r="AK153" s="21">
        <v>12.5</v>
      </c>
      <c r="AL153" s="20">
        <f t="shared" si="41"/>
        <v>25</v>
      </c>
      <c r="AM153" s="20">
        <v>40</v>
      </c>
      <c r="AN153" s="21">
        <v>0</v>
      </c>
      <c r="AO153" s="20">
        <f t="shared" si="42"/>
        <v>40</v>
      </c>
      <c r="AP153" s="21">
        <v>0</v>
      </c>
      <c r="AQ153" s="20">
        <v>0</v>
      </c>
      <c r="AR153" s="20">
        <f t="shared" si="43"/>
        <v>0</v>
      </c>
      <c r="AS153" s="20">
        <v>0</v>
      </c>
      <c r="AT153" s="21">
        <v>0</v>
      </c>
      <c r="AU153" s="20">
        <f t="shared" si="44"/>
        <v>0</v>
      </c>
      <c r="AV153" s="23">
        <f t="shared" si="45"/>
        <v>93</v>
      </c>
      <c r="AW153" s="22">
        <f t="shared" si="46"/>
        <v>12.5</v>
      </c>
      <c r="AX153" s="20">
        <f t="shared" si="47"/>
        <v>105.5</v>
      </c>
      <c r="AY153" s="28" t="s">
        <v>2</v>
      </c>
      <c r="AZ153" s="28" t="s">
        <v>28</v>
      </c>
      <c r="BA153" s="28" t="s">
        <v>352</v>
      </c>
      <c r="BB153" s="29">
        <v>44484</v>
      </c>
    </row>
    <row r="154" spans="1:54" hidden="1">
      <c r="A154" s="28" t="str">
        <f t="shared" si="32"/>
        <v>817167210440</v>
      </c>
      <c r="B154" s="30">
        <v>817167</v>
      </c>
      <c r="C154" s="30" t="s">
        <v>105</v>
      </c>
      <c r="D154" s="28">
        <v>210440</v>
      </c>
      <c r="E154" s="28" t="s">
        <v>492</v>
      </c>
      <c r="F154" s="28"/>
      <c r="G154" s="28"/>
      <c r="H154" s="28"/>
      <c r="I154" s="28"/>
      <c r="J154" s="28"/>
      <c r="K154" s="28"/>
      <c r="L154" s="20">
        <v>0</v>
      </c>
      <c r="M154" s="21">
        <v>0</v>
      </c>
      <c r="N154" s="20">
        <f t="shared" si="33"/>
        <v>0</v>
      </c>
      <c r="O154" s="20">
        <v>0</v>
      </c>
      <c r="P154" s="21">
        <v>0</v>
      </c>
      <c r="Q154" s="20">
        <f t="shared" si="34"/>
        <v>0</v>
      </c>
      <c r="R154" s="20">
        <v>0</v>
      </c>
      <c r="S154" s="22">
        <v>0</v>
      </c>
      <c r="T154" s="20">
        <f t="shared" si="35"/>
        <v>0</v>
      </c>
      <c r="U154" s="20">
        <v>0</v>
      </c>
      <c r="V154" s="21">
        <v>0</v>
      </c>
      <c r="W154" s="20">
        <f t="shared" si="36"/>
        <v>0</v>
      </c>
      <c r="X154" s="20">
        <v>0</v>
      </c>
      <c r="Y154" s="22">
        <v>0</v>
      </c>
      <c r="Z154" s="20">
        <f t="shared" si="37"/>
        <v>0</v>
      </c>
      <c r="AA154" s="20">
        <v>0</v>
      </c>
      <c r="AB154" s="22">
        <v>0</v>
      </c>
      <c r="AC154" s="20">
        <f t="shared" si="38"/>
        <v>0</v>
      </c>
      <c r="AD154" s="20">
        <v>0</v>
      </c>
      <c r="AE154" s="22">
        <v>0</v>
      </c>
      <c r="AF154" s="20">
        <f t="shared" si="39"/>
        <v>0</v>
      </c>
      <c r="AG154" s="20">
        <v>0</v>
      </c>
      <c r="AH154" s="21">
        <v>0</v>
      </c>
      <c r="AI154" s="20">
        <f t="shared" si="40"/>
        <v>0</v>
      </c>
      <c r="AJ154" s="20">
        <v>27.5</v>
      </c>
      <c r="AK154" s="21">
        <v>12.5</v>
      </c>
      <c r="AL154" s="20">
        <f t="shared" si="41"/>
        <v>40</v>
      </c>
      <c r="AM154" s="20">
        <v>39</v>
      </c>
      <c r="AN154" s="21">
        <v>0</v>
      </c>
      <c r="AO154" s="20">
        <f t="shared" si="42"/>
        <v>39</v>
      </c>
      <c r="AP154" s="21">
        <v>32</v>
      </c>
      <c r="AQ154" s="20">
        <v>0</v>
      </c>
      <c r="AR154" s="20">
        <f t="shared" si="43"/>
        <v>32</v>
      </c>
      <c r="AS154" s="20">
        <v>0</v>
      </c>
      <c r="AT154" s="21">
        <v>0</v>
      </c>
      <c r="AU154" s="20">
        <f t="shared" si="44"/>
        <v>0</v>
      </c>
      <c r="AV154" s="23">
        <f t="shared" si="45"/>
        <v>98.5</v>
      </c>
      <c r="AW154" s="22">
        <f t="shared" si="46"/>
        <v>12.5</v>
      </c>
      <c r="AX154" s="20">
        <f t="shared" si="47"/>
        <v>111</v>
      </c>
      <c r="AY154" s="28" t="s">
        <v>2</v>
      </c>
      <c r="AZ154" s="28" t="s">
        <v>28</v>
      </c>
      <c r="BA154" s="28" t="s">
        <v>352</v>
      </c>
      <c r="BB154" s="29">
        <v>44529</v>
      </c>
    </row>
    <row r="155" spans="1:54" hidden="1">
      <c r="A155" s="28" t="str">
        <f t="shared" si="32"/>
        <v>817352171479</v>
      </c>
      <c r="B155" s="30">
        <v>817352</v>
      </c>
      <c r="C155" s="30" t="s">
        <v>496</v>
      </c>
      <c r="D155" s="28">
        <v>171479</v>
      </c>
      <c r="E155" s="28" t="s">
        <v>72</v>
      </c>
      <c r="F155" s="28"/>
      <c r="G155" s="28"/>
      <c r="H155" s="28"/>
      <c r="I155" s="28"/>
      <c r="J155" s="28"/>
      <c r="K155" s="28"/>
      <c r="L155" s="20">
        <v>0</v>
      </c>
      <c r="M155" s="21">
        <v>0</v>
      </c>
      <c r="N155" s="20">
        <f t="shared" si="33"/>
        <v>0</v>
      </c>
      <c r="O155" s="20">
        <v>0</v>
      </c>
      <c r="P155" s="21">
        <v>0</v>
      </c>
      <c r="Q155" s="20">
        <f t="shared" si="34"/>
        <v>0</v>
      </c>
      <c r="R155" s="20">
        <v>0</v>
      </c>
      <c r="S155" s="22">
        <v>0</v>
      </c>
      <c r="T155" s="20">
        <f t="shared" si="35"/>
        <v>0</v>
      </c>
      <c r="U155" s="20">
        <v>0</v>
      </c>
      <c r="V155" s="21">
        <v>0</v>
      </c>
      <c r="W155" s="20">
        <f t="shared" si="36"/>
        <v>0</v>
      </c>
      <c r="X155" s="20">
        <v>0</v>
      </c>
      <c r="Y155" s="22">
        <v>0</v>
      </c>
      <c r="Z155" s="20">
        <f t="shared" si="37"/>
        <v>0</v>
      </c>
      <c r="AA155" s="20">
        <v>0</v>
      </c>
      <c r="AB155" s="22">
        <v>0</v>
      </c>
      <c r="AC155" s="20">
        <f t="shared" si="38"/>
        <v>0</v>
      </c>
      <c r="AD155" s="20">
        <v>0</v>
      </c>
      <c r="AE155" s="22">
        <v>0</v>
      </c>
      <c r="AF155" s="20">
        <f t="shared" si="39"/>
        <v>0</v>
      </c>
      <c r="AG155" s="20">
        <v>0</v>
      </c>
      <c r="AH155" s="21">
        <v>0</v>
      </c>
      <c r="AI155" s="20">
        <f t="shared" si="40"/>
        <v>0</v>
      </c>
      <c r="AJ155" s="20">
        <v>52.5</v>
      </c>
      <c r="AK155" s="21">
        <v>0</v>
      </c>
      <c r="AL155" s="20">
        <f t="shared" si="41"/>
        <v>52.5</v>
      </c>
      <c r="AM155" s="20">
        <v>60</v>
      </c>
      <c r="AN155" s="21">
        <v>0</v>
      </c>
      <c r="AO155" s="20">
        <f t="shared" si="42"/>
        <v>60</v>
      </c>
      <c r="AP155" s="21">
        <v>54</v>
      </c>
      <c r="AQ155" s="20">
        <v>0</v>
      </c>
      <c r="AR155" s="20">
        <f t="shared" si="43"/>
        <v>54</v>
      </c>
      <c r="AS155" s="20">
        <v>70</v>
      </c>
      <c r="AT155" s="21">
        <v>0</v>
      </c>
      <c r="AU155" s="20">
        <f t="shared" si="44"/>
        <v>70</v>
      </c>
      <c r="AV155" s="23">
        <f t="shared" si="45"/>
        <v>236.5</v>
      </c>
      <c r="AW155" s="22">
        <f t="shared" si="46"/>
        <v>0</v>
      </c>
      <c r="AX155" s="20">
        <f t="shared" si="47"/>
        <v>236.5</v>
      </c>
      <c r="AY155" s="28" t="s">
        <v>2</v>
      </c>
      <c r="AZ155" s="28" t="s">
        <v>28</v>
      </c>
      <c r="BA155" s="28" t="s">
        <v>352</v>
      </c>
      <c r="BB155" s="29">
        <v>44547</v>
      </c>
    </row>
    <row r="156" spans="1:54" hidden="1">
      <c r="A156" s="28" t="str">
        <f t="shared" si="32"/>
        <v>817835119023</v>
      </c>
      <c r="B156" s="30">
        <v>817835</v>
      </c>
      <c r="C156" s="30" t="s">
        <v>529</v>
      </c>
      <c r="D156" s="28">
        <v>119023</v>
      </c>
      <c r="E156" s="28" t="s">
        <v>35</v>
      </c>
      <c r="F156" s="28"/>
      <c r="G156" s="28"/>
      <c r="H156" s="28"/>
      <c r="I156" s="28"/>
      <c r="J156" s="28"/>
      <c r="K156" s="28"/>
      <c r="L156" s="20">
        <v>0</v>
      </c>
      <c r="M156" s="21">
        <v>0</v>
      </c>
      <c r="N156" s="20">
        <f t="shared" si="33"/>
        <v>0</v>
      </c>
      <c r="O156" s="20">
        <v>0</v>
      </c>
      <c r="P156" s="21">
        <v>0</v>
      </c>
      <c r="Q156" s="20">
        <f t="shared" si="34"/>
        <v>0</v>
      </c>
      <c r="R156" s="20">
        <v>0</v>
      </c>
      <c r="S156" s="22">
        <v>0</v>
      </c>
      <c r="T156" s="20">
        <f t="shared" si="35"/>
        <v>0</v>
      </c>
      <c r="U156" s="20">
        <v>0</v>
      </c>
      <c r="V156" s="21">
        <v>0</v>
      </c>
      <c r="W156" s="20">
        <f t="shared" si="36"/>
        <v>0</v>
      </c>
      <c r="X156" s="20">
        <v>0</v>
      </c>
      <c r="Y156" s="22">
        <v>0</v>
      </c>
      <c r="Z156" s="20">
        <f t="shared" si="37"/>
        <v>0</v>
      </c>
      <c r="AA156" s="20">
        <v>0</v>
      </c>
      <c r="AB156" s="22">
        <v>0</v>
      </c>
      <c r="AC156" s="20">
        <f t="shared" si="38"/>
        <v>0</v>
      </c>
      <c r="AD156" s="20">
        <v>0</v>
      </c>
      <c r="AE156" s="22">
        <v>0</v>
      </c>
      <c r="AF156" s="20">
        <f t="shared" si="39"/>
        <v>0</v>
      </c>
      <c r="AG156" s="20">
        <v>0</v>
      </c>
      <c r="AH156" s="21">
        <v>0</v>
      </c>
      <c r="AI156" s="20">
        <f t="shared" si="40"/>
        <v>0</v>
      </c>
      <c r="AJ156" s="20">
        <v>0</v>
      </c>
      <c r="AK156" s="21">
        <v>0</v>
      </c>
      <c r="AL156" s="20">
        <f t="shared" si="41"/>
        <v>0</v>
      </c>
      <c r="AM156" s="20">
        <v>0</v>
      </c>
      <c r="AN156" s="21">
        <v>0</v>
      </c>
      <c r="AO156" s="20">
        <f t="shared" si="42"/>
        <v>0</v>
      </c>
      <c r="AP156" s="21">
        <v>106</v>
      </c>
      <c r="AQ156" s="20">
        <v>0</v>
      </c>
      <c r="AR156" s="20">
        <f t="shared" si="43"/>
        <v>106</v>
      </c>
      <c r="AS156" s="20">
        <v>112</v>
      </c>
      <c r="AT156" s="21">
        <v>0</v>
      </c>
      <c r="AU156" s="20">
        <f t="shared" si="44"/>
        <v>112</v>
      </c>
      <c r="AV156" s="23">
        <f t="shared" si="45"/>
        <v>218</v>
      </c>
      <c r="AW156" s="22">
        <f t="shared" si="46"/>
        <v>0</v>
      </c>
      <c r="AX156" s="20">
        <f t="shared" si="47"/>
        <v>218</v>
      </c>
      <c r="AY156" s="28" t="s">
        <v>2</v>
      </c>
      <c r="AZ156" s="28" t="s">
        <v>28</v>
      </c>
      <c r="BA156" s="28" t="s">
        <v>352</v>
      </c>
      <c r="BB156" s="29">
        <v>44586</v>
      </c>
    </row>
    <row r="157" spans="1:54" hidden="1">
      <c r="A157" s="28" t="str">
        <f t="shared" si="32"/>
        <v>818218206986</v>
      </c>
      <c r="B157" s="30">
        <v>818218</v>
      </c>
      <c r="C157" s="30" t="s">
        <v>533</v>
      </c>
      <c r="D157" s="28">
        <v>206986</v>
      </c>
      <c r="E157" s="28" t="s">
        <v>534</v>
      </c>
      <c r="F157" s="28"/>
      <c r="G157" s="28"/>
      <c r="H157" s="28"/>
      <c r="I157" s="28"/>
      <c r="J157" s="28"/>
      <c r="K157" s="28"/>
      <c r="L157" s="20">
        <v>0</v>
      </c>
      <c r="M157" s="21">
        <v>0</v>
      </c>
      <c r="N157" s="20">
        <f t="shared" si="33"/>
        <v>0</v>
      </c>
      <c r="O157" s="20">
        <v>0</v>
      </c>
      <c r="P157" s="21">
        <v>0</v>
      </c>
      <c r="Q157" s="20">
        <f t="shared" si="34"/>
        <v>0</v>
      </c>
      <c r="R157" s="20">
        <v>0</v>
      </c>
      <c r="S157" s="22">
        <v>0</v>
      </c>
      <c r="T157" s="20">
        <f t="shared" si="35"/>
        <v>0</v>
      </c>
      <c r="U157" s="20">
        <v>0</v>
      </c>
      <c r="V157" s="21">
        <v>0</v>
      </c>
      <c r="W157" s="20">
        <f t="shared" si="36"/>
        <v>0</v>
      </c>
      <c r="X157" s="20">
        <v>0</v>
      </c>
      <c r="Y157" s="22">
        <v>0</v>
      </c>
      <c r="Z157" s="20">
        <f t="shared" si="37"/>
        <v>0</v>
      </c>
      <c r="AA157" s="20">
        <v>0</v>
      </c>
      <c r="AB157" s="22">
        <v>0</v>
      </c>
      <c r="AC157" s="20">
        <f t="shared" si="38"/>
        <v>0</v>
      </c>
      <c r="AD157" s="20">
        <v>0</v>
      </c>
      <c r="AE157" s="22">
        <v>0</v>
      </c>
      <c r="AF157" s="20">
        <f t="shared" si="39"/>
        <v>0</v>
      </c>
      <c r="AG157" s="20">
        <v>0</v>
      </c>
      <c r="AH157" s="21">
        <v>0</v>
      </c>
      <c r="AI157" s="20">
        <f t="shared" si="40"/>
        <v>0</v>
      </c>
      <c r="AJ157" s="20">
        <v>0</v>
      </c>
      <c r="AK157" s="21">
        <v>0</v>
      </c>
      <c r="AL157" s="20">
        <f t="shared" si="41"/>
        <v>0</v>
      </c>
      <c r="AM157" s="20">
        <v>0</v>
      </c>
      <c r="AN157" s="21">
        <v>0</v>
      </c>
      <c r="AO157" s="20">
        <f t="shared" si="42"/>
        <v>0</v>
      </c>
      <c r="AP157" s="21">
        <v>0</v>
      </c>
      <c r="AQ157" s="20">
        <v>0</v>
      </c>
      <c r="AR157" s="20">
        <f t="shared" si="43"/>
        <v>0</v>
      </c>
      <c r="AS157" s="20">
        <v>10</v>
      </c>
      <c r="AT157" s="21">
        <v>0</v>
      </c>
      <c r="AU157" s="20">
        <f t="shared" si="44"/>
        <v>10</v>
      </c>
      <c r="AV157" s="23">
        <f t="shared" si="45"/>
        <v>10</v>
      </c>
      <c r="AW157" s="22">
        <f t="shared" si="46"/>
        <v>0</v>
      </c>
      <c r="AX157" s="20">
        <f t="shared" si="47"/>
        <v>10</v>
      </c>
      <c r="AY157" s="28" t="s">
        <v>2</v>
      </c>
      <c r="AZ157" s="28" t="s">
        <v>28</v>
      </c>
      <c r="BA157" s="28" t="s">
        <v>352</v>
      </c>
      <c r="BB157" s="29">
        <v>44620</v>
      </c>
    </row>
    <row r="158" spans="1:54">
      <c r="A158" s="28" t="str">
        <f t="shared" si="32"/>
        <v>807200174713</v>
      </c>
      <c r="B158" s="28">
        <v>807200</v>
      </c>
      <c r="C158" s="28" t="s">
        <v>353</v>
      </c>
      <c r="D158" s="28">
        <v>174713</v>
      </c>
      <c r="E158" s="28" t="s">
        <v>355</v>
      </c>
      <c r="F158" s="28" t="s">
        <v>3236</v>
      </c>
      <c r="H158" s="44" t="s">
        <v>3238</v>
      </c>
      <c r="I158" s="45" t="s">
        <v>3241</v>
      </c>
      <c r="J158" s="44" t="s">
        <v>3242</v>
      </c>
      <c r="K158" s="44" t="s">
        <v>3243</v>
      </c>
      <c r="L158" s="20">
        <v>0</v>
      </c>
      <c r="M158" s="21">
        <v>0</v>
      </c>
      <c r="N158" s="20">
        <f t="shared" si="33"/>
        <v>0</v>
      </c>
      <c r="O158" s="20">
        <v>17</v>
      </c>
      <c r="P158" s="21">
        <v>0</v>
      </c>
      <c r="Q158" s="20">
        <f t="shared" si="34"/>
        <v>17</v>
      </c>
      <c r="R158" s="20">
        <v>26</v>
      </c>
      <c r="S158" s="22">
        <v>0</v>
      </c>
      <c r="T158" s="20">
        <f t="shared" si="35"/>
        <v>26</v>
      </c>
      <c r="U158" s="20">
        <v>0</v>
      </c>
      <c r="V158" s="21">
        <v>0</v>
      </c>
      <c r="W158" s="20">
        <f t="shared" si="36"/>
        <v>0</v>
      </c>
      <c r="X158" s="20">
        <v>22</v>
      </c>
      <c r="Y158" s="22">
        <v>0</v>
      </c>
      <c r="Z158" s="20">
        <f t="shared" si="37"/>
        <v>22</v>
      </c>
      <c r="AA158" s="20">
        <v>21.5</v>
      </c>
      <c r="AB158" s="22">
        <v>0</v>
      </c>
      <c r="AC158" s="20">
        <f t="shared" si="38"/>
        <v>21.5</v>
      </c>
      <c r="AD158" s="20">
        <v>30</v>
      </c>
      <c r="AE158" s="22">
        <v>0</v>
      </c>
      <c r="AF158" s="20">
        <f t="shared" si="39"/>
        <v>30</v>
      </c>
      <c r="AG158" s="20">
        <v>30.5</v>
      </c>
      <c r="AH158" s="21">
        <v>0</v>
      </c>
      <c r="AI158" s="20">
        <f t="shared" si="40"/>
        <v>30.5</v>
      </c>
      <c r="AJ158" s="20">
        <v>38.5</v>
      </c>
      <c r="AK158" s="21">
        <v>0</v>
      </c>
      <c r="AL158" s="20">
        <f t="shared" si="41"/>
        <v>38.5</v>
      </c>
      <c r="AM158" s="20">
        <v>20</v>
      </c>
      <c r="AN158" s="21">
        <v>0</v>
      </c>
      <c r="AO158" s="20">
        <f t="shared" si="42"/>
        <v>20</v>
      </c>
      <c r="AP158" s="21">
        <v>25</v>
      </c>
      <c r="AQ158" s="20">
        <v>0</v>
      </c>
      <c r="AR158" s="20">
        <f t="shared" si="43"/>
        <v>25</v>
      </c>
      <c r="AS158" s="20">
        <v>45</v>
      </c>
      <c r="AT158" s="21">
        <v>0</v>
      </c>
      <c r="AU158" s="20">
        <f t="shared" si="44"/>
        <v>45</v>
      </c>
      <c r="AV158" s="23">
        <f t="shared" si="45"/>
        <v>275.5</v>
      </c>
      <c r="AW158" s="22">
        <f t="shared" si="46"/>
        <v>0</v>
      </c>
      <c r="AX158" s="20">
        <f t="shared" si="47"/>
        <v>275.5</v>
      </c>
      <c r="AY158" s="28" t="s">
        <v>37</v>
      </c>
      <c r="AZ158" s="28" t="s">
        <v>28</v>
      </c>
      <c r="BA158" s="28" t="s">
        <v>352</v>
      </c>
      <c r="BB158" s="29">
        <v>43427</v>
      </c>
    </row>
    <row r="159" spans="1:54">
      <c r="A159" s="28" t="str">
        <f t="shared" si="32"/>
        <v>811848202758</v>
      </c>
      <c r="B159" s="30">
        <v>811848</v>
      </c>
      <c r="C159" s="30" t="s">
        <v>262</v>
      </c>
      <c r="D159" s="31">
        <v>202758</v>
      </c>
      <c r="E159" s="28" t="s">
        <v>158</v>
      </c>
      <c r="F159" s="28" t="s">
        <v>3236</v>
      </c>
      <c r="H159" s="28"/>
      <c r="I159" s="28"/>
      <c r="J159" s="28"/>
      <c r="K159" s="28"/>
      <c r="L159" s="20">
        <v>25</v>
      </c>
      <c r="M159" s="21">
        <v>25</v>
      </c>
      <c r="N159" s="20">
        <f t="shared" si="33"/>
        <v>50</v>
      </c>
      <c r="O159" s="20">
        <v>0</v>
      </c>
      <c r="P159" s="21">
        <v>0</v>
      </c>
      <c r="Q159" s="20">
        <f t="shared" si="34"/>
        <v>0</v>
      </c>
      <c r="R159" s="20">
        <v>79</v>
      </c>
      <c r="S159" s="22">
        <v>0</v>
      </c>
      <c r="T159" s="20">
        <f t="shared" si="35"/>
        <v>79</v>
      </c>
      <c r="U159" s="20">
        <v>58.5</v>
      </c>
      <c r="V159" s="21">
        <v>25</v>
      </c>
      <c r="W159" s="20">
        <f t="shared" si="36"/>
        <v>83.5</v>
      </c>
      <c r="X159" s="20">
        <v>68.5</v>
      </c>
      <c r="Y159" s="22">
        <v>12.5</v>
      </c>
      <c r="Z159" s="20">
        <f t="shared" si="37"/>
        <v>81</v>
      </c>
      <c r="AA159" s="20">
        <v>70.5</v>
      </c>
      <c r="AB159" s="22">
        <v>0</v>
      </c>
      <c r="AC159" s="20">
        <f t="shared" si="38"/>
        <v>70.5</v>
      </c>
      <c r="AD159" s="20">
        <v>34</v>
      </c>
      <c r="AE159" s="22">
        <v>0</v>
      </c>
      <c r="AF159" s="20">
        <f t="shared" si="39"/>
        <v>34</v>
      </c>
      <c r="AG159" s="20">
        <v>22</v>
      </c>
      <c r="AH159" s="21">
        <v>0</v>
      </c>
      <c r="AI159" s="20">
        <f t="shared" si="40"/>
        <v>22</v>
      </c>
      <c r="AJ159" s="20">
        <v>54.5</v>
      </c>
      <c r="AK159" s="21">
        <v>0</v>
      </c>
      <c r="AL159" s="20">
        <f t="shared" si="41"/>
        <v>54.5</v>
      </c>
      <c r="AM159" s="20">
        <v>40</v>
      </c>
      <c r="AN159" s="21">
        <v>0</v>
      </c>
      <c r="AO159" s="20">
        <f t="shared" si="42"/>
        <v>40</v>
      </c>
      <c r="AP159" s="21">
        <v>38</v>
      </c>
      <c r="AQ159" s="20">
        <v>0</v>
      </c>
      <c r="AR159" s="20">
        <f t="shared" si="43"/>
        <v>38</v>
      </c>
      <c r="AS159" s="20">
        <v>81</v>
      </c>
      <c r="AT159" s="21">
        <v>0</v>
      </c>
      <c r="AU159" s="20">
        <f t="shared" si="44"/>
        <v>81</v>
      </c>
      <c r="AV159" s="23">
        <f t="shared" si="45"/>
        <v>571</v>
      </c>
      <c r="AW159" s="22">
        <f t="shared" si="46"/>
        <v>62.5</v>
      </c>
      <c r="AX159" s="20">
        <f t="shared" si="47"/>
        <v>633.5</v>
      </c>
      <c r="AY159" s="28" t="s">
        <v>37</v>
      </c>
      <c r="AZ159" s="28" t="s">
        <v>28</v>
      </c>
      <c r="BA159" s="28" t="s">
        <v>352</v>
      </c>
      <c r="BB159" s="29">
        <v>43982</v>
      </c>
    </row>
    <row r="160" spans="1:54">
      <c r="A160" s="28" t="str">
        <f t="shared" si="32"/>
        <v>811944179894</v>
      </c>
      <c r="B160" s="30">
        <v>811944</v>
      </c>
      <c r="C160" s="30" t="s">
        <v>100</v>
      </c>
      <c r="D160" s="31">
        <v>179894</v>
      </c>
      <c r="E160" s="28" t="s">
        <v>38</v>
      </c>
      <c r="F160" s="28" t="s">
        <v>3236</v>
      </c>
      <c r="H160" s="44" t="s">
        <v>3239</v>
      </c>
      <c r="I160" s="28"/>
      <c r="J160" s="28"/>
      <c r="K160" s="28"/>
      <c r="L160" s="20">
        <v>94.5</v>
      </c>
      <c r="M160" s="21">
        <v>12.5</v>
      </c>
      <c r="N160" s="20">
        <f t="shared" si="33"/>
        <v>107</v>
      </c>
      <c r="O160" s="20">
        <v>72.5</v>
      </c>
      <c r="P160" s="21">
        <v>0</v>
      </c>
      <c r="Q160" s="20">
        <f t="shared" si="34"/>
        <v>72.5</v>
      </c>
      <c r="R160" s="20">
        <v>95</v>
      </c>
      <c r="S160" s="22">
        <v>0</v>
      </c>
      <c r="T160" s="20">
        <f t="shared" si="35"/>
        <v>95</v>
      </c>
      <c r="U160" s="20">
        <v>60</v>
      </c>
      <c r="V160" s="21">
        <v>0</v>
      </c>
      <c r="W160" s="20">
        <f t="shared" si="36"/>
        <v>60</v>
      </c>
      <c r="X160" s="20">
        <v>37.5</v>
      </c>
      <c r="Y160" s="22">
        <v>0</v>
      </c>
      <c r="Z160" s="20">
        <f t="shared" si="37"/>
        <v>37.5</v>
      </c>
      <c r="AA160" s="20">
        <v>13.5</v>
      </c>
      <c r="AB160" s="22">
        <v>0</v>
      </c>
      <c r="AC160" s="20">
        <f t="shared" si="38"/>
        <v>13.5</v>
      </c>
      <c r="AD160" s="20">
        <v>33.5</v>
      </c>
      <c r="AE160" s="22">
        <v>0</v>
      </c>
      <c r="AF160" s="20">
        <f t="shared" si="39"/>
        <v>33.5</v>
      </c>
      <c r="AG160" s="20">
        <v>25</v>
      </c>
      <c r="AH160" s="21">
        <v>0</v>
      </c>
      <c r="AI160" s="20">
        <f t="shared" si="40"/>
        <v>25</v>
      </c>
      <c r="AJ160" s="20">
        <v>52.5</v>
      </c>
      <c r="AK160" s="21">
        <v>0</v>
      </c>
      <c r="AL160" s="20">
        <f t="shared" si="41"/>
        <v>52.5</v>
      </c>
      <c r="AM160" s="20">
        <v>42</v>
      </c>
      <c r="AN160" s="21">
        <v>0</v>
      </c>
      <c r="AO160" s="20">
        <f t="shared" si="42"/>
        <v>42</v>
      </c>
      <c r="AP160" s="21">
        <v>40</v>
      </c>
      <c r="AQ160" s="20">
        <v>0</v>
      </c>
      <c r="AR160" s="20">
        <f t="shared" si="43"/>
        <v>40</v>
      </c>
      <c r="AS160" s="20">
        <v>55</v>
      </c>
      <c r="AT160" s="21">
        <v>0</v>
      </c>
      <c r="AU160" s="20">
        <f t="shared" si="44"/>
        <v>55</v>
      </c>
      <c r="AV160" s="23">
        <f t="shared" si="45"/>
        <v>621</v>
      </c>
      <c r="AW160" s="22">
        <f t="shared" si="46"/>
        <v>12.5</v>
      </c>
      <c r="AX160" s="20">
        <f t="shared" si="47"/>
        <v>633.5</v>
      </c>
      <c r="AY160" s="28" t="s">
        <v>37</v>
      </c>
      <c r="AZ160" s="28" t="s">
        <v>28</v>
      </c>
      <c r="BA160" s="28" t="s">
        <v>352</v>
      </c>
      <c r="BB160" s="29">
        <v>44001</v>
      </c>
    </row>
    <row r="161" spans="1:54">
      <c r="A161" s="28" t="str">
        <f t="shared" si="32"/>
        <v>812372202849</v>
      </c>
      <c r="B161" s="30">
        <v>812372</v>
      </c>
      <c r="C161" s="30" t="s">
        <v>452</v>
      </c>
      <c r="D161" s="28">
        <v>202849</v>
      </c>
      <c r="E161" s="28" t="s">
        <v>453</v>
      </c>
      <c r="F161" s="28" t="s">
        <v>3236</v>
      </c>
      <c r="H161" s="28"/>
      <c r="I161" s="28"/>
      <c r="J161" s="28"/>
      <c r="K161" s="28"/>
      <c r="L161" s="20">
        <v>0</v>
      </c>
      <c r="M161" s="21">
        <v>0</v>
      </c>
      <c r="N161" s="20">
        <f t="shared" si="33"/>
        <v>0</v>
      </c>
      <c r="O161" s="20">
        <v>0</v>
      </c>
      <c r="P161" s="21">
        <v>0</v>
      </c>
      <c r="Q161" s="20">
        <f t="shared" si="34"/>
        <v>0</v>
      </c>
      <c r="R161" s="20">
        <v>0</v>
      </c>
      <c r="S161" s="22">
        <v>0</v>
      </c>
      <c r="T161" s="20">
        <f t="shared" si="35"/>
        <v>0</v>
      </c>
      <c r="U161" s="20">
        <v>0</v>
      </c>
      <c r="V161" s="21">
        <v>0</v>
      </c>
      <c r="W161" s="20">
        <f t="shared" si="36"/>
        <v>0</v>
      </c>
      <c r="X161" s="20">
        <v>0</v>
      </c>
      <c r="Y161" s="22">
        <v>0</v>
      </c>
      <c r="Z161" s="20">
        <f t="shared" si="37"/>
        <v>0</v>
      </c>
      <c r="AA161" s="20">
        <v>0</v>
      </c>
      <c r="AB161" s="22">
        <v>0</v>
      </c>
      <c r="AC161" s="20">
        <f t="shared" si="38"/>
        <v>0</v>
      </c>
      <c r="AD161" s="20">
        <v>32</v>
      </c>
      <c r="AE161" s="22">
        <v>0</v>
      </c>
      <c r="AF161" s="20">
        <f t="shared" si="39"/>
        <v>32</v>
      </c>
      <c r="AG161" s="20">
        <v>61</v>
      </c>
      <c r="AH161" s="21">
        <v>0</v>
      </c>
      <c r="AI161" s="20">
        <f t="shared" si="40"/>
        <v>61</v>
      </c>
      <c r="AJ161" s="20">
        <v>32</v>
      </c>
      <c r="AK161" s="21">
        <v>0</v>
      </c>
      <c r="AL161" s="20">
        <f t="shared" si="41"/>
        <v>32</v>
      </c>
      <c r="AM161" s="20">
        <v>13</v>
      </c>
      <c r="AN161" s="21">
        <v>0</v>
      </c>
      <c r="AO161" s="20">
        <f t="shared" si="42"/>
        <v>13</v>
      </c>
      <c r="AP161" s="21">
        <v>32</v>
      </c>
      <c r="AQ161" s="20">
        <v>0</v>
      </c>
      <c r="AR161" s="20">
        <f t="shared" si="43"/>
        <v>32</v>
      </c>
      <c r="AS161" s="20">
        <v>82</v>
      </c>
      <c r="AT161" s="21">
        <v>0</v>
      </c>
      <c r="AU161" s="20">
        <f t="shared" si="44"/>
        <v>82</v>
      </c>
      <c r="AV161" s="23">
        <f t="shared" si="45"/>
        <v>252</v>
      </c>
      <c r="AW161" s="22">
        <f t="shared" si="46"/>
        <v>0</v>
      </c>
      <c r="AX161" s="20">
        <f t="shared" si="47"/>
        <v>252</v>
      </c>
      <c r="AY161" s="28" t="s">
        <v>37</v>
      </c>
      <c r="AZ161" s="28" t="s">
        <v>28</v>
      </c>
      <c r="BA161" s="28" t="s">
        <v>352</v>
      </c>
      <c r="BB161" s="29">
        <v>44039</v>
      </c>
    </row>
    <row r="162" spans="1:54">
      <c r="A162" s="28" t="str">
        <f t="shared" si="32"/>
        <v>812404179894</v>
      </c>
      <c r="B162" s="30">
        <v>812404</v>
      </c>
      <c r="C162" s="30" t="s">
        <v>99</v>
      </c>
      <c r="D162" s="31">
        <v>179894</v>
      </c>
      <c r="E162" s="28" t="s">
        <v>38</v>
      </c>
      <c r="F162" s="28" t="s">
        <v>3236</v>
      </c>
      <c r="H162" s="28"/>
      <c r="I162" s="28"/>
      <c r="J162" s="28"/>
      <c r="K162" s="28"/>
      <c r="L162" s="20">
        <v>42</v>
      </c>
      <c r="M162" s="21">
        <v>0</v>
      </c>
      <c r="N162" s="20">
        <f t="shared" si="33"/>
        <v>42</v>
      </c>
      <c r="O162" s="20">
        <v>72</v>
      </c>
      <c r="P162" s="21">
        <v>0</v>
      </c>
      <c r="Q162" s="20">
        <f t="shared" si="34"/>
        <v>72</v>
      </c>
      <c r="R162" s="20">
        <v>62.5</v>
      </c>
      <c r="S162" s="22">
        <v>0</v>
      </c>
      <c r="T162" s="20">
        <f t="shared" si="35"/>
        <v>62.5</v>
      </c>
      <c r="U162" s="20">
        <v>50</v>
      </c>
      <c r="V162" s="21">
        <v>0</v>
      </c>
      <c r="W162" s="20">
        <f t="shared" si="36"/>
        <v>50</v>
      </c>
      <c r="X162" s="20">
        <v>50</v>
      </c>
      <c r="Y162" s="22">
        <v>0</v>
      </c>
      <c r="Z162" s="20">
        <f t="shared" si="37"/>
        <v>50</v>
      </c>
      <c r="AA162" s="20">
        <v>60</v>
      </c>
      <c r="AB162" s="22">
        <v>0</v>
      </c>
      <c r="AC162" s="20">
        <f t="shared" si="38"/>
        <v>60</v>
      </c>
      <c r="AD162" s="20">
        <v>33.5</v>
      </c>
      <c r="AE162" s="22">
        <v>0</v>
      </c>
      <c r="AF162" s="20">
        <f t="shared" si="39"/>
        <v>33.5</v>
      </c>
      <c r="AG162" s="20">
        <v>25</v>
      </c>
      <c r="AH162" s="21">
        <v>0</v>
      </c>
      <c r="AI162" s="20">
        <f t="shared" si="40"/>
        <v>25</v>
      </c>
      <c r="AJ162" s="20">
        <v>37.5</v>
      </c>
      <c r="AK162" s="21">
        <v>0</v>
      </c>
      <c r="AL162" s="20">
        <f t="shared" si="41"/>
        <v>37.5</v>
      </c>
      <c r="AM162" s="20">
        <v>20</v>
      </c>
      <c r="AN162" s="21">
        <v>0</v>
      </c>
      <c r="AO162" s="20">
        <f t="shared" si="42"/>
        <v>20</v>
      </c>
      <c r="AP162" s="21">
        <v>5</v>
      </c>
      <c r="AQ162" s="20">
        <v>0</v>
      </c>
      <c r="AR162" s="20">
        <f t="shared" si="43"/>
        <v>5</v>
      </c>
      <c r="AS162" s="20">
        <v>27.5</v>
      </c>
      <c r="AT162" s="21">
        <v>0</v>
      </c>
      <c r="AU162" s="20">
        <f t="shared" si="44"/>
        <v>27.5</v>
      </c>
      <c r="AV162" s="23">
        <f t="shared" si="45"/>
        <v>485</v>
      </c>
      <c r="AW162" s="22">
        <f t="shared" si="46"/>
        <v>0</v>
      </c>
      <c r="AX162" s="20">
        <f t="shared" si="47"/>
        <v>485</v>
      </c>
      <c r="AY162" s="28" t="s">
        <v>37</v>
      </c>
      <c r="AZ162" s="28" t="s">
        <v>28</v>
      </c>
      <c r="BA162" s="28" t="s">
        <v>352</v>
      </c>
      <c r="BB162" s="29">
        <v>44042</v>
      </c>
    </row>
    <row r="163" spans="1:54">
      <c r="A163" s="28" t="str">
        <f t="shared" si="32"/>
        <v>813151179892</v>
      </c>
      <c r="B163" s="30">
        <v>813151</v>
      </c>
      <c r="C163" s="30" t="s">
        <v>405</v>
      </c>
      <c r="D163" s="28">
        <v>179892</v>
      </c>
      <c r="E163" s="28" t="s">
        <v>406</v>
      </c>
      <c r="F163" s="28" t="s">
        <v>3236</v>
      </c>
      <c r="H163" s="44" t="s">
        <v>3240</v>
      </c>
      <c r="I163" s="28"/>
      <c r="J163" s="28"/>
      <c r="K163" s="28"/>
      <c r="L163" s="20">
        <v>0</v>
      </c>
      <c r="M163" s="21">
        <v>0</v>
      </c>
      <c r="N163" s="20">
        <f t="shared" si="33"/>
        <v>0</v>
      </c>
      <c r="O163" s="20">
        <v>0</v>
      </c>
      <c r="P163" s="21">
        <v>0</v>
      </c>
      <c r="Q163" s="20">
        <f t="shared" si="34"/>
        <v>0</v>
      </c>
      <c r="R163" s="20">
        <v>0</v>
      </c>
      <c r="S163" s="22">
        <v>0</v>
      </c>
      <c r="T163" s="20">
        <f t="shared" si="35"/>
        <v>0</v>
      </c>
      <c r="U163" s="20">
        <v>51</v>
      </c>
      <c r="V163" s="21">
        <v>0</v>
      </c>
      <c r="W163" s="20">
        <f t="shared" si="36"/>
        <v>51</v>
      </c>
      <c r="X163" s="20">
        <v>0</v>
      </c>
      <c r="Y163" s="22">
        <v>0</v>
      </c>
      <c r="Z163" s="20">
        <f t="shared" si="37"/>
        <v>0</v>
      </c>
      <c r="AA163" s="20">
        <v>51</v>
      </c>
      <c r="AB163" s="22">
        <v>0</v>
      </c>
      <c r="AC163" s="20">
        <f t="shared" si="38"/>
        <v>51</v>
      </c>
      <c r="AD163" s="20">
        <v>5</v>
      </c>
      <c r="AE163" s="22">
        <v>0</v>
      </c>
      <c r="AF163" s="20">
        <f t="shared" si="39"/>
        <v>5</v>
      </c>
      <c r="AG163" s="20">
        <v>0</v>
      </c>
      <c r="AH163" s="21">
        <v>0</v>
      </c>
      <c r="AI163" s="20">
        <f t="shared" si="40"/>
        <v>0</v>
      </c>
      <c r="AJ163" s="20">
        <v>0</v>
      </c>
      <c r="AK163" s="21">
        <v>0</v>
      </c>
      <c r="AL163" s="20">
        <f t="shared" si="41"/>
        <v>0</v>
      </c>
      <c r="AM163" s="20">
        <v>50.5</v>
      </c>
      <c r="AN163" s="21">
        <v>0</v>
      </c>
      <c r="AO163" s="20">
        <f t="shared" si="42"/>
        <v>50.5</v>
      </c>
      <c r="AP163" s="21">
        <v>51</v>
      </c>
      <c r="AQ163" s="20">
        <v>0</v>
      </c>
      <c r="AR163" s="20">
        <f t="shared" si="43"/>
        <v>51</v>
      </c>
      <c r="AS163" s="20">
        <v>101</v>
      </c>
      <c r="AT163" s="21">
        <v>0</v>
      </c>
      <c r="AU163" s="20">
        <f t="shared" si="44"/>
        <v>101</v>
      </c>
      <c r="AV163" s="23">
        <f t="shared" si="45"/>
        <v>309.5</v>
      </c>
      <c r="AW163" s="22">
        <f t="shared" si="46"/>
        <v>0</v>
      </c>
      <c r="AX163" s="20">
        <f t="shared" si="47"/>
        <v>309.5</v>
      </c>
      <c r="AY163" s="28" t="s">
        <v>37</v>
      </c>
      <c r="AZ163" s="28" t="s">
        <v>28</v>
      </c>
      <c r="BA163" s="28" t="s">
        <v>352</v>
      </c>
      <c r="BB163" s="29">
        <v>44104</v>
      </c>
    </row>
    <row r="164" spans="1:54">
      <c r="A164" s="28" t="str">
        <f t="shared" si="32"/>
        <v>813299179894</v>
      </c>
      <c r="B164" s="30">
        <v>813299</v>
      </c>
      <c r="C164" s="30" t="s">
        <v>141</v>
      </c>
      <c r="D164" s="28">
        <v>179894</v>
      </c>
      <c r="E164" s="28" t="s">
        <v>38</v>
      </c>
      <c r="F164" s="28" t="s">
        <v>3236</v>
      </c>
      <c r="H164" s="28"/>
      <c r="I164" s="28"/>
      <c r="J164" s="28"/>
      <c r="K164" s="28"/>
      <c r="L164" s="20">
        <v>0</v>
      </c>
      <c r="M164" s="21">
        <v>0</v>
      </c>
      <c r="N164" s="20">
        <f t="shared" si="33"/>
        <v>0</v>
      </c>
      <c r="O164" s="20">
        <v>0</v>
      </c>
      <c r="P164" s="21">
        <v>0</v>
      </c>
      <c r="Q164" s="20">
        <f t="shared" si="34"/>
        <v>0</v>
      </c>
      <c r="R164" s="20">
        <v>0</v>
      </c>
      <c r="S164" s="22">
        <v>0</v>
      </c>
      <c r="T164" s="20">
        <f t="shared" si="35"/>
        <v>0</v>
      </c>
      <c r="U164" s="20">
        <v>0</v>
      </c>
      <c r="V164" s="21">
        <v>0</v>
      </c>
      <c r="W164" s="20">
        <f t="shared" si="36"/>
        <v>0</v>
      </c>
      <c r="X164" s="20">
        <v>0</v>
      </c>
      <c r="Y164" s="22">
        <v>0</v>
      </c>
      <c r="Z164" s="20">
        <f t="shared" si="37"/>
        <v>0</v>
      </c>
      <c r="AA164" s="20">
        <v>0</v>
      </c>
      <c r="AB164" s="22">
        <v>0</v>
      </c>
      <c r="AC164" s="20">
        <f t="shared" si="38"/>
        <v>0</v>
      </c>
      <c r="AD164" s="20">
        <v>0</v>
      </c>
      <c r="AE164" s="22">
        <v>0</v>
      </c>
      <c r="AF164" s="20">
        <f t="shared" si="39"/>
        <v>0</v>
      </c>
      <c r="AG164" s="20">
        <v>0</v>
      </c>
      <c r="AH164" s="21">
        <v>0</v>
      </c>
      <c r="AI164" s="20">
        <f t="shared" si="40"/>
        <v>0</v>
      </c>
      <c r="AJ164" s="20">
        <v>44</v>
      </c>
      <c r="AK164" s="21">
        <v>0</v>
      </c>
      <c r="AL164" s="20">
        <f t="shared" si="41"/>
        <v>44</v>
      </c>
      <c r="AM164" s="20">
        <v>6</v>
      </c>
      <c r="AN164" s="21">
        <v>0</v>
      </c>
      <c r="AO164" s="20">
        <f t="shared" si="42"/>
        <v>6</v>
      </c>
      <c r="AP164" s="21">
        <v>60</v>
      </c>
      <c r="AQ164" s="20">
        <v>0</v>
      </c>
      <c r="AR164" s="20">
        <f t="shared" si="43"/>
        <v>60</v>
      </c>
      <c r="AS164" s="20">
        <v>55</v>
      </c>
      <c r="AT164" s="21">
        <v>0</v>
      </c>
      <c r="AU164" s="20">
        <f t="shared" si="44"/>
        <v>55</v>
      </c>
      <c r="AV164" s="23">
        <f t="shared" si="45"/>
        <v>165</v>
      </c>
      <c r="AW164" s="22">
        <f t="shared" si="46"/>
        <v>0</v>
      </c>
      <c r="AX164" s="20">
        <f t="shared" si="47"/>
        <v>165</v>
      </c>
      <c r="AY164" s="28" t="s">
        <v>37</v>
      </c>
      <c r="AZ164" s="28" t="s">
        <v>28</v>
      </c>
      <c r="BA164" s="28" t="s">
        <v>352</v>
      </c>
      <c r="BB164" s="29">
        <v>44120</v>
      </c>
    </row>
    <row r="165" spans="1:54">
      <c r="A165" s="28" t="str">
        <f t="shared" si="32"/>
        <v>813299202947</v>
      </c>
      <c r="B165" s="30">
        <v>813299</v>
      </c>
      <c r="C165" s="30" t="s">
        <v>141</v>
      </c>
      <c r="D165" s="31">
        <v>202947</v>
      </c>
      <c r="E165" s="28" t="s">
        <v>147</v>
      </c>
      <c r="F165" s="28" t="s">
        <v>3237</v>
      </c>
      <c r="H165" s="28"/>
      <c r="I165" s="28"/>
      <c r="J165" s="28"/>
      <c r="K165" s="28"/>
      <c r="L165" s="20">
        <v>20</v>
      </c>
      <c r="M165" s="21">
        <v>0</v>
      </c>
      <c r="N165" s="20">
        <f t="shared" si="33"/>
        <v>20</v>
      </c>
      <c r="O165" s="20">
        <v>0</v>
      </c>
      <c r="P165" s="21">
        <v>0</v>
      </c>
      <c r="Q165" s="20">
        <f t="shared" si="34"/>
        <v>0</v>
      </c>
      <c r="R165" s="20">
        <v>0</v>
      </c>
      <c r="S165" s="22">
        <v>0</v>
      </c>
      <c r="T165" s="20">
        <f t="shared" si="35"/>
        <v>0</v>
      </c>
      <c r="U165" s="20">
        <v>12.5</v>
      </c>
      <c r="V165" s="21">
        <v>0</v>
      </c>
      <c r="W165" s="20">
        <f t="shared" si="36"/>
        <v>12.5</v>
      </c>
      <c r="X165" s="20">
        <v>0</v>
      </c>
      <c r="Y165" s="22">
        <v>0</v>
      </c>
      <c r="Z165" s="20">
        <f t="shared" si="37"/>
        <v>0</v>
      </c>
      <c r="AA165" s="20">
        <v>0</v>
      </c>
      <c r="AB165" s="22">
        <v>0</v>
      </c>
      <c r="AC165" s="20">
        <f t="shared" si="38"/>
        <v>0</v>
      </c>
      <c r="AD165" s="20">
        <v>0</v>
      </c>
      <c r="AE165" s="22">
        <v>0</v>
      </c>
      <c r="AF165" s="20">
        <f t="shared" si="39"/>
        <v>0</v>
      </c>
      <c r="AG165" s="20">
        <v>0</v>
      </c>
      <c r="AH165" s="21">
        <v>0</v>
      </c>
      <c r="AI165" s="20">
        <f t="shared" si="40"/>
        <v>0</v>
      </c>
      <c r="AJ165" s="20">
        <v>0</v>
      </c>
      <c r="AK165" s="21">
        <v>0</v>
      </c>
      <c r="AL165" s="20">
        <f t="shared" si="41"/>
        <v>0</v>
      </c>
      <c r="AM165" s="20">
        <v>0</v>
      </c>
      <c r="AN165" s="21">
        <v>0</v>
      </c>
      <c r="AO165" s="20">
        <f t="shared" si="42"/>
        <v>0</v>
      </c>
      <c r="AP165" s="21">
        <v>0</v>
      </c>
      <c r="AQ165" s="20">
        <v>0</v>
      </c>
      <c r="AR165" s="20">
        <f t="shared" si="43"/>
        <v>0</v>
      </c>
      <c r="AS165" s="20">
        <v>0</v>
      </c>
      <c r="AT165" s="21">
        <v>0</v>
      </c>
      <c r="AU165" s="20">
        <f t="shared" si="44"/>
        <v>0</v>
      </c>
      <c r="AV165" s="23">
        <f t="shared" si="45"/>
        <v>32.5</v>
      </c>
      <c r="AW165" s="22">
        <f t="shared" si="46"/>
        <v>0</v>
      </c>
      <c r="AX165" s="20">
        <f t="shared" si="47"/>
        <v>32.5</v>
      </c>
      <c r="AY165" s="28" t="s">
        <v>37</v>
      </c>
      <c r="AZ165" s="28" t="s">
        <v>28</v>
      </c>
      <c r="BA165" s="28" t="s">
        <v>352</v>
      </c>
      <c r="BB165" s="29">
        <v>44120</v>
      </c>
    </row>
    <row r="166" spans="1:54">
      <c r="A166" s="28" t="str">
        <f t="shared" si="32"/>
        <v>815101119074</v>
      </c>
      <c r="B166" s="30">
        <v>815101</v>
      </c>
      <c r="C166" s="30" t="s">
        <v>155</v>
      </c>
      <c r="D166" s="28">
        <v>119074</v>
      </c>
      <c r="E166" s="28" t="s">
        <v>411</v>
      </c>
      <c r="F166" s="28" t="s">
        <v>3237</v>
      </c>
      <c r="G166" s="28"/>
      <c r="H166" s="28"/>
      <c r="I166" s="28"/>
      <c r="J166" s="28"/>
      <c r="K166" s="28"/>
      <c r="L166" s="20">
        <v>0</v>
      </c>
      <c r="M166" s="21">
        <v>0</v>
      </c>
      <c r="N166" s="20">
        <f t="shared" si="33"/>
        <v>0</v>
      </c>
      <c r="O166" s="20">
        <v>0</v>
      </c>
      <c r="P166" s="21">
        <v>0</v>
      </c>
      <c r="Q166" s="20">
        <f t="shared" si="34"/>
        <v>0</v>
      </c>
      <c r="R166" s="20">
        <v>0</v>
      </c>
      <c r="S166" s="22">
        <v>0</v>
      </c>
      <c r="T166" s="20">
        <f t="shared" si="35"/>
        <v>0</v>
      </c>
      <c r="U166" s="20">
        <v>0</v>
      </c>
      <c r="V166" s="21">
        <v>0</v>
      </c>
      <c r="W166" s="20">
        <f t="shared" si="36"/>
        <v>0</v>
      </c>
      <c r="X166" s="20">
        <v>10</v>
      </c>
      <c r="Y166" s="22">
        <v>10</v>
      </c>
      <c r="Z166" s="20">
        <f t="shared" si="37"/>
        <v>20</v>
      </c>
      <c r="AA166" s="20">
        <v>0</v>
      </c>
      <c r="AB166" s="22">
        <v>0</v>
      </c>
      <c r="AC166" s="20">
        <f t="shared" si="38"/>
        <v>0</v>
      </c>
      <c r="AD166" s="20">
        <v>0</v>
      </c>
      <c r="AE166" s="22">
        <v>0</v>
      </c>
      <c r="AF166" s="20">
        <f t="shared" si="39"/>
        <v>0</v>
      </c>
      <c r="AG166" s="20">
        <v>0</v>
      </c>
      <c r="AH166" s="21">
        <v>0</v>
      </c>
      <c r="AI166" s="20">
        <f t="shared" si="40"/>
        <v>0</v>
      </c>
      <c r="AJ166" s="20">
        <v>0</v>
      </c>
      <c r="AK166" s="21">
        <v>0</v>
      </c>
      <c r="AL166" s="20">
        <f t="shared" si="41"/>
        <v>0</v>
      </c>
      <c r="AM166" s="20">
        <v>0</v>
      </c>
      <c r="AN166" s="21">
        <v>0</v>
      </c>
      <c r="AO166" s="20">
        <f t="shared" si="42"/>
        <v>0</v>
      </c>
      <c r="AP166" s="21">
        <v>0</v>
      </c>
      <c r="AQ166" s="20">
        <v>0</v>
      </c>
      <c r="AR166" s="20">
        <f t="shared" si="43"/>
        <v>0</v>
      </c>
      <c r="AS166" s="20">
        <v>0</v>
      </c>
      <c r="AT166" s="21">
        <v>0</v>
      </c>
      <c r="AU166" s="20">
        <f t="shared" si="44"/>
        <v>0</v>
      </c>
      <c r="AV166" s="23">
        <f t="shared" si="45"/>
        <v>10</v>
      </c>
      <c r="AW166" s="22">
        <f t="shared" si="46"/>
        <v>10</v>
      </c>
      <c r="AX166" s="20">
        <f t="shared" si="47"/>
        <v>20</v>
      </c>
      <c r="AY166" s="28" t="s">
        <v>37</v>
      </c>
      <c r="AZ166" s="28" t="s">
        <v>28</v>
      </c>
      <c r="BA166" s="28" t="s">
        <v>352</v>
      </c>
      <c r="BB166" s="29">
        <v>44347</v>
      </c>
    </row>
    <row r="167" spans="1:54">
      <c r="A167" s="28" t="str">
        <f t="shared" si="32"/>
        <v>815101208026</v>
      </c>
      <c r="B167" s="30">
        <v>815101</v>
      </c>
      <c r="C167" s="30" t="s">
        <v>155</v>
      </c>
      <c r="D167" s="31">
        <v>208026</v>
      </c>
      <c r="E167" s="28" t="s">
        <v>361</v>
      </c>
      <c r="F167" s="28" t="s">
        <v>3236</v>
      </c>
      <c r="G167" s="28"/>
      <c r="H167" s="28"/>
      <c r="I167" s="28"/>
      <c r="J167" s="28"/>
      <c r="K167" s="28"/>
      <c r="L167" s="20">
        <v>0</v>
      </c>
      <c r="M167" s="21">
        <v>0</v>
      </c>
      <c r="N167" s="20">
        <f t="shared" si="33"/>
        <v>0</v>
      </c>
      <c r="O167" s="20">
        <v>0</v>
      </c>
      <c r="P167" s="21">
        <v>0</v>
      </c>
      <c r="Q167" s="20">
        <f t="shared" si="34"/>
        <v>0</v>
      </c>
      <c r="R167" s="20">
        <v>79.5</v>
      </c>
      <c r="S167" s="22">
        <v>12.5</v>
      </c>
      <c r="T167" s="20">
        <f t="shared" si="35"/>
        <v>92</v>
      </c>
      <c r="U167" s="20">
        <v>44.5</v>
      </c>
      <c r="V167" s="21">
        <v>12.5</v>
      </c>
      <c r="W167" s="20">
        <f t="shared" si="36"/>
        <v>57</v>
      </c>
      <c r="X167" s="20">
        <v>91.5</v>
      </c>
      <c r="Y167" s="22">
        <v>20.5</v>
      </c>
      <c r="Z167" s="20">
        <f t="shared" si="37"/>
        <v>112</v>
      </c>
      <c r="AA167" s="20">
        <v>107.5</v>
      </c>
      <c r="AB167" s="22">
        <v>34.5</v>
      </c>
      <c r="AC167" s="20">
        <f t="shared" si="38"/>
        <v>142</v>
      </c>
      <c r="AD167" s="20">
        <v>42.25</v>
      </c>
      <c r="AE167" s="22">
        <v>30.25</v>
      </c>
      <c r="AF167" s="20">
        <f t="shared" si="39"/>
        <v>72.5</v>
      </c>
      <c r="AG167" s="20">
        <v>30</v>
      </c>
      <c r="AH167" s="21">
        <v>0</v>
      </c>
      <c r="AI167" s="20">
        <f t="shared" si="40"/>
        <v>30</v>
      </c>
      <c r="AJ167" s="20">
        <v>75</v>
      </c>
      <c r="AK167" s="21">
        <v>8</v>
      </c>
      <c r="AL167" s="20">
        <f t="shared" si="41"/>
        <v>83</v>
      </c>
      <c r="AM167" s="20">
        <v>20</v>
      </c>
      <c r="AN167" s="21">
        <v>0</v>
      </c>
      <c r="AO167" s="20">
        <f t="shared" si="42"/>
        <v>20</v>
      </c>
      <c r="AP167" s="21">
        <v>78.5</v>
      </c>
      <c r="AQ167" s="20">
        <v>0</v>
      </c>
      <c r="AR167" s="20">
        <f t="shared" si="43"/>
        <v>78.5</v>
      </c>
      <c r="AS167" s="20">
        <v>92</v>
      </c>
      <c r="AT167" s="21">
        <v>0</v>
      </c>
      <c r="AU167" s="20">
        <f t="shared" si="44"/>
        <v>92</v>
      </c>
      <c r="AV167" s="23">
        <f t="shared" si="45"/>
        <v>660.75</v>
      </c>
      <c r="AW167" s="22">
        <f t="shared" si="46"/>
        <v>118.25</v>
      </c>
      <c r="AX167" s="20">
        <f t="shared" si="47"/>
        <v>779</v>
      </c>
      <c r="AY167" s="28" t="s">
        <v>37</v>
      </c>
      <c r="AZ167" s="28" t="s">
        <v>28</v>
      </c>
      <c r="BA167" s="28" t="s">
        <v>352</v>
      </c>
      <c r="BB167" s="29">
        <v>44347</v>
      </c>
    </row>
    <row r="168" spans="1:54">
      <c r="A168" s="28" t="str">
        <f t="shared" si="32"/>
        <v>816037179894</v>
      </c>
      <c r="B168" s="30">
        <v>816037</v>
      </c>
      <c r="C168" s="30" t="s">
        <v>418</v>
      </c>
      <c r="D168" s="28">
        <v>179894</v>
      </c>
      <c r="E168" s="28" t="s">
        <v>38</v>
      </c>
      <c r="F168" s="28" t="s">
        <v>3236</v>
      </c>
      <c r="G168" s="28"/>
      <c r="H168" s="28"/>
      <c r="I168" s="28"/>
      <c r="J168" s="28"/>
      <c r="K168" s="28"/>
      <c r="L168" s="20">
        <v>0</v>
      </c>
      <c r="M168" s="21">
        <v>0</v>
      </c>
      <c r="N168" s="20">
        <f t="shared" si="33"/>
        <v>0</v>
      </c>
      <c r="O168" s="20">
        <v>0</v>
      </c>
      <c r="P168" s="21">
        <v>0</v>
      </c>
      <c r="Q168" s="20">
        <f t="shared" si="34"/>
        <v>0</v>
      </c>
      <c r="R168" s="20">
        <v>0</v>
      </c>
      <c r="S168" s="22">
        <v>0</v>
      </c>
      <c r="T168" s="20">
        <f t="shared" si="35"/>
        <v>0</v>
      </c>
      <c r="U168" s="20">
        <v>0</v>
      </c>
      <c r="V168" s="21">
        <v>0</v>
      </c>
      <c r="W168" s="20">
        <f t="shared" si="36"/>
        <v>0</v>
      </c>
      <c r="X168" s="20">
        <v>119</v>
      </c>
      <c r="Y168" s="22">
        <v>0</v>
      </c>
      <c r="Z168" s="20">
        <f t="shared" si="37"/>
        <v>119</v>
      </c>
      <c r="AA168" s="20">
        <v>164.5</v>
      </c>
      <c r="AB168" s="22">
        <v>0</v>
      </c>
      <c r="AC168" s="20">
        <f t="shared" si="38"/>
        <v>164.5</v>
      </c>
      <c r="AD168" s="20">
        <v>92</v>
      </c>
      <c r="AE168" s="22">
        <v>0</v>
      </c>
      <c r="AF168" s="20">
        <f t="shared" si="39"/>
        <v>92</v>
      </c>
      <c r="AG168" s="20">
        <v>57.5</v>
      </c>
      <c r="AH168" s="21">
        <v>0</v>
      </c>
      <c r="AI168" s="20">
        <f t="shared" si="40"/>
        <v>57.5</v>
      </c>
      <c r="AJ168" s="20">
        <v>93.5</v>
      </c>
      <c r="AK168" s="21">
        <v>0</v>
      </c>
      <c r="AL168" s="20">
        <f t="shared" si="41"/>
        <v>93.5</v>
      </c>
      <c r="AM168" s="20">
        <v>57.5</v>
      </c>
      <c r="AN168" s="21">
        <v>0</v>
      </c>
      <c r="AO168" s="20">
        <f t="shared" si="42"/>
        <v>57.5</v>
      </c>
      <c r="AP168" s="21">
        <v>85</v>
      </c>
      <c r="AQ168" s="20">
        <v>0</v>
      </c>
      <c r="AR168" s="20">
        <f t="shared" si="43"/>
        <v>85</v>
      </c>
      <c r="AS168" s="20">
        <v>100</v>
      </c>
      <c r="AT168" s="21">
        <v>0</v>
      </c>
      <c r="AU168" s="20">
        <f t="shared" si="44"/>
        <v>100</v>
      </c>
      <c r="AV168" s="23">
        <f t="shared" si="45"/>
        <v>769</v>
      </c>
      <c r="AW168" s="22">
        <f t="shared" si="46"/>
        <v>0</v>
      </c>
      <c r="AX168" s="20">
        <f t="shared" si="47"/>
        <v>769</v>
      </c>
      <c r="AY168" s="28" t="s">
        <v>37</v>
      </c>
      <c r="AZ168" s="28" t="s">
        <v>28</v>
      </c>
      <c r="BA168" s="28" t="s">
        <v>352</v>
      </c>
      <c r="BB168" s="29">
        <v>44428</v>
      </c>
    </row>
    <row r="169" spans="1:54">
      <c r="A169" s="28" t="str">
        <f t="shared" si="32"/>
        <v>817789179894</v>
      </c>
      <c r="B169" s="30">
        <v>817789</v>
      </c>
      <c r="C169" s="30" t="s">
        <v>527</v>
      </c>
      <c r="D169" s="28">
        <v>179894</v>
      </c>
      <c r="E169" s="28" t="s">
        <v>38</v>
      </c>
      <c r="F169" s="28" t="s">
        <v>3236</v>
      </c>
      <c r="G169" s="28"/>
      <c r="H169" s="28"/>
      <c r="I169" s="28"/>
      <c r="J169" s="28"/>
      <c r="K169" s="28"/>
      <c r="L169" s="20">
        <v>0</v>
      </c>
      <c r="M169" s="21">
        <v>0</v>
      </c>
      <c r="N169" s="20">
        <f t="shared" si="33"/>
        <v>0</v>
      </c>
      <c r="O169" s="20">
        <v>0</v>
      </c>
      <c r="P169" s="21">
        <v>0</v>
      </c>
      <c r="Q169" s="20">
        <f t="shared" si="34"/>
        <v>0</v>
      </c>
      <c r="R169" s="20">
        <v>0</v>
      </c>
      <c r="S169" s="22">
        <v>0</v>
      </c>
      <c r="T169" s="20">
        <f t="shared" si="35"/>
        <v>0</v>
      </c>
      <c r="U169" s="20">
        <v>0</v>
      </c>
      <c r="V169" s="21">
        <v>0</v>
      </c>
      <c r="W169" s="20">
        <f t="shared" si="36"/>
        <v>0</v>
      </c>
      <c r="X169" s="20">
        <v>0</v>
      </c>
      <c r="Y169" s="22">
        <v>0</v>
      </c>
      <c r="Z169" s="20">
        <f t="shared" si="37"/>
        <v>0</v>
      </c>
      <c r="AA169" s="20">
        <v>0</v>
      </c>
      <c r="AB169" s="22">
        <v>0</v>
      </c>
      <c r="AC169" s="20">
        <f t="shared" si="38"/>
        <v>0</v>
      </c>
      <c r="AD169" s="20">
        <v>0</v>
      </c>
      <c r="AE169" s="22">
        <v>0</v>
      </c>
      <c r="AF169" s="20">
        <f t="shared" si="39"/>
        <v>0</v>
      </c>
      <c r="AG169" s="20">
        <v>0</v>
      </c>
      <c r="AH169" s="21">
        <v>0</v>
      </c>
      <c r="AI169" s="20">
        <f t="shared" si="40"/>
        <v>0</v>
      </c>
      <c r="AJ169" s="20">
        <v>0</v>
      </c>
      <c r="AK169" s="21">
        <v>0</v>
      </c>
      <c r="AL169" s="20">
        <f t="shared" si="41"/>
        <v>0</v>
      </c>
      <c r="AM169" s="20">
        <v>0</v>
      </c>
      <c r="AN169" s="21">
        <v>0</v>
      </c>
      <c r="AO169" s="20">
        <f t="shared" si="42"/>
        <v>0</v>
      </c>
      <c r="AP169" s="21">
        <v>40</v>
      </c>
      <c r="AQ169" s="20">
        <v>0</v>
      </c>
      <c r="AR169" s="20">
        <f t="shared" si="43"/>
        <v>40</v>
      </c>
      <c r="AS169" s="20">
        <v>0</v>
      </c>
      <c r="AT169" s="21">
        <v>0</v>
      </c>
      <c r="AU169" s="20">
        <f t="shared" si="44"/>
        <v>0</v>
      </c>
      <c r="AV169" s="23">
        <f t="shared" si="45"/>
        <v>40</v>
      </c>
      <c r="AW169" s="22">
        <f t="shared" si="46"/>
        <v>0</v>
      </c>
      <c r="AX169" s="20">
        <f t="shared" si="47"/>
        <v>40</v>
      </c>
      <c r="AY169" s="28" t="s">
        <v>37</v>
      </c>
      <c r="AZ169" s="28" t="s">
        <v>28</v>
      </c>
      <c r="BA169" s="28" t="s">
        <v>352</v>
      </c>
      <c r="BB169" s="29">
        <v>44583</v>
      </c>
    </row>
    <row r="170" spans="1:54">
      <c r="A170" s="28" t="str">
        <f t="shared" si="32"/>
        <v>817871174713</v>
      </c>
      <c r="B170" s="30">
        <v>817871</v>
      </c>
      <c r="C170" s="30" t="s">
        <v>521</v>
      </c>
      <c r="D170" s="28">
        <v>174713</v>
      </c>
      <c r="E170" s="28" t="s">
        <v>355</v>
      </c>
      <c r="F170" s="28" t="s">
        <v>3236</v>
      </c>
      <c r="G170" s="28"/>
      <c r="H170" s="28"/>
      <c r="I170" s="28"/>
      <c r="J170" s="28"/>
      <c r="K170" s="28"/>
      <c r="L170" s="20">
        <v>0</v>
      </c>
      <c r="M170" s="21">
        <v>0</v>
      </c>
      <c r="N170" s="20">
        <f t="shared" si="33"/>
        <v>0</v>
      </c>
      <c r="O170" s="20">
        <v>0</v>
      </c>
      <c r="P170" s="21">
        <v>0</v>
      </c>
      <c r="Q170" s="20">
        <f t="shared" si="34"/>
        <v>0</v>
      </c>
      <c r="R170" s="20">
        <v>0</v>
      </c>
      <c r="S170" s="22">
        <v>0</v>
      </c>
      <c r="T170" s="20">
        <f t="shared" si="35"/>
        <v>0</v>
      </c>
      <c r="U170" s="20">
        <v>0</v>
      </c>
      <c r="V170" s="21">
        <v>0</v>
      </c>
      <c r="W170" s="20">
        <f t="shared" si="36"/>
        <v>0</v>
      </c>
      <c r="X170" s="20">
        <v>0</v>
      </c>
      <c r="Y170" s="22">
        <v>0</v>
      </c>
      <c r="Z170" s="20">
        <f t="shared" si="37"/>
        <v>0</v>
      </c>
      <c r="AA170" s="20">
        <v>0</v>
      </c>
      <c r="AB170" s="22">
        <v>0</v>
      </c>
      <c r="AC170" s="20">
        <f t="shared" si="38"/>
        <v>0</v>
      </c>
      <c r="AD170" s="20">
        <v>0</v>
      </c>
      <c r="AE170" s="22">
        <v>0</v>
      </c>
      <c r="AF170" s="20">
        <f t="shared" si="39"/>
        <v>0</v>
      </c>
      <c r="AG170" s="20">
        <v>0</v>
      </c>
      <c r="AH170" s="21">
        <v>0</v>
      </c>
      <c r="AI170" s="20">
        <f t="shared" si="40"/>
        <v>0</v>
      </c>
      <c r="AJ170" s="20">
        <v>0</v>
      </c>
      <c r="AK170" s="21">
        <v>0</v>
      </c>
      <c r="AL170" s="20">
        <f t="shared" si="41"/>
        <v>0</v>
      </c>
      <c r="AM170" s="20">
        <v>0</v>
      </c>
      <c r="AN170" s="21">
        <v>0</v>
      </c>
      <c r="AO170" s="20">
        <f t="shared" si="42"/>
        <v>0</v>
      </c>
      <c r="AP170" s="21">
        <v>20</v>
      </c>
      <c r="AQ170" s="20">
        <v>0</v>
      </c>
      <c r="AR170" s="20">
        <f t="shared" si="43"/>
        <v>20</v>
      </c>
      <c r="AS170" s="20">
        <v>12</v>
      </c>
      <c r="AT170" s="21">
        <v>0</v>
      </c>
      <c r="AU170" s="20">
        <f t="shared" si="44"/>
        <v>12</v>
      </c>
      <c r="AV170" s="23">
        <f t="shared" si="45"/>
        <v>32</v>
      </c>
      <c r="AW170" s="22">
        <f t="shared" si="46"/>
        <v>0</v>
      </c>
      <c r="AX170" s="20">
        <f t="shared" si="47"/>
        <v>32</v>
      </c>
      <c r="AY170" s="28" t="s">
        <v>37</v>
      </c>
      <c r="AZ170" s="28" t="s">
        <v>28</v>
      </c>
      <c r="BA170" s="28" t="s">
        <v>352</v>
      </c>
      <c r="BB170" s="29">
        <v>44589</v>
      </c>
    </row>
    <row r="171" spans="1:54">
      <c r="A171" s="28" t="str">
        <f t="shared" si="32"/>
        <v>818073208516</v>
      </c>
      <c r="B171" s="30">
        <v>818073</v>
      </c>
      <c r="C171" s="30" t="s">
        <v>207</v>
      </c>
      <c r="D171" s="28">
        <v>208516</v>
      </c>
      <c r="E171" s="28" t="s">
        <v>528</v>
      </c>
      <c r="F171" s="28" t="s">
        <v>3236</v>
      </c>
      <c r="G171" s="28"/>
      <c r="H171" s="28"/>
      <c r="I171" s="28"/>
      <c r="J171" s="28"/>
      <c r="K171" s="28"/>
      <c r="L171" s="20">
        <v>0</v>
      </c>
      <c r="M171" s="21">
        <v>0</v>
      </c>
      <c r="N171" s="20">
        <f t="shared" si="33"/>
        <v>0</v>
      </c>
      <c r="O171" s="20">
        <v>0</v>
      </c>
      <c r="P171" s="21">
        <v>0</v>
      </c>
      <c r="Q171" s="20">
        <f t="shared" si="34"/>
        <v>0</v>
      </c>
      <c r="R171" s="20">
        <v>0</v>
      </c>
      <c r="S171" s="22">
        <v>0</v>
      </c>
      <c r="T171" s="20">
        <f t="shared" si="35"/>
        <v>0</v>
      </c>
      <c r="U171" s="20">
        <v>0</v>
      </c>
      <c r="V171" s="21">
        <v>0</v>
      </c>
      <c r="W171" s="20">
        <f t="shared" si="36"/>
        <v>0</v>
      </c>
      <c r="X171" s="20">
        <v>0</v>
      </c>
      <c r="Y171" s="22">
        <v>0</v>
      </c>
      <c r="Z171" s="20">
        <f t="shared" si="37"/>
        <v>0</v>
      </c>
      <c r="AA171" s="20">
        <v>0</v>
      </c>
      <c r="AB171" s="22">
        <v>0</v>
      </c>
      <c r="AC171" s="20">
        <f t="shared" si="38"/>
        <v>0</v>
      </c>
      <c r="AD171" s="20">
        <v>0</v>
      </c>
      <c r="AE171" s="22">
        <v>0</v>
      </c>
      <c r="AF171" s="20">
        <f t="shared" si="39"/>
        <v>0</v>
      </c>
      <c r="AG171" s="20">
        <v>0</v>
      </c>
      <c r="AH171" s="21">
        <v>0</v>
      </c>
      <c r="AI171" s="20">
        <f t="shared" si="40"/>
        <v>0</v>
      </c>
      <c r="AJ171" s="20">
        <v>0</v>
      </c>
      <c r="AK171" s="21">
        <v>0</v>
      </c>
      <c r="AL171" s="20">
        <f t="shared" si="41"/>
        <v>0</v>
      </c>
      <c r="AM171" s="20">
        <v>0</v>
      </c>
      <c r="AN171" s="21">
        <v>0</v>
      </c>
      <c r="AO171" s="20">
        <f t="shared" si="42"/>
        <v>0</v>
      </c>
      <c r="AP171" s="21">
        <v>50</v>
      </c>
      <c r="AQ171" s="20">
        <v>0</v>
      </c>
      <c r="AR171" s="20">
        <f t="shared" si="43"/>
        <v>50</v>
      </c>
      <c r="AS171" s="20">
        <v>52</v>
      </c>
      <c r="AT171" s="21">
        <v>0</v>
      </c>
      <c r="AU171" s="20">
        <f t="shared" si="44"/>
        <v>52</v>
      </c>
      <c r="AV171" s="23">
        <f t="shared" si="45"/>
        <v>102</v>
      </c>
      <c r="AW171" s="22">
        <f t="shared" si="46"/>
        <v>0</v>
      </c>
      <c r="AX171" s="20">
        <f t="shared" si="47"/>
        <v>102</v>
      </c>
      <c r="AY171" s="28" t="s">
        <v>37</v>
      </c>
      <c r="AZ171" s="28" t="s">
        <v>28</v>
      </c>
      <c r="BA171" s="28" t="s">
        <v>352</v>
      </c>
      <c r="BB171" s="29">
        <v>44610</v>
      </c>
    </row>
    <row r="172" spans="1:54" hidden="1">
      <c r="A172" s="28" t="str">
        <f t="shared" si="32"/>
        <v>804079174756</v>
      </c>
      <c r="B172" s="30">
        <v>804079</v>
      </c>
      <c r="C172" s="30" t="s">
        <v>123</v>
      </c>
      <c r="D172" s="31">
        <v>174756</v>
      </c>
      <c r="E172" s="28" t="s">
        <v>58</v>
      </c>
      <c r="F172" s="28"/>
      <c r="G172" s="28"/>
      <c r="H172" s="28"/>
      <c r="I172" s="28"/>
      <c r="J172" s="28"/>
      <c r="K172" s="28"/>
      <c r="L172" s="20">
        <v>10</v>
      </c>
      <c r="M172" s="21">
        <v>0</v>
      </c>
      <c r="N172" s="20">
        <f t="shared" si="33"/>
        <v>10</v>
      </c>
      <c r="O172" s="20">
        <v>10</v>
      </c>
      <c r="P172" s="21">
        <v>0</v>
      </c>
      <c r="Q172" s="20">
        <f t="shared" si="34"/>
        <v>10</v>
      </c>
      <c r="R172" s="20">
        <v>0</v>
      </c>
      <c r="S172" s="22">
        <v>0</v>
      </c>
      <c r="T172" s="20">
        <f t="shared" si="35"/>
        <v>0</v>
      </c>
      <c r="U172" s="20">
        <v>41</v>
      </c>
      <c r="V172" s="21">
        <v>0</v>
      </c>
      <c r="W172" s="20">
        <f t="shared" si="36"/>
        <v>41</v>
      </c>
      <c r="X172" s="20">
        <v>10</v>
      </c>
      <c r="Y172" s="22">
        <v>0</v>
      </c>
      <c r="Z172" s="20">
        <f t="shared" si="37"/>
        <v>10</v>
      </c>
      <c r="AA172" s="20">
        <v>2</v>
      </c>
      <c r="AB172" s="22">
        <v>0</v>
      </c>
      <c r="AC172" s="20">
        <f t="shared" si="38"/>
        <v>2</v>
      </c>
      <c r="AD172" s="20">
        <v>5</v>
      </c>
      <c r="AE172" s="22">
        <v>0</v>
      </c>
      <c r="AF172" s="20">
        <f t="shared" si="39"/>
        <v>5</v>
      </c>
      <c r="AG172" s="20">
        <v>0</v>
      </c>
      <c r="AH172" s="21">
        <v>0</v>
      </c>
      <c r="AI172" s="20">
        <f t="shared" si="40"/>
        <v>0</v>
      </c>
      <c r="AJ172" s="20">
        <v>7.5</v>
      </c>
      <c r="AK172" s="21">
        <v>0</v>
      </c>
      <c r="AL172" s="20">
        <f t="shared" si="41"/>
        <v>7.5</v>
      </c>
      <c r="AM172" s="20">
        <v>10</v>
      </c>
      <c r="AN172" s="21">
        <v>0</v>
      </c>
      <c r="AO172" s="20">
        <f t="shared" si="42"/>
        <v>10</v>
      </c>
      <c r="AP172" s="21">
        <v>4</v>
      </c>
      <c r="AQ172" s="20">
        <v>0</v>
      </c>
      <c r="AR172" s="20">
        <f t="shared" si="43"/>
        <v>4</v>
      </c>
      <c r="AS172" s="20">
        <v>6</v>
      </c>
      <c r="AT172" s="21">
        <v>0</v>
      </c>
      <c r="AU172" s="20">
        <f t="shared" si="44"/>
        <v>6</v>
      </c>
      <c r="AV172" s="23">
        <f t="shared" si="45"/>
        <v>105.5</v>
      </c>
      <c r="AW172" s="22">
        <f t="shared" si="46"/>
        <v>0</v>
      </c>
      <c r="AX172" s="20">
        <f t="shared" si="47"/>
        <v>105.5</v>
      </c>
      <c r="AY172" s="28" t="s">
        <v>90</v>
      </c>
      <c r="AZ172" s="28" t="s">
        <v>477</v>
      </c>
      <c r="BA172" s="28" t="s">
        <v>352</v>
      </c>
      <c r="BB172" s="29">
        <v>42174</v>
      </c>
    </row>
    <row r="173" spans="1:54" hidden="1">
      <c r="A173" s="28" t="str">
        <f t="shared" si="32"/>
        <v>808980175717</v>
      </c>
      <c r="B173" s="30">
        <v>808980</v>
      </c>
      <c r="C173" s="30" t="s">
        <v>312</v>
      </c>
      <c r="D173" s="31">
        <v>175717</v>
      </c>
      <c r="E173" s="28" t="s">
        <v>167</v>
      </c>
      <c r="F173" s="28"/>
      <c r="G173" s="28"/>
      <c r="H173" s="28"/>
      <c r="I173" s="28"/>
      <c r="J173" s="28"/>
      <c r="K173" s="28"/>
      <c r="L173" s="20">
        <v>10</v>
      </c>
      <c r="M173" s="21">
        <v>0</v>
      </c>
      <c r="N173" s="20">
        <f t="shared" si="33"/>
        <v>10</v>
      </c>
      <c r="O173" s="20">
        <v>7</v>
      </c>
      <c r="P173" s="21">
        <v>0</v>
      </c>
      <c r="Q173" s="20">
        <f t="shared" si="34"/>
        <v>7</v>
      </c>
      <c r="R173" s="20">
        <v>15</v>
      </c>
      <c r="S173" s="22">
        <v>0</v>
      </c>
      <c r="T173" s="20">
        <f t="shared" si="35"/>
        <v>15</v>
      </c>
      <c r="U173" s="20">
        <v>29.5</v>
      </c>
      <c r="V173" s="21">
        <v>4.5</v>
      </c>
      <c r="W173" s="20">
        <f t="shared" si="36"/>
        <v>34</v>
      </c>
      <c r="X173" s="20">
        <v>0</v>
      </c>
      <c r="Y173" s="22">
        <v>0</v>
      </c>
      <c r="Z173" s="20">
        <f t="shared" si="37"/>
        <v>0</v>
      </c>
      <c r="AA173" s="20">
        <v>0</v>
      </c>
      <c r="AB173" s="22">
        <v>0</v>
      </c>
      <c r="AC173" s="20">
        <f t="shared" si="38"/>
        <v>0</v>
      </c>
      <c r="AD173" s="20">
        <v>19</v>
      </c>
      <c r="AE173" s="22">
        <v>0</v>
      </c>
      <c r="AF173" s="20">
        <f t="shared" si="39"/>
        <v>19</v>
      </c>
      <c r="AG173" s="20">
        <v>10</v>
      </c>
      <c r="AH173" s="21">
        <v>0</v>
      </c>
      <c r="AI173" s="20">
        <f t="shared" si="40"/>
        <v>10</v>
      </c>
      <c r="AJ173" s="20">
        <v>52</v>
      </c>
      <c r="AK173" s="21">
        <v>0</v>
      </c>
      <c r="AL173" s="20">
        <f t="shared" si="41"/>
        <v>52</v>
      </c>
      <c r="AM173" s="20">
        <v>40</v>
      </c>
      <c r="AN173" s="21">
        <v>3.75</v>
      </c>
      <c r="AO173" s="20">
        <f t="shared" si="42"/>
        <v>43.75</v>
      </c>
      <c r="AP173" s="21">
        <v>38.9</v>
      </c>
      <c r="AQ173" s="20">
        <v>3.25</v>
      </c>
      <c r="AR173" s="20">
        <f t="shared" si="43"/>
        <v>42.15</v>
      </c>
      <c r="AS173" s="20">
        <v>74.5</v>
      </c>
      <c r="AT173" s="21">
        <v>0</v>
      </c>
      <c r="AU173" s="20">
        <f t="shared" si="44"/>
        <v>74.5</v>
      </c>
      <c r="AV173" s="23">
        <f t="shared" si="45"/>
        <v>295.89999999999998</v>
      </c>
      <c r="AW173" s="22">
        <f t="shared" si="46"/>
        <v>11.5</v>
      </c>
      <c r="AX173" s="20">
        <f t="shared" si="47"/>
        <v>307.39999999999998</v>
      </c>
      <c r="AY173" s="28" t="s">
        <v>90</v>
      </c>
      <c r="AZ173" s="28" t="s">
        <v>477</v>
      </c>
      <c r="BA173" s="28" t="s">
        <v>352</v>
      </c>
      <c r="BB173" s="29">
        <v>43355</v>
      </c>
    </row>
    <row r="174" spans="1:54" hidden="1">
      <c r="A174" s="28" t="str">
        <f t="shared" si="32"/>
        <v>811106178237</v>
      </c>
      <c r="B174" s="30">
        <v>811106</v>
      </c>
      <c r="C174" s="30" t="s">
        <v>203</v>
      </c>
      <c r="D174" s="31">
        <v>178237</v>
      </c>
      <c r="E174" s="28" t="s">
        <v>91</v>
      </c>
      <c r="F174" s="28"/>
      <c r="G174" s="28"/>
      <c r="H174" s="28"/>
      <c r="I174" s="28"/>
      <c r="J174" s="28"/>
      <c r="K174" s="28"/>
      <c r="L174" s="20">
        <v>196</v>
      </c>
      <c r="M174" s="21">
        <v>10</v>
      </c>
      <c r="N174" s="20">
        <f t="shared" si="33"/>
        <v>206</v>
      </c>
      <c r="O174" s="20">
        <v>182.5</v>
      </c>
      <c r="P174" s="21">
        <v>11</v>
      </c>
      <c r="Q174" s="20">
        <f t="shared" si="34"/>
        <v>193.5</v>
      </c>
      <c r="R174" s="20">
        <v>196.25</v>
      </c>
      <c r="S174" s="22">
        <v>11.25</v>
      </c>
      <c r="T174" s="20">
        <f t="shared" si="35"/>
        <v>207.5</v>
      </c>
      <c r="U174" s="20">
        <v>149</v>
      </c>
      <c r="V174" s="21">
        <v>5</v>
      </c>
      <c r="W174" s="20">
        <f t="shared" si="36"/>
        <v>154</v>
      </c>
      <c r="X174" s="20">
        <v>130.5</v>
      </c>
      <c r="Y174" s="22">
        <v>0</v>
      </c>
      <c r="Z174" s="20">
        <f t="shared" si="37"/>
        <v>130.5</v>
      </c>
      <c r="AA174" s="20">
        <v>194</v>
      </c>
      <c r="AB174" s="22">
        <v>7</v>
      </c>
      <c r="AC174" s="20">
        <f t="shared" si="38"/>
        <v>201</v>
      </c>
      <c r="AD174" s="20">
        <v>209.5</v>
      </c>
      <c r="AE174" s="22">
        <v>0</v>
      </c>
      <c r="AF174" s="20">
        <f t="shared" si="39"/>
        <v>209.5</v>
      </c>
      <c r="AG174" s="20">
        <v>143</v>
      </c>
      <c r="AH174" s="21">
        <v>0</v>
      </c>
      <c r="AI174" s="20">
        <f t="shared" si="40"/>
        <v>143</v>
      </c>
      <c r="AJ174" s="20">
        <v>259</v>
      </c>
      <c r="AK174" s="21">
        <v>0</v>
      </c>
      <c r="AL174" s="20">
        <f t="shared" si="41"/>
        <v>259</v>
      </c>
      <c r="AM174" s="20">
        <v>171.25</v>
      </c>
      <c r="AN174" s="21">
        <v>35</v>
      </c>
      <c r="AO174" s="20">
        <f t="shared" si="42"/>
        <v>206.25</v>
      </c>
      <c r="AP174" s="21">
        <v>170.5</v>
      </c>
      <c r="AQ174" s="20">
        <v>5</v>
      </c>
      <c r="AR174" s="20">
        <f t="shared" si="43"/>
        <v>175.5</v>
      </c>
      <c r="AS174" s="20">
        <v>281.45</v>
      </c>
      <c r="AT174" s="21">
        <v>30</v>
      </c>
      <c r="AU174" s="20">
        <f t="shared" si="44"/>
        <v>311.45</v>
      </c>
      <c r="AV174" s="23">
        <f t="shared" si="45"/>
        <v>2282.9499999999998</v>
      </c>
      <c r="AW174" s="22">
        <f t="shared" si="46"/>
        <v>114.25</v>
      </c>
      <c r="AX174" s="20">
        <f t="shared" si="47"/>
        <v>2397.1999999999998</v>
      </c>
      <c r="AY174" s="28" t="s">
        <v>90</v>
      </c>
      <c r="AZ174" s="28" t="s">
        <v>477</v>
      </c>
      <c r="BA174" s="28" t="s">
        <v>352</v>
      </c>
      <c r="BB174" s="29">
        <v>43826</v>
      </c>
    </row>
    <row r="175" spans="1:54" hidden="1">
      <c r="A175" s="28" t="str">
        <f t="shared" si="32"/>
        <v>812076178234</v>
      </c>
      <c r="B175" s="30">
        <v>812076</v>
      </c>
      <c r="C175" s="30" t="s">
        <v>324</v>
      </c>
      <c r="D175" s="31">
        <v>178234</v>
      </c>
      <c r="E175" s="28" t="s">
        <v>237</v>
      </c>
      <c r="F175" s="28"/>
      <c r="G175" s="28"/>
      <c r="H175" s="28"/>
      <c r="I175" s="28"/>
      <c r="J175" s="28"/>
      <c r="K175" s="28"/>
      <c r="L175" s="20">
        <v>15</v>
      </c>
      <c r="M175" s="21">
        <v>0</v>
      </c>
      <c r="N175" s="20">
        <f t="shared" si="33"/>
        <v>15</v>
      </c>
      <c r="O175" s="20">
        <v>15</v>
      </c>
      <c r="P175" s="21">
        <v>0</v>
      </c>
      <c r="Q175" s="20">
        <f t="shared" si="34"/>
        <v>15</v>
      </c>
      <c r="R175" s="20">
        <v>40</v>
      </c>
      <c r="S175" s="22">
        <v>0</v>
      </c>
      <c r="T175" s="20">
        <f t="shared" si="35"/>
        <v>40</v>
      </c>
      <c r="U175" s="20">
        <v>60</v>
      </c>
      <c r="V175" s="21">
        <v>0</v>
      </c>
      <c r="W175" s="20">
        <f t="shared" si="36"/>
        <v>60</v>
      </c>
      <c r="X175" s="20">
        <v>15</v>
      </c>
      <c r="Y175" s="22">
        <v>0</v>
      </c>
      <c r="Z175" s="20">
        <f t="shared" si="37"/>
        <v>15</v>
      </c>
      <c r="AA175" s="20">
        <v>37.5</v>
      </c>
      <c r="AB175" s="22">
        <v>0</v>
      </c>
      <c r="AC175" s="20">
        <f t="shared" si="38"/>
        <v>37.5</v>
      </c>
      <c r="AD175" s="20">
        <v>103</v>
      </c>
      <c r="AE175" s="22">
        <v>38</v>
      </c>
      <c r="AF175" s="20">
        <f t="shared" si="39"/>
        <v>141</v>
      </c>
      <c r="AG175" s="20">
        <v>0</v>
      </c>
      <c r="AH175" s="21">
        <v>0</v>
      </c>
      <c r="AI175" s="20">
        <f t="shared" si="40"/>
        <v>0</v>
      </c>
      <c r="AJ175" s="20">
        <v>41</v>
      </c>
      <c r="AK175" s="21">
        <v>0</v>
      </c>
      <c r="AL175" s="20">
        <f t="shared" si="41"/>
        <v>41</v>
      </c>
      <c r="AM175" s="20">
        <v>34.5</v>
      </c>
      <c r="AN175" s="21">
        <v>0</v>
      </c>
      <c r="AO175" s="20">
        <f t="shared" si="42"/>
        <v>34.5</v>
      </c>
      <c r="AP175" s="21">
        <v>40.200000000000003</v>
      </c>
      <c r="AQ175" s="20">
        <v>10.199999999999999</v>
      </c>
      <c r="AR175" s="20">
        <f t="shared" si="43"/>
        <v>50.400000000000006</v>
      </c>
      <c r="AS175" s="20">
        <v>51</v>
      </c>
      <c r="AT175" s="21">
        <v>0</v>
      </c>
      <c r="AU175" s="20">
        <f t="shared" si="44"/>
        <v>51</v>
      </c>
      <c r="AV175" s="23">
        <f t="shared" si="45"/>
        <v>452.2</v>
      </c>
      <c r="AW175" s="22">
        <f t="shared" si="46"/>
        <v>48.2</v>
      </c>
      <c r="AX175" s="20">
        <f t="shared" si="47"/>
        <v>500.4</v>
      </c>
      <c r="AY175" s="28" t="s">
        <v>90</v>
      </c>
      <c r="AZ175" s="28" t="s">
        <v>477</v>
      </c>
      <c r="BA175" s="28" t="s">
        <v>352</v>
      </c>
      <c r="BB175" s="29">
        <v>44012</v>
      </c>
    </row>
    <row r="176" spans="1:54" hidden="1">
      <c r="A176" s="28" t="str">
        <f t="shared" si="32"/>
        <v>812100178234</v>
      </c>
      <c r="B176" s="30">
        <v>812100</v>
      </c>
      <c r="C176" s="32" t="s">
        <v>307</v>
      </c>
      <c r="D176" s="33">
        <v>178234</v>
      </c>
      <c r="E176" s="32" t="s">
        <v>237</v>
      </c>
      <c r="F176" s="32"/>
      <c r="G176" s="32"/>
      <c r="H176" s="32"/>
      <c r="I176" s="32"/>
      <c r="J176" s="32"/>
      <c r="K176" s="32"/>
      <c r="L176" s="24">
        <v>0</v>
      </c>
      <c r="M176" s="21">
        <v>0</v>
      </c>
      <c r="N176" s="20">
        <f t="shared" si="33"/>
        <v>0</v>
      </c>
      <c r="O176" s="20">
        <v>10</v>
      </c>
      <c r="P176" s="21">
        <v>10</v>
      </c>
      <c r="Q176" s="20">
        <f t="shared" si="34"/>
        <v>20</v>
      </c>
      <c r="R176" s="20">
        <v>0</v>
      </c>
      <c r="S176" s="22">
        <v>0</v>
      </c>
      <c r="T176" s="20">
        <f t="shared" si="35"/>
        <v>0</v>
      </c>
      <c r="U176" s="20">
        <v>10</v>
      </c>
      <c r="V176" s="21">
        <v>10</v>
      </c>
      <c r="W176" s="20">
        <f t="shared" si="36"/>
        <v>20</v>
      </c>
      <c r="X176" s="20">
        <v>0</v>
      </c>
      <c r="Y176" s="22">
        <v>0</v>
      </c>
      <c r="Z176" s="20">
        <f t="shared" si="37"/>
        <v>0</v>
      </c>
      <c r="AA176" s="20">
        <v>0</v>
      </c>
      <c r="AB176" s="22">
        <v>0</v>
      </c>
      <c r="AC176" s="20">
        <f t="shared" si="38"/>
        <v>0</v>
      </c>
      <c r="AD176" s="20">
        <v>0</v>
      </c>
      <c r="AE176" s="22">
        <v>0</v>
      </c>
      <c r="AF176" s="20">
        <f t="shared" si="39"/>
        <v>0</v>
      </c>
      <c r="AG176" s="20">
        <v>0</v>
      </c>
      <c r="AH176" s="21">
        <v>0</v>
      </c>
      <c r="AI176" s="20">
        <f t="shared" si="40"/>
        <v>0</v>
      </c>
      <c r="AJ176" s="20">
        <v>0</v>
      </c>
      <c r="AK176" s="21">
        <v>0</v>
      </c>
      <c r="AL176" s="20">
        <f t="shared" si="41"/>
        <v>0</v>
      </c>
      <c r="AM176" s="20">
        <v>0</v>
      </c>
      <c r="AN176" s="21">
        <v>0</v>
      </c>
      <c r="AO176" s="20">
        <f t="shared" si="42"/>
        <v>0</v>
      </c>
      <c r="AP176" s="21">
        <v>0</v>
      </c>
      <c r="AQ176" s="20">
        <v>0</v>
      </c>
      <c r="AR176" s="20">
        <f t="shared" si="43"/>
        <v>0</v>
      </c>
      <c r="AS176" s="20">
        <v>0</v>
      </c>
      <c r="AT176" s="21">
        <v>0</v>
      </c>
      <c r="AU176" s="20">
        <f t="shared" si="44"/>
        <v>0</v>
      </c>
      <c r="AV176" s="23">
        <f t="shared" si="45"/>
        <v>20</v>
      </c>
      <c r="AW176" s="22">
        <f t="shared" si="46"/>
        <v>20</v>
      </c>
      <c r="AX176" s="20">
        <f t="shared" si="47"/>
        <v>40</v>
      </c>
      <c r="AY176" s="28" t="s">
        <v>90</v>
      </c>
      <c r="AZ176" s="28" t="s">
        <v>477</v>
      </c>
      <c r="BA176" s="28" t="s">
        <v>352</v>
      </c>
      <c r="BB176" s="29">
        <v>44015</v>
      </c>
    </row>
    <row r="177" spans="1:54" hidden="1">
      <c r="A177" s="28" t="str">
        <f t="shared" si="32"/>
        <v>812100203236</v>
      </c>
      <c r="B177" s="30">
        <v>812100</v>
      </c>
      <c r="C177" s="32" t="s">
        <v>307</v>
      </c>
      <c r="D177" s="33">
        <v>203236</v>
      </c>
      <c r="E177" s="32" t="s">
        <v>201</v>
      </c>
      <c r="F177" s="32"/>
      <c r="G177" s="32"/>
      <c r="H177" s="32"/>
      <c r="I177" s="32"/>
      <c r="J177" s="32"/>
      <c r="K177" s="32"/>
      <c r="L177" s="24">
        <v>37.5</v>
      </c>
      <c r="M177" s="21">
        <v>0</v>
      </c>
      <c r="N177" s="20">
        <f t="shared" si="33"/>
        <v>37.5</v>
      </c>
      <c r="O177" s="20">
        <v>54</v>
      </c>
      <c r="P177" s="21">
        <v>0</v>
      </c>
      <c r="Q177" s="20">
        <f t="shared" si="34"/>
        <v>54</v>
      </c>
      <c r="R177" s="20">
        <v>60</v>
      </c>
      <c r="S177" s="22">
        <v>0</v>
      </c>
      <c r="T177" s="20">
        <f t="shared" si="35"/>
        <v>60</v>
      </c>
      <c r="U177" s="20">
        <v>0</v>
      </c>
      <c r="V177" s="21">
        <v>0</v>
      </c>
      <c r="W177" s="20">
        <f t="shared" si="36"/>
        <v>0</v>
      </c>
      <c r="X177" s="20">
        <v>30</v>
      </c>
      <c r="Y177" s="22">
        <v>0</v>
      </c>
      <c r="Z177" s="20">
        <f t="shared" si="37"/>
        <v>30</v>
      </c>
      <c r="AA177" s="20">
        <v>15</v>
      </c>
      <c r="AB177" s="22">
        <v>0</v>
      </c>
      <c r="AC177" s="20">
        <f t="shared" si="38"/>
        <v>15</v>
      </c>
      <c r="AD177" s="20">
        <v>37</v>
      </c>
      <c r="AE177" s="22">
        <v>0</v>
      </c>
      <c r="AF177" s="20">
        <f t="shared" si="39"/>
        <v>37</v>
      </c>
      <c r="AG177" s="20">
        <v>0</v>
      </c>
      <c r="AH177" s="21">
        <v>0</v>
      </c>
      <c r="AI177" s="20">
        <f t="shared" si="40"/>
        <v>0</v>
      </c>
      <c r="AJ177" s="20">
        <v>0</v>
      </c>
      <c r="AK177" s="21">
        <v>0</v>
      </c>
      <c r="AL177" s="20">
        <f t="shared" si="41"/>
        <v>0</v>
      </c>
      <c r="AM177" s="20">
        <v>0</v>
      </c>
      <c r="AN177" s="21">
        <v>0</v>
      </c>
      <c r="AO177" s="20">
        <f t="shared" si="42"/>
        <v>0</v>
      </c>
      <c r="AP177" s="21">
        <v>0</v>
      </c>
      <c r="AQ177" s="20">
        <v>0</v>
      </c>
      <c r="AR177" s="20">
        <f t="shared" si="43"/>
        <v>0</v>
      </c>
      <c r="AS177" s="20">
        <v>0</v>
      </c>
      <c r="AT177" s="21">
        <v>0</v>
      </c>
      <c r="AU177" s="20">
        <f t="shared" si="44"/>
        <v>0</v>
      </c>
      <c r="AV177" s="23">
        <f t="shared" si="45"/>
        <v>233.5</v>
      </c>
      <c r="AW177" s="22">
        <f t="shared" si="46"/>
        <v>0</v>
      </c>
      <c r="AX177" s="20">
        <f t="shared" si="47"/>
        <v>233.5</v>
      </c>
      <c r="AY177" s="28" t="s">
        <v>90</v>
      </c>
      <c r="AZ177" s="28" t="s">
        <v>477</v>
      </c>
      <c r="BA177" s="28" t="s">
        <v>352</v>
      </c>
      <c r="BB177" s="29">
        <v>44015</v>
      </c>
    </row>
    <row r="178" spans="1:54" hidden="1">
      <c r="A178" s="28" t="str">
        <f t="shared" si="32"/>
        <v>812384178237</v>
      </c>
      <c r="B178" s="30">
        <v>812384</v>
      </c>
      <c r="C178" s="30" t="s">
        <v>104</v>
      </c>
      <c r="D178" s="28">
        <v>178237</v>
      </c>
      <c r="E178" s="28" t="s">
        <v>91</v>
      </c>
      <c r="F178" s="28"/>
      <c r="G178" s="28"/>
      <c r="H178" s="28"/>
      <c r="I178" s="28"/>
      <c r="J178" s="28"/>
      <c r="K178" s="28"/>
      <c r="L178" s="20">
        <v>0</v>
      </c>
      <c r="M178" s="21">
        <v>0</v>
      </c>
      <c r="N178" s="20">
        <f t="shared" si="33"/>
        <v>0</v>
      </c>
      <c r="O178" s="20">
        <v>0</v>
      </c>
      <c r="P178" s="21">
        <v>0</v>
      </c>
      <c r="Q178" s="20">
        <f t="shared" si="34"/>
        <v>0</v>
      </c>
      <c r="R178" s="20">
        <v>0</v>
      </c>
      <c r="S178" s="22">
        <v>0</v>
      </c>
      <c r="T178" s="20">
        <f t="shared" si="35"/>
        <v>0</v>
      </c>
      <c r="U178" s="20">
        <v>0</v>
      </c>
      <c r="V178" s="21">
        <v>0</v>
      </c>
      <c r="W178" s="20">
        <f t="shared" si="36"/>
        <v>0</v>
      </c>
      <c r="X178" s="20">
        <v>0</v>
      </c>
      <c r="Y178" s="22">
        <v>0</v>
      </c>
      <c r="Z178" s="20">
        <f t="shared" si="37"/>
        <v>0</v>
      </c>
      <c r="AA178" s="20">
        <v>0</v>
      </c>
      <c r="AB178" s="22">
        <v>0</v>
      </c>
      <c r="AC178" s="20">
        <f t="shared" si="38"/>
        <v>0</v>
      </c>
      <c r="AD178" s="20">
        <v>0</v>
      </c>
      <c r="AE178" s="22">
        <v>0</v>
      </c>
      <c r="AF178" s="20">
        <f t="shared" si="39"/>
        <v>0</v>
      </c>
      <c r="AG178" s="20">
        <v>0</v>
      </c>
      <c r="AH178" s="21">
        <v>0</v>
      </c>
      <c r="AI178" s="20">
        <f t="shared" si="40"/>
        <v>0</v>
      </c>
      <c r="AJ178" s="20">
        <v>0</v>
      </c>
      <c r="AK178" s="21">
        <v>0</v>
      </c>
      <c r="AL178" s="20">
        <f t="shared" si="41"/>
        <v>0</v>
      </c>
      <c r="AM178" s="20">
        <v>0</v>
      </c>
      <c r="AN178" s="21">
        <v>0</v>
      </c>
      <c r="AO178" s="20">
        <f t="shared" si="42"/>
        <v>0</v>
      </c>
      <c r="AP178" s="21">
        <v>0</v>
      </c>
      <c r="AQ178" s="20">
        <v>0</v>
      </c>
      <c r="AR178" s="20">
        <f t="shared" si="43"/>
        <v>0</v>
      </c>
      <c r="AS178" s="20">
        <v>31.5</v>
      </c>
      <c r="AT178" s="21">
        <v>0</v>
      </c>
      <c r="AU178" s="20">
        <f t="shared" si="44"/>
        <v>31.5</v>
      </c>
      <c r="AV178" s="23">
        <f t="shared" si="45"/>
        <v>31.5</v>
      </c>
      <c r="AW178" s="22">
        <f t="shared" si="46"/>
        <v>0</v>
      </c>
      <c r="AX178" s="20">
        <f t="shared" si="47"/>
        <v>31.5</v>
      </c>
      <c r="AY178" s="28" t="s">
        <v>90</v>
      </c>
      <c r="AZ178" s="28" t="s">
        <v>477</v>
      </c>
      <c r="BA178" s="28" t="s">
        <v>352</v>
      </c>
      <c r="BB178" s="29">
        <v>44040</v>
      </c>
    </row>
    <row r="179" spans="1:54" hidden="1">
      <c r="A179" s="28" t="str">
        <f t="shared" si="32"/>
        <v>812384178298</v>
      </c>
      <c r="B179" s="30">
        <v>812384</v>
      </c>
      <c r="C179" s="30" t="s">
        <v>104</v>
      </c>
      <c r="D179" s="31">
        <v>178298</v>
      </c>
      <c r="E179" s="28" t="s">
        <v>33</v>
      </c>
      <c r="F179" s="28"/>
      <c r="G179" s="28"/>
      <c r="H179" s="28"/>
      <c r="I179" s="28"/>
      <c r="J179" s="28"/>
      <c r="K179" s="28"/>
      <c r="L179" s="20">
        <v>206</v>
      </c>
      <c r="M179" s="21">
        <v>10</v>
      </c>
      <c r="N179" s="20">
        <f t="shared" si="33"/>
        <v>216</v>
      </c>
      <c r="O179" s="20">
        <v>238.5</v>
      </c>
      <c r="P179" s="21">
        <v>0</v>
      </c>
      <c r="Q179" s="20">
        <f t="shared" si="34"/>
        <v>238.5</v>
      </c>
      <c r="R179" s="20">
        <v>201.5</v>
      </c>
      <c r="S179" s="22">
        <v>0</v>
      </c>
      <c r="T179" s="20">
        <f t="shared" si="35"/>
        <v>201.5</v>
      </c>
      <c r="U179" s="20">
        <v>235</v>
      </c>
      <c r="V179" s="21">
        <v>0</v>
      </c>
      <c r="W179" s="20">
        <f t="shared" si="36"/>
        <v>235</v>
      </c>
      <c r="X179" s="20">
        <v>147</v>
      </c>
      <c r="Y179" s="22">
        <v>0</v>
      </c>
      <c r="Z179" s="20">
        <f t="shared" si="37"/>
        <v>147</v>
      </c>
      <c r="AA179" s="20">
        <v>247.25</v>
      </c>
      <c r="AB179" s="22">
        <v>12.25</v>
      </c>
      <c r="AC179" s="20">
        <f t="shared" si="38"/>
        <v>259.5</v>
      </c>
      <c r="AD179" s="20">
        <v>190</v>
      </c>
      <c r="AE179" s="22">
        <v>0</v>
      </c>
      <c r="AF179" s="20">
        <f t="shared" si="39"/>
        <v>190</v>
      </c>
      <c r="AG179" s="20">
        <v>184</v>
      </c>
      <c r="AH179" s="21">
        <v>0</v>
      </c>
      <c r="AI179" s="20">
        <f t="shared" si="40"/>
        <v>184</v>
      </c>
      <c r="AJ179" s="20">
        <v>204.5</v>
      </c>
      <c r="AK179" s="21">
        <v>0</v>
      </c>
      <c r="AL179" s="20">
        <f t="shared" si="41"/>
        <v>204.5</v>
      </c>
      <c r="AM179" s="20">
        <v>224</v>
      </c>
      <c r="AN179" s="21">
        <v>10</v>
      </c>
      <c r="AO179" s="20">
        <f t="shared" si="42"/>
        <v>234</v>
      </c>
      <c r="AP179" s="21">
        <v>120</v>
      </c>
      <c r="AQ179" s="20">
        <v>0</v>
      </c>
      <c r="AR179" s="20">
        <f t="shared" si="43"/>
        <v>120</v>
      </c>
      <c r="AS179" s="20">
        <v>225</v>
      </c>
      <c r="AT179" s="21">
        <v>0</v>
      </c>
      <c r="AU179" s="20">
        <f t="shared" si="44"/>
        <v>225</v>
      </c>
      <c r="AV179" s="23">
        <f t="shared" si="45"/>
        <v>2422.75</v>
      </c>
      <c r="AW179" s="22">
        <f t="shared" si="46"/>
        <v>32.25</v>
      </c>
      <c r="AX179" s="20">
        <f t="shared" si="47"/>
        <v>2455</v>
      </c>
      <c r="AY179" s="28" t="s">
        <v>90</v>
      </c>
      <c r="AZ179" s="28" t="s">
        <v>477</v>
      </c>
      <c r="BA179" s="28" t="s">
        <v>352</v>
      </c>
      <c r="BB179" s="29">
        <v>44040</v>
      </c>
    </row>
    <row r="180" spans="1:54" hidden="1">
      <c r="A180" s="28" t="str">
        <f t="shared" si="32"/>
        <v>812392178237</v>
      </c>
      <c r="B180" s="30">
        <v>812392</v>
      </c>
      <c r="C180" s="30" t="s">
        <v>238</v>
      </c>
      <c r="D180" s="31">
        <v>178237</v>
      </c>
      <c r="E180" s="28" t="s">
        <v>91</v>
      </c>
      <c r="F180" s="28"/>
      <c r="G180" s="28"/>
      <c r="H180" s="28"/>
      <c r="I180" s="28"/>
      <c r="J180" s="28"/>
      <c r="K180" s="28"/>
      <c r="L180" s="20">
        <v>12</v>
      </c>
      <c r="M180" s="21">
        <v>0</v>
      </c>
      <c r="N180" s="20">
        <f t="shared" si="33"/>
        <v>12</v>
      </c>
      <c r="O180" s="20">
        <v>15</v>
      </c>
      <c r="P180" s="21">
        <v>0</v>
      </c>
      <c r="Q180" s="20">
        <f t="shared" si="34"/>
        <v>15</v>
      </c>
      <c r="R180" s="20">
        <v>29</v>
      </c>
      <c r="S180" s="22">
        <v>0</v>
      </c>
      <c r="T180" s="20">
        <f t="shared" si="35"/>
        <v>29</v>
      </c>
      <c r="U180" s="20">
        <v>35</v>
      </c>
      <c r="V180" s="21">
        <v>0</v>
      </c>
      <c r="W180" s="20">
        <f t="shared" si="36"/>
        <v>35</v>
      </c>
      <c r="X180" s="20">
        <v>20</v>
      </c>
      <c r="Y180" s="22">
        <v>0</v>
      </c>
      <c r="Z180" s="20">
        <f t="shared" si="37"/>
        <v>20</v>
      </c>
      <c r="AA180" s="20">
        <v>34</v>
      </c>
      <c r="AB180" s="22">
        <v>10</v>
      </c>
      <c r="AC180" s="20">
        <f t="shared" si="38"/>
        <v>44</v>
      </c>
      <c r="AD180" s="20">
        <v>0</v>
      </c>
      <c r="AE180" s="22">
        <v>0</v>
      </c>
      <c r="AF180" s="20">
        <f t="shared" si="39"/>
        <v>0</v>
      </c>
      <c r="AG180" s="20">
        <v>10</v>
      </c>
      <c r="AH180" s="21">
        <v>0</v>
      </c>
      <c r="AI180" s="20">
        <f t="shared" si="40"/>
        <v>10</v>
      </c>
      <c r="AJ180" s="20">
        <v>42</v>
      </c>
      <c r="AK180" s="21">
        <v>0</v>
      </c>
      <c r="AL180" s="20">
        <f t="shared" si="41"/>
        <v>42</v>
      </c>
      <c r="AM180" s="20">
        <v>0</v>
      </c>
      <c r="AN180" s="21">
        <v>0</v>
      </c>
      <c r="AO180" s="20">
        <f t="shared" si="42"/>
        <v>0</v>
      </c>
      <c r="AP180" s="21">
        <v>12.5</v>
      </c>
      <c r="AQ180" s="20">
        <v>0</v>
      </c>
      <c r="AR180" s="20">
        <f t="shared" si="43"/>
        <v>12.5</v>
      </c>
      <c r="AS180" s="20">
        <v>73</v>
      </c>
      <c r="AT180" s="21">
        <v>0</v>
      </c>
      <c r="AU180" s="20">
        <f t="shared" si="44"/>
        <v>73</v>
      </c>
      <c r="AV180" s="23">
        <f t="shared" si="45"/>
        <v>282.5</v>
      </c>
      <c r="AW180" s="22">
        <f t="shared" si="46"/>
        <v>10</v>
      </c>
      <c r="AX180" s="20">
        <f t="shared" si="47"/>
        <v>292.5</v>
      </c>
      <c r="AY180" s="28" t="s">
        <v>90</v>
      </c>
      <c r="AZ180" s="28" t="s">
        <v>477</v>
      </c>
      <c r="BA180" s="28" t="s">
        <v>352</v>
      </c>
      <c r="BB180" s="29">
        <v>44041</v>
      </c>
    </row>
    <row r="181" spans="1:54" hidden="1">
      <c r="A181" s="28" t="str">
        <f t="shared" si="32"/>
        <v>812407178237</v>
      </c>
      <c r="B181" s="30">
        <v>812407</v>
      </c>
      <c r="C181" s="30" t="s">
        <v>367</v>
      </c>
      <c r="D181" s="31">
        <v>178237</v>
      </c>
      <c r="E181" s="28" t="s">
        <v>91</v>
      </c>
      <c r="F181" s="28"/>
      <c r="G181" s="28"/>
      <c r="H181" s="28"/>
      <c r="I181" s="28"/>
      <c r="J181" s="28"/>
      <c r="K181" s="28"/>
      <c r="L181" s="20">
        <v>0</v>
      </c>
      <c r="M181" s="21">
        <v>0</v>
      </c>
      <c r="N181" s="20">
        <f t="shared" si="33"/>
        <v>0</v>
      </c>
      <c r="O181" s="20">
        <v>0</v>
      </c>
      <c r="P181" s="21">
        <v>0</v>
      </c>
      <c r="Q181" s="20">
        <f t="shared" si="34"/>
        <v>0</v>
      </c>
      <c r="R181" s="20">
        <v>10</v>
      </c>
      <c r="S181" s="22">
        <v>0</v>
      </c>
      <c r="T181" s="20">
        <f t="shared" si="35"/>
        <v>10</v>
      </c>
      <c r="U181" s="20">
        <v>0</v>
      </c>
      <c r="V181" s="21">
        <v>0</v>
      </c>
      <c r="W181" s="20">
        <f t="shared" si="36"/>
        <v>0</v>
      </c>
      <c r="X181" s="20">
        <v>0</v>
      </c>
      <c r="Y181" s="22">
        <v>0</v>
      </c>
      <c r="Z181" s="20">
        <f t="shared" si="37"/>
        <v>0</v>
      </c>
      <c r="AA181" s="20">
        <v>0</v>
      </c>
      <c r="AB181" s="22">
        <v>0</v>
      </c>
      <c r="AC181" s="20">
        <f t="shared" si="38"/>
        <v>0</v>
      </c>
      <c r="AD181" s="20">
        <v>0</v>
      </c>
      <c r="AE181" s="22">
        <v>0</v>
      </c>
      <c r="AF181" s="20">
        <f t="shared" si="39"/>
        <v>0</v>
      </c>
      <c r="AG181" s="20">
        <v>0</v>
      </c>
      <c r="AH181" s="21">
        <v>0</v>
      </c>
      <c r="AI181" s="20">
        <f t="shared" si="40"/>
        <v>0</v>
      </c>
      <c r="AJ181" s="20">
        <v>0</v>
      </c>
      <c r="AK181" s="21">
        <v>0</v>
      </c>
      <c r="AL181" s="20">
        <f t="shared" si="41"/>
        <v>0</v>
      </c>
      <c r="AM181" s="20">
        <v>0</v>
      </c>
      <c r="AN181" s="21">
        <v>0</v>
      </c>
      <c r="AO181" s="20">
        <f t="shared" si="42"/>
        <v>0</v>
      </c>
      <c r="AP181" s="21">
        <v>0</v>
      </c>
      <c r="AQ181" s="20">
        <v>0</v>
      </c>
      <c r="AR181" s="20">
        <f t="shared" si="43"/>
        <v>0</v>
      </c>
      <c r="AS181" s="20">
        <v>0</v>
      </c>
      <c r="AT181" s="21">
        <v>0</v>
      </c>
      <c r="AU181" s="20">
        <f t="shared" si="44"/>
        <v>0</v>
      </c>
      <c r="AV181" s="23">
        <f t="shared" si="45"/>
        <v>10</v>
      </c>
      <c r="AW181" s="22">
        <f t="shared" si="46"/>
        <v>0</v>
      </c>
      <c r="AX181" s="20">
        <f t="shared" si="47"/>
        <v>10</v>
      </c>
      <c r="AY181" s="28" t="s">
        <v>90</v>
      </c>
      <c r="AZ181" s="28" t="s">
        <v>477</v>
      </c>
      <c r="BA181" s="28" t="s">
        <v>352</v>
      </c>
      <c r="BB181" s="29">
        <v>44042</v>
      </c>
    </row>
    <row r="182" spans="1:54" hidden="1">
      <c r="A182" s="28" t="str">
        <f t="shared" si="32"/>
        <v>812474178234</v>
      </c>
      <c r="B182" s="30">
        <v>812474</v>
      </c>
      <c r="C182" s="30" t="s">
        <v>306</v>
      </c>
      <c r="D182" s="31">
        <v>178234</v>
      </c>
      <c r="E182" s="28" t="s">
        <v>237</v>
      </c>
      <c r="F182" s="28"/>
      <c r="G182" s="28"/>
      <c r="H182" s="28"/>
      <c r="I182" s="28"/>
      <c r="J182" s="28"/>
      <c r="K182" s="28"/>
      <c r="L182" s="20">
        <v>35</v>
      </c>
      <c r="M182" s="21">
        <v>0</v>
      </c>
      <c r="N182" s="20">
        <f t="shared" si="33"/>
        <v>35</v>
      </c>
      <c r="O182" s="20">
        <v>30</v>
      </c>
      <c r="P182" s="21">
        <v>0</v>
      </c>
      <c r="Q182" s="20">
        <f t="shared" si="34"/>
        <v>30</v>
      </c>
      <c r="R182" s="20">
        <v>93</v>
      </c>
      <c r="S182" s="22">
        <v>0</v>
      </c>
      <c r="T182" s="20">
        <f t="shared" si="35"/>
        <v>93</v>
      </c>
      <c r="U182" s="20">
        <v>100.5</v>
      </c>
      <c r="V182" s="21">
        <v>10</v>
      </c>
      <c r="W182" s="20">
        <f t="shared" si="36"/>
        <v>110.5</v>
      </c>
      <c r="X182" s="20">
        <v>65</v>
      </c>
      <c r="Y182" s="22">
        <v>10</v>
      </c>
      <c r="Z182" s="20">
        <f t="shared" si="37"/>
        <v>75</v>
      </c>
      <c r="AA182" s="20">
        <v>48.5</v>
      </c>
      <c r="AB182" s="22">
        <v>0</v>
      </c>
      <c r="AC182" s="20">
        <f t="shared" si="38"/>
        <v>48.5</v>
      </c>
      <c r="AD182" s="20">
        <v>54</v>
      </c>
      <c r="AE182" s="22">
        <v>10</v>
      </c>
      <c r="AF182" s="20">
        <f t="shared" si="39"/>
        <v>64</v>
      </c>
      <c r="AG182" s="20">
        <v>31</v>
      </c>
      <c r="AH182" s="21">
        <v>0</v>
      </c>
      <c r="AI182" s="20">
        <f t="shared" si="40"/>
        <v>31</v>
      </c>
      <c r="AJ182" s="20">
        <v>0</v>
      </c>
      <c r="AK182" s="21">
        <v>0</v>
      </c>
      <c r="AL182" s="20">
        <f t="shared" si="41"/>
        <v>0</v>
      </c>
      <c r="AM182" s="20">
        <v>0</v>
      </c>
      <c r="AN182" s="21">
        <v>0</v>
      </c>
      <c r="AO182" s="20">
        <f t="shared" si="42"/>
        <v>0</v>
      </c>
      <c r="AP182" s="21">
        <v>16</v>
      </c>
      <c r="AQ182" s="20">
        <v>0</v>
      </c>
      <c r="AR182" s="20">
        <f t="shared" si="43"/>
        <v>16</v>
      </c>
      <c r="AS182" s="20">
        <v>13</v>
      </c>
      <c r="AT182" s="21">
        <v>2.5</v>
      </c>
      <c r="AU182" s="20">
        <f t="shared" si="44"/>
        <v>15.5</v>
      </c>
      <c r="AV182" s="23">
        <f t="shared" si="45"/>
        <v>486</v>
      </c>
      <c r="AW182" s="22">
        <f t="shared" si="46"/>
        <v>32.5</v>
      </c>
      <c r="AX182" s="20">
        <f t="shared" si="47"/>
        <v>518.5</v>
      </c>
      <c r="AY182" s="28" t="s">
        <v>90</v>
      </c>
      <c r="AZ182" s="28" t="s">
        <v>477</v>
      </c>
      <c r="BA182" s="28" t="s">
        <v>352</v>
      </c>
      <c r="BB182" s="29">
        <v>44053</v>
      </c>
    </row>
    <row r="183" spans="1:54" hidden="1">
      <c r="A183" s="28" t="str">
        <f t="shared" si="32"/>
        <v>812751178237</v>
      </c>
      <c r="B183" s="30">
        <v>812751</v>
      </c>
      <c r="C183" s="30" t="s">
        <v>226</v>
      </c>
      <c r="D183" s="31">
        <v>178237</v>
      </c>
      <c r="E183" s="28" t="s">
        <v>91</v>
      </c>
      <c r="F183" s="28"/>
      <c r="G183" s="28"/>
      <c r="H183" s="28"/>
      <c r="I183" s="28"/>
      <c r="J183" s="28"/>
      <c r="K183" s="28"/>
      <c r="L183" s="20">
        <v>18.25</v>
      </c>
      <c r="M183" s="21">
        <v>0</v>
      </c>
      <c r="N183" s="20">
        <f t="shared" si="33"/>
        <v>18.25</v>
      </c>
      <c r="O183" s="20">
        <v>26</v>
      </c>
      <c r="P183" s="21">
        <v>0</v>
      </c>
      <c r="Q183" s="20">
        <f t="shared" si="34"/>
        <v>26</v>
      </c>
      <c r="R183" s="20">
        <v>0</v>
      </c>
      <c r="S183" s="22">
        <v>0</v>
      </c>
      <c r="T183" s="20">
        <f t="shared" si="35"/>
        <v>0</v>
      </c>
      <c r="U183" s="20">
        <v>0</v>
      </c>
      <c r="V183" s="21">
        <v>0</v>
      </c>
      <c r="W183" s="20">
        <f t="shared" si="36"/>
        <v>0</v>
      </c>
      <c r="X183" s="20">
        <v>0</v>
      </c>
      <c r="Y183" s="22">
        <v>0</v>
      </c>
      <c r="Z183" s="20">
        <f t="shared" si="37"/>
        <v>0</v>
      </c>
      <c r="AA183" s="20">
        <v>0</v>
      </c>
      <c r="AB183" s="22">
        <v>0</v>
      </c>
      <c r="AC183" s="20">
        <f t="shared" si="38"/>
        <v>0</v>
      </c>
      <c r="AD183" s="20">
        <v>39</v>
      </c>
      <c r="AE183" s="22">
        <v>0</v>
      </c>
      <c r="AF183" s="20">
        <f t="shared" si="39"/>
        <v>39</v>
      </c>
      <c r="AG183" s="20">
        <v>20</v>
      </c>
      <c r="AH183" s="21">
        <v>0</v>
      </c>
      <c r="AI183" s="20">
        <f t="shared" si="40"/>
        <v>20</v>
      </c>
      <c r="AJ183" s="20">
        <v>40.5</v>
      </c>
      <c r="AK183" s="21">
        <v>0</v>
      </c>
      <c r="AL183" s="20">
        <f t="shared" si="41"/>
        <v>40.5</v>
      </c>
      <c r="AM183" s="20">
        <v>25.5</v>
      </c>
      <c r="AN183" s="21">
        <v>0</v>
      </c>
      <c r="AO183" s="20">
        <f t="shared" si="42"/>
        <v>25.5</v>
      </c>
      <c r="AP183" s="21">
        <v>30</v>
      </c>
      <c r="AQ183" s="20">
        <v>0</v>
      </c>
      <c r="AR183" s="20">
        <f t="shared" si="43"/>
        <v>30</v>
      </c>
      <c r="AS183" s="20">
        <v>101</v>
      </c>
      <c r="AT183" s="21">
        <v>0</v>
      </c>
      <c r="AU183" s="20">
        <f t="shared" si="44"/>
        <v>101</v>
      </c>
      <c r="AV183" s="23">
        <f t="shared" si="45"/>
        <v>300.25</v>
      </c>
      <c r="AW183" s="22">
        <f t="shared" si="46"/>
        <v>0</v>
      </c>
      <c r="AX183" s="20">
        <f t="shared" si="47"/>
        <v>300.25</v>
      </c>
      <c r="AY183" s="28" t="s">
        <v>90</v>
      </c>
      <c r="AZ183" s="28" t="s">
        <v>477</v>
      </c>
      <c r="BA183" s="28" t="s">
        <v>352</v>
      </c>
      <c r="BB183" s="29">
        <v>44076</v>
      </c>
    </row>
    <row r="184" spans="1:54" hidden="1">
      <c r="A184" s="28" t="str">
        <f t="shared" si="32"/>
        <v>812810203236</v>
      </c>
      <c r="B184" s="30">
        <v>812810</v>
      </c>
      <c r="C184" s="30" t="s">
        <v>543</v>
      </c>
      <c r="D184" s="28">
        <v>203236</v>
      </c>
      <c r="E184" s="28" t="s">
        <v>201</v>
      </c>
      <c r="F184" s="28"/>
      <c r="G184" s="28"/>
      <c r="H184" s="28"/>
      <c r="I184" s="28"/>
      <c r="J184" s="28"/>
      <c r="K184" s="28"/>
      <c r="L184" s="20">
        <v>0</v>
      </c>
      <c r="M184" s="21">
        <v>0</v>
      </c>
      <c r="N184" s="20">
        <f t="shared" si="33"/>
        <v>0</v>
      </c>
      <c r="O184" s="20">
        <v>0</v>
      </c>
      <c r="P184" s="21">
        <v>0</v>
      </c>
      <c r="Q184" s="20">
        <f t="shared" si="34"/>
        <v>0</v>
      </c>
      <c r="R184" s="20">
        <v>0</v>
      </c>
      <c r="S184" s="22">
        <v>0</v>
      </c>
      <c r="T184" s="20">
        <f t="shared" si="35"/>
        <v>0</v>
      </c>
      <c r="U184" s="20">
        <v>0</v>
      </c>
      <c r="V184" s="21">
        <v>0</v>
      </c>
      <c r="W184" s="20">
        <f t="shared" si="36"/>
        <v>0</v>
      </c>
      <c r="X184" s="20">
        <v>0</v>
      </c>
      <c r="Y184" s="22">
        <v>0</v>
      </c>
      <c r="Z184" s="20">
        <f t="shared" si="37"/>
        <v>0</v>
      </c>
      <c r="AA184" s="20">
        <v>0</v>
      </c>
      <c r="AB184" s="22">
        <v>0</v>
      </c>
      <c r="AC184" s="20">
        <f t="shared" si="38"/>
        <v>0</v>
      </c>
      <c r="AD184" s="20">
        <v>0</v>
      </c>
      <c r="AE184" s="22">
        <v>0</v>
      </c>
      <c r="AF184" s="20">
        <f t="shared" si="39"/>
        <v>0</v>
      </c>
      <c r="AG184" s="20">
        <v>0</v>
      </c>
      <c r="AH184" s="21">
        <v>0</v>
      </c>
      <c r="AI184" s="20">
        <f t="shared" si="40"/>
        <v>0</v>
      </c>
      <c r="AJ184" s="20">
        <v>0</v>
      </c>
      <c r="AK184" s="21">
        <v>0</v>
      </c>
      <c r="AL184" s="20">
        <f t="shared" si="41"/>
        <v>0</v>
      </c>
      <c r="AM184" s="20">
        <v>0</v>
      </c>
      <c r="AN184" s="21">
        <v>0</v>
      </c>
      <c r="AO184" s="20">
        <f t="shared" si="42"/>
        <v>0</v>
      </c>
      <c r="AP184" s="21">
        <v>0</v>
      </c>
      <c r="AQ184" s="20">
        <v>0</v>
      </c>
      <c r="AR184" s="20">
        <f t="shared" si="43"/>
        <v>0</v>
      </c>
      <c r="AS184" s="20">
        <v>51</v>
      </c>
      <c r="AT184" s="21">
        <v>0</v>
      </c>
      <c r="AU184" s="20">
        <f t="shared" si="44"/>
        <v>51</v>
      </c>
      <c r="AV184" s="23">
        <f t="shared" si="45"/>
        <v>51</v>
      </c>
      <c r="AW184" s="22">
        <f t="shared" si="46"/>
        <v>0</v>
      </c>
      <c r="AX184" s="20">
        <f t="shared" si="47"/>
        <v>51</v>
      </c>
      <c r="AY184" s="28" t="s">
        <v>90</v>
      </c>
      <c r="AZ184" s="28" t="s">
        <v>477</v>
      </c>
      <c r="BA184" s="28" t="s">
        <v>352</v>
      </c>
      <c r="BB184" s="29">
        <v>44081</v>
      </c>
    </row>
    <row r="185" spans="1:54" hidden="1">
      <c r="A185" s="28" t="str">
        <f t="shared" si="32"/>
        <v>812811178237</v>
      </c>
      <c r="B185" s="30">
        <v>812811</v>
      </c>
      <c r="C185" s="30" t="s">
        <v>384</v>
      </c>
      <c r="D185" s="28">
        <v>178237</v>
      </c>
      <c r="E185" s="28" t="s">
        <v>91</v>
      </c>
      <c r="F185" s="28"/>
      <c r="G185" s="28"/>
      <c r="H185" s="28"/>
      <c r="I185" s="28"/>
      <c r="J185" s="28"/>
      <c r="K185" s="28"/>
      <c r="L185" s="20">
        <v>0</v>
      </c>
      <c r="M185" s="21">
        <v>0</v>
      </c>
      <c r="N185" s="20">
        <f t="shared" si="33"/>
        <v>0</v>
      </c>
      <c r="O185" s="20">
        <v>0</v>
      </c>
      <c r="P185" s="21">
        <v>0</v>
      </c>
      <c r="Q185" s="20">
        <f t="shared" si="34"/>
        <v>0</v>
      </c>
      <c r="R185" s="20">
        <v>0</v>
      </c>
      <c r="S185" s="22">
        <v>0</v>
      </c>
      <c r="T185" s="20">
        <f t="shared" si="35"/>
        <v>0</v>
      </c>
      <c r="U185" s="20">
        <v>20</v>
      </c>
      <c r="V185" s="21">
        <v>0</v>
      </c>
      <c r="W185" s="20">
        <f t="shared" si="36"/>
        <v>20</v>
      </c>
      <c r="X185" s="20">
        <v>0</v>
      </c>
      <c r="Y185" s="22">
        <v>0</v>
      </c>
      <c r="Z185" s="20">
        <f t="shared" si="37"/>
        <v>0</v>
      </c>
      <c r="AA185" s="20">
        <v>0</v>
      </c>
      <c r="AB185" s="22">
        <v>0</v>
      </c>
      <c r="AC185" s="20">
        <f t="shared" si="38"/>
        <v>0</v>
      </c>
      <c r="AD185" s="20">
        <v>0</v>
      </c>
      <c r="AE185" s="22">
        <v>0</v>
      </c>
      <c r="AF185" s="20">
        <f t="shared" si="39"/>
        <v>0</v>
      </c>
      <c r="AG185" s="20">
        <v>0</v>
      </c>
      <c r="AH185" s="21">
        <v>0</v>
      </c>
      <c r="AI185" s="20">
        <f t="shared" si="40"/>
        <v>0</v>
      </c>
      <c r="AJ185" s="20">
        <v>0</v>
      </c>
      <c r="AK185" s="21">
        <v>0</v>
      </c>
      <c r="AL185" s="20">
        <f t="shared" si="41"/>
        <v>0</v>
      </c>
      <c r="AM185" s="20">
        <v>0</v>
      </c>
      <c r="AN185" s="21">
        <v>0</v>
      </c>
      <c r="AO185" s="20">
        <f t="shared" si="42"/>
        <v>0</v>
      </c>
      <c r="AP185" s="21">
        <v>0</v>
      </c>
      <c r="AQ185" s="20">
        <v>0</v>
      </c>
      <c r="AR185" s="20">
        <f t="shared" si="43"/>
        <v>0</v>
      </c>
      <c r="AS185" s="20">
        <v>0</v>
      </c>
      <c r="AT185" s="21">
        <v>0</v>
      </c>
      <c r="AU185" s="20">
        <f t="shared" si="44"/>
        <v>0</v>
      </c>
      <c r="AV185" s="23">
        <f t="shared" si="45"/>
        <v>20</v>
      </c>
      <c r="AW185" s="22">
        <f t="shared" si="46"/>
        <v>0</v>
      </c>
      <c r="AX185" s="20">
        <f t="shared" si="47"/>
        <v>20</v>
      </c>
      <c r="AY185" s="28" t="s">
        <v>90</v>
      </c>
      <c r="AZ185" s="28" t="s">
        <v>477</v>
      </c>
      <c r="BA185" s="28" t="s">
        <v>352</v>
      </c>
      <c r="BB185" s="29">
        <v>44081</v>
      </c>
    </row>
    <row r="186" spans="1:54" hidden="1">
      <c r="A186" s="28" t="str">
        <f t="shared" si="32"/>
        <v>813378178234</v>
      </c>
      <c r="B186" s="30">
        <v>813378</v>
      </c>
      <c r="C186" s="30" t="s">
        <v>454</v>
      </c>
      <c r="D186" s="28">
        <v>178234</v>
      </c>
      <c r="E186" s="28" t="s">
        <v>237</v>
      </c>
      <c r="F186" s="28"/>
      <c r="G186" s="28"/>
      <c r="H186" s="28"/>
      <c r="I186" s="28"/>
      <c r="J186" s="28"/>
      <c r="K186" s="28"/>
      <c r="L186" s="20">
        <v>0</v>
      </c>
      <c r="M186" s="21">
        <v>0</v>
      </c>
      <c r="N186" s="20">
        <f t="shared" si="33"/>
        <v>0</v>
      </c>
      <c r="O186" s="20">
        <v>0</v>
      </c>
      <c r="P186" s="21">
        <v>0</v>
      </c>
      <c r="Q186" s="20">
        <f t="shared" si="34"/>
        <v>0</v>
      </c>
      <c r="R186" s="20">
        <v>0</v>
      </c>
      <c r="S186" s="22">
        <v>0</v>
      </c>
      <c r="T186" s="20">
        <f t="shared" si="35"/>
        <v>0</v>
      </c>
      <c r="U186" s="20">
        <v>0</v>
      </c>
      <c r="V186" s="21">
        <v>0</v>
      </c>
      <c r="W186" s="20">
        <f t="shared" si="36"/>
        <v>0</v>
      </c>
      <c r="X186" s="20">
        <v>0</v>
      </c>
      <c r="Y186" s="22">
        <v>0</v>
      </c>
      <c r="Z186" s="20">
        <f t="shared" si="37"/>
        <v>0</v>
      </c>
      <c r="AA186" s="20">
        <v>0</v>
      </c>
      <c r="AB186" s="22">
        <v>0</v>
      </c>
      <c r="AC186" s="20">
        <f t="shared" si="38"/>
        <v>0</v>
      </c>
      <c r="AD186" s="20">
        <v>0</v>
      </c>
      <c r="AE186" s="22">
        <v>0</v>
      </c>
      <c r="AF186" s="20">
        <f t="shared" si="39"/>
        <v>0</v>
      </c>
      <c r="AG186" s="20">
        <v>10</v>
      </c>
      <c r="AH186" s="21">
        <v>0</v>
      </c>
      <c r="AI186" s="20">
        <f t="shared" si="40"/>
        <v>10</v>
      </c>
      <c r="AJ186" s="20">
        <v>17.5</v>
      </c>
      <c r="AK186" s="21">
        <v>0</v>
      </c>
      <c r="AL186" s="20">
        <f t="shared" si="41"/>
        <v>17.5</v>
      </c>
      <c r="AM186" s="20">
        <v>10</v>
      </c>
      <c r="AN186" s="21">
        <v>0</v>
      </c>
      <c r="AO186" s="20">
        <f t="shared" si="42"/>
        <v>10</v>
      </c>
      <c r="AP186" s="21">
        <v>17.5</v>
      </c>
      <c r="AQ186" s="20">
        <v>0</v>
      </c>
      <c r="AR186" s="20">
        <f t="shared" si="43"/>
        <v>17.5</v>
      </c>
      <c r="AS186" s="20">
        <v>38</v>
      </c>
      <c r="AT186" s="21">
        <v>7</v>
      </c>
      <c r="AU186" s="20">
        <f t="shared" si="44"/>
        <v>45</v>
      </c>
      <c r="AV186" s="23">
        <f t="shared" si="45"/>
        <v>93</v>
      </c>
      <c r="AW186" s="22">
        <f t="shared" si="46"/>
        <v>7</v>
      </c>
      <c r="AX186" s="20">
        <f t="shared" si="47"/>
        <v>100</v>
      </c>
      <c r="AY186" s="28" t="s">
        <v>90</v>
      </c>
      <c r="AZ186" s="28" t="s">
        <v>477</v>
      </c>
      <c r="BA186" s="28" t="s">
        <v>352</v>
      </c>
      <c r="BB186" s="29">
        <v>44128</v>
      </c>
    </row>
    <row r="187" spans="1:54" hidden="1">
      <c r="A187" s="28" t="str">
        <f t="shared" si="32"/>
        <v>813378178298</v>
      </c>
      <c r="B187" s="30">
        <v>813378</v>
      </c>
      <c r="C187" s="30" t="s">
        <v>454</v>
      </c>
      <c r="D187" s="28">
        <v>178298</v>
      </c>
      <c r="E187" s="28" t="s">
        <v>33</v>
      </c>
      <c r="F187" s="28"/>
      <c r="G187" s="28"/>
      <c r="H187" s="28"/>
      <c r="I187" s="28"/>
      <c r="J187" s="28"/>
      <c r="K187" s="28"/>
      <c r="L187" s="20">
        <v>0</v>
      </c>
      <c r="M187" s="21">
        <v>0</v>
      </c>
      <c r="N187" s="20">
        <f t="shared" si="33"/>
        <v>0</v>
      </c>
      <c r="O187" s="20">
        <v>0</v>
      </c>
      <c r="P187" s="21">
        <v>0</v>
      </c>
      <c r="Q187" s="20">
        <f t="shared" si="34"/>
        <v>0</v>
      </c>
      <c r="R187" s="20">
        <v>0</v>
      </c>
      <c r="S187" s="22">
        <v>0</v>
      </c>
      <c r="T187" s="20">
        <f t="shared" si="35"/>
        <v>0</v>
      </c>
      <c r="U187" s="20">
        <v>0</v>
      </c>
      <c r="V187" s="21">
        <v>0</v>
      </c>
      <c r="W187" s="20">
        <f t="shared" si="36"/>
        <v>0</v>
      </c>
      <c r="X187" s="20">
        <v>0</v>
      </c>
      <c r="Y187" s="22">
        <v>0</v>
      </c>
      <c r="Z187" s="20">
        <f t="shared" si="37"/>
        <v>0</v>
      </c>
      <c r="AA187" s="20">
        <v>0</v>
      </c>
      <c r="AB187" s="22">
        <v>0</v>
      </c>
      <c r="AC187" s="20">
        <f t="shared" si="38"/>
        <v>0</v>
      </c>
      <c r="AD187" s="20">
        <v>72</v>
      </c>
      <c r="AE187" s="22">
        <v>0</v>
      </c>
      <c r="AF187" s="20">
        <f t="shared" si="39"/>
        <v>72</v>
      </c>
      <c r="AG187" s="20">
        <v>65</v>
      </c>
      <c r="AH187" s="21">
        <v>0</v>
      </c>
      <c r="AI187" s="20">
        <f t="shared" si="40"/>
        <v>65</v>
      </c>
      <c r="AJ187" s="20">
        <v>106.5</v>
      </c>
      <c r="AK187" s="21">
        <v>0</v>
      </c>
      <c r="AL187" s="20">
        <f t="shared" si="41"/>
        <v>106.5</v>
      </c>
      <c r="AM187" s="20">
        <v>51.5</v>
      </c>
      <c r="AN187" s="21">
        <v>0</v>
      </c>
      <c r="AO187" s="20">
        <f t="shared" si="42"/>
        <v>51.5</v>
      </c>
      <c r="AP187" s="21">
        <v>37.5</v>
      </c>
      <c r="AQ187" s="20">
        <v>0</v>
      </c>
      <c r="AR187" s="20">
        <f t="shared" si="43"/>
        <v>37.5</v>
      </c>
      <c r="AS187" s="20">
        <v>34</v>
      </c>
      <c r="AT187" s="21">
        <v>0</v>
      </c>
      <c r="AU187" s="20">
        <f t="shared" si="44"/>
        <v>34</v>
      </c>
      <c r="AV187" s="23">
        <f t="shared" si="45"/>
        <v>366.5</v>
      </c>
      <c r="AW187" s="22">
        <f t="shared" si="46"/>
        <v>0</v>
      </c>
      <c r="AX187" s="20">
        <f t="shared" si="47"/>
        <v>366.5</v>
      </c>
      <c r="AY187" s="28" t="s">
        <v>90</v>
      </c>
      <c r="AZ187" s="28" t="s">
        <v>477</v>
      </c>
      <c r="BA187" s="28" t="s">
        <v>352</v>
      </c>
      <c r="BB187" s="29">
        <v>44128</v>
      </c>
    </row>
    <row r="188" spans="1:54" hidden="1">
      <c r="A188" s="28" t="str">
        <f t="shared" si="32"/>
        <v>813821178237</v>
      </c>
      <c r="B188" s="30">
        <v>813821</v>
      </c>
      <c r="C188" s="30" t="s">
        <v>202</v>
      </c>
      <c r="D188" s="31">
        <v>178237</v>
      </c>
      <c r="E188" s="28" t="s">
        <v>91</v>
      </c>
      <c r="F188" s="28"/>
      <c r="G188" s="28"/>
      <c r="H188" s="28"/>
      <c r="I188" s="28"/>
      <c r="J188" s="28"/>
      <c r="K188" s="28"/>
      <c r="L188" s="20">
        <v>57.5</v>
      </c>
      <c r="M188" s="21">
        <v>0</v>
      </c>
      <c r="N188" s="20">
        <f t="shared" si="33"/>
        <v>57.5</v>
      </c>
      <c r="O188" s="20">
        <v>27</v>
      </c>
      <c r="P188" s="21">
        <v>0</v>
      </c>
      <c r="Q188" s="20">
        <f t="shared" si="34"/>
        <v>27</v>
      </c>
      <c r="R188" s="20">
        <v>109</v>
      </c>
      <c r="S188" s="22">
        <v>0</v>
      </c>
      <c r="T188" s="20">
        <f t="shared" si="35"/>
        <v>109</v>
      </c>
      <c r="U188" s="20">
        <v>47.1</v>
      </c>
      <c r="V188" s="21">
        <v>0</v>
      </c>
      <c r="W188" s="20">
        <f t="shared" si="36"/>
        <v>47.1</v>
      </c>
      <c r="X188" s="20">
        <v>40</v>
      </c>
      <c r="Y188" s="22">
        <v>0</v>
      </c>
      <c r="Z188" s="20">
        <f t="shared" si="37"/>
        <v>40</v>
      </c>
      <c r="AA188" s="20">
        <v>38</v>
      </c>
      <c r="AB188" s="22">
        <v>0</v>
      </c>
      <c r="AC188" s="20">
        <f t="shared" si="38"/>
        <v>38</v>
      </c>
      <c r="AD188" s="20">
        <v>20</v>
      </c>
      <c r="AE188" s="22">
        <v>0</v>
      </c>
      <c r="AF188" s="20">
        <f t="shared" si="39"/>
        <v>20</v>
      </c>
      <c r="AG188" s="20">
        <v>0</v>
      </c>
      <c r="AH188" s="21">
        <v>0</v>
      </c>
      <c r="AI188" s="20">
        <f t="shared" si="40"/>
        <v>0</v>
      </c>
      <c r="AJ188" s="20">
        <v>6</v>
      </c>
      <c r="AK188" s="21">
        <v>6</v>
      </c>
      <c r="AL188" s="20">
        <f t="shared" si="41"/>
        <v>12</v>
      </c>
      <c r="AM188" s="20">
        <v>0</v>
      </c>
      <c r="AN188" s="21">
        <v>0</v>
      </c>
      <c r="AO188" s="20">
        <f t="shared" si="42"/>
        <v>0</v>
      </c>
      <c r="AP188" s="21">
        <v>0</v>
      </c>
      <c r="AQ188" s="20">
        <v>0</v>
      </c>
      <c r="AR188" s="20">
        <f t="shared" si="43"/>
        <v>0</v>
      </c>
      <c r="AS188" s="20">
        <v>0</v>
      </c>
      <c r="AT188" s="21">
        <v>0</v>
      </c>
      <c r="AU188" s="20">
        <f t="shared" si="44"/>
        <v>0</v>
      </c>
      <c r="AV188" s="23">
        <f t="shared" si="45"/>
        <v>344.6</v>
      </c>
      <c r="AW188" s="22">
        <f t="shared" si="46"/>
        <v>6</v>
      </c>
      <c r="AX188" s="20">
        <f t="shared" si="47"/>
        <v>350.6</v>
      </c>
      <c r="AY188" s="28" t="s">
        <v>90</v>
      </c>
      <c r="AZ188" s="28" t="s">
        <v>477</v>
      </c>
      <c r="BA188" s="28" t="s">
        <v>352</v>
      </c>
      <c r="BB188" s="29">
        <v>44177</v>
      </c>
    </row>
    <row r="189" spans="1:54" hidden="1">
      <c r="A189" s="28" t="str">
        <f t="shared" si="32"/>
        <v>813842202478</v>
      </c>
      <c r="B189" s="30">
        <v>813842</v>
      </c>
      <c r="C189" s="30" t="s">
        <v>317</v>
      </c>
      <c r="D189" s="31">
        <v>202478</v>
      </c>
      <c r="E189" s="28" t="s">
        <v>283</v>
      </c>
      <c r="F189" s="28"/>
      <c r="G189" s="28"/>
      <c r="H189" s="28"/>
      <c r="I189" s="28"/>
      <c r="J189" s="28"/>
      <c r="K189" s="28"/>
      <c r="L189" s="20">
        <v>20</v>
      </c>
      <c r="M189" s="21">
        <v>0</v>
      </c>
      <c r="N189" s="20">
        <f t="shared" si="33"/>
        <v>20</v>
      </c>
      <c r="O189" s="20">
        <v>0</v>
      </c>
      <c r="P189" s="21">
        <v>0</v>
      </c>
      <c r="Q189" s="20">
        <f t="shared" si="34"/>
        <v>0</v>
      </c>
      <c r="R189" s="20">
        <v>0</v>
      </c>
      <c r="S189" s="22">
        <v>0</v>
      </c>
      <c r="T189" s="20">
        <f t="shared" si="35"/>
        <v>0</v>
      </c>
      <c r="U189" s="20">
        <v>50</v>
      </c>
      <c r="V189" s="21">
        <v>0</v>
      </c>
      <c r="W189" s="20">
        <f t="shared" si="36"/>
        <v>50</v>
      </c>
      <c r="X189" s="20">
        <v>0</v>
      </c>
      <c r="Y189" s="22">
        <v>0</v>
      </c>
      <c r="Z189" s="20">
        <f t="shared" si="37"/>
        <v>0</v>
      </c>
      <c r="AA189" s="20">
        <v>15</v>
      </c>
      <c r="AB189" s="22">
        <v>0</v>
      </c>
      <c r="AC189" s="20">
        <f t="shared" si="38"/>
        <v>15</v>
      </c>
      <c r="AD189" s="20">
        <v>20</v>
      </c>
      <c r="AE189" s="22">
        <v>0</v>
      </c>
      <c r="AF189" s="20">
        <f t="shared" si="39"/>
        <v>20</v>
      </c>
      <c r="AG189" s="20">
        <v>35</v>
      </c>
      <c r="AH189" s="21">
        <v>0</v>
      </c>
      <c r="AI189" s="20">
        <f t="shared" si="40"/>
        <v>35</v>
      </c>
      <c r="AJ189" s="20">
        <v>0</v>
      </c>
      <c r="AK189" s="21">
        <v>0</v>
      </c>
      <c r="AL189" s="20">
        <f t="shared" si="41"/>
        <v>0</v>
      </c>
      <c r="AM189" s="20">
        <v>40</v>
      </c>
      <c r="AN189" s="21">
        <v>0</v>
      </c>
      <c r="AO189" s="20">
        <f t="shared" si="42"/>
        <v>40</v>
      </c>
      <c r="AP189" s="21">
        <v>6</v>
      </c>
      <c r="AQ189" s="20">
        <v>0</v>
      </c>
      <c r="AR189" s="20">
        <f t="shared" si="43"/>
        <v>6</v>
      </c>
      <c r="AS189" s="20">
        <v>43.75</v>
      </c>
      <c r="AT189" s="21">
        <v>0</v>
      </c>
      <c r="AU189" s="20">
        <f t="shared" si="44"/>
        <v>43.75</v>
      </c>
      <c r="AV189" s="23">
        <f t="shared" si="45"/>
        <v>229.75</v>
      </c>
      <c r="AW189" s="22">
        <f t="shared" si="46"/>
        <v>0</v>
      </c>
      <c r="AX189" s="20">
        <f t="shared" si="47"/>
        <v>229.75</v>
      </c>
      <c r="AY189" s="28" t="s">
        <v>90</v>
      </c>
      <c r="AZ189" s="28" t="s">
        <v>477</v>
      </c>
      <c r="BA189" s="28" t="s">
        <v>352</v>
      </c>
      <c r="BB189" s="29">
        <v>44180</v>
      </c>
    </row>
    <row r="190" spans="1:54" hidden="1">
      <c r="A190" s="28" t="str">
        <f t="shared" si="32"/>
        <v>814109119052</v>
      </c>
      <c r="B190" s="30">
        <v>814109</v>
      </c>
      <c r="C190" s="30" t="s">
        <v>108</v>
      </c>
      <c r="D190" s="31">
        <v>119052</v>
      </c>
      <c r="E190" s="28" t="s">
        <v>107</v>
      </c>
      <c r="F190" s="28"/>
      <c r="G190" s="28"/>
      <c r="H190" s="28"/>
      <c r="I190" s="28"/>
      <c r="J190" s="28"/>
      <c r="K190" s="28"/>
      <c r="L190" s="20">
        <v>84</v>
      </c>
      <c r="M190" s="21">
        <v>0</v>
      </c>
      <c r="N190" s="20">
        <f t="shared" si="33"/>
        <v>84</v>
      </c>
      <c r="O190" s="20">
        <v>53</v>
      </c>
      <c r="P190" s="21">
        <v>0</v>
      </c>
      <c r="Q190" s="20">
        <f t="shared" si="34"/>
        <v>53</v>
      </c>
      <c r="R190" s="20">
        <v>96.5</v>
      </c>
      <c r="S190" s="22">
        <v>0</v>
      </c>
      <c r="T190" s="20">
        <f t="shared" si="35"/>
        <v>96.5</v>
      </c>
      <c r="U190" s="20">
        <v>104</v>
      </c>
      <c r="V190" s="21">
        <v>0</v>
      </c>
      <c r="W190" s="20">
        <f t="shared" si="36"/>
        <v>104</v>
      </c>
      <c r="X190" s="20">
        <v>60</v>
      </c>
      <c r="Y190" s="22">
        <v>0</v>
      </c>
      <c r="Z190" s="20">
        <f t="shared" si="37"/>
        <v>60</v>
      </c>
      <c r="AA190" s="20">
        <v>93</v>
      </c>
      <c r="AB190" s="22">
        <v>0</v>
      </c>
      <c r="AC190" s="20">
        <f t="shared" si="38"/>
        <v>93</v>
      </c>
      <c r="AD190" s="20">
        <v>66</v>
      </c>
      <c r="AE190" s="22">
        <v>0</v>
      </c>
      <c r="AF190" s="20">
        <f t="shared" si="39"/>
        <v>66</v>
      </c>
      <c r="AG190" s="20">
        <v>42</v>
      </c>
      <c r="AH190" s="21">
        <v>0</v>
      </c>
      <c r="AI190" s="20">
        <f t="shared" si="40"/>
        <v>42</v>
      </c>
      <c r="AJ190" s="20">
        <v>131</v>
      </c>
      <c r="AK190" s="21">
        <v>0</v>
      </c>
      <c r="AL190" s="20">
        <f t="shared" si="41"/>
        <v>131</v>
      </c>
      <c r="AM190" s="20">
        <v>98</v>
      </c>
      <c r="AN190" s="21">
        <v>0</v>
      </c>
      <c r="AO190" s="20">
        <f t="shared" si="42"/>
        <v>98</v>
      </c>
      <c r="AP190" s="21">
        <v>94</v>
      </c>
      <c r="AQ190" s="20">
        <v>0</v>
      </c>
      <c r="AR190" s="20">
        <f t="shared" si="43"/>
        <v>94</v>
      </c>
      <c r="AS190" s="20">
        <v>209</v>
      </c>
      <c r="AT190" s="21">
        <v>8</v>
      </c>
      <c r="AU190" s="20">
        <f t="shared" si="44"/>
        <v>217</v>
      </c>
      <c r="AV190" s="23">
        <f t="shared" si="45"/>
        <v>1130.5</v>
      </c>
      <c r="AW190" s="22">
        <f t="shared" si="46"/>
        <v>8</v>
      </c>
      <c r="AX190" s="20">
        <f t="shared" si="47"/>
        <v>1138.5</v>
      </c>
      <c r="AY190" s="28" t="s">
        <v>90</v>
      </c>
      <c r="AZ190" s="28" t="s">
        <v>477</v>
      </c>
      <c r="BA190" s="28" t="s">
        <v>352</v>
      </c>
      <c r="BB190" s="29">
        <v>44204</v>
      </c>
    </row>
    <row r="191" spans="1:54" hidden="1">
      <c r="A191" s="28" t="str">
        <f t="shared" si="32"/>
        <v>814116178298</v>
      </c>
      <c r="B191" s="30">
        <v>814116</v>
      </c>
      <c r="C191" s="30" t="s">
        <v>110</v>
      </c>
      <c r="D191" s="31">
        <v>178298</v>
      </c>
      <c r="E191" s="28" t="s">
        <v>33</v>
      </c>
      <c r="F191" s="28"/>
      <c r="G191" s="28"/>
      <c r="H191" s="28"/>
      <c r="I191" s="28"/>
      <c r="J191" s="28"/>
      <c r="K191" s="28"/>
      <c r="L191" s="20">
        <v>68</v>
      </c>
      <c r="M191" s="21">
        <v>0</v>
      </c>
      <c r="N191" s="20">
        <f t="shared" si="33"/>
        <v>68</v>
      </c>
      <c r="O191" s="20">
        <v>96</v>
      </c>
      <c r="P191" s="21">
        <v>0</v>
      </c>
      <c r="Q191" s="20">
        <f t="shared" si="34"/>
        <v>96</v>
      </c>
      <c r="R191" s="20">
        <v>93</v>
      </c>
      <c r="S191" s="22">
        <v>0</v>
      </c>
      <c r="T191" s="20">
        <f t="shared" si="35"/>
        <v>93</v>
      </c>
      <c r="U191" s="20">
        <v>124</v>
      </c>
      <c r="V191" s="21">
        <v>0</v>
      </c>
      <c r="W191" s="20">
        <f t="shared" si="36"/>
        <v>124</v>
      </c>
      <c r="X191" s="20">
        <v>87</v>
      </c>
      <c r="Y191" s="22">
        <v>0</v>
      </c>
      <c r="Z191" s="20">
        <f t="shared" si="37"/>
        <v>87</v>
      </c>
      <c r="AA191" s="20">
        <v>75</v>
      </c>
      <c r="AB191" s="22">
        <v>0</v>
      </c>
      <c r="AC191" s="20">
        <f t="shared" si="38"/>
        <v>75</v>
      </c>
      <c r="AD191" s="20">
        <v>84</v>
      </c>
      <c r="AE191" s="22">
        <v>0</v>
      </c>
      <c r="AF191" s="20">
        <f t="shared" si="39"/>
        <v>84</v>
      </c>
      <c r="AG191" s="20">
        <v>54</v>
      </c>
      <c r="AH191" s="21">
        <v>0</v>
      </c>
      <c r="AI191" s="20">
        <f t="shared" si="40"/>
        <v>54</v>
      </c>
      <c r="AJ191" s="20">
        <v>73</v>
      </c>
      <c r="AK191" s="21">
        <v>0</v>
      </c>
      <c r="AL191" s="20">
        <f t="shared" si="41"/>
        <v>73</v>
      </c>
      <c r="AM191" s="20">
        <v>68.5</v>
      </c>
      <c r="AN191" s="21">
        <v>0</v>
      </c>
      <c r="AO191" s="20">
        <f t="shared" si="42"/>
        <v>68.5</v>
      </c>
      <c r="AP191" s="21">
        <v>67</v>
      </c>
      <c r="AQ191" s="20">
        <v>0</v>
      </c>
      <c r="AR191" s="20">
        <f t="shared" si="43"/>
        <v>67</v>
      </c>
      <c r="AS191" s="20">
        <v>64</v>
      </c>
      <c r="AT191" s="21">
        <v>0</v>
      </c>
      <c r="AU191" s="20">
        <f t="shared" si="44"/>
        <v>64</v>
      </c>
      <c r="AV191" s="23">
        <f t="shared" si="45"/>
        <v>953.5</v>
      </c>
      <c r="AW191" s="22">
        <f t="shared" si="46"/>
        <v>0</v>
      </c>
      <c r="AX191" s="20">
        <f t="shared" si="47"/>
        <v>953.5</v>
      </c>
      <c r="AY191" s="28" t="s">
        <v>90</v>
      </c>
      <c r="AZ191" s="28" t="s">
        <v>477</v>
      </c>
      <c r="BA191" s="28" t="s">
        <v>352</v>
      </c>
      <c r="BB191" s="29">
        <v>44205</v>
      </c>
    </row>
    <row r="192" spans="1:54" hidden="1">
      <c r="A192" s="28" t="str">
        <f t="shared" si="32"/>
        <v>814116202478</v>
      </c>
      <c r="B192" s="30">
        <v>814116</v>
      </c>
      <c r="C192" s="30" t="s">
        <v>110</v>
      </c>
      <c r="D192" s="28">
        <v>202478</v>
      </c>
      <c r="E192" s="28" t="s">
        <v>283</v>
      </c>
      <c r="F192" s="28"/>
      <c r="G192" s="28"/>
      <c r="H192" s="28"/>
      <c r="I192" s="28"/>
      <c r="J192" s="28"/>
      <c r="K192" s="28"/>
      <c r="L192" s="20">
        <v>0</v>
      </c>
      <c r="M192" s="21">
        <v>0</v>
      </c>
      <c r="N192" s="20">
        <f t="shared" si="33"/>
        <v>0</v>
      </c>
      <c r="O192" s="20">
        <v>0</v>
      </c>
      <c r="P192" s="21">
        <v>0</v>
      </c>
      <c r="Q192" s="20">
        <f t="shared" si="34"/>
        <v>0</v>
      </c>
      <c r="R192" s="20">
        <v>0</v>
      </c>
      <c r="S192" s="22">
        <v>0</v>
      </c>
      <c r="T192" s="20">
        <f t="shared" si="35"/>
        <v>0</v>
      </c>
      <c r="U192" s="20">
        <v>0</v>
      </c>
      <c r="V192" s="21">
        <v>0</v>
      </c>
      <c r="W192" s="20">
        <f t="shared" si="36"/>
        <v>0</v>
      </c>
      <c r="X192" s="20">
        <v>0</v>
      </c>
      <c r="Y192" s="22">
        <v>0</v>
      </c>
      <c r="Z192" s="20">
        <f t="shared" si="37"/>
        <v>0</v>
      </c>
      <c r="AA192" s="20">
        <v>0</v>
      </c>
      <c r="AB192" s="22">
        <v>0</v>
      </c>
      <c r="AC192" s="20">
        <f t="shared" si="38"/>
        <v>0</v>
      </c>
      <c r="AD192" s="20">
        <v>20</v>
      </c>
      <c r="AE192" s="22">
        <v>0</v>
      </c>
      <c r="AF192" s="20">
        <f t="shared" si="39"/>
        <v>20</v>
      </c>
      <c r="AG192" s="20">
        <v>0</v>
      </c>
      <c r="AH192" s="21">
        <v>0</v>
      </c>
      <c r="AI192" s="20">
        <f t="shared" si="40"/>
        <v>0</v>
      </c>
      <c r="AJ192" s="20">
        <v>6.5</v>
      </c>
      <c r="AK192" s="21">
        <v>6.5</v>
      </c>
      <c r="AL192" s="20">
        <f t="shared" si="41"/>
        <v>13</v>
      </c>
      <c r="AM192" s="20">
        <v>0</v>
      </c>
      <c r="AN192" s="21">
        <v>0</v>
      </c>
      <c r="AO192" s="20">
        <f t="shared" si="42"/>
        <v>0</v>
      </c>
      <c r="AP192" s="21">
        <v>0</v>
      </c>
      <c r="AQ192" s="20">
        <v>0</v>
      </c>
      <c r="AR192" s="20">
        <f t="shared" si="43"/>
        <v>0</v>
      </c>
      <c r="AS192" s="20">
        <v>20</v>
      </c>
      <c r="AT192" s="21">
        <v>0</v>
      </c>
      <c r="AU192" s="20">
        <f t="shared" si="44"/>
        <v>20</v>
      </c>
      <c r="AV192" s="23">
        <f t="shared" si="45"/>
        <v>46.5</v>
      </c>
      <c r="AW192" s="22">
        <f t="shared" si="46"/>
        <v>6.5</v>
      </c>
      <c r="AX192" s="20">
        <f t="shared" si="47"/>
        <v>53</v>
      </c>
      <c r="AY192" s="28" t="s">
        <v>90</v>
      </c>
      <c r="AZ192" s="28" t="s">
        <v>477</v>
      </c>
      <c r="BA192" s="28" t="s">
        <v>352</v>
      </c>
      <c r="BB192" s="29">
        <v>44205</v>
      </c>
    </row>
    <row r="193" spans="1:54" hidden="1">
      <c r="A193" s="28" t="str">
        <f t="shared" si="32"/>
        <v>814350175717</v>
      </c>
      <c r="B193" s="30">
        <v>814350</v>
      </c>
      <c r="C193" s="30" t="s">
        <v>168</v>
      </c>
      <c r="D193" s="31">
        <v>175717</v>
      </c>
      <c r="E193" s="28" t="s">
        <v>167</v>
      </c>
      <c r="F193" s="28"/>
      <c r="G193" s="28"/>
      <c r="H193" s="28"/>
      <c r="I193" s="28"/>
      <c r="J193" s="28"/>
      <c r="K193" s="28"/>
      <c r="L193" s="20">
        <v>10</v>
      </c>
      <c r="M193" s="21">
        <v>0</v>
      </c>
      <c r="N193" s="20">
        <f t="shared" si="33"/>
        <v>10</v>
      </c>
      <c r="O193" s="20">
        <v>77</v>
      </c>
      <c r="P193" s="21">
        <v>0</v>
      </c>
      <c r="Q193" s="20">
        <f t="shared" si="34"/>
        <v>77</v>
      </c>
      <c r="R193" s="20">
        <v>69</v>
      </c>
      <c r="S193" s="22">
        <v>0</v>
      </c>
      <c r="T193" s="20">
        <f t="shared" si="35"/>
        <v>69</v>
      </c>
      <c r="U193" s="20">
        <v>121.5</v>
      </c>
      <c r="V193" s="21">
        <v>0</v>
      </c>
      <c r="W193" s="20">
        <f t="shared" si="36"/>
        <v>121.5</v>
      </c>
      <c r="X193" s="20">
        <v>32</v>
      </c>
      <c r="Y193" s="22">
        <v>0</v>
      </c>
      <c r="Z193" s="20">
        <f t="shared" si="37"/>
        <v>32</v>
      </c>
      <c r="AA193" s="20">
        <v>42</v>
      </c>
      <c r="AB193" s="22">
        <v>0</v>
      </c>
      <c r="AC193" s="20">
        <f t="shared" si="38"/>
        <v>42</v>
      </c>
      <c r="AD193" s="20">
        <v>62</v>
      </c>
      <c r="AE193" s="22">
        <v>0</v>
      </c>
      <c r="AF193" s="20">
        <f t="shared" si="39"/>
        <v>62</v>
      </c>
      <c r="AG193" s="20">
        <v>35</v>
      </c>
      <c r="AH193" s="21">
        <v>0</v>
      </c>
      <c r="AI193" s="20">
        <f t="shared" si="40"/>
        <v>35</v>
      </c>
      <c r="AJ193" s="20">
        <v>91</v>
      </c>
      <c r="AK193" s="21">
        <v>0</v>
      </c>
      <c r="AL193" s="20">
        <f t="shared" si="41"/>
        <v>91</v>
      </c>
      <c r="AM193" s="20">
        <v>43</v>
      </c>
      <c r="AN193" s="21">
        <v>0</v>
      </c>
      <c r="AO193" s="20">
        <f t="shared" si="42"/>
        <v>43</v>
      </c>
      <c r="AP193" s="21">
        <v>70</v>
      </c>
      <c r="AQ193" s="20">
        <v>0</v>
      </c>
      <c r="AR193" s="20">
        <f t="shared" si="43"/>
        <v>70</v>
      </c>
      <c r="AS193" s="20">
        <v>130.5</v>
      </c>
      <c r="AT193" s="21">
        <v>0</v>
      </c>
      <c r="AU193" s="20">
        <f t="shared" si="44"/>
        <v>130.5</v>
      </c>
      <c r="AV193" s="23">
        <f t="shared" si="45"/>
        <v>783</v>
      </c>
      <c r="AW193" s="22">
        <f t="shared" si="46"/>
        <v>0</v>
      </c>
      <c r="AX193" s="20">
        <f t="shared" si="47"/>
        <v>783</v>
      </c>
      <c r="AY193" s="28" t="s">
        <v>90</v>
      </c>
      <c r="AZ193" s="28" t="s">
        <v>477</v>
      </c>
      <c r="BA193" s="28" t="s">
        <v>352</v>
      </c>
      <c r="BB193" s="29">
        <v>44226</v>
      </c>
    </row>
    <row r="194" spans="1:54" hidden="1">
      <c r="A194" s="28" t="str">
        <f t="shared" ref="A194:A257" si="48">B194&amp;D194</f>
        <v>815467203236</v>
      </c>
      <c r="B194" s="30">
        <v>815467</v>
      </c>
      <c r="C194" s="30" t="s">
        <v>395</v>
      </c>
      <c r="D194" s="28">
        <v>203236</v>
      </c>
      <c r="E194" s="28" t="s">
        <v>201</v>
      </c>
      <c r="F194" s="28"/>
      <c r="G194" s="28"/>
      <c r="H194" s="28"/>
      <c r="I194" s="28"/>
      <c r="J194" s="28"/>
      <c r="K194" s="28"/>
      <c r="L194" s="20">
        <v>0</v>
      </c>
      <c r="M194" s="21">
        <v>0</v>
      </c>
      <c r="N194" s="20">
        <f t="shared" ref="N194:N257" si="49">SUM(L194:M194)</f>
        <v>0</v>
      </c>
      <c r="O194" s="20">
        <v>0</v>
      </c>
      <c r="P194" s="21">
        <v>0</v>
      </c>
      <c r="Q194" s="20">
        <f t="shared" ref="Q194:Q257" si="50">SUM(O194:P194)</f>
        <v>0</v>
      </c>
      <c r="R194" s="20">
        <v>0</v>
      </c>
      <c r="S194" s="22">
        <v>0</v>
      </c>
      <c r="T194" s="20">
        <f t="shared" ref="T194:T257" si="51">SUM(R194:S194)</f>
        <v>0</v>
      </c>
      <c r="U194" s="20">
        <v>44</v>
      </c>
      <c r="V194" s="21">
        <v>0</v>
      </c>
      <c r="W194" s="20">
        <f t="shared" ref="W194:W257" si="52">SUM(U194:V194)</f>
        <v>44</v>
      </c>
      <c r="X194" s="20">
        <v>65</v>
      </c>
      <c r="Y194" s="22">
        <v>0</v>
      </c>
      <c r="Z194" s="20">
        <f t="shared" ref="Z194:Z257" si="53">SUM(X194:Y194)</f>
        <v>65</v>
      </c>
      <c r="AA194" s="20">
        <v>30</v>
      </c>
      <c r="AB194" s="22">
        <v>0</v>
      </c>
      <c r="AC194" s="20">
        <f t="shared" ref="AC194:AC257" si="54">SUM(AA194:AB194)</f>
        <v>30</v>
      </c>
      <c r="AD194" s="20">
        <v>65</v>
      </c>
      <c r="AE194" s="22">
        <v>0</v>
      </c>
      <c r="AF194" s="20">
        <f t="shared" ref="AF194:AF257" si="55">SUM(AD194:AE194)</f>
        <v>65</v>
      </c>
      <c r="AG194" s="20">
        <v>81</v>
      </c>
      <c r="AH194" s="21">
        <v>0</v>
      </c>
      <c r="AI194" s="20">
        <f t="shared" ref="AI194:AI257" si="56">SUM(AG194:AH194)</f>
        <v>81</v>
      </c>
      <c r="AJ194" s="20">
        <v>138</v>
      </c>
      <c r="AK194" s="21">
        <v>0</v>
      </c>
      <c r="AL194" s="20">
        <f t="shared" ref="AL194:AL257" si="57">SUM(AJ194:AK194)</f>
        <v>138</v>
      </c>
      <c r="AM194" s="20">
        <v>33.25</v>
      </c>
      <c r="AN194" s="21">
        <v>8.25</v>
      </c>
      <c r="AO194" s="20">
        <f t="shared" ref="AO194:AO257" si="58">SUM(AM194:AN194)</f>
        <v>41.5</v>
      </c>
      <c r="AP194" s="21">
        <v>85</v>
      </c>
      <c r="AQ194" s="20">
        <v>0</v>
      </c>
      <c r="AR194" s="20">
        <f t="shared" ref="AR194:AR257" si="59">SUM(AP194:AQ194)</f>
        <v>85</v>
      </c>
      <c r="AS194" s="20">
        <v>138.25</v>
      </c>
      <c r="AT194" s="21">
        <v>0</v>
      </c>
      <c r="AU194" s="20">
        <f t="shared" ref="AU194:AU257" si="60">SUM(AS194:AT194)</f>
        <v>138.25</v>
      </c>
      <c r="AV194" s="23">
        <f t="shared" ref="AV194:AV257" si="61">SUM(L194+O194+R194+U194+X194+AA194+AD194+AG194+AJ194+AM194+AP194+AS194)</f>
        <v>679.5</v>
      </c>
      <c r="AW194" s="22">
        <f t="shared" ref="AW194:AW257" si="62">SUM(M194+P194+S194+V194+Y194+AB194+AE194+AH194+AK194+AN194+AQ194+AT194)</f>
        <v>8.25</v>
      </c>
      <c r="AX194" s="20">
        <f t="shared" ref="AX194:AX257" si="63">SUM(AV194:AW194)</f>
        <v>687.75</v>
      </c>
      <c r="AY194" s="28" t="s">
        <v>90</v>
      </c>
      <c r="AZ194" s="28" t="s">
        <v>477</v>
      </c>
      <c r="BA194" s="28" t="s">
        <v>352</v>
      </c>
      <c r="BB194" s="29">
        <v>44389</v>
      </c>
    </row>
    <row r="195" spans="1:54" hidden="1">
      <c r="A195" s="28" t="str">
        <f t="shared" si="48"/>
        <v>815468178234</v>
      </c>
      <c r="B195" s="30">
        <v>815468</v>
      </c>
      <c r="C195" s="30" t="s">
        <v>396</v>
      </c>
      <c r="D195" s="28">
        <v>178234</v>
      </c>
      <c r="E195" s="28" t="s">
        <v>237</v>
      </c>
      <c r="F195" s="28"/>
      <c r="G195" s="28"/>
      <c r="H195" s="28"/>
      <c r="I195" s="28"/>
      <c r="J195" s="28"/>
      <c r="K195" s="28"/>
      <c r="L195" s="20">
        <v>0</v>
      </c>
      <c r="M195" s="21">
        <v>0</v>
      </c>
      <c r="N195" s="20">
        <f t="shared" si="49"/>
        <v>0</v>
      </c>
      <c r="O195" s="20">
        <v>0</v>
      </c>
      <c r="P195" s="21">
        <v>0</v>
      </c>
      <c r="Q195" s="20">
        <f t="shared" si="50"/>
        <v>0</v>
      </c>
      <c r="R195" s="20">
        <v>0</v>
      </c>
      <c r="S195" s="22">
        <v>0</v>
      </c>
      <c r="T195" s="20">
        <f t="shared" si="51"/>
        <v>0</v>
      </c>
      <c r="U195" s="20">
        <v>0</v>
      </c>
      <c r="V195" s="21">
        <v>0</v>
      </c>
      <c r="W195" s="20">
        <f t="shared" si="52"/>
        <v>0</v>
      </c>
      <c r="X195" s="20">
        <v>15</v>
      </c>
      <c r="Y195" s="22">
        <v>0</v>
      </c>
      <c r="Z195" s="20">
        <f t="shared" si="53"/>
        <v>15</v>
      </c>
      <c r="AA195" s="20">
        <v>20</v>
      </c>
      <c r="AB195" s="22">
        <v>0</v>
      </c>
      <c r="AC195" s="20">
        <f t="shared" si="54"/>
        <v>20</v>
      </c>
      <c r="AD195" s="20">
        <v>0</v>
      </c>
      <c r="AE195" s="22">
        <v>0</v>
      </c>
      <c r="AF195" s="20">
        <f t="shared" si="55"/>
        <v>0</v>
      </c>
      <c r="AG195" s="20">
        <v>0</v>
      </c>
      <c r="AH195" s="21">
        <v>0</v>
      </c>
      <c r="AI195" s="20">
        <f t="shared" si="56"/>
        <v>0</v>
      </c>
      <c r="AJ195" s="20">
        <v>38</v>
      </c>
      <c r="AK195" s="21">
        <v>10.5</v>
      </c>
      <c r="AL195" s="20">
        <f t="shared" si="57"/>
        <v>48.5</v>
      </c>
      <c r="AM195" s="20">
        <v>0</v>
      </c>
      <c r="AN195" s="21">
        <v>0</v>
      </c>
      <c r="AO195" s="20">
        <f t="shared" si="58"/>
        <v>0</v>
      </c>
      <c r="AP195" s="21">
        <v>14.5</v>
      </c>
      <c r="AQ195" s="20">
        <v>12.5</v>
      </c>
      <c r="AR195" s="20">
        <f t="shared" si="59"/>
        <v>27</v>
      </c>
      <c r="AS195" s="20">
        <v>38.5</v>
      </c>
      <c r="AT195" s="21">
        <v>0</v>
      </c>
      <c r="AU195" s="20">
        <f t="shared" si="60"/>
        <v>38.5</v>
      </c>
      <c r="AV195" s="23">
        <f t="shared" si="61"/>
        <v>126</v>
      </c>
      <c r="AW195" s="22">
        <f t="shared" si="62"/>
        <v>23</v>
      </c>
      <c r="AX195" s="20">
        <f t="shared" si="63"/>
        <v>149</v>
      </c>
      <c r="AY195" s="28" t="s">
        <v>90</v>
      </c>
      <c r="AZ195" s="28" t="s">
        <v>477</v>
      </c>
      <c r="BA195" s="28" t="s">
        <v>352</v>
      </c>
      <c r="BB195" s="29">
        <v>44389</v>
      </c>
    </row>
    <row r="196" spans="1:54" hidden="1">
      <c r="A196" s="28" t="str">
        <f t="shared" si="48"/>
        <v>815468203236</v>
      </c>
      <c r="B196" s="30">
        <v>815468</v>
      </c>
      <c r="C196" s="30" t="s">
        <v>396</v>
      </c>
      <c r="D196" s="28">
        <v>203236</v>
      </c>
      <c r="E196" s="28" t="s">
        <v>201</v>
      </c>
      <c r="F196" s="28"/>
      <c r="G196" s="28"/>
      <c r="H196" s="28"/>
      <c r="I196" s="28"/>
      <c r="J196" s="28"/>
      <c r="K196" s="28"/>
      <c r="L196" s="20">
        <v>0</v>
      </c>
      <c r="M196" s="21">
        <v>0</v>
      </c>
      <c r="N196" s="20">
        <f t="shared" si="49"/>
        <v>0</v>
      </c>
      <c r="O196" s="20">
        <v>0</v>
      </c>
      <c r="P196" s="21">
        <v>0</v>
      </c>
      <c r="Q196" s="20">
        <f t="shared" si="50"/>
        <v>0</v>
      </c>
      <c r="R196" s="20">
        <v>0</v>
      </c>
      <c r="S196" s="22">
        <v>0</v>
      </c>
      <c r="T196" s="20">
        <f t="shared" si="51"/>
        <v>0</v>
      </c>
      <c r="U196" s="20">
        <v>10</v>
      </c>
      <c r="V196" s="21">
        <v>0</v>
      </c>
      <c r="W196" s="20">
        <f t="shared" si="52"/>
        <v>10</v>
      </c>
      <c r="X196" s="20">
        <v>0</v>
      </c>
      <c r="Y196" s="22">
        <v>0</v>
      </c>
      <c r="Z196" s="20">
        <f t="shared" si="53"/>
        <v>0</v>
      </c>
      <c r="AA196" s="20">
        <v>0</v>
      </c>
      <c r="AB196" s="22">
        <v>0</v>
      </c>
      <c r="AC196" s="20">
        <f t="shared" si="54"/>
        <v>0</v>
      </c>
      <c r="AD196" s="20">
        <v>0</v>
      </c>
      <c r="AE196" s="22">
        <v>0</v>
      </c>
      <c r="AF196" s="20">
        <f t="shared" si="55"/>
        <v>0</v>
      </c>
      <c r="AG196" s="20">
        <v>0</v>
      </c>
      <c r="AH196" s="21">
        <v>0</v>
      </c>
      <c r="AI196" s="20">
        <f t="shared" si="56"/>
        <v>0</v>
      </c>
      <c r="AJ196" s="20">
        <v>0</v>
      </c>
      <c r="AK196" s="21">
        <v>0</v>
      </c>
      <c r="AL196" s="20">
        <f t="shared" si="57"/>
        <v>0</v>
      </c>
      <c r="AM196" s="20">
        <v>0</v>
      </c>
      <c r="AN196" s="21">
        <v>0</v>
      </c>
      <c r="AO196" s="20">
        <f t="shared" si="58"/>
        <v>0</v>
      </c>
      <c r="AP196" s="21">
        <v>0</v>
      </c>
      <c r="AQ196" s="20">
        <v>0</v>
      </c>
      <c r="AR196" s="20">
        <f t="shared" si="59"/>
        <v>0</v>
      </c>
      <c r="AS196" s="20">
        <v>0</v>
      </c>
      <c r="AT196" s="21">
        <v>0</v>
      </c>
      <c r="AU196" s="20">
        <f t="shared" si="60"/>
        <v>0</v>
      </c>
      <c r="AV196" s="23">
        <f t="shared" si="61"/>
        <v>10</v>
      </c>
      <c r="AW196" s="22">
        <f t="shared" si="62"/>
        <v>0</v>
      </c>
      <c r="AX196" s="20">
        <f t="shared" si="63"/>
        <v>10</v>
      </c>
      <c r="AY196" s="28" t="s">
        <v>90</v>
      </c>
      <c r="AZ196" s="28" t="s">
        <v>477</v>
      </c>
      <c r="BA196" s="28" t="s">
        <v>352</v>
      </c>
      <c r="BB196" s="29">
        <v>44389</v>
      </c>
    </row>
    <row r="197" spans="1:54" hidden="1">
      <c r="A197" s="28" t="str">
        <f t="shared" si="48"/>
        <v>815479203236</v>
      </c>
      <c r="B197" s="30">
        <v>815479</v>
      </c>
      <c r="C197" s="30" t="s">
        <v>397</v>
      </c>
      <c r="D197" s="28">
        <v>203236</v>
      </c>
      <c r="E197" s="28" t="s">
        <v>201</v>
      </c>
      <c r="F197" s="28"/>
      <c r="G197" s="28"/>
      <c r="H197" s="28"/>
      <c r="I197" s="28"/>
      <c r="J197" s="28"/>
      <c r="K197" s="28"/>
      <c r="L197" s="20">
        <v>0</v>
      </c>
      <c r="M197" s="21">
        <v>0</v>
      </c>
      <c r="N197" s="20">
        <f t="shared" si="49"/>
        <v>0</v>
      </c>
      <c r="O197" s="20">
        <v>0</v>
      </c>
      <c r="P197" s="21">
        <v>0</v>
      </c>
      <c r="Q197" s="20">
        <f t="shared" si="50"/>
        <v>0</v>
      </c>
      <c r="R197" s="20">
        <v>0</v>
      </c>
      <c r="S197" s="22">
        <v>0</v>
      </c>
      <c r="T197" s="20">
        <f t="shared" si="51"/>
        <v>0</v>
      </c>
      <c r="U197" s="20">
        <v>10</v>
      </c>
      <c r="V197" s="21">
        <v>0</v>
      </c>
      <c r="W197" s="20">
        <f t="shared" si="52"/>
        <v>10</v>
      </c>
      <c r="X197" s="20">
        <v>0</v>
      </c>
      <c r="Y197" s="22">
        <v>0</v>
      </c>
      <c r="Z197" s="20">
        <f t="shared" si="53"/>
        <v>0</v>
      </c>
      <c r="AA197" s="20">
        <v>0</v>
      </c>
      <c r="AB197" s="22">
        <v>0</v>
      </c>
      <c r="AC197" s="20">
        <f t="shared" si="54"/>
        <v>0</v>
      </c>
      <c r="AD197" s="20">
        <v>0</v>
      </c>
      <c r="AE197" s="22">
        <v>0</v>
      </c>
      <c r="AF197" s="20">
        <f t="shared" si="55"/>
        <v>0</v>
      </c>
      <c r="AG197" s="20">
        <v>0</v>
      </c>
      <c r="AH197" s="21">
        <v>0</v>
      </c>
      <c r="AI197" s="20">
        <f t="shared" si="56"/>
        <v>0</v>
      </c>
      <c r="AJ197" s="20">
        <v>0</v>
      </c>
      <c r="AK197" s="21">
        <v>0</v>
      </c>
      <c r="AL197" s="20">
        <f t="shared" si="57"/>
        <v>0</v>
      </c>
      <c r="AM197" s="20">
        <v>0</v>
      </c>
      <c r="AN197" s="21">
        <v>0</v>
      </c>
      <c r="AO197" s="20">
        <f t="shared" si="58"/>
        <v>0</v>
      </c>
      <c r="AP197" s="21">
        <v>0</v>
      </c>
      <c r="AQ197" s="20">
        <v>0</v>
      </c>
      <c r="AR197" s="20">
        <f t="shared" si="59"/>
        <v>0</v>
      </c>
      <c r="AS197" s="20">
        <v>0</v>
      </c>
      <c r="AT197" s="21">
        <v>0</v>
      </c>
      <c r="AU197" s="20">
        <f t="shared" si="60"/>
        <v>0</v>
      </c>
      <c r="AV197" s="23">
        <f t="shared" si="61"/>
        <v>10</v>
      </c>
      <c r="AW197" s="22">
        <f t="shared" si="62"/>
        <v>0</v>
      </c>
      <c r="AX197" s="20">
        <f t="shared" si="63"/>
        <v>10</v>
      </c>
      <c r="AY197" s="28" t="s">
        <v>90</v>
      </c>
      <c r="AZ197" s="28" t="s">
        <v>477</v>
      </c>
      <c r="BA197" s="28" t="s">
        <v>352</v>
      </c>
      <c r="BB197" s="29">
        <v>44389</v>
      </c>
    </row>
    <row r="198" spans="1:54" hidden="1">
      <c r="A198" s="28" t="str">
        <f t="shared" si="48"/>
        <v>815924178237</v>
      </c>
      <c r="B198" s="30">
        <v>815924</v>
      </c>
      <c r="C198" s="30" t="s">
        <v>466</v>
      </c>
      <c r="D198" s="28">
        <v>178237</v>
      </c>
      <c r="E198" s="28" t="s">
        <v>91</v>
      </c>
      <c r="F198" s="28"/>
      <c r="G198" s="28"/>
      <c r="H198" s="28"/>
      <c r="I198" s="28"/>
      <c r="J198" s="28"/>
      <c r="K198" s="28"/>
      <c r="L198" s="20">
        <v>0</v>
      </c>
      <c r="M198" s="21">
        <v>0</v>
      </c>
      <c r="N198" s="20">
        <f t="shared" si="49"/>
        <v>0</v>
      </c>
      <c r="O198" s="20">
        <v>0</v>
      </c>
      <c r="P198" s="21">
        <v>0</v>
      </c>
      <c r="Q198" s="20">
        <f t="shared" si="50"/>
        <v>0</v>
      </c>
      <c r="R198" s="20">
        <v>0</v>
      </c>
      <c r="S198" s="22">
        <v>0</v>
      </c>
      <c r="T198" s="20">
        <f t="shared" si="51"/>
        <v>0</v>
      </c>
      <c r="U198" s="20">
        <v>0</v>
      </c>
      <c r="V198" s="21">
        <v>0</v>
      </c>
      <c r="W198" s="20">
        <f t="shared" si="52"/>
        <v>0</v>
      </c>
      <c r="X198" s="20">
        <v>0</v>
      </c>
      <c r="Y198" s="22">
        <v>0</v>
      </c>
      <c r="Z198" s="20">
        <f t="shared" si="53"/>
        <v>0</v>
      </c>
      <c r="AA198" s="20">
        <v>0</v>
      </c>
      <c r="AB198" s="22">
        <v>0</v>
      </c>
      <c r="AC198" s="20">
        <f t="shared" si="54"/>
        <v>0</v>
      </c>
      <c r="AD198" s="20">
        <v>20</v>
      </c>
      <c r="AE198" s="22">
        <v>0</v>
      </c>
      <c r="AF198" s="20">
        <f t="shared" si="55"/>
        <v>20</v>
      </c>
      <c r="AG198" s="20">
        <v>30</v>
      </c>
      <c r="AH198" s="21">
        <v>0</v>
      </c>
      <c r="AI198" s="20">
        <f t="shared" si="56"/>
        <v>30</v>
      </c>
      <c r="AJ198" s="20">
        <v>46.75</v>
      </c>
      <c r="AK198" s="21">
        <v>0</v>
      </c>
      <c r="AL198" s="20">
        <f t="shared" si="57"/>
        <v>46.75</v>
      </c>
      <c r="AM198" s="20">
        <v>37</v>
      </c>
      <c r="AN198" s="21">
        <v>10</v>
      </c>
      <c r="AO198" s="20">
        <f t="shared" si="58"/>
        <v>47</v>
      </c>
      <c r="AP198" s="21">
        <v>30.5</v>
      </c>
      <c r="AQ198" s="20">
        <v>0</v>
      </c>
      <c r="AR198" s="20">
        <f t="shared" si="59"/>
        <v>30.5</v>
      </c>
      <c r="AS198" s="20">
        <v>52.5</v>
      </c>
      <c r="AT198" s="21">
        <v>0</v>
      </c>
      <c r="AU198" s="20">
        <f t="shared" si="60"/>
        <v>52.5</v>
      </c>
      <c r="AV198" s="23">
        <f t="shared" si="61"/>
        <v>216.75</v>
      </c>
      <c r="AW198" s="22">
        <f t="shared" si="62"/>
        <v>10</v>
      </c>
      <c r="AX198" s="20">
        <f t="shared" si="63"/>
        <v>226.75</v>
      </c>
      <c r="AY198" s="28" t="s">
        <v>90</v>
      </c>
      <c r="AZ198" s="28" t="s">
        <v>477</v>
      </c>
      <c r="BA198" s="28" t="s">
        <v>352</v>
      </c>
      <c r="BB198" s="29">
        <v>44421</v>
      </c>
    </row>
    <row r="199" spans="1:54" hidden="1">
      <c r="A199" s="28" t="str">
        <f t="shared" si="48"/>
        <v>813378178237</v>
      </c>
      <c r="B199" s="30">
        <v>813378</v>
      </c>
      <c r="C199" s="30" t="s">
        <v>454</v>
      </c>
      <c r="D199" s="28">
        <v>178237</v>
      </c>
      <c r="E199" s="28" t="s">
        <v>91</v>
      </c>
      <c r="F199" s="28"/>
      <c r="G199" s="28"/>
      <c r="H199" s="28"/>
      <c r="I199" s="28"/>
      <c r="J199" s="28"/>
      <c r="K199" s="28"/>
      <c r="L199" s="20">
        <v>0</v>
      </c>
      <c r="M199" s="21">
        <v>0</v>
      </c>
      <c r="N199" s="20">
        <f t="shared" si="49"/>
        <v>0</v>
      </c>
      <c r="O199" s="20">
        <v>0</v>
      </c>
      <c r="P199" s="21">
        <v>0</v>
      </c>
      <c r="Q199" s="20">
        <f t="shared" si="50"/>
        <v>0</v>
      </c>
      <c r="R199" s="20">
        <v>0</v>
      </c>
      <c r="S199" s="22">
        <v>0</v>
      </c>
      <c r="T199" s="20">
        <f t="shared" si="51"/>
        <v>0</v>
      </c>
      <c r="U199" s="20">
        <v>0</v>
      </c>
      <c r="V199" s="21">
        <v>0</v>
      </c>
      <c r="W199" s="20">
        <f t="shared" si="52"/>
        <v>0</v>
      </c>
      <c r="X199" s="20">
        <v>0</v>
      </c>
      <c r="Y199" s="22">
        <v>0</v>
      </c>
      <c r="Z199" s="20">
        <f t="shared" si="53"/>
        <v>0</v>
      </c>
      <c r="AA199" s="20">
        <v>0</v>
      </c>
      <c r="AB199" s="22">
        <v>0</v>
      </c>
      <c r="AC199" s="20">
        <f t="shared" si="54"/>
        <v>0</v>
      </c>
      <c r="AD199" s="20">
        <v>0</v>
      </c>
      <c r="AE199" s="22">
        <v>0</v>
      </c>
      <c r="AF199" s="20">
        <f t="shared" si="55"/>
        <v>0</v>
      </c>
      <c r="AG199" s="20">
        <v>0</v>
      </c>
      <c r="AH199" s="21">
        <v>0</v>
      </c>
      <c r="AI199" s="20">
        <f t="shared" si="56"/>
        <v>0</v>
      </c>
      <c r="AJ199" s="20">
        <v>0</v>
      </c>
      <c r="AK199" s="21">
        <v>0</v>
      </c>
      <c r="AL199" s="20">
        <f t="shared" si="57"/>
        <v>0</v>
      </c>
      <c r="AM199" s="20">
        <v>0</v>
      </c>
      <c r="AN199" s="21">
        <v>0</v>
      </c>
      <c r="AO199" s="20">
        <f t="shared" si="58"/>
        <v>0</v>
      </c>
      <c r="AP199" s="21">
        <v>0</v>
      </c>
      <c r="AQ199" s="20">
        <v>0</v>
      </c>
      <c r="AR199" s="20">
        <f t="shared" si="59"/>
        <v>0</v>
      </c>
      <c r="AS199" s="20">
        <v>3</v>
      </c>
      <c r="AT199" s="21">
        <v>0</v>
      </c>
      <c r="AU199" s="20">
        <f t="shared" si="60"/>
        <v>3</v>
      </c>
      <c r="AV199" s="23">
        <f t="shared" si="61"/>
        <v>3</v>
      </c>
      <c r="AW199" s="22">
        <f t="shared" si="62"/>
        <v>0</v>
      </c>
      <c r="AX199" s="20">
        <f t="shared" si="63"/>
        <v>3</v>
      </c>
      <c r="AY199" s="28" t="s">
        <v>90</v>
      </c>
      <c r="AZ199" s="28" t="s">
        <v>477</v>
      </c>
      <c r="BA199" s="28" t="s">
        <v>352</v>
      </c>
      <c r="BB199" s="29">
        <v>44128</v>
      </c>
    </row>
    <row r="200" spans="1:54" hidden="1">
      <c r="A200" s="28" t="str">
        <f t="shared" si="48"/>
        <v>817914178298</v>
      </c>
      <c r="B200" s="30">
        <v>817914</v>
      </c>
      <c r="C200" s="30" t="s">
        <v>518</v>
      </c>
      <c r="D200" s="28">
        <v>178298</v>
      </c>
      <c r="E200" s="28" t="s">
        <v>33</v>
      </c>
      <c r="F200" s="28"/>
      <c r="G200" s="28"/>
      <c r="H200" s="28"/>
      <c r="I200" s="28"/>
      <c r="J200" s="28"/>
      <c r="K200" s="28"/>
      <c r="L200" s="20">
        <v>0</v>
      </c>
      <c r="M200" s="21">
        <v>0</v>
      </c>
      <c r="N200" s="20">
        <f t="shared" si="49"/>
        <v>0</v>
      </c>
      <c r="O200" s="20">
        <v>0</v>
      </c>
      <c r="P200" s="21">
        <v>0</v>
      </c>
      <c r="Q200" s="20">
        <f t="shared" si="50"/>
        <v>0</v>
      </c>
      <c r="R200" s="20">
        <v>0</v>
      </c>
      <c r="S200" s="22">
        <v>0</v>
      </c>
      <c r="T200" s="20">
        <f t="shared" si="51"/>
        <v>0</v>
      </c>
      <c r="U200" s="20">
        <v>0</v>
      </c>
      <c r="V200" s="21">
        <v>0</v>
      </c>
      <c r="W200" s="20">
        <f t="shared" si="52"/>
        <v>0</v>
      </c>
      <c r="X200" s="20">
        <v>0</v>
      </c>
      <c r="Y200" s="22">
        <v>0</v>
      </c>
      <c r="Z200" s="20">
        <f t="shared" si="53"/>
        <v>0</v>
      </c>
      <c r="AA200" s="20">
        <v>0</v>
      </c>
      <c r="AB200" s="22">
        <v>0</v>
      </c>
      <c r="AC200" s="20">
        <f t="shared" si="54"/>
        <v>0</v>
      </c>
      <c r="AD200" s="20">
        <v>0</v>
      </c>
      <c r="AE200" s="22">
        <v>0</v>
      </c>
      <c r="AF200" s="20">
        <f t="shared" si="55"/>
        <v>0</v>
      </c>
      <c r="AG200" s="20">
        <v>0</v>
      </c>
      <c r="AH200" s="21">
        <v>0</v>
      </c>
      <c r="AI200" s="20">
        <f t="shared" si="56"/>
        <v>0</v>
      </c>
      <c r="AJ200" s="20">
        <v>0</v>
      </c>
      <c r="AK200" s="21">
        <v>0</v>
      </c>
      <c r="AL200" s="20">
        <f t="shared" si="57"/>
        <v>0</v>
      </c>
      <c r="AM200" s="20">
        <v>0</v>
      </c>
      <c r="AN200" s="21">
        <v>0</v>
      </c>
      <c r="AO200" s="20">
        <f t="shared" si="58"/>
        <v>0</v>
      </c>
      <c r="AP200" s="21">
        <v>0</v>
      </c>
      <c r="AQ200" s="20">
        <v>0</v>
      </c>
      <c r="AR200" s="20">
        <f t="shared" si="59"/>
        <v>0</v>
      </c>
      <c r="AS200" s="20">
        <v>13</v>
      </c>
      <c r="AT200" s="21">
        <v>0</v>
      </c>
      <c r="AU200" s="20">
        <f t="shared" si="60"/>
        <v>13</v>
      </c>
      <c r="AV200" s="23">
        <f t="shared" si="61"/>
        <v>13</v>
      </c>
      <c r="AW200" s="22">
        <f t="shared" si="62"/>
        <v>0</v>
      </c>
      <c r="AX200" s="20">
        <f t="shared" si="63"/>
        <v>13</v>
      </c>
      <c r="AY200" s="28" t="s">
        <v>90</v>
      </c>
      <c r="AZ200" s="28" t="s">
        <v>477</v>
      </c>
      <c r="BA200" s="28" t="s">
        <v>352</v>
      </c>
      <c r="BB200" s="29">
        <v>44592</v>
      </c>
    </row>
    <row r="201" spans="1:54" hidden="1">
      <c r="A201" s="28" t="str">
        <f t="shared" si="48"/>
        <v>803018176276</v>
      </c>
      <c r="B201" s="30">
        <v>803018</v>
      </c>
      <c r="C201" s="30" t="s">
        <v>202</v>
      </c>
      <c r="D201" s="31">
        <v>176276</v>
      </c>
      <c r="E201" s="28" t="s">
        <v>181</v>
      </c>
      <c r="F201" s="28"/>
      <c r="G201" s="28"/>
      <c r="H201" s="28"/>
      <c r="I201" s="28"/>
      <c r="J201" s="28"/>
      <c r="K201" s="28"/>
      <c r="L201" s="20">
        <v>25</v>
      </c>
      <c r="M201" s="21">
        <v>0</v>
      </c>
      <c r="N201" s="20">
        <f t="shared" si="49"/>
        <v>25</v>
      </c>
      <c r="O201" s="20">
        <v>10</v>
      </c>
      <c r="P201" s="21">
        <v>0</v>
      </c>
      <c r="Q201" s="20">
        <f t="shared" si="50"/>
        <v>10</v>
      </c>
      <c r="R201" s="20">
        <v>5</v>
      </c>
      <c r="S201" s="22">
        <v>0</v>
      </c>
      <c r="T201" s="20">
        <f t="shared" si="51"/>
        <v>5</v>
      </c>
      <c r="U201" s="20">
        <v>17.5</v>
      </c>
      <c r="V201" s="21">
        <v>0</v>
      </c>
      <c r="W201" s="20">
        <f t="shared" si="52"/>
        <v>17.5</v>
      </c>
      <c r="X201" s="20">
        <v>10</v>
      </c>
      <c r="Y201" s="22">
        <v>0</v>
      </c>
      <c r="Z201" s="20">
        <f t="shared" si="53"/>
        <v>10</v>
      </c>
      <c r="AA201" s="20">
        <v>5</v>
      </c>
      <c r="AB201" s="22">
        <v>0</v>
      </c>
      <c r="AC201" s="20">
        <f t="shared" si="54"/>
        <v>5</v>
      </c>
      <c r="AD201" s="20">
        <v>5</v>
      </c>
      <c r="AE201" s="22">
        <v>0</v>
      </c>
      <c r="AF201" s="20">
        <f t="shared" si="55"/>
        <v>5</v>
      </c>
      <c r="AG201" s="20">
        <v>15</v>
      </c>
      <c r="AH201" s="21">
        <v>0</v>
      </c>
      <c r="AI201" s="20">
        <f t="shared" si="56"/>
        <v>15</v>
      </c>
      <c r="AJ201" s="20">
        <v>15</v>
      </c>
      <c r="AK201" s="21">
        <v>0</v>
      </c>
      <c r="AL201" s="20">
        <f t="shared" si="57"/>
        <v>15</v>
      </c>
      <c r="AM201" s="20">
        <v>17.5</v>
      </c>
      <c r="AN201" s="21">
        <v>0</v>
      </c>
      <c r="AO201" s="20">
        <f t="shared" si="58"/>
        <v>17.5</v>
      </c>
      <c r="AP201" s="21">
        <v>17.5</v>
      </c>
      <c r="AQ201" s="20">
        <v>0</v>
      </c>
      <c r="AR201" s="20">
        <f t="shared" si="59"/>
        <v>17.5</v>
      </c>
      <c r="AS201" s="20">
        <v>13.8</v>
      </c>
      <c r="AT201" s="21">
        <v>0</v>
      </c>
      <c r="AU201" s="20">
        <f t="shared" si="60"/>
        <v>13.8</v>
      </c>
      <c r="AV201" s="23">
        <f t="shared" si="61"/>
        <v>156.30000000000001</v>
      </c>
      <c r="AW201" s="22">
        <f t="shared" si="62"/>
        <v>0</v>
      </c>
      <c r="AX201" s="20">
        <f t="shared" si="63"/>
        <v>156.30000000000001</v>
      </c>
      <c r="AY201" s="28" t="s">
        <v>477</v>
      </c>
      <c r="AZ201" s="28" t="s">
        <v>477</v>
      </c>
      <c r="BA201" s="28" t="s">
        <v>352</v>
      </c>
      <c r="BB201" s="29">
        <v>41607</v>
      </c>
    </row>
    <row r="202" spans="1:54" hidden="1">
      <c r="A202" s="28" t="str">
        <f t="shared" si="48"/>
        <v>803698172976</v>
      </c>
      <c r="B202" s="30">
        <v>803698</v>
      </c>
      <c r="C202" s="30" t="s">
        <v>335</v>
      </c>
      <c r="D202" s="31">
        <v>172976</v>
      </c>
      <c r="E202" s="28" t="s">
        <v>248</v>
      </c>
      <c r="F202" s="28"/>
      <c r="G202" s="28"/>
      <c r="H202" s="28"/>
      <c r="I202" s="28"/>
      <c r="J202" s="28"/>
      <c r="K202" s="28"/>
      <c r="L202" s="20">
        <v>0</v>
      </c>
      <c r="M202" s="21">
        <v>0</v>
      </c>
      <c r="N202" s="20">
        <f t="shared" si="49"/>
        <v>0</v>
      </c>
      <c r="O202" s="20">
        <v>5</v>
      </c>
      <c r="P202" s="21">
        <v>0</v>
      </c>
      <c r="Q202" s="20">
        <f t="shared" si="50"/>
        <v>5</v>
      </c>
      <c r="R202" s="20">
        <v>21</v>
      </c>
      <c r="S202" s="22">
        <v>0</v>
      </c>
      <c r="T202" s="20">
        <f t="shared" si="51"/>
        <v>21</v>
      </c>
      <c r="U202" s="20">
        <v>17.5</v>
      </c>
      <c r="V202" s="21">
        <v>0</v>
      </c>
      <c r="W202" s="20">
        <f t="shared" si="52"/>
        <v>17.5</v>
      </c>
      <c r="X202" s="20">
        <v>53</v>
      </c>
      <c r="Y202" s="22">
        <v>6</v>
      </c>
      <c r="Z202" s="20">
        <f t="shared" si="53"/>
        <v>59</v>
      </c>
      <c r="AA202" s="20">
        <v>1</v>
      </c>
      <c r="AB202" s="22">
        <v>0</v>
      </c>
      <c r="AC202" s="20">
        <f t="shared" si="54"/>
        <v>1</v>
      </c>
      <c r="AD202" s="20">
        <v>32.5</v>
      </c>
      <c r="AE202" s="22">
        <v>3</v>
      </c>
      <c r="AF202" s="20">
        <f t="shared" si="55"/>
        <v>35.5</v>
      </c>
      <c r="AG202" s="20">
        <v>10</v>
      </c>
      <c r="AH202" s="21">
        <v>0</v>
      </c>
      <c r="AI202" s="20">
        <f t="shared" si="56"/>
        <v>10</v>
      </c>
      <c r="AJ202" s="20">
        <v>32.5</v>
      </c>
      <c r="AK202" s="21">
        <v>0</v>
      </c>
      <c r="AL202" s="20">
        <f t="shared" si="57"/>
        <v>32.5</v>
      </c>
      <c r="AM202" s="20">
        <v>42</v>
      </c>
      <c r="AN202" s="21">
        <v>0</v>
      </c>
      <c r="AO202" s="20">
        <f t="shared" si="58"/>
        <v>42</v>
      </c>
      <c r="AP202" s="21">
        <v>35.5</v>
      </c>
      <c r="AQ202" s="20">
        <v>0</v>
      </c>
      <c r="AR202" s="20">
        <f t="shared" si="59"/>
        <v>35.5</v>
      </c>
      <c r="AS202" s="20">
        <v>20</v>
      </c>
      <c r="AT202" s="21">
        <v>0</v>
      </c>
      <c r="AU202" s="20">
        <f t="shared" si="60"/>
        <v>20</v>
      </c>
      <c r="AV202" s="23">
        <f t="shared" si="61"/>
        <v>270</v>
      </c>
      <c r="AW202" s="22">
        <f t="shared" si="62"/>
        <v>9</v>
      </c>
      <c r="AX202" s="20">
        <f t="shared" si="63"/>
        <v>279</v>
      </c>
      <c r="AY202" s="28" t="s">
        <v>477</v>
      </c>
      <c r="AZ202" s="28" t="s">
        <v>477</v>
      </c>
      <c r="BA202" s="28" t="s">
        <v>352</v>
      </c>
      <c r="BB202" s="29">
        <v>41962</v>
      </c>
    </row>
    <row r="203" spans="1:54" hidden="1">
      <c r="A203" s="28" t="str">
        <f t="shared" si="48"/>
        <v>804818119261</v>
      </c>
      <c r="B203" s="30">
        <v>804818</v>
      </c>
      <c r="C203" s="30" t="s">
        <v>266</v>
      </c>
      <c r="D203" s="31">
        <v>119261</v>
      </c>
      <c r="E203" s="28" t="s">
        <v>170</v>
      </c>
      <c r="F203" s="28"/>
      <c r="G203" s="28"/>
      <c r="H203" s="28"/>
      <c r="I203" s="28"/>
      <c r="J203" s="28"/>
      <c r="K203" s="28"/>
      <c r="L203" s="20">
        <v>50</v>
      </c>
      <c r="M203" s="21">
        <v>0</v>
      </c>
      <c r="N203" s="20">
        <f t="shared" si="49"/>
        <v>50</v>
      </c>
      <c r="O203" s="20">
        <v>0</v>
      </c>
      <c r="P203" s="21">
        <v>0</v>
      </c>
      <c r="Q203" s="20">
        <f t="shared" si="50"/>
        <v>0</v>
      </c>
      <c r="R203" s="20">
        <v>103</v>
      </c>
      <c r="S203" s="22">
        <v>0</v>
      </c>
      <c r="T203" s="20">
        <f t="shared" si="51"/>
        <v>103</v>
      </c>
      <c r="U203" s="20">
        <v>53</v>
      </c>
      <c r="V203" s="21">
        <v>0</v>
      </c>
      <c r="W203" s="20">
        <f t="shared" si="52"/>
        <v>53</v>
      </c>
      <c r="X203" s="20">
        <v>22</v>
      </c>
      <c r="Y203" s="22">
        <v>0</v>
      </c>
      <c r="Z203" s="20">
        <f t="shared" si="53"/>
        <v>22</v>
      </c>
      <c r="AA203" s="20">
        <v>100</v>
      </c>
      <c r="AB203" s="22">
        <v>0</v>
      </c>
      <c r="AC203" s="20">
        <f t="shared" si="54"/>
        <v>100</v>
      </c>
      <c r="AD203" s="20">
        <v>53</v>
      </c>
      <c r="AE203" s="22">
        <v>0</v>
      </c>
      <c r="AF203" s="20">
        <f t="shared" si="55"/>
        <v>53</v>
      </c>
      <c r="AG203" s="20">
        <v>50</v>
      </c>
      <c r="AH203" s="21">
        <v>0</v>
      </c>
      <c r="AI203" s="20">
        <f t="shared" si="56"/>
        <v>50</v>
      </c>
      <c r="AJ203" s="20">
        <v>51</v>
      </c>
      <c r="AK203" s="21">
        <v>0</v>
      </c>
      <c r="AL203" s="20">
        <f t="shared" si="57"/>
        <v>51</v>
      </c>
      <c r="AM203" s="20">
        <v>75.5</v>
      </c>
      <c r="AN203" s="21">
        <v>0.5</v>
      </c>
      <c r="AO203" s="20">
        <f t="shared" si="58"/>
        <v>76</v>
      </c>
      <c r="AP203" s="21">
        <v>0</v>
      </c>
      <c r="AQ203" s="20">
        <v>0</v>
      </c>
      <c r="AR203" s="20">
        <f t="shared" si="59"/>
        <v>0</v>
      </c>
      <c r="AS203" s="20">
        <v>50</v>
      </c>
      <c r="AT203" s="21">
        <v>0</v>
      </c>
      <c r="AU203" s="20">
        <f t="shared" si="60"/>
        <v>50</v>
      </c>
      <c r="AV203" s="23">
        <f t="shared" si="61"/>
        <v>607.5</v>
      </c>
      <c r="AW203" s="22">
        <f t="shared" si="62"/>
        <v>0.5</v>
      </c>
      <c r="AX203" s="20">
        <f t="shared" si="63"/>
        <v>608</v>
      </c>
      <c r="AY203" s="28" t="s">
        <v>477</v>
      </c>
      <c r="AZ203" s="28" t="s">
        <v>477</v>
      </c>
      <c r="BA203" s="28" t="s">
        <v>352</v>
      </c>
      <c r="BB203" s="29">
        <v>42408</v>
      </c>
    </row>
    <row r="204" spans="1:54" hidden="1">
      <c r="A204" s="28" t="str">
        <f t="shared" si="48"/>
        <v>804978176276</v>
      </c>
      <c r="B204" s="30">
        <v>804978</v>
      </c>
      <c r="C204" s="30" t="s">
        <v>479</v>
      </c>
      <c r="D204" s="28">
        <v>176276</v>
      </c>
      <c r="E204" s="28" t="s">
        <v>181</v>
      </c>
      <c r="F204" s="28"/>
      <c r="G204" s="28"/>
      <c r="H204" s="28"/>
      <c r="I204" s="28"/>
      <c r="J204" s="28"/>
      <c r="K204" s="28"/>
      <c r="L204" s="20">
        <v>0</v>
      </c>
      <c r="M204" s="21">
        <v>0</v>
      </c>
      <c r="N204" s="20">
        <f t="shared" si="49"/>
        <v>0</v>
      </c>
      <c r="O204" s="20">
        <v>0</v>
      </c>
      <c r="P204" s="21">
        <v>0</v>
      </c>
      <c r="Q204" s="20">
        <f t="shared" si="50"/>
        <v>0</v>
      </c>
      <c r="R204" s="20">
        <v>0</v>
      </c>
      <c r="S204" s="22">
        <v>0</v>
      </c>
      <c r="T204" s="20">
        <f t="shared" si="51"/>
        <v>0</v>
      </c>
      <c r="U204" s="20">
        <v>0</v>
      </c>
      <c r="V204" s="21">
        <v>0</v>
      </c>
      <c r="W204" s="20">
        <f t="shared" si="52"/>
        <v>0</v>
      </c>
      <c r="X204" s="20">
        <v>0</v>
      </c>
      <c r="Y204" s="22">
        <v>0</v>
      </c>
      <c r="Z204" s="20">
        <f t="shared" si="53"/>
        <v>0</v>
      </c>
      <c r="AA204" s="20">
        <v>0</v>
      </c>
      <c r="AB204" s="22">
        <v>0</v>
      </c>
      <c r="AC204" s="20">
        <f t="shared" si="54"/>
        <v>0</v>
      </c>
      <c r="AD204" s="20">
        <v>0</v>
      </c>
      <c r="AE204" s="22">
        <v>0</v>
      </c>
      <c r="AF204" s="20">
        <f t="shared" si="55"/>
        <v>0</v>
      </c>
      <c r="AG204" s="20">
        <v>30</v>
      </c>
      <c r="AH204" s="21">
        <v>0</v>
      </c>
      <c r="AI204" s="20">
        <f t="shared" si="56"/>
        <v>30</v>
      </c>
      <c r="AJ204" s="20">
        <v>32.5</v>
      </c>
      <c r="AK204" s="21">
        <v>0</v>
      </c>
      <c r="AL204" s="20">
        <f t="shared" si="57"/>
        <v>32.5</v>
      </c>
      <c r="AM204" s="20">
        <v>0</v>
      </c>
      <c r="AN204" s="21">
        <v>0</v>
      </c>
      <c r="AO204" s="20">
        <f t="shared" si="58"/>
        <v>0</v>
      </c>
      <c r="AP204" s="21">
        <v>0</v>
      </c>
      <c r="AQ204" s="20">
        <v>0</v>
      </c>
      <c r="AR204" s="20">
        <f t="shared" si="59"/>
        <v>0</v>
      </c>
      <c r="AS204" s="20">
        <v>0</v>
      </c>
      <c r="AT204" s="21">
        <v>0</v>
      </c>
      <c r="AU204" s="20">
        <f t="shared" si="60"/>
        <v>0</v>
      </c>
      <c r="AV204" s="23">
        <f t="shared" si="61"/>
        <v>62.5</v>
      </c>
      <c r="AW204" s="22">
        <f t="shared" si="62"/>
        <v>0</v>
      </c>
      <c r="AX204" s="20">
        <f t="shared" si="63"/>
        <v>62.5</v>
      </c>
      <c r="AY204" s="28" t="s">
        <v>477</v>
      </c>
      <c r="AZ204" s="28" t="s">
        <v>477</v>
      </c>
      <c r="BA204" s="28" t="s">
        <v>352</v>
      </c>
      <c r="BB204" s="29">
        <v>42485</v>
      </c>
    </row>
    <row r="205" spans="1:54" hidden="1">
      <c r="A205" s="28" t="str">
        <f t="shared" si="48"/>
        <v>805005146845</v>
      </c>
      <c r="B205" s="30">
        <v>805005</v>
      </c>
      <c r="C205" s="30" t="s">
        <v>265</v>
      </c>
      <c r="D205" s="31">
        <v>146845</v>
      </c>
      <c r="E205" s="28" t="s">
        <v>235</v>
      </c>
      <c r="F205" s="28"/>
      <c r="G205" s="28"/>
      <c r="H205" s="28"/>
      <c r="I205" s="28"/>
      <c r="J205" s="28"/>
      <c r="K205" s="28"/>
      <c r="L205" s="20">
        <v>52</v>
      </c>
      <c r="M205" s="21">
        <v>0</v>
      </c>
      <c r="N205" s="20">
        <f t="shared" si="49"/>
        <v>52</v>
      </c>
      <c r="O205" s="20">
        <v>32.5</v>
      </c>
      <c r="P205" s="21">
        <v>0</v>
      </c>
      <c r="Q205" s="20">
        <f t="shared" si="50"/>
        <v>32.5</v>
      </c>
      <c r="R205" s="20">
        <v>40</v>
      </c>
      <c r="S205" s="22">
        <v>0</v>
      </c>
      <c r="T205" s="20">
        <f t="shared" si="51"/>
        <v>40</v>
      </c>
      <c r="U205" s="20">
        <v>73.099999999999994</v>
      </c>
      <c r="V205" s="21">
        <v>0</v>
      </c>
      <c r="W205" s="20">
        <f t="shared" si="52"/>
        <v>73.099999999999994</v>
      </c>
      <c r="X205" s="20">
        <v>58.25</v>
      </c>
      <c r="Y205" s="22">
        <v>0</v>
      </c>
      <c r="Z205" s="20">
        <f t="shared" si="53"/>
        <v>58.25</v>
      </c>
      <c r="AA205" s="20">
        <v>44.45</v>
      </c>
      <c r="AB205" s="22">
        <v>0</v>
      </c>
      <c r="AC205" s="20">
        <f t="shared" si="54"/>
        <v>44.45</v>
      </c>
      <c r="AD205" s="20">
        <v>44</v>
      </c>
      <c r="AE205" s="22">
        <v>0</v>
      </c>
      <c r="AF205" s="20">
        <f t="shared" si="55"/>
        <v>44</v>
      </c>
      <c r="AG205" s="20">
        <v>23.75</v>
      </c>
      <c r="AH205" s="21">
        <v>0</v>
      </c>
      <c r="AI205" s="20">
        <f t="shared" si="56"/>
        <v>23.75</v>
      </c>
      <c r="AJ205" s="20">
        <v>25</v>
      </c>
      <c r="AK205" s="21">
        <v>0</v>
      </c>
      <c r="AL205" s="20">
        <f t="shared" si="57"/>
        <v>25</v>
      </c>
      <c r="AM205" s="20">
        <v>23.75</v>
      </c>
      <c r="AN205" s="21">
        <v>0</v>
      </c>
      <c r="AO205" s="20">
        <f t="shared" si="58"/>
        <v>23.75</v>
      </c>
      <c r="AP205" s="21">
        <v>23.25</v>
      </c>
      <c r="AQ205" s="20">
        <v>0</v>
      </c>
      <c r="AR205" s="20">
        <f t="shared" si="59"/>
        <v>23.25</v>
      </c>
      <c r="AS205" s="20">
        <v>33.5</v>
      </c>
      <c r="AT205" s="21">
        <v>0</v>
      </c>
      <c r="AU205" s="20">
        <f t="shared" si="60"/>
        <v>33.5</v>
      </c>
      <c r="AV205" s="23">
        <f t="shared" si="61"/>
        <v>473.55</v>
      </c>
      <c r="AW205" s="22">
        <f t="shared" si="62"/>
        <v>0</v>
      </c>
      <c r="AX205" s="20">
        <f t="shared" si="63"/>
        <v>473.55</v>
      </c>
      <c r="AY205" s="28" t="s">
        <v>477</v>
      </c>
      <c r="AZ205" s="28" t="s">
        <v>477</v>
      </c>
      <c r="BA205" s="28" t="s">
        <v>352</v>
      </c>
      <c r="BB205" s="29">
        <v>42490</v>
      </c>
    </row>
    <row r="206" spans="1:54" hidden="1">
      <c r="A206" s="28" t="str">
        <f t="shared" si="48"/>
        <v>805375119261</v>
      </c>
      <c r="B206" s="30">
        <v>805375</v>
      </c>
      <c r="C206" s="30" t="s">
        <v>275</v>
      </c>
      <c r="D206" s="31">
        <v>119261</v>
      </c>
      <c r="E206" s="28" t="s">
        <v>170</v>
      </c>
      <c r="F206" s="28"/>
      <c r="G206" s="28"/>
      <c r="H206" s="28"/>
      <c r="I206" s="28"/>
      <c r="J206" s="28"/>
      <c r="K206" s="28"/>
      <c r="L206" s="20">
        <v>30</v>
      </c>
      <c r="M206" s="21">
        <v>0</v>
      </c>
      <c r="N206" s="20">
        <f t="shared" si="49"/>
        <v>30</v>
      </c>
      <c r="O206" s="20">
        <v>0</v>
      </c>
      <c r="P206" s="21">
        <v>0</v>
      </c>
      <c r="Q206" s="20">
        <f t="shared" si="50"/>
        <v>0</v>
      </c>
      <c r="R206" s="20">
        <v>51</v>
      </c>
      <c r="S206" s="22">
        <v>5</v>
      </c>
      <c r="T206" s="20">
        <f t="shared" si="51"/>
        <v>56</v>
      </c>
      <c r="U206" s="20">
        <v>1</v>
      </c>
      <c r="V206" s="21">
        <v>0</v>
      </c>
      <c r="W206" s="20">
        <f t="shared" si="52"/>
        <v>1</v>
      </c>
      <c r="X206" s="20">
        <v>50</v>
      </c>
      <c r="Y206" s="22">
        <v>0</v>
      </c>
      <c r="Z206" s="20">
        <f t="shared" si="53"/>
        <v>50</v>
      </c>
      <c r="AA206" s="20">
        <v>23</v>
      </c>
      <c r="AB206" s="22">
        <v>0</v>
      </c>
      <c r="AC206" s="20">
        <f t="shared" si="54"/>
        <v>23</v>
      </c>
      <c r="AD206" s="20">
        <v>50.5</v>
      </c>
      <c r="AE206" s="22">
        <v>0</v>
      </c>
      <c r="AF206" s="20">
        <f t="shared" si="55"/>
        <v>50.5</v>
      </c>
      <c r="AG206" s="20">
        <v>0</v>
      </c>
      <c r="AH206" s="21">
        <v>0</v>
      </c>
      <c r="AI206" s="20">
        <f t="shared" si="56"/>
        <v>0</v>
      </c>
      <c r="AJ206" s="20">
        <v>0</v>
      </c>
      <c r="AK206" s="21">
        <v>0</v>
      </c>
      <c r="AL206" s="20">
        <f t="shared" si="57"/>
        <v>0</v>
      </c>
      <c r="AM206" s="20">
        <v>90</v>
      </c>
      <c r="AN206" s="21">
        <v>0</v>
      </c>
      <c r="AO206" s="20">
        <f t="shared" si="58"/>
        <v>90</v>
      </c>
      <c r="AP206" s="21">
        <v>0</v>
      </c>
      <c r="AQ206" s="20">
        <v>0</v>
      </c>
      <c r="AR206" s="20">
        <f t="shared" si="59"/>
        <v>0</v>
      </c>
      <c r="AS206" s="20">
        <v>0</v>
      </c>
      <c r="AT206" s="21">
        <v>0</v>
      </c>
      <c r="AU206" s="20">
        <f t="shared" si="60"/>
        <v>0</v>
      </c>
      <c r="AV206" s="23">
        <f t="shared" si="61"/>
        <v>295.5</v>
      </c>
      <c r="AW206" s="22">
        <f t="shared" si="62"/>
        <v>5</v>
      </c>
      <c r="AX206" s="20">
        <f t="shared" si="63"/>
        <v>300.5</v>
      </c>
      <c r="AY206" s="28" t="s">
        <v>477</v>
      </c>
      <c r="AZ206" s="28" t="s">
        <v>477</v>
      </c>
      <c r="BA206" s="28" t="s">
        <v>352</v>
      </c>
      <c r="BB206" s="29">
        <v>42580</v>
      </c>
    </row>
    <row r="207" spans="1:54" hidden="1">
      <c r="A207" s="28" t="str">
        <f t="shared" si="48"/>
        <v>805378176276</v>
      </c>
      <c r="B207" s="30">
        <v>805378</v>
      </c>
      <c r="C207" s="30" t="s">
        <v>204</v>
      </c>
      <c r="D207" s="31">
        <v>176276</v>
      </c>
      <c r="E207" s="28" t="s">
        <v>181</v>
      </c>
      <c r="F207" s="28"/>
      <c r="G207" s="28"/>
      <c r="H207" s="28"/>
      <c r="I207" s="28"/>
      <c r="J207" s="28"/>
      <c r="K207" s="28"/>
      <c r="L207" s="20">
        <v>47.5</v>
      </c>
      <c r="M207" s="21">
        <v>0</v>
      </c>
      <c r="N207" s="20">
        <f t="shared" si="49"/>
        <v>47.5</v>
      </c>
      <c r="O207" s="20">
        <v>50</v>
      </c>
      <c r="P207" s="21">
        <v>0</v>
      </c>
      <c r="Q207" s="20">
        <f t="shared" si="50"/>
        <v>50</v>
      </c>
      <c r="R207" s="20">
        <v>66</v>
      </c>
      <c r="S207" s="22">
        <v>0</v>
      </c>
      <c r="T207" s="20">
        <f t="shared" si="51"/>
        <v>66</v>
      </c>
      <c r="U207" s="20">
        <v>80.5</v>
      </c>
      <c r="V207" s="21">
        <v>0</v>
      </c>
      <c r="W207" s="20">
        <f t="shared" si="52"/>
        <v>80.5</v>
      </c>
      <c r="X207" s="20">
        <v>100</v>
      </c>
      <c r="Y207" s="22">
        <v>0</v>
      </c>
      <c r="Z207" s="20">
        <f t="shared" si="53"/>
        <v>100</v>
      </c>
      <c r="AA207" s="20">
        <v>100</v>
      </c>
      <c r="AB207" s="22">
        <v>0</v>
      </c>
      <c r="AC207" s="20">
        <f t="shared" si="54"/>
        <v>100</v>
      </c>
      <c r="AD207" s="20">
        <v>83</v>
      </c>
      <c r="AE207" s="22">
        <v>0</v>
      </c>
      <c r="AF207" s="20">
        <f t="shared" si="55"/>
        <v>83</v>
      </c>
      <c r="AG207" s="20">
        <v>51</v>
      </c>
      <c r="AH207" s="21">
        <v>0</v>
      </c>
      <c r="AI207" s="20">
        <f t="shared" si="56"/>
        <v>51</v>
      </c>
      <c r="AJ207" s="20">
        <v>215.7</v>
      </c>
      <c r="AK207" s="21">
        <v>5</v>
      </c>
      <c r="AL207" s="20">
        <f t="shared" si="57"/>
        <v>220.7</v>
      </c>
      <c r="AM207" s="20">
        <v>148</v>
      </c>
      <c r="AN207" s="21">
        <v>0</v>
      </c>
      <c r="AO207" s="20">
        <f t="shared" si="58"/>
        <v>148</v>
      </c>
      <c r="AP207" s="21">
        <v>157</v>
      </c>
      <c r="AQ207" s="20">
        <v>0</v>
      </c>
      <c r="AR207" s="20">
        <f t="shared" si="59"/>
        <v>157</v>
      </c>
      <c r="AS207" s="20">
        <v>181.2</v>
      </c>
      <c r="AT207" s="21">
        <v>0</v>
      </c>
      <c r="AU207" s="20">
        <f t="shared" si="60"/>
        <v>181.2</v>
      </c>
      <c r="AV207" s="23">
        <f t="shared" si="61"/>
        <v>1279.9000000000001</v>
      </c>
      <c r="AW207" s="22">
        <f t="shared" si="62"/>
        <v>5</v>
      </c>
      <c r="AX207" s="20">
        <f t="shared" si="63"/>
        <v>1284.9000000000001</v>
      </c>
      <c r="AY207" s="28" t="s">
        <v>477</v>
      </c>
      <c r="AZ207" s="28" t="s">
        <v>477</v>
      </c>
      <c r="BA207" s="28" t="s">
        <v>352</v>
      </c>
      <c r="BB207" s="29">
        <v>42580</v>
      </c>
    </row>
    <row r="208" spans="1:54" hidden="1">
      <c r="A208" s="28" t="str">
        <f t="shared" si="48"/>
        <v>805869176821</v>
      </c>
      <c r="B208" s="30">
        <v>805869</v>
      </c>
      <c r="C208" s="30" t="s">
        <v>525</v>
      </c>
      <c r="D208" s="28">
        <v>176821</v>
      </c>
      <c r="E208" s="28" t="s">
        <v>526</v>
      </c>
      <c r="F208" s="28"/>
      <c r="G208" s="28"/>
      <c r="H208" s="28"/>
      <c r="I208" s="28"/>
      <c r="J208" s="28"/>
      <c r="K208" s="28"/>
      <c r="L208" s="20">
        <v>0</v>
      </c>
      <c r="M208" s="21">
        <v>0</v>
      </c>
      <c r="N208" s="20">
        <f t="shared" si="49"/>
        <v>0</v>
      </c>
      <c r="O208" s="20">
        <v>0</v>
      </c>
      <c r="P208" s="21">
        <v>0</v>
      </c>
      <c r="Q208" s="20">
        <f t="shared" si="50"/>
        <v>0</v>
      </c>
      <c r="R208" s="20">
        <v>0</v>
      </c>
      <c r="S208" s="22">
        <v>0</v>
      </c>
      <c r="T208" s="20">
        <f t="shared" si="51"/>
        <v>0</v>
      </c>
      <c r="U208" s="20">
        <v>0</v>
      </c>
      <c r="V208" s="21">
        <v>0</v>
      </c>
      <c r="W208" s="20">
        <f t="shared" si="52"/>
        <v>0</v>
      </c>
      <c r="X208" s="20">
        <v>0</v>
      </c>
      <c r="Y208" s="22">
        <v>0</v>
      </c>
      <c r="Z208" s="20">
        <f t="shared" si="53"/>
        <v>0</v>
      </c>
      <c r="AA208" s="20">
        <v>0</v>
      </c>
      <c r="AB208" s="22">
        <v>0</v>
      </c>
      <c r="AC208" s="20">
        <f t="shared" si="54"/>
        <v>0</v>
      </c>
      <c r="AD208" s="20">
        <v>0</v>
      </c>
      <c r="AE208" s="22">
        <v>0</v>
      </c>
      <c r="AF208" s="20">
        <f t="shared" si="55"/>
        <v>0</v>
      </c>
      <c r="AG208" s="20">
        <v>0</v>
      </c>
      <c r="AH208" s="21">
        <v>0</v>
      </c>
      <c r="AI208" s="20">
        <f t="shared" si="56"/>
        <v>0</v>
      </c>
      <c r="AJ208" s="20">
        <v>0</v>
      </c>
      <c r="AK208" s="21">
        <v>0</v>
      </c>
      <c r="AL208" s="20">
        <f t="shared" si="57"/>
        <v>0</v>
      </c>
      <c r="AM208" s="20">
        <v>0</v>
      </c>
      <c r="AN208" s="21">
        <v>0</v>
      </c>
      <c r="AO208" s="20">
        <f t="shared" si="58"/>
        <v>0</v>
      </c>
      <c r="AP208" s="21">
        <v>2.5</v>
      </c>
      <c r="AQ208" s="20">
        <v>1.25</v>
      </c>
      <c r="AR208" s="20">
        <f t="shared" si="59"/>
        <v>3.75</v>
      </c>
      <c r="AS208" s="20">
        <v>2.5</v>
      </c>
      <c r="AT208" s="21">
        <v>0</v>
      </c>
      <c r="AU208" s="20">
        <f t="shared" si="60"/>
        <v>2.5</v>
      </c>
      <c r="AV208" s="23">
        <f t="shared" si="61"/>
        <v>5</v>
      </c>
      <c r="AW208" s="22">
        <f t="shared" si="62"/>
        <v>1.25</v>
      </c>
      <c r="AX208" s="20">
        <f t="shared" si="63"/>
        <v>6.25</v>
      </c>
      <c r="AY208" s="28" t="s">
        <v>477</v>
      </c>
      <c r="AZ208" s="28" t="s">
        <v>477</v>
      </c>
      <c r="BA208" s="28" t="s">
        <v>352</v>
      </c>
      <c r="BB208" s="29">
        <v>42724</v>
      </c>
    </row>
    <row r="209" spans="1:54" hidden="1">
      <c r="A209" s="28" t="str">
        <f t="shared" si="48"/>
        <v>806283119038</v>
      </c>
      <c r="B209" s="30">
        <v>806283</v>
      </c>
      <c r="C209" s="30" t="s">
        <v>118</v>
      </c>
      <c r="D209" s="31">
        <v>119038</v>
      </c>
      <c r="E209" s="28" t="s">
        <v>6</v>
      </c>
      <c r="F209" s="28"/>
      <c r="G209" s="28"/>
      <c r="H209" s="28"/>
      <c r="I209" s="28"/>
      <c r="J209" s="28"/>
      <c r="K209" s="28"/>
      <c r="L209" s="20">
        <v>15</v>
      </c>
      <c r="M209" s="21">
        <v>0</v>
      </c>
      <c r="N209" s="20">
        <f t="shared" si="49"/>
        <v>15</v>
      </c>
      <c r="O209" s="20">
        <v>0</v>
      </c>
      <c r="P209" s="21">
        <v>0</v>
      </c>
      <c r="Q209" s="20">
        <f t="shared" si="50"/>
        <v>0</v>
      </c>
      <c r="R209" s="20">
        <v>20</v>
      </c>
      <c r="S209" s="22">
        <v>0</v>
      </c>
      <c r="T209" s="20">
        <f t="shared" si="51"/>
        <v>20</v>
      </c>
      <c r="U209" s="20">
        <v>0</v>
      </c>
      <c r="V209" s="21">
        <v>0</v>
      </c>
      <c r="W209" s="20">
        <f t="shared" si="52"/>
        <v>0</v>
      </c>
      <c r="X209" s="20">
        <v>20</v>
      </c>
      <c r="Y209" s="22">
        <v>0</v>
      </c>
      <c r="Z209" s="20">
        <f t="shared" si="53"/>
        <v>20</v>
      </c>
      <c r="AA209" s="20">
        <v>15</v>
      </c>
      <c r="AB209" s="22">
        <v>0</v>
      </c>
      <c r="AC209" s="20">
        <f t="shared" si="54"/>
        <v>15</v>
      </c>
      <c r="AD209" s="20">
        <v>0</v>
      </c>
      <c r="AE209" s="22">
        <v>0</v>
      </c>
      <c r="AF209" s="20">
        <f t="shared" si="55"/>
        <v>0</v>
      </c>
      <c r="AG209" s="20">
        <v>0</v>
      </c>
      <c r="AH209" s="21">
        <v>0</v>
      </c>
      <c r="AI209" s="20">
        <f t="shared" si="56"/>
        <v>0</v>
      </c>
      <c r="AJ209" s="20">
        <v>0</v>
      </c>
      <c r="AK209" s="21">
        <v>0</v>
      </c>
      <c r="AL209" s="20">
        <f t="shared" si="57"/>
        <v>0</v>
      </c>
      <c r="AM209" s="20">
        <v>40</v>
      </c>
      <c r="AN209" s="21">
        <v>0</v>
      </c>
      <c r="AO209" s="20">
        <f t="shared" si="58"/>
        <v>40</v>
      </c>
      <c r="AP209" s="21">
        <v>0</v>
      </c>
      <c r="AQ209" s="20">
        <v>0</v>
      </c>
      <c r="AR209" s="20">
        <f t="shared" si="59"/>
        <v>0</v>
      </c>
      <c r="AS209" s="20">
        <v>35</v>
      </c>
      <c r="AT209" s="21">
        <v>0</v>
      </c>
      <c r="AU209" s="20">
        <f t="shared" si="60"/>
        <v>35</v>
      </c>
      <c r="AV209" s="23">
        <f t="shared" si="61"/>
        <v>145</v>
      </c>
      <c r="AW209" s="22">
        <f t="shared" si="62"/>
        <v>0</v>
      </c>
      <c r="AX209" s="20">
        <f t="shared" si="63"/>
        <v>145</v>
      </c>
      <c r="AY209" s="28" t="s">
        <v>477</v>
      </c>
      <c r="AZ209" s="28" t="s">
        <v>477</v>
      </c>
      <c r="BA209" s="28" t="s">
        <v>352</v>
      </c>
      <c r="BB209" s="29">
        <v>42851</v>
      </c>
    </row>
    <row r="210" spans="1:54" hidden="1">
      <c r="A210" s="28" t="str">
        <f t="shared" si="48"/>
        <v>806296179796</v>
      </c>
      <c r="B210" s="30">
        <v>806296</v>
      </c>
      <c r="C210" s="30" t="s">
        <v>290</v>
      </c>
      <c r="D210" s="31">
        <v>179796</v>
      </c>
      <c r="E210" s="28" t="s">
        <v>195</v>
      </c>
      <c r="F210" s="28"/>
      <c r="G210" s="28"/>
      <c r="H210" s="28"/>
      <c r="I210" s="28"/>
      <c r="J210" s="28"/>
      <c r="K210" s="28"/>
      <c r="L210" s="20">
        <v>25</v>
      </c>
      <c r="M210" s="21">
        <v>0</v>
      </c>
      <c r="N210" s="20">
        <f t="shared" si="49"/>
        <v>25</v>
      </c>
      <c r="O210" s="20">
        <v>23.95</v>
      </c>
      <c r="P210" s="21">
        <v>0</v>
      </c>
      <c r="Q210" s="20">
        <f t="shared" si="50"/>
        <v>23.95</v>
      </c>
      <c r="R210" s="20">
        <v>27</v>
      </c>
      <c r="S210" s="22">
        <v>0</v>
      </c>
      <c r="T210" s="20">
        <f t="shared" si="51"/>
        <v>27</v>
      </c>
      <c r="U210" s="20">
        <v>20</v>
      </c>
      <c r="V210" s="21">
        <v>0</v>
      </c>
      <c r="W210" s="20">
        <f t="shared" si="52"/>
        <v>20</v>
      </c>
      <c r="X210" s="20">
        <v>32</v>
      </c>
      <c r="Y210" s="22">
        <v>0</v>
      </c>
      <c r="Z210" s="20">
        <f t="shared" si="53"/>
        <v>32</v>
      </c>
      <c r="AA210" s="20">
        <v>1</v>
      </c>
      <c r="AB210" s="22">
        <v>0</v>
      </c>
      <c r="AC210" s="20">
        <f t="shared" si="54"/>
        <v>1</v>
      </c>
      <c r="AD210" s="20">
        <v>27.5</v>
      </c>
      <c r="AE210" s="22">
        <v>0</v>
      </c>
      <c r="AF210" s="20">
        <f t="shared" si="55"/>
        <v>27.5</v>
      </c>
      <c r="AG210" s="20">
        <v>25</v>
      </c>
      <c r="AH210" s="21">
        <v>0</v>
      </c>
      <c r="AI210" s="20">
        <f t="shared" si="56"/>
        <v>25</v>
      </c>
      <c r="AJ210" s="20">
        <v>57.5</v>
      </c>
      <c r="AK210" s="21">
        <v>0</v>
      </c>
      <c r="AL210" s="20">
        <f t="shared" si="57"/>
        <v>57.5</v>
      </c>
      <c r="AM210" s="20">
        <v>29</v>
      </c>
      <c r="AN210" s="21">
        <v>0</v>
      </c>
      <c r="AO210" s="20">
        <f t="shared" si="58"/>
        <v>29</v>
      </c>
      <c r="AP210" s="21">
        <v>32</v>
      </c>
      <c r="AQ210" s="20">
        <v>0</v>
      </c>
      <c r="AR210" s="20">
        <f t="shared" si="59"/>
        <v>32</v>
      </c>
      <c r="AS210" s="20">
        <v>36</v>
      </c>
      <c r="AT210" s="21">
        <v>0</v>
      </c>
      <c r="AU210" s="20">
        <f t="shared" si="60"/>
        <v>36</v>
      </c>
      <c r="AV210" s="23">
        <f t="shared" si="61"/>
        <v>335.95</v>
      </c>
      <c r="AW210" s="22">
        <f t="shared" si="62"/>
        <v>0</v>
      </c>
      <c r="AX210" s="20">
        <f t="shared" si="63"/>
        <v>335.95</v>
      </c>
      <c r="AY210" s="28" t="s">
        <v>477</v>
      </c>
      <c r="AZ210" s="28" t="s">
        <v>477</v>
      </c>
      <c r="BA210" s="28" t="s">
        <v>352</v>
      </c>
      <c r="BB210" s="29">
        <v>42853</v>
      </c>
    </row>
    <row r="211" spans="1:54" hidden="1">
      <c r="A211" s="28" t="str">
        <f t="shared" si="48"/>
        <v>806307119160</v>
      </c>
      <c r="B211" s="30">
        <v>806307</v>
      </c>
      <c r="C211" s="30" t="s">
        <v>221</v>
      </c>
      <c r="D211" s="31">
        <v>119160</v>
      </c>
      <c r="E211" s="28" t="s">
        <v>97</v>
      </c>
      <c r="F211" s="28"/>
      <c r="G211" s="28"/>
      <c r="H211" s="28"/>
      <c r="I211" s="28"/>
      <c r="J211" s="28"/>
      <c r="K211" s="28"/>
      <c r="L211" s="20">
        <v>42.5</v>
      </c>
      <c r="M211" s="21">
        <v>0</v>
      </c>
      <c r="N211" s="20">
        <f t="shared" si="49"/>
        <v>42.5</v>
      </c>
      <c r="O211" s="20">
        <v>45</v>
      </c>
      <c r="P211" s="21">
        <v>7.5</v>
      </c>
      <c r="Q211" s="20">
        <f t="shared" si="50"/>
        <v>52.5</v>
      </c>
      <c r="R211" s="20">
        <v>51</v>
      </c>
      <c r="S211" s="22">
        <v>16</v>
      </c>
      <c r="T211" s="20">
        <f t="shared" si="51"/>
        <v>67</v>
      </c>
      <c r="U211" s="20">
        <v>0</v>
      </c>
      <c r="V211" s="21">
        <v>0</v>
      </c>
      <c r="W211" s="20">
        <f t="shared" si="52"/>
        <v>0</v>
      </c>
      <c r="X211" s="20">
        <v>15</v>
      </c>
      <c r="Y211" s="22">
        <v>0</v>
      </c>
      <c r="Z211" s="20">
        <f t="shared" si="53"/>
        <v>15</v>
      </c>
      <c r="AA211" s="20">
        <v>26.5</v>
      </c>
      <c r="AB211" s="22">
        <v>11.5</v>
      </c>
      <c r="AC211" s="20">
        <f t="shared" si="54"/>
        <v>38</v>
      </c>
      <c r="AD211" s="20">
        <v>33</v>
      </c>
      <c r="AE211" s="22">
        <v>19</v>
      </c>
      <c r="AF211" s="20">
        <f t="shared" si="55"/>
        <v>52</v>
      </c>
      <c r="AG211" s="20">
        <v>22.5</v>
      </c>
      <c r="AH211" s="21">
        <v>0</v>
      </c>
      <c r="AI211" s="20">
        <f t="shared" si="56"/>
        <v>22.5</v>
      </c>
      <c r="AJ211" s="20">
        <v>7.5</v>
      </c>
      <c r="AK211" s="21">
        <v>0</v>
      </c>
      <c r="AL211" s="20">
        <f t="shared" si="57"/>
        <v>7.5</v>
      </c>
      <c r="AM211" s="20">
        <v>35</v>
      </c>
      <c r="AN211" s="21">
        <v>0</v>
      </c>
      <c r="AO211" s="20">
        <f t="shared" si="58"/>
        <v>35</v>
      </c>
      <c r="AP211" s="21">
        <v>60</v>
      </c>
      <c r="AQ211" s="20">
        <v>0</v>
      </c>
      <c r="AR211" s="20">
        <f t="shared" si="59"/>
        <v>60</v>
      </c>
      <c r="AS211" s="20">
        <v>75</v>
      </c>
      <c r="AT211" s="21">
        <v>5</v>
      </c>
      <c r="AU211" s="20">
        <f t="shared" si="60"/>
        <v>80</v>
      </c>
      <c r="AV211" s="23">
        <f t="shared" si="61"/>
        <v>413</v>
      </c>
      <c r="AW211" s="22">
        <f t="shared" si="62"/>
        <v>59</v>
      </c>
      <c r="AX211" s="20">
        <f t="shared" si="63"/>
        <v>472</v>
      </c>
      <c r="AY211" s="28" t="s">
        <v>477</v>
      </c>
      <c r="AZ211" s="28" t="s">
        <v>477</v>
      </c>
      <c r="BA211" s="28" t="s">
        <v>352</v>
      </c>
      <c r="BB211" s="29">
        <v>42857</v>
      </c>
    </row>
    <row r="212" spans="1:54" hidden="1">
      <c r="A212" s="28" t="str">
        <f t="shared" si="48"/>
        <v>806511119071</v>
      </c>
      <c r="B212" s="30">
        <v>806511</v>
      </c>
      <c r="C212" s="30" t="s">
        <v>231</v>
      </c>
      <c r="D212" s="31">
        <v>119071</v>
      </c>
      <c r="E212" s="28" t="s">
        <v>184</v>
      </c>
      <c r="F212" s="28"/>
      <c r="G212" s="28"/>
      <c r="H212" s="28"/>
      <c r="I212" s="28"/>
      <c r="J212" s="28"/>
      <c r="K212" s="28"/>
      <c r="L212" s="20">
        <v>26.5</v>
      </c>
      <c r="M212" s="21">
        <v>7.5</v>
      </c>
      <c r="N212" s="20">
        <f t="shared" si="49"/>
        <v>34</v>
      </c>
      <c r="O212" s="20">
        <v>30</v>
      </c>
      <c r="P212" s="21">
        <v>0</v>
      </c>
      <c r="Q212" s="20">
        <f t="shared" si="50"/>
        <v>30</v>
      </c>
      <c r="R212" s="20">
        <v>28.75</v>
      </c>
      <c r="S212" s="22">
        <v>0</v>
      </c>
      <c r="T212" s="20">
        <f t="shared" si="51"/>
        <v>28.75</v>
      </c>
      <c r="U212" s="20">
        <v>26</v>
      </c>
      <c r="V212" s="21">
        <v>0</v>
      </c>
      <c r="W212" s="20">
        <f t="shared" si="52"/>
        <v>26</v>
      </c>
      <c r="X212" s="20">
        <v>0</v>
      </c>
      <c r="Y212" s="22">
        <v>0</v>
      </c>
      <c r="Z212" s="20">
        <f t="shared" si="53"/>
        <v>0</v>
      </c>
      <c r="AA212" s="20">
        <v>0</v>
      </c>
      <c r="AB212" s="22">
        <v>0</v>
      </c>
      <c r="AC212" s="20">
        <f t="shared" si="54"/>
        <v>0</v>
      </c>
      <c r="AD212" s="20">
        <v>0</v>
      </c>
      <c r="AE212" s="22">
        <v>0</v>
      </c>
      <c r="AF212" s="20">
        <f t="shared" si="55"/>
        <v>0</v>
      </c>
      <c r="AG212" s="20">
        <v>0</v>
      </c>
      <c r="AH212" s="21">
        <v>0</v>
      </c>
      <c r="AI212" s="20">
        <f t="shared" si="56"/>
        <v>0</v>
      </c>
      <c r="AJ212" s="20">
        <v>0</v>
      </c>
      <c r="AK212" s="21">
        <v>0</v>
      </c>
      <c r="AL212" s="20">
        <f t="shared" si="57"/>
        <v>0</v>
      </c>
      <c r="AM212" s="20">
        <v>0</v>
      </c>
      <c r="AN212" s="21">
        <v>0</v>
      </c>
      <c r="AO212" s="20">
        <f t="shared" si="58"/>
        <v>0</v>
      </c>
      <c r="AP212" s="21">
        <v>0</v>
      </c>
      <c r="AQ212" s="20">
        <v>0</v>
      </c>
      <c r="AR212" s="20">
        <f t="shared" si="59"/>
        <v>0</v>
      </c>
      <c r="AS212" s="20">
        <v>0</v>
      </c>
      <c r="AT212" s="21">
        <v>0</v>
      </c>
      <c r="AU212" s="20">
        <f t="shared" si="60"/>
        <v>0</v>
      </c>
      <c r="AV212" s="23">
        <f t="shared" si="61"/>
        <v>111.25</v>
      </c>
      <c r="AW212" s="22">
        <f t="shared" si="62"/>
        <v>7.5</v>
      </c>
      <c r="AX212" s="20">
        <f t="shared" si="63"/>
        <v>118.75</v>
      </c>
      <c r="AY212" s="28" t="s">
        <v>477</v>
      </c>
      <c r="AZ212" s="28" t="s">
        <v>477</v>
      </c>
      <c r="BA212" s="28" t="s">
        <v>352</v>
      </c>
      <c r="BB212" s="29">
        <v>42909</v>
      </c>
    </row>
    <row r="213" spans="1:54" hidden="1">
      <c r="A213" s="28" t="str">
        <f t="shared" si="48"/>
        <v>806511208268</v>
      </c>
      <c r="B213" s="30">
        <v>806511</v>
      </c>
      <c r="C213" s="30" t="s">
        <v>231</v>
      </c>
      <c r="D213" s="28">
        <v>208268</v>
      </c>
      <c r="E213" s="28" t="s">
        <v>388</v>
      </c>
      <c r="F213" s="28"/>
      <c r="G213" s="28"/>
      <c r="H213" s="28"/>
      <c r="I213" s="28"/>
      <c r="J213" s="28"/>
      <c r="K213" s="28"/>
      <c r="L213" s="20">
        <v>0</v>
      </c>
      <c r="M213" s="21">
        <v>0</v>
      </c>
      <c r="N213" s="20">
        <f t="shared" si="49"/>
        <v>0</v>
      </c>
      <c r="O213" s="20">
        <v>0</v>
      </c>
      <c r="P213" s="21">
        <v>0</v>
      </c>
      <c r="Q213" s="20">
        <f t="shared" si="50"/>
        <v>0</v>
      </c>
      <c r="R213" s="20">
        <v>0</v>
      </c>
      <c r="S213" s="22">
        <v>0</v>
      </c>
      <c r="T213" s="20">
        <f t="shared" si="51"/>
        <v>0</v>
      </c>
      <c r="U213" s="20">
        <v>0</v>
      </c>
      <c r="V213" s="21">
        <v>0</v>
      </c>
      <c r="W213" s="20">
        <f t="shared" si="52"/>
        <v>0</v>
      </c>
      <c r="X213" s="20">
        <v>0</v>
      </c>
      <c r="Y213" s="22">
        <v>0</v>
      </c>
      <c r="Z213" s="20">
        <f t="shared" si="53"/>
        <v>0</v>
      </c>
      <c r="AA213" s="20">
        <v>0</v>
      </c>
      <c r="AB213" s="22">
        <v>0</v>
      </c>
      <c r="AC213" s="20">
        <f t="shared" si="54"/>
        <v>0</v>
      </c>
      <c r="AD213" s="20">
        <v>28.5</v>
      </c>
      <c r="AE213" s="22">
        <v>0</v>
      </c>
      <c r="AF213" s="20">
        <f t="shared" si="55"/>
        <v>28.5</v>
      </c>
      <c r="AG213" s="20">
        <v>13</v>
      </c>
      <c r="AH213" s="21">
        <v>0</v>
      </c>
      <c r="AI213" s="20">
        <f t="shared" si="56"/>
        <v>13</v>
      </c>
      <c r="AJ213" s="20">
        <v>50</v>
      </c>
      <c r="AK213" s="21">
        <v>0</v>
      </c>
      <c r="AL213" s="20">
        <f t="shared" si="57"/>
        <v>50</v>
      </c>
      <c r="AM213" s="20">
        <v>10</v>
      </c>
      <c r="AN213" s="21">
        <v>0</v>
      </c>
      <c r="AO213" s="20">
        <f t="shared" si="58"/>
        <v>10</v>
      </c>
      <c r="AP213" s="21">
        <v>42.5</v>
      </c>
      <c r="AQ213" s="20">
        <v>0</v>
      </c>
      <c r="AR213" s="20">
        <f t="shared" si="59"/>
        <v>42.5</v>
      </c>
      <c r="AS213" s="20">
        <v>5</v>
      </c>
      <c r="AT213" s="21">
        <v>0</v>
      </c>
      <c r="AU213" s="20">
        <f t="shared" si="60"/>
        <v>5</v>
      </c>
      <c r="AV213" s="23">
        <f t="shared" si="61"/>
        <v>149</v>
      </c>
      <c r="AW213" s="22">
        <f t="shared" si="62"/>
        <v>0</v>
      </c>
      <c r="AX213" s="20">
        <f t="shared" si="63"/>
        <v>149</v>
      </c>
      <c r="AY213" s="28" t="s">
        <v>477</v>
      </c>
      <c r="AZ213" s="28" t="s">
        <v>477</v>
      </c>
      <c r="BA213" s="28" t="s">
        <v>352</v>
      </c>
      <c r="BB213" s="29">
        <v>42909</v>
      </c>
    </row>
    <row r="214" spans="1:54" hidden="1">
      <c r="A214" s="28" t="str">
        <f t="shared" si="48"/>
        <v>806616141512</v>
      </c>
      <c r="B214" s="30">
        <v>806616</v>
      </c>
      <c r="C214" s="30" t="s">
        <v>218</v>
      </c>
      <c r="D214" s="31">
        <v>141512</v>
      </c>
      <c r="E214" s="28" t="s">
        <v>136</v>
      </c>
      <c r="F214" s="28"/>
      <c r="G214" s="28"/>
      <c r="H214" s="28"/>
      <c r="I214" s="28"/>
      <c r="J214" s="28"/>
      <c r="K214" s="28"/>
      <c r="L214" s="20">
        <v>28.5</v>
      </c>
      <c r="M214" s="21">
        <v>0</v>
      </c>
      <c r="N214" s="20">
        <f t="shared" si="49"/>
        <v>28.5</v>
      </c>
      <c r="O214" s="20">
        <v>74.5</v>
      </c>
      <c r="P214" s="21">
        <v>11</v>
      </c>
      <c r="Q214" s="20">
        <f t="shared" si="50"/>
        <v>85.5</v>
      </c>
      <c r="R214" s="20">
        <v>101</v>
      </c>
      <c r="S214" s="22">
        <v>7.5</v>
      </c>
      <c r="T214" s="20">
        <f t="shared" si="51"/>
        <v>108.5</v>
      </c>
      <c r="U214" s="20">
        <v>58.55</v>
      </c>
      <c r="V214" s="21">
        <v>11.3</v>
      </c>
      <c r="W214" s="20">
        <f t="shared" si="52"/>
        <v>69.849999999999994</v>
      </c>
      <c r="X214" s="20">
        <v>103.5</v>
      </c>
      <c r="Y214" s="22">
        <v>16</v>
      </c>
      <c r="Z214" s="20">
        <f t="shared" si="53"/>
        <v>119.5</v>
      </c>
      <c r="AA214" s="20">
        <v>30</v>
      </c>
      <c r="AB214" s="22">
        <v>0</v>
      </c>
      <c r="AC214" s="20">
        <f t="shared" si="54"/>
        <v>30</v>
      </c>
      <c r="AD214" s="20">
        <v>57.5</v>
      </c>
      <c r="AE214" s="22">
        <v>5</v>
      </c>
      <c r="AF214" s="20">
        <f t="shared" si="55"/>
        <v>62.5</v>
      </c>
      <c r="AG214" s="20">
        <v>50.25</v>
      </c>
      <c r="AH214" s="21">
        <v>0</v>
      </c>
      <c r="AI214" s="20">
        <f t="shared" si="56"/>
        <v>50.25</v>
      </c>
      <c r="AJ214" s="20">
        <v>85.45</v>
      </c>
      <c r="AK214" s="21">
        <v>0</v>
      </c>
      <c r="AL214" s="20">
        <f t="shared" si="57"/>
        <v>85.45</v>
      </c>
      <c r="AM214" s="20">
        <v>20.85</v>
      </c>
      <c r="AN214" s="21">
        <v>0</v>
      </c>
      <c r="AO214" s="20">
        <f t="shared" si="58"/>
        <v>20.85</v>
      </c>
      <c r="AP214" s="21">
        <v>52.5</v>
      </c>
      <c r="AQ214" s="20">
        <v>0</v>
      </c>
      <c r="AR214" s="20">
        <f t="shared" si="59"/>
        <v>52.5</v>
      </c>
      <c r="AS214" s="20">
        <v>43</v>
      </c>
      <c r="AT214" s="21">
        <v>0</v>
      </c>
      <c r="AU214" s="20">
        <f t="shared" si="60"/>
        <v>43</v>
      </c>
      <c r="AV214" s="23">
        <f t="shared" si="61"/>
        <v>705.6</v>
      </c>
      <c r="AW214" s="22">
        <f t="shared" si="62"/>
        <v>50.8</v>
      </c>
      <c r="AX214" s="20">
        <f t="shared" si="63"/>
        <v>756.4</v>
      </c>
      <c r="AY214" s="28" t="s">
        <v>477</v>
      </c>
      <c r="AZ214" s="28" t="s">
        <v>477</v>
      </c>
      <c r="BA214" s="28" t="s">
        <v>352</v>
      </c>
      <c r="BB214" s="29">
        <v>42935</v>
      </c>
    </row>
    <row r="215" spans="1:54" hidden="1">
      <c r="A215" s="28" t="str">
        <f t="shared" si="48"/>
        <v>806887119071</v>
      </c>
      <c r="B215" s="30">
        <v>806887</v>
      </c>
      <c r="C215" s="30" t="s">
        <v>286</v>
      </c>
      <c r="D215" s="31">
        <v>119071</v>
      </c>
      <c r="E215" s="28" t="s">
        <v>184</v>
      </c>
      <c r="F215" s="28"/>
      <c r="G215" s="28"/>
      <c r="H215" s="28"/>
      <c r="I215" s="28"/>
      <c r="J215" s="28"/>
      <c r="K215" s="28"/>
      <c r="L215" s="20">
        <v>50</v>
      </c>
      <c r="M215" s="21">
        <v>6</v>
      </c>
      <c r="N215" s="20">
        <f t="shared" si="49"/>
        <v>56</v>
      </c>
      <c r="O215" s="20">
        <v>76.5</v>
      </c>
      <c r="P215" s="21">
        <v>0</v>
      </c>
      <c r="Q215" s="20">
        <f t="shared" si="50"/>
        <v>76.5</v>
      </c>
      <c r="R215" s="20">
        <v>163.80000000000001</v>
      </c>
      <c r="S215" s="22">
        <v>0</v>
      </c>
      <c r="T215" s="20">
        <f t="shared" si="51"/>
        <v>163.80000000000001</v>
      </c>
      <c r="U215" s="20">
        <v>104.25</v>
      </c>
      <c r="V215" s="21">
        <v>9</v>
      </c>
      <c r="W215" s="20">
        <f t="shared" si="52"/>
        <v>113.25</v>
      </c>
      <c r="X215" s="20">
        <v>92.5</v>
      </c>
      <c r="Y215" s="22">
        <v>26</v>
      </c>
      <c r="Z215" s="20">
        <f t="shared" si="53"/>
        <v>118.5</v>
      </c>
      <c r="AA215" s="20">
        <v>103.75</v>
      </c>
      <c r="AB215" s="22">
        <v>0</v>
      </c>
      <c r="AC215" s="20">
        <f t="shared" si="54"/>
        <v>103.75</v>
      </c>
      <c r="AD215" s="20">
        <v>70</v>
      </c>
      <c r="AE215" s="22">
        <v>0</v>
      </c>
      <c r="AF215" s="20">
        <f t="shared" si="55"/>
        <v>70</v>
      </c>
      <c r="AG215" s="20">
        <v>46</v>
      </c>
      <c r="AH215" s="21">
        <v>1.5</v>
      </c>
      <c r="AI215" s="20">
        <f t="shared" si="56"/>
        <v>47.5</v>
      </c>
      <c r="AJ215" s="20">
        <v>201.85</v>
      </c>
      <c r="AK215" s="21">
        <v>3.5</v>
      </c>
      <c r="AL215" s="20">
        <f t="shared" si="57"/>
        <v>205.35</v>
      </c>
      <c r="AM215" s="20">
        <v>40.25</v>
      </c>
      <c r="AN215" s="21">
        <v>2.75</v>
      </c>
      <c r="AO215" s="20">
        <f t="shared" si="58"/>
        <v>43</v>
      </c>
      <c r="AP215" s="21">
        <v>101.5</v>
      </c>
      <c r="AQ215" s="20">
        <v>22.75</v>
      </c>
      <c r="AR215" s="20">
        <f t="shared" si="59"/>
        <v>124.25</v>
      </c>
      <c r="AS215" s="20">
        <v>60</v>
      </c>
      <c r="AT215" s="21">
        <v>0</v>
      </c>
      <c r="AU215" s="20">
        <f t="shared" si="60"/>
        <v>60</v>
      </c>
      <c r="AV215" s="23">
        <f t="shared" si="61"/>
        <v>1110.4000000000001</v>
      </c>
      <c r="AW215" s="22">
        <f t="shared" si="62"/>
        <v>71.5</v>
      </c>
      <c r="AX215" s="20">
        <f t="shared" si="63"/>
        <v>1181.9000000000001</v>
      </c>
      <c r="AY215" s="28" t="s">
        <v>477</v>
      </c>
      <c r="AZ215" s="28" t="s">
        <v>477</v>
      </c>
      <c r="BA215" s="28" t="s">
        <v>352</v>
      </c>
      <c r="BB215" s="29">
        <v>42993</v>
      </c>
    </row>
    <row r="216" spans="1:54" hidden="1">
      <c r="A216" s="28" t="str">
        <f t="shared" si="48"/>
        <v>806898141512</v>
      </c>
      <c r="B216" s="30">
        <v>806898</v>
      </c>
      <c r="C216" s="30" t="s">
        <v>161</v>
      </c>
      <c r="D216" s="31">
        <v>141512</v>
      </c>
      <c r="E216" s="28" t="s">
        <v>136</v>
      </c>
      <c r="F216" s="28"/>
      <c r="G216" s="28"/>
      <c r="H216" s="28"/>
      <c r="I216" s="28"/>
      <c r="J216" s="28"/>
      <c r="K216" s="28"/>
      <c r="L216" s="20">
        <v>81.5</v>
      </c>
      <c r="M216" s="21">
        <v>2.5</v>
      </c>
      <c r="N216" s="20">
        <f t="shared" si="49"/>
        <v>84</v>
      </c>
      <c r="O216" s="20">
        <v>131.44999999999999</v>
      </c>
      <c r="P216" s="21">
        <v>0</v>
      </c>
      <c r="Q216" s="20">
        <f t="shared" si="50"/>
        <v>131.44999999999999</v>
      </c>
      <c r="R216" s="20">
        <v>153</v>
      </c>
      <c r="S216" s="22">
        <v>5</v>
      </c>
      <c r="T216" s="20">
        <f t="shared" si="51"/>
        <v>158</v>
      </c>
      <c r="U216" s="20">
        <v>118</v>
      </c>
      <c r="V216" s="21">
        <v>12.5</v>
      </c>
      <c r="W216" s="20">
        <f t="shared" si="52"/>
        <v>130.5</v>
      </c>
      <c r="X216" s="20">
        <v>50.75</v>
      </c>
      <c r="Y216" s="22">
        <v>0</v>
      </c>
      <c r="Z216" s="20">
        <f t="shared" si="53"/>
        <v>50.75</v>
      </c>
      <c r="AA216" s="20">
        <v>20</v>
      </c>
      <c r="AB216" s="22">
        <v>0</v>
      </c>
      <c r="AC216" s="20">
        <f t="shared" si="54"/>
        <v>20</v>
      </c>
      <c r="AD216" s="20">
        <v>54.55</v>
      </c>
      <c r="AE216" s="22">
        <v>4.8</v>
      </c>
      <c r="AF216" s="20">
        <f t="shared" si="55"/>
        <v>59.349999999999994</v>
      </c>
      <c r="AG216" s="20">
        <v>59.75</v>
      </c>
      <c r="AH216" s="21">
        <v>0</v>
      </c>
      <c r="AI216" s="20">
        <f t="shared" si="56"/>
        <v>59.75</v>
      </c>
      <c r="AJ216" s="20">
        <v>59.5</v>
      </c>
      <c r="AK216" s="21">
        <v>0</v>
      </c>
      <c r="AL216" s="20">
        <f t="shared" si="57"/>
        <v>59.5</v>
      </c>
      <c r="AM216" s="20">
        <v>20</v>
      </c>
      <c r="AN216" s="21">
        <v>0</v>
      </c>
      <c r="AO216" s="20">
        <f t="shared" si="58"/>
        <v>20</v>
      </c>
      <c r="AP216" s="21">
        <v>60.5</v>
      </c>
      <c r="AQ216" s="20">
        <v>0</v>
      </c>
      <c r="AR216" s="20">
        <f t="shared" si="59"/>
        <v>60.5</v>
      </c>
      <c r="AS216" s="20">
        <v>108</v>
      </c>
      <c r="AT216" s="21">
        <v>0</v>
      </c>
      <c r="AU216" s="20">
        <f t="shared" si="60"/>
        <v>108</v>
      </c>
      <c r="AV216" s="23">
        <f t="shared" si="61"/>
        <v>917</v>
      </c>
      <c r="AW216" s="22">
        <f t="shared" si="62"/>
        <v>24.8</v>
      </c>
      <c r="AX216" s="20">
        <f t="shared" si="63"/>
        <v>941.8</v>
      </c>
      <c r="AY216" s="28" t="s">
        <v>477</v>
      </c>
      <c r="AZ216" s="28" t="s">
        <v>477</v>
      </c>
      <c r="BA216" s="28" t="s">
        <v>352</v>
      </c>
      <c r="BB216" s="29">
        <v>42907</v>
      </c>
    </row>
    <row r="217" spans="1:54" hidden="1">
      <c r="A217" s="28" t="str">
        <f t="shared" si="48"/>
        <v>807065143301</v>
      </c>
      <c r="B217" s="30">
        <v>807065</v>
      </c>
      <c r="C217" s="30" t="s">
        <v>109</v>
      </c>
      <c r="D217" s="31">
        <v>143301</v>
      </c>
      <c r="E217" s="28" t="s">
        <v>87</v>
      </c>
      <c r="F217" s="28"/>
      <c r="G217" s="28"/>
      <c r="H217" s="28"/>
      <c r="I217" s="28"/>
      <c r="J217" s="28"/>
      <c r="K217" s="28"/>
      <c r="L217" s="20">
        <v>51.95</v>
      </c>
      <c r="M217" s="21">
        <v>4.5</v>
      </c>
      <c r="N217" s="20">
        <f t="shared" si="49"/>
        <v>56.45</v>
      </c>
      <c r="O217" s="20">
        <v>0</v>
      </c>
      <c r="P217" s="21">
        <v>0</v>
      </c>
      <c r="Q217" s="20">
        <f t="shared" si="50"/>
        <v>0</v>
      </c>
      <c r="R217" s="20">
        <v>75.349999999999994</v>
      </c>
      <c r="S217" s="22">
        <v>5</v>
      </c>
      <c r="T217" s="20">
        <f t="shared" si="51"/>
        <v>80.349999999999994</v>
      </c>
      <c r="U217" s="20">
        <v>64.5</v>
      </c>
      <c r="V217" s="21">
        <v>0</v>
      </c>
      <c r="W217" s="20">
        <f t="shared" si="52"/>
        <v>64.5</v>
      </c>
      <c r="X217" s="20">
        <v>10</v>
      </c>
      <c r="Y217" s="22">
        <v>0</v>
      </c>
      <c r="Z217" s="20">
        <f t="shared" si="53"/>
        <v>10</v>
      </c>
      <c r="AA217" s="20">
        <v>84.5</v>
      </c>
      <c r="AB217" s="22">
        <v>0</v>
      </c>
      <c r="AC217" s="20">
        <f t="shared" si="54"/>
        <v>84.5</v>
      </c>
      <c r="AD217" s="20">
        <v>37.5</v>
      </c>
      <c r="AE217" s="22">
        <v>0</v>
      </c>
      <c r="AF217" s="20">
        <f t="shared" si="55"/>
        <v>37.5</v>
      </c>
      <c r="AG217" s="20">
        <v>20</v>
      </c>
      <c r="AH217" s="21">
        <v>0</v>
      </c>
      <c r="AI217" s="20">
        <f t="shared" si="56"/>
        <v>20</v>
      </c>
      <c r="AJ217" s="20">
        <v>0</v>
      </c>
      <c r="AK217" s="21">
        <v>0</v>
      </c>
      <c r="AL217" s="20">
        <f t="shared" si="57"/>
        <v>0</v>
      </c>
      <c r="AM217" s="20">
        <v>0</v>
      </c>
      <c r="AN217" s="21">
        <v>0</v>
      </c>
      <c r="AO217" s="20">
        <f t="shared" si="58"/>
        <v>0</v>
      </c>
      <c r="AP217" s="21">
        <v>0</v>
      </c>
      <c r="AQ217" s="20">
        <v>0</v>
      </c>
      <c r="AR217" s="20">
        <f t="shared" si="59"/>
        <v>0</v>
      </c>
      <c r="AS217" s="20">
        <v>0</v>
      </c>
      <c r="AT217" s="21">
        <v>0</v>
      </c>
      <c r="AU217" s="20">
        <f t="shared" si="60"/>
        <v>0</v>
      </c>
      <c r="AV217" s="23">
        <f t="shared" si="61"/>
        <v>343.8</v>
      </c>
      <c r="AW217" s="22">
        <f t="shared" si="62"/>
        <v>9.5</v>
      </c>
      <c r="AX217" s="20">
        <f t="shared" si="63"/>
        <v>353.3</v>
      </c>
      <c r="AY217" s="28" t="s">
        <v>477</v>
      </c>
      <c r="AZ217" s="28" t="s">
        <v>477</v>
      </c>
      <c r="BA217" s="28" t="s">
        <v>352</v>
      </c>
      <c r="BB217" s="29">
        <v>43384</v>
      </c>
    </row>
    <row r="218" spans="1:54" hidden="1">
      <c r="A218" s="28" t="str">
        <f t="shared" si="48"/>
        <v>807121146845</v>
      </c>
      <c r="B218" s="30">
        <v>807121</v>
      </c>
      <c r="C218" s="30" t="s">
        <v>236</v>
      </c>
      <c r="D218" s="31">
        <v>146845</v>
      </c>
      <c r="E218" s="28" t="s">
        <v>235</v>
      </c>
      <c r="F218" s="28"/>
      <c r="G218" s="28"/>
      <c r="H218" s="28"/>
      <c r="I218" s="28"/>
      <c r="J218" s="28"/>
      <c r="K218" s="28"/>
      <c r="L218" s="20">
        <v>98</v>
      </c>
      <c r="M218" s="21">
        <v>0</v>
      </c>
      <c r="N218" s="20">
        <f t="shared" si="49"/>
        <v>98</v>
      </c>
      <c r="O218" s="20">
        <v>107.25</v>
      </c>
      <c r="P218" s="21">
        <v>0</v>
      </c>
      <c r="Q218" s="20">
        <f t="shared" si="50"/>
        <v>107.25</v>
      </c>
      <c r="R218" s="20">
        <v>138.5</v>
      </c>
      <c r="S218" s="22">
        <v>0</v>
      </c>
      <c r="T218" s="20">
        <f t="shared" si="51"/>
        <v>138.5</v>
      </c>
      <c r="U218" s="20">
        <v>82.4</v>
      </c>
      <c r="V218" s="21">
        <v>0</v>
      </c>
      <c r="W218" s="20">
        <f t="shared" si="52"/>
        <v>82.4</v>
      </c>
      <c r="X218" s="20">
        <v>77.05</v>
      </c>
      <c r="Y218" s="22">
        <v>5</v>
      </c>
      <c r="Z218" s="20">
        <f t="shared" si="53"/>
        <v>82.05</v>
      </c>
      <c r="AA218" s="20">
        <v>92.75</v>
      </c>
      <c r="AB218" s="22">
        <v>0</v>
      </c>
      <c r="AC218" s="20">
        <f t="shared" si="54"/>
        <v>92.75</v>
      </c>
      <c r="AD218" s="20">
        <v>57.5</v>
      </c>
      <c r="AE218" s="22">
        <v>0</v>
      </c>
      <c r="AF218" s="20">
        <f t="shared" si="55"/>
        <v>57.5</v>
      </c>
      <c r="AG218" s="20">
        <v>45.25</v>
      </c>
      <c r="AH218" s="21">
        <v>0</v>
      </c>
      <c r="AI218" s="20">
        <f t="shared" si="56"/>
        <v>45.25</v>
      </c>
      <c r="AJ218" s="20">
        <v>75</v>
      </c>
      <c r="AK218" s="21">
        <v>0</v>
      </c>
      <c r="AL218" s="20">
        <f t="shared" si="57"/>
        <v>75</v>
      </c>
      <c r="AM218" s="20">
        <v>80.25</v>
      </c>
      <c r="AN218" s="21">
        <v>0</v>
      </c>
      <c r="AO218" s="20">
        <f t="shared" si="58"/>
        <v>80.25</v>
      </c>
      <c r="AP218" s="21">
        <v>65.75</v>
      </c>
      <c r="AQ218" s="20">
        <v>0</v>
      </c>
      <c r="AR218" s="20">
        <f t="shared" si="59"/>
        <v>65.75</v>
      </c>
      <c r="AS218" s="20">
        <v>75.25</v>
      </c>
      <c r="AT218" s="21">
        <v>0</v>
      </c>
      <c r="AU218" s="20">
        <f t="shared" si="60"/>
        <v>75.25</v>
      </c>
      <c r="AV218" s="23">
        <f t="shared" si="61"/>
        <v>994.95</v>
      </c>
      <c r="AW218" s="22">
        <f t="shared" si="62"/>
        <v>5</v>
      </c>
      <c r="AX218" s="20">
        <f t="shared" si="63"/>
        <v>999.95</v>
      </c>
      <c r="AY218" s="28" t="s">
        <v>477</v>
      </c>
      <c r="AZ218" s="28" t="s">
        <v>477</v>
      </c>
      <c r="BA218" s="28" t="s">
        <v>352</v>
      </c>
      <c r="BB218" s="29">
        <v>43400</v>
      </c>
    </row>
    <row r="219" spans="1:54" hidden="1">
      <c r="A219" s="28" t="str">
        <f t="shared" si="48"/>
        <v>807122176303</v>
      </c>
      <c r="B219" s="30">
        <v>807122</v>
      </c>
      <c r="C219" s="30" t="s">
        <v>276</v>
      </c>
      <c r="D219" s="31">
        <v>176303</v>
      </c>
      <c r="E219" s="28" t="s">
        <v>205</v>
      </c>
      <c r="F219" s="28"/>
      <c r="G219" s="28"/>
      <c r="H219" s="28"/>
      <c r="I219" s="28"/>
      <c r="J219" s="28"/>
      <c r="K219" s="28"/>
      <c r="L219" s="20">
        <v>13.5</v>
      </c>
      <c r="M219" s="21">
        <v>0</v>
      </c>
      <c r="N219" s="20">
        <f t="shared" si="49"/>
        <v>13.5</v>
      </c>
      <c r="O219" s="20">
        <v>20</v>
      </c>
      <c r="P219" s="21">
        <v>0</v>
      </c>
      <c r="Q219" s="20">
        <f t="shared" si="50"/>
        <v>20</v>
      </c>
      <c r="R219" s="20">
        <v>15.75</v>
      </c>
      <c r="S219" s="22">
        <v>0</v>
      </c>
      <c r="T219" s="20">
        <f t="shared" si="51"/>
        <v>15.75</v>
      </c>
      <c r="U219" s="20">
        <v>8.5</v>
      </c>
      <c r="V219" s="21">
        <v>0</v>
      </c>
      <c r="W219" s="20">
        <f t="shared" si="52"/>
        <v>8.5</v>
      </c>
      <c r="X219" s="20">
        <v>25</v>
      </c>
      <c r="Y219" s="22">
        <v>0</v>
      </c>
      <c r="Z219" s="20">
        <f t="shared" si="53"/>
        <v>25</v>
      </c>
      <c r="AA219" s="20">
        <v>35</v>
      </c>
      <c r="AB219" s="22">
        <v>0</v>
      </c>
      <c r="AC219" s="20">
        <f t="shared" si="54"/>
        <v>35</v>
      </c>
      <c r="AD219" s="20">
        <v>15</v>
      </c>
      <c r="AE219" s="22">
        <v>0</v>
      </c>
      <c r="AF219" s="20">
        <f t="shared" si="55"/>
        <v>15</v>
      </c>
      <c r="AG219" s="20">
        <v>25</v>
      </c>
      <c r="AH219" s="21">
        <v>0</v>
      </c>
      <c r="AI219" s="20">
        <f t="shared" si="56"/>
        <v>25</v>
      </c>
      <c r="AJ219" s="20">
        <v>20</v>
      </c>
      <c r="AK219" s="21">
        <v>0</v>
      </c>
      <c r="AL219" s="20">
        <f t="shared" si="57"/>
        <v>20</v>
      </c>
      <c r="AM219" s="20">
        <v>40</v>
      </c>
      <c r="AN219" s="21">
        <v>0</v>
      </c>
      <c r="AO219" s="20">
        <f t="shared" si="58"/>
        <v>40</v>
      </c>
      <c r="AP219" s="21">
        <v>34</v>
      </c>
      <c r="AQ219" s="20">
        <v>0</v>
      </c>
      <c r="AR219" s="20">
        <f t="shared" si="59"/>
        <v>34</v>
      </c>
      <c r="AS219" s="20">
        <v>64</v>
      </c>
      <c r="AT219" s="21">
        <v>1.5</v>
      </c>
      <c r="AU219" s="20">
        <f t="shared" si="60"/>
        <v>65.5</v>
      </c>
      <c r="AV219" s="23">
        <f t="shared" si="61"/>
        <v>315.75</v>
      </c>
      <c r="AW219" s="22">
        <f t="shared" si="62"/>
        <v>1.5</v>
      </c>
      <c r="AX219" s="20">
        <f t="shared" si="63"/>
        <v>317.25</v>
      </c>
      <c r="AY219" s="28" t="s">
        <v>477</v>
      </c>
      <c r="AZ219" s="28" t="s">
        <v>477</v>
      </c>
      <c r="BA219" s="28" t="s">
        <v>352</v>
      </c>
      <c r="BB219" s="29">
        <v>43400</v>
      </c>
    </row>
    <row r="220" spans="1:54" hidden="1">
      <c r="A220" s="28" t="str">
        <f t="shared" si="48"/>
        <v>807141202994</v>
      </c>
      <c r="B220" s="30">
        <v>807141</v>
      </c>
      <c r="C220" s="30" t="s">
        <v>314</v>
      </c>
      <c r="D220" s="31">
        <v>202994</v>
      </c>
      <c r="E220" s="28" t="s">
        <v>251</v>
      </c>
      <c r="F220" s="28"/>
      <c r="G220" s="28"/>
      <c r="H220" s="28"/>
      <c r="I220" s="28"/>
      <c r="J220" s="28"/>
      <c r="K220" s="28"/>
      <c r="L220" s="20">
        <v>8</v>
      </c>
      <c r="M220" s="21">
        <v>0</v>
      </c>
      <c r="N220" s="20">
        <f t="shared" si="49"/>
        <v>8</v>
      </c>
      <c r="O220" s="20">
        <v>35</v>
      </c>
      <c r="P220" s="21">
        <v>0</v>
      </c>
      <c r="Q220" s="20">
        <f t="shared" si="50"/>
        <v>35</v>
      </c>
      <c r="R220" s="20">
        <v>25</v>
      </c>
      <c r="S220" s="22">
        <v>0</v>
      </c>
      <c r="T220" s="20">
        <f t="shared" si="51"/>
        <v>25</v>
      </c>
      <c r="U220" s="20">
        <v>17</v>
      </c>
      <c r="V220" s="21">
        <v>0</v>
      </c>
      <c r="W220" s="20">
        <f t="shared" si="52"/>
        <v>17</v>
      </c>
      <c r="X220" s="20">
        <v>8.5</v>
      </c>
      <c r="Y220" s="22">
        <v>0</v>
      </c>
      <c r="Z220" s="20">
        <f t="shared" si="53"/>
        <v>8.5</v>
      </c>
      <c r="AA220" s="20">
        <v>0</v>
      </c>
      <c r="AB220" s="22">
        <v>0</v>
      </c>
      <c r="AC220" s="20">
        <f t="shared" si="54"/>
        <v>0</v>
      </c>
      <c r="AD220" s="20">
        <v>36</v>
      </c>
      <c r="AE220" s="22">
        <v>0</v>
      </c>
      <c r="AF220" s="20">
        <f t="shared" si="55"/>
        <v>36</v>
      </c>
      <c r="AG220" s="20">
        <v>22.5</v>
      </c>
      <c r="AH220" s="21">
        <v>0</v>
      </c>
      <c r="AI220" s="20">
        <f t="shared" si="56"/>
        <v>22.5</v>
      </c>
      <c r="AJ220" s="20">
        <v>22.5</v>
      </c>
      <c r="AK220" s="21">
        <v>0</v>
      </c>
      <c r="AL220" s="20">
        <f t="shared" si="57"/>
        <v>22.5</v>
      </c>
      <c r="AM220" s="20">
        <v>10</v>
      </c>
      <c r="AN220" s="21">
        <v>0</v>
      </c>
      <c r="AO220" s="20">
        <f t="shared" si="58"/>
        <v>10</v>
      </c>
      <c r="AP220" s="21">
        <v>20</v>
      </c>
      <c r="AQ220" s="20">
        <v>0</v>
      </c>
      <c r="AR220" s="20">
        <f t="shared" si="59"/>
        <v>20</v>
      </c>
      <c r="AS220" s="20">
        <v>22.5</v>
      </c>
      <c r="AT220" s="21">
        <v>0</v>
      </c>
      <c r="AU220" s="20">
        <f t="shared" si="60"/>
        <v>22.5</v>
      </c>
      <c r="AV220" s="23">
        <f t="shared" si="61"/>
        <v>227</v>
      </c>
      <c r="AW220" s="22">
        <f t="shared" si="62"/>
        <v>0</v>
      </c>
      <c r="AX220" s="20">
        <f t="shared" si="63"/>
        <v>227</v>
      </c>
      <c r="AY220" s="28" t="s">
        <v>477</v>
      </c>
      <c r="AZ220" s="28" t="s">
        <v>477</v>
      </c>
      <c r="BA220" s="28" t="s">
        <v>352</v>
      </c>
      <c r="BB220" s="29">
        <v>43406</v>
      </c>
    </row>
    <row r="221" spans="1:54" hidden="1">
      <c r="A221" s="28" t="str">
        <f t="shared" si="48"/>
        <v>807353119261</v>
      </c>
      <c r="B221" s="30">
        <v>807353</v>
      </c>
      <c r="C221" s="30" t="s">
        <v>242</v>
      </c>
      <c r="D221" s="31">
        <v>119261</v>
      </c>
      <c r="E221" s="28" t="s">
        <v>170</v>
      </c>
      <c r="F221" s="28"/>
      <c r="G221" s="28"/>
      <c r="H221" s="28"/>
      <c r="I221" s="28"/>
      <c r="J221" s="28"/>
      <c r="K221" s="28"/>
      <c r="L221" s="20">
        <v>101.15</v>
      </c>
      <c r="M221" s="21">
        <v>0</v>
      </c>
      <c r="N221" s="20">
        <f t="shared" si="49"/>
        <v>101.15</v>
      </c>
      <c r="O221" s="20">
        <v>0</v>
      </c>
      <c r="P221" s="21">
        <v>0</v>
      </c>
      <c r="Q221" s="20">
        <f t="shared" si="50"/>
        <v>0</v>
      </c>
      <c r="R221" s="20">
        <v>101</v>
      </c>
      <c r="S221" s="22">
        <v>0</v>
      </c>
      <c r="T221" s="20">
        <f t="shared" si="51"/>
        <v>101</v>
      </c>
      <c r="U221" s="20">
        <v>102</v>
      </c>
      <c r="V221" s="21">
        <v>0</v>
      </c>
      <c r="W221" s="20">
        <f t="shared" si="52"/>
        <v>102</v>
      </c>
      <c r="X221" s="20">
        <v>52.5</v>
      </c>
      <c r="Y221" s="22">
        <v>0</v>
      </c>
      <c r="Z221" s="20">
        <f t="shared" si="53"/>
        <v>52.5</v>
      </c>
      <c r="AA221" s="20">
        <v>50</v>
      </c>
      <c r="AB221" s="22">
        <v>0</v>
      </c>
      <c r="AC221" s="20">
        <f t="shared" si="54"/>
        <v>50</v>
      </c>
      <c r="AD221" s="20">
        <v>100</v>
      </c>
      <c r="AE221" s="22">
        <v>0</v>
      </c>
      <c r="AF221" s="20">
        <f t="shared" si="55"/>
        <v>100</v>
      </c>
      <c r="AG221" s="20">
        <v>50</v>
      </c>
      <c r="AH221" s="21">
        <v>0</v>
      </c>
      <c r="AI221" s="20">
        <f t="shared" si="56"/>
        <v>50</v>
      </c>
      <c r="AJ221" s="20">
        <v>100</v>
      </c>
      <c r="AK221" s="21">
        <v>0</v>
      </c>
      <c r="AL221" s="20">
        <f t="shared" si="57"/>
        <v>100</v>
      </c>
      <c r="AM221" s="20">
        <v>50</v>
      </c>
      <c r="AN221" s="21">
        <v>0</v>
      </c>
      <c r="AO221" s="20">
        <f t="shared" si="58"/>
        <v>50</v>
      </c>
      <c r="AP221" s="21">
        <v>50</v>
      </c>
      <c r="AQ221" s="20">
        <v>0</v>
      </c>
      <c r="AR221" s="20">
        <f t="shared" si="59"/>
        <v>50</v>
      </c>
      <c r="AS221" s="20">
        <v>0</v>
      </c>
      <c r="AT221" s="21">
        <v>0</v>
      </c>
      <c r="AU221" s="20">
        <f t="shared" si="60"/>
        <v>0</v>
      </c>
      <c r="AV221" s="23">
        <f t="shared" si="61"/>
        <v>756.65</v>
      </c>
      <c r="AW221" s="22">
        <f t="shared" si="62"/>
        <v>0</v>
      </c>
      <c r="AX221" s="20">
        <f t="shared" si="63"/>
        <v>756.65</v>
      </c>
      <c r="AY221" s="28" t="s">
        <v>477</v>
      </c>
      <c r="AZ221" s="28" t="s">
        <v>477</v>
      </c>
      <c r="BA221" s="28" t="s">
        <v>352</v>
      </c>
      <c r="BB221" s="29">
        <v>43451</v>
      </c>
    </row>
    <row r="222" spans="1:54" hidden="1">
      <c r="A222" s="28" t="str">
        <f t="shared" si="48"/>
        <v>807368176303</v>
      </c>
      <c r="B222" s="30">
        <v>807368</v>
      </c>
      <c r="C222" s="30" t="s">
        <v>337</v>
      </c>
      <c r="D222" s="31">
        <v>176303</v>
      </c>
      <c r="E222" s="28" t="s">
        <v>205</v>
      </c>
      <c r="F222" s="28"/>
      <c r="G222" s="28"/>
      <c r="H222" s="28"/>
      <c r="I222" s="28"/>
      <c r="J222" s="28"/>
      <c r="K222" s="28"/>
      <c r="L222" s="20">
        <v>0</v>
      </c>
      <c r="M222" s="21">
        <v>0</v>
      </c>
      <c r="N222" s="20">
        <f t="shared" si="49"/>
        <v>0</v>
      </c>
      <c r="O222" s="20">
        <v>15</v>
      </c>
      <c r="P222" s="21">
        <v>0</v>
      </c>
      <c r="Q222" s="20">
        <f t="shared" si="50"/>
        <v>15</v>
      </c>
      <c r="R222" s="20">
        <v>0</v>
      </c>
      <c r="S222" s="22">
        <v>0</v>
      </c>
      <c r="T222" s="20">
        <f t="shared" si="51"/>
        <v>0</v>
      </c>
      <c r="U222" s="20">
        <v>0</v>
      </c>
      <c r="V222" s="21">
        <v>0</v>
      </c>
      <c r="W222" s="20">
        <f t="shared" si="52"/>
        <v>0</v>
      </c>
      <c r="X222" s="20">
        <v>7.5</v>
      </c>
      <c r="Y222" s="22">
        <v>0</v>
      </c>
      <c r="Z222" s="20">
        <f t="shared" si="53"/>
        <v>7.5</v>
      </c>
      <c r="AA222" s="20">
        <v>16</v>
      </c>
      <c r="AB222" s="22">
        <v>0</v>
      </c>
      <c r="AC222" s="20">
        <f t="shared" si="54"/>
        <v>16</v>
      </c>
      <c r="AD222" s="20">
        <v>0</v>
      </c>
      <c r="AE222" s="22">
        <v>0</v>
      </c>
      <c r="AF222" s="20">
        <f t="shared" si="55"/>
        <v>0</v>
      </c>
      <c r="AG222" s="20">
        <v>0</v>
      </c>
      <c r="AH222" s="21">
        <v>0</v>
      </c>
      <c r="AI222" s="20">
        <f t="shared" si="56"/>
        <v>0</v>
      </c>
      <c r="AJ222" s="20">
        <v>7.5</v>
      </c>
      <c r="AK222" s="21">
        <v>0</v>
      </c>
      <c r="AL222" s="20">
        <f t="shared" si="57"/>
        <v>7.5</v>
      </c>
      <c r="AM222" s="20">
        <v>5</v>
      </c>
      <c r="AN222" s="21">
        <v>0</v>
      </c>
      <c r="AO222" s="20">
        <f t="shared" si="58"/>
        <v>5</v>
      </c>
      <c r="AP222" s="21">
        <v>5</v>
      </c>
      <c r="AQ222" s="20">
        <v>0</v>
      </c>
      <c r="AR222" s="20">
        <f t="shared" si="59"/>
        <v>5</v>
      </c>
      <c r="AS222" s="20">
        <v>0</v>
      </c>
      <c r="AT222" s="21">
        <v>0</v>
      </c>
      <c r="AU222" s="20">
        <f t="shared" si="60"/>
        <v>0</v>
      </c>
      <c r="AV222" s="23">
        <f t="shared" si="61"/>
        <v>56</v>
      </c>
      <c r="AW222" s="22">
        <f t="shared" si="62"/>
        <v>0</v>
      </c>
      <c r="AX222" s="20">
        <f t="shared" si="63"/>
        <v>56</v>
      </c>
      <c r="AY222" s="28" t="s">
        <v>477</v>
      </c>
      <c r="AZ222" s="28" t="s">
        <v>477</v>
      </c>
      <c r="BA222" s="28" t="s">
        <v>352</v>
      </c>
      <c r="BB222" s="29">
        <v>43453</v>
      </c>
    </row>
    <row r="223" spans="1:54" hidden="1">
      <c r="A223" s="28" t="str">
        <f t="shared" si="48"/>
        <v>807690141512</v>
      </c>
      <c r="B223" s="30">
        <v>807690</v>
      </c>
      <c r="C223" s="30" t="s">
        <v>339</v>
      </c>
      <c r="D223" s="31">
        <v>141512</v>
      </c>
      <c r="E223" s="28" t="s">
        <v>136</v>
      </c>
      <c r="F223" s="28"/>
      <c r="G223" s="28"/>
      <c r="H223" s="28"/>
      <c r="I223" s="28"/>
      <c r="J223" s="28"/>
      <c r="K223" s="28"/>
      <c r="L223" s="20">
        <v>0</v>
      </c>
      <c r="M223" s="21">
        <v>0</v>
      </c>
      <c r="N223" s="20">
        <f t="shared" si="49"/>
        <v>0</v>
      </c>
      <c r="O223" s="20">
        <v>9.9499999999999993</v>
      </c>
      <c r="P223" s="21">
        <v>0</v>
      </c>
      <c r="Q223" s="20">
        <f t="shared" si="50"/>
        <v>9.9499999999999993</v>
      </c>
      <c r="R223" s="20">
        <v>0</v>
      </c>
      <c r="S223" s="22">
        <v>0</v>
      </c>
      <c r="T223" s="20">
        <f t="shared" si="51"/>
        <v>0</v>
      </c>
      <c r="U223" s="20">
        <v>0</v>
      </c>
      <c r="V223" s="21">
        <v>0</v>
      </c>
      <c r="W223" s="20">
        <f t="shared" si="52"/>
        <v>0</v>
      </c>
      <c r="X223" s="20">
        <v>0</v>
      </c>
      <c r="Y223" s="22">
        <v>0</v>
      </c>
      <c r="Z223" s="20">
        <f t="shared" si="53"/>
        <v>0</v>
      </c>
      <c r="AA223" s="20">
        <v>2.5</v>
      </c>
      <c r="AB223" s="22">
        <v>0</v>
      </c>
      <c r="AC223" s="20">
        <f t="shared" si="54"/>
        <v>2.5</v>
      </c>
      <c r="AD223" s="20">
        <v>0</v>
      </c>
      <c r="AE223" s="22">
        <v>0</v>
      </c>
      <c r="AF223" s="20">
        <f t="shared" si="55"/>
        <v>0</v>
      </c>
      <c r="AG223" s="20">
        <v>0</v>
      </c>
      <c r="AH223" s="21">
        <v>0</v>
      </c>
      <c r="AI223" s="20">
        <f t="shared" si="56"/>
        <v>0</v>
      </c>
      <c r="AJ223" s="20">
        <v>10</v>
      </c>
      <c r="AK223" s="21">
        <v>0</v>
      </c>
      <c r="AL223" s="20">
        <f t="shared" si="57"/>
        <v>10</v>
      </c>
      <c r="AM223" s="20">
        <v>0</v>
      </c>
      <c r="AN223" s="21">
        <v>0</v>
      </c>
      <c r="AO223" s="20">
        <f t="shared" si="58"/>
        <v>0</v>
      </c>
      <c r="AP223" s="21">
        <v>0</v>
      </c>
      <c r="AQ223" s="20">
        <v>0</v>
      </c>
      <c r="AR223" s="20">
        <f t="shared" si="59"/>
        <v>0</v>
      </c>
      <c r="AS223" s="20">
        <v>0</v>
      </c>
      <c r="AT223" s="21">
        <v>0</v>
      </c>
      <c r="AU223" s="20">
        <f t="shared" si="60"/>
        <v>0</v>
      </c>
      <c r="AV223" s="23">
        <f t="shared" si="61"/>
        <v>22.45</v>
      </c>
      <c r="AW223" s="22">
        <f t="shared" si="62"/>
        <v>0</v>
      </c>
      <c r="AX223" s="20">
        <f t="shared" si="63"/>
        <v>22.45</v>
      </c>
      <c r="AY223" s="28" t="s">
        <v>477</v>
      </c>
      <c r="AZ223" s="28" t="s">
        <v>477</v>
      </c>
      <c r="BA223" s="28" t="s">
        <v>352</v>
      </c>
      <c r="BB223" s="29">
        <v>43388</v>
      </c>
    </row>
    <row r="224" spans="1:54" hidden="1">
      <c r="A224" s="28" t="str">
        <f t="shared" si="48"/>
        <v>808419206011</v>
      </c>
      <c r="B224" s="30">
        <v>808419</v>
      </c>
      <c r="C224" s="30" t="s">
        <v>40</v>
      </c>
      <c r="D224" s="31">
        <v>206011</v>
      </c>
      <c r="E224" s="28" t="s">
        <v>39</v>
      </c>
      <c r="F224" s="28"/>
      <c r="G224" s="28"/>
      <c r="H224" s="28"/>
      <c r="I224" s="28"/>
      <c r="J224" s="28"/>
      <c r="K224" s="28"/>
      <c r="L224" s="20">
        <v>381.5</v>
      </c>
      <c r="M224" s="21">
        <v>30.5</v>
      </c>
      <c r="N224" s="20">
        <f t="shared" si="49"/>
        <v>412</v>
      </c>
      <c r="O224" s="20">
        <v>373</v>
      </c>
      <c r="P224" s="21">
        <v>20.75</v>
      </c>
      <c r="Q224" s="20">
        <f t="shared" si="50"/>
        <v>393.75</v>
      </c>
      <c r="R224" s="20">
        <v>541.9</v>
      </c>
      <c r="S224" s="22">
        <v>81.900000000000006</v>
      </c>
      <c r="T224" s="20">
        <f t="shared" si="51"/>
        <v>623.79999999999995</v>
      </c>
      <c r="U224" s="20">
        <v>487.55</v>
      </c>
      <c r="V224" s="21">
        <v>106.25</v>
      </c>
      <c r="W224" s="20">
        <f t="shared" si="52"/>
        <v>593.79999999999995</v>
      </c>
      <c r="X224" s="20">
        <v>312.45</v>
      </c>
      <c r="Y224" s="22">
        <v>86.5</v>
      </c>
      <c r="Z224" s="20">
        <f t="shared" si="53"/>
        <v>398.95</v>
      </c>
      <c r="AA224" s="20">
        <v>132.25</v>
      </c>
      <c r="AB224" s="22">
        <v>55.75</v>
      </c>
      <c r="AC224" s="20">
        <f t="shared" si="54"/>
        <v>188</v>
      </c>
      <c r="AD224" s="20">
        <v>366.59999999999997</v>
      </c>
      <c r="AE224" s="22">
        <v>72.95</v>
      </c>
      <c r="AF224" s="20">
        <f t="shared" si="55"/>
        <v>439.54999999999995</v>
      </c>
      <c r="AG224" s="20">
        <v>141.25</v>
      </c>
      <c r="AH224" s="21">
        <v>26.75</v>
      </c>
      <c r="AI224" s="20">
        <f t="shared" si="56"/>
        <v>168</v>
      </c>
      <c r="AJ224" s="20">
        <v>536.65</v>
      </c>
      <c r="AK224" s="21">
        <v>95.15</v>
      </c>
      <c r="AL224" s="20">
        <f t="shared" si="57"/>
        <v>631.79999999999995</v>
      </c>
      <c r="AM224" s="20">
        <v>212.75</v>
      </c>
      <c r="AN224" s="21">
        <v>55.2</v>
      </c>
      <c r="AO224" s="20">
        <f t="shared" si="58"/>
        <v>267.95</v>
      </c>
      <c r="AP224" s="21">
        <v>316.3</v>
      </c>
      <c r="AQ224" s="20">
        <v>31</v>
      </c>
      <c r="AR224" s="20">
        <f t="shared" si="59"/>
        <v>347.3</v>
      </c>
      <c r="AS224" s="20">
        <v>431</v>
      </c>
      <c r="AT224" s="21">
        <v>107.7</v>
      </c>
      <c r="AU224" s="20">
        <f t="shared" si="60"/>
        <v>538.70000000000005</v>
      </c>
      <c r="AV224" s="23">
        <f t="shared" si="61"/>
        <v>4233.2000000000007</v>
      </c>
      <c r="AW224" s="22">
        <f t="shared" si="62"/>
        <v>770.40000000000009</v>
      </c>
      <c r="AX224" s="20">
        <f t="shared" si="63"/>
        <v>5003.6000000000004</v>
      </c>
      <c r="AY224" s="28" t="s">
        <v>477</v>
      </c>
      <c r="AZ224" s="28" t="s">
        <v>477</v>
      </c>
      <c r="BA224" s="28" t="s">
        <v>352</v>
      </c>
      <c r="BB224" s="29">
        <v>43245</v>
      </c>
    </row>
    <row r="225" spans="1:54" hidden="1">
      <c r="A225" s="28" t="str">
        <f t="shared" si="48"/>
        <v>808731141512</v>
      </c>
      <c r="B225" s="30">
        <v>808731</v>
      </c>
      <c r="C225" s="30" t="s">
        <v>305</v>
      </c>
      <c r="D225" s="31">
        <v>141512</v>
      </c>
      <c r="E225" s="28" t="s">
        <v>136</v>
      </c>
      <c r="F225" s="28"/>
      <c r="G225" s="28"/>
      <c r="H225" s="28"/>
      <c r="I225" s="28"/>
      <c r="J225" s="28"/>
      <c r="K225" s="28"/>
      <c r="L225" s="20">
        <v>48</v>
      </c>
      <c r="M225" s="21">
        <v>8</v>
      </c>
      <c r="N225" s="20">
        <f t="shared" si="49"/>
        <v>56</v>
      </c>
      <c r="O225" s="20">
        <v>31</v>
      </c>
      <c r="P225" s="21">
        <v>0</v>
      </c>
      <c r="Q225" s="20">
        <f t="shared" si="50"/>
        <v>31</v>
      </c>
      <c r="R225" s="20">
        <v>50</v>
      </c>
      <c r="S225" s="22">
        <v>0</v>
      </c>
      <c r="T225" s="20">
        <f t="shared" si="51"/>
        <v>50</v>
      </c>
      <c r="U225" s="20">
        <v>51</v>
      </c>
      <c r="V225" s="21">
        <v>0</v>
      </c>
      <c r="W225" s="20">
        <f t="shared" si="52"/>
        <v>51</v>
      </c>
      <c r="X225" s="20">
        <v>75.5</v>
      </c>
      <c r="Y225" s="22">
        <v>0</v>
      </c>
      <c r="Z225" s="20">
        <f t="shared" si="53"/>
        <v>75.5</v>
      </c>
      <c r="AA225" s="20">
        <v>10</v>
      </c>
      <c r="AB225" s="22">
        <v>0</v>
      </c>
      <c r="AC225" s="20">
        <f t="shared" si="54"/>
        <v>10</v>
      </c>
      <c r="AD225" s="20">
        <v>40.5</v>
      </c>
      <c r="AE225" s="22">
        <v>0</v>
      </c>
      <c r="AF225" s="20">
        <f t="shared" si="55"/>
        <v>40.5</v>
      </c>
      <c r="AG225" s="20">
        <v>75</v>
      </c>
      <c r="AH225" s="21">
        <v>0</v>
      </c>
      <c r="AI225" s="20">
        <f t="shared" si="56"/>
        <v>75</v>
      </c>
      <c r="AJ225" s="20">
        <v>50</v>
      </c>
      <c r="AK225" s="21">
        <v>0</v>
      </c>
      <c r="AL225" s="20">
        <f t="shared" si="57"/>
        <v>50</v>
      </c>
      <c r="AM225" s="20">
        <v>7.5</v>
      </c>
      <c r="AN225" s="21">
        <v>0</v>
      </c>
      <c r="AO225" s="20">
        <f t="shared" si="58"/>
        <v>7.5</v>
      </c>
      <c r="AP225" s="21">
        <v>37.5</v>
      </c>
      <c r="AQ225" s="20">
        <v>0</v>
      </c>
      <c r="AR225" s="20">
        <f t="shared" si="59"/>
        <v>37.5</v>
      </c>
      <c r="AS225" s="20">
        <v>124</v>
      </c>
      <c r="AT225" s="21">
        <v>0</v>
      </c>
      <c r="AU225" s="20">
        <f t="shared" si="60"/>
        <v>124</v>
      </c>
      <c r="AV225" s="23">
        <f t="shared" si="61"/>
        <v>600</v>
      </c>
      <c r="AW225" s="22">
        <f t="shared" si="62"/>
        <v>8</v>
      </c>
      <c r="AX225" s="20">
        <f t="shared" si="63"/>
        <v>608</v>
      </c>
      <c r="AY225" s="28" t="s">
        <v>477</v>
      </c>
      <c r="AZ225" s="28" t="s">
        <v>477</v>
      </c>
      <c r="BA225" s="28" t="s">
        <v>352</v>
      </c>
      <c r="BB225" s="29">
        <v>43315</v>
      </c>
    </row>
    <row r="226" spans="1:54" hidden="1">
      <c r="A226" s="28" t="str">
        <f t="shared" si="48"/>
        <v>809479176303</v>
      </c>
      <c r="B226" s="30">
        <v>809479</v>
      </c>
      <c r="C226" s="30" t="s">
        <v>206</v>
      </c>
      <c r="D226" s="31">
        <v>176303</v>
      </c>
      <c r="E226" s="28" t="s">
        <v>205</v>
      </c>
      <c r="F226" s="28"/>
      <c r="G226" s="28"/>
      <c r="H226" s="28"/>
      <c r="I226" s="28"/>
      <c r="J226" s="28"/>
      <c r="K226" s="28"/>
      <c r="L226" s="20">
        <v>17.5</v>
      </c>
      <c r="M226" s="21">
        <v>0</v>
      </c>
      <c r="N226" s="20">
        <f t="shared" si="49"/>
        <v>17.5</v>
      </c>
      <c r="O226" s="20">
        <v>25.5</v>
      </c>
      <c r="P226" s="21">
        <v>0</v>
      </c>
      <c r="Q226" s="20">
        <f t="shared" si="50"/>
        <v>25.5</v>
      </c>
      <c r="R226" s="20">
        <v>43.75</v>
      </c>
      <c r="S226" s="22">
        <v>0</v>
      </c>
      <c r="T226" s="20">
        <f t="shared" si="51"/>
        <v>43.75</v>
      </c>
      <c r="U226" s="20">
        <v>53.5</v>
      </c>
      <c r="V226" s="21">
        <v>0</v>
      </c>
      <c r="W226" s="20">
        <f t="shared" si="52"/>
        <v>53.5</v>
      </c>
      <c r="X226" s="20">
        <v>47.5</v>
      </c>
      <c r="Y226" s="22">
        <v>0</v>
      </c>
      <c r="Z226" s="20">
        <f t="shared" si="53"/>
        <v>47.5</v>
      </c>
      <c r="AA226" s="20">
        <v>30</v>
      </c>
      <c r="AB226" s="22">
        <v>0</v>
      </c>
      <c r="AC226" s="20">
        <f t="shared" si="54"/>
        <v>30</v>
      </c>
      <c r="AD226" s="20">
        <v>31.25</v>
      </c>
      <c r="AE226" s="22">
        <v>8.75</v>
      </c>
      <c r="AF226" s="20">
        <f t="shared" si="55"/>
        <v>40</v>
      </c>
      <c r="AG226" s="20">
        <v>15</v>
      </c>
      <c r="AH226" s="21">
        <v>0</v>
      </c>
      <c r="AI226" s="20">
        <f t="shared" si="56"/>
        <v>15</v>
      </c>
      <c r="AJ226" s="20">
        <v>36</v>
      </c>
      <c r="AK226" s="21">
        <v>0</v>
      </c>
      <c r="AL226" s="20">
        <f t="shared" si="57"/>
        <v>36</v>
      </c>
      <c r="AM226" s="20">
        <v>22.5</v>
      </c>
      <c r="AN226" s="21">
        <v>0</v>
      </c>
      <c r="AO226" s="20">
        <f t="shared" si="58"/>
        <v>22.5</v>
      </c>
      <c r="AP226" s="21">
        <v>45</v>
      </c>
      <c r="AQ226" s="20">
        <v>0</v>
      </c>
      <c r="AR226" s="20">
        <f t="shared" si="59"/>
        <v>45</v>
      </c>
      <c r="AS226" s="20">
        <v>45.75</v>
      </c>
      <c r="AT226" s="21">
        <v>0</v>
      </c>
      <c r="AU226" s="20">
        <f t="shared" si="60"/>
        <v>45.75</v>
      </c>
      <c r="AV226" s="23">
        <f t="shared" si="61"/>
        <v>413.25</v>
      </c>
      <c r="AW226" s="22">
        <f t="shared" si="62"/>
        <v>8.75</v>
      </c>
      <c r="AX226" s="20">
        <f t="shared" si="63"/>
        <v>422</v>
      </c>
      <c r="AY226" s="28" t="s">
        <v>477</v>
      </c>
      <c r="AZ226" s="28" t="s">
        <v>477</v>
      </c>
      <c r="BA226" s="28" t="s">
        <v>352</v>
      </c>
      <c r="BB226" s="29">
        <v>43588</v>
      </c>
    </row>
    <row r="227" spans="1:54" hidden="1">
      <c r="A227" s="28" t="str">
        <f t="shared" si="48"/>
        <v>810821141512</v>
      </c>
      <c r="B227" s="30">
        <v>810821</v>
      </c>
      <c r="C227" s="30" t="s">
        <v>240</v>
      </c>
      <c r="D227" s="31">
        <v>141512</v>
      </c>
      <c r="E227" s="28" t="s">
        <v>136</v>
      </c>
      <c r="F227" s="28"/>
      <c r="G227" s="28"/>
      <c r="H227" s="28"/>
      <c r="I227" s="28"/>
      <c r="J227" s="28"/>
      <c r="K227" s="28"/>
      <c r="L227" s="20">
        <v>10</v>
      </c>
      <c r="M227" s="21">
        <v>0</v>
      </c>
      <c r="N227" s="20">
        <f t="shared" si="49"/>
        <v>10</v>
      </c>
      <c r="O227" s="20">
        <v>3</v>
      </c>
      <c r="P227" s="21">
        <v>0</v>
      </c>
      <c r="Q227" s="20">
        <f t="shared" si="50"/>
        <v>3</v>
      </c>
      <c r="R227" s="20">
        <v>50</v>
      </c>
      <c r="S227" s="22">
        <v>0</v>
      </c>
      <c r="T227" s="20">
        <f t="shared" si="51"/>
        <v>50</v>
      </c>
      <c r="U227" s="20">
        <v>51</v>
      </c>
      <c r="V227" s="21">
        <v>0</v>
      </c>
      <c r="W227" s="20">
        <f t="shared" si="52"/>
        <v>51</v>
      </c>
      <c r="X227" s="20">
        <v>22.5</v>
      </c>
      <c r="Y227" s="22">
        <v>0</v>
      </c>
      <c r="Z227" s="20">
        <f t="shared" si="53"/>
        <v>22.5</v>
      </c>
      <c r="AA227" s="20">
        <v>25</v>
      </c>
      <c r="AB227" s="22">
        <v>0</v>
      </c>
      <c r="AC227" s="20">
        <f t="shared" si="54"/>
        <v>25</v>
      </c>
      <c r="AD227" s="20">
        <v>31</v>
      </c>
      <c r="AE227" s="22">
        <v>0</v>
      </c>
      <c r="AF227" s="20">
        <f t="shared" si="55"/>
        <v>31</v>
      </c>
      <c r="AG227" s="20">
        <v>40</v>
      </c>
      <c r="AH227" s="21">
        <v>0</v>
      </c>
      <c r="AI227" s="20">
        <f t="shared" si="56"/>
        <v>40</v>
      </c>
      <c r="AJ227" s="20">
        <v>50</v>
      </c>
      <c r="AK227" s="21">
        <v>0</v>
      </c>
      <c r="AL227" s="20">
        <f t="shared" si="57"/>
        <v>50</v>
      </c>
      <c r="AM227" s="20">
        <v>20</v>
      </c>
      <c r="AN227" s="21">
        <v>0</v>
      </c>
      <c r="AO227" s="20">
        <f t="shared" si="58"/>
        <v>20</v>
      </c>
      <c r="AP227" s="21">
        <v>45</v>
      </c>
      <c r="AQ227" s="20">
        <v>0</v>
      </c>
      <c r="AR227" s="20">
        <f t="shared" si="59"/>
        <v>45</v>
      </c>
      <c r="AS227" s="20">
        <v>76</v>
      </c>
      <c r="AT227" s="21">
        <v>0</v>
      </c>
      <c r="AU227" s="20">
        <f t="shared" si="60"/>
        <v>76</v>
      </c>
      <c r="AV227" s="23">
        <f t="shared" si="61"/>
        <v>423.5</v>
      </c>
      <c r="AW227" s="22">
        <f t="shared" si="62"/>
        <v>0</v>
      </c>
      <c r="AX227" s="20">
        <f t="shared" si="63"/>
        <v>423.5</v>
      </c>
      <c r="AY227" s="28" t="s">
        <v>477</v>
      </c>
      <c r="AZ227" s="28" t="s">
        <v>477</v>
      </c>
      <c r="BA227" s="28" t="s">
        <v>352</v>
      </c>
      <c r="BB227" s="29">
        <v>43791</v>
      </c>
    </row>
    <row r="228" spans="1:54" hidden="1">
      <c r="A228" s="28" t="str">
        <f t="shared" si="48"/>
        <v>811242147770</v>
      </c>
      <c r="B228" s="30">
        <v>811242</v>
      </c>
      <c r="C228" s="30" t="s">
        <v>487</v>
      </c>
      <c r="D228" s="28">
        <v>147770</v>
      </c>
      <c r="E228" s="28" t="s">
        <v>488</v>
      </c>
      <c r="F228" s="28"/>
      <c r="G228" s="28"/>
      <c r="H228" s="28"/>
      <c r="I228" s="28"/>
      <c r="J228" s="28"/>
      <c r="K228" s="28"/>
      <c r="L228" s="20">
        <v>0</v>
      </c>
      <c r="M228" s="21">
        <v>0</v>
      </c>
      <c r="N228" s="20">
        <f t="shared" si="49"/>
        <v>0</v>
      </c>
      <c r="O228" s="20">
        <v>0</v>
      </c>
      <c r="P228" s="21">
        <v>0</v>
      </c>
      <c r="Q228" s="20">
        <f t="shared" si="50"/>
        <v>0</v>
      </c>
      <c r="R228" s="20">
        <v>0</v>
      </c>
      <c r="S228" s="22">
        <v>0</v>
      </c>
      <c r="T228" s="20">
        <f t="shared" si="51"/>
        <v>0</v>
      </c>
      <c r="U228" s="20">
        <v>0</v>
      </c>
      <c r="V228" s="21">
        <v>0</v>
      </c>
      <c r="W228" s="20">
        <f t="shared" si="52"/>
        <v>0</v>
      </c>
      <c r="X228" s="20">
        <v>0</v>
      </c>
      <c r="Y228" s="22">
        <v>0</v>
      </c>
      <c r="Z228" s="20">
        <f t="shared" si="53"/>
        <v>0</v>
      </c>
      <c r="AA228" s="20">
        <v>0</v>
      </c>
      <c r="AB228" s="22">
        <v>0</v>
      </c>
      <c r="AC228" s="20">
        <f t="shared" si="54"/>
        <v>0</v>
      </c>
      <c r="AD228" s="20">
        <v>0</v>
      </c>
      <c r="AE228" s="22">
        <v>0</v>
      </c>
      <c r="AF228" s="20">
        <f t="shared" si="55"/>
        <v>0</v>
      </c>
      <c r="AG228" s="20">
        <v>0</v>
      </c>
      <c r="AH228" s="21">
        <v>0</v>
      </c>
      <c r="AI228" s="20">
        <f t="shared" si="56"/>
        <v>0</v>
      </c>
      <c r="AJ228" s="20">
        <v>0</v>
      </c>
      <c r="AK228" s="21">
        <v>0</v>
      </c>
      <c r="AL228" s="20">
        <f t="shared" si="57"/>
        <v>0</v>
      </c>
      <c r="AM228" s="20">
        <v>19.600000000000001</v>
      </c>
      <c r="AN228" s="21">
        <v>0</v>
      </c>
      <c r="AO228" s="20">
        <f t="shared" si="58"/>
        <v>19.600000000000001</v>
      </c>
      <c r="AP228" s="21">
        <v>19</v>
      </c>
      <c r="AQ228" s="20">
        <v>0</v>
      </c>
      <c r="AR228" s="20">
        <f t="shared" si="59"/>
        <v>19</v>
      </c>
      <c r="AS228" s="20">
        <v>5</v>
      </c>
      <c r="AT228" s="21">
        <v>0</v>
      </c>
      <c r="AU228" s="20">
        <f t="shared" si="60"/>
        <v>5</v>
      </c>
      <c r="AV228" s="23">
        <f t="shared" si="61"/>
        <v>43.6</v>
      </c>
      <c r="AW228" s="22">
        <f t="shared" si="62"/>
        <v>0</v>
      </c>
      <c r="AX228" s="20">
        <f t="shared" si="63"/>
        <v>43.6</v>
      </c>
      <c r="AY228" s="28" t="s">
        <v>477</v>
      </c>
      <c r="AZ228" s="28" t="s">
        <v>477</v>
      </c>
      <c r="BA228" s="28" t="s">
        <v>352</v>
      </c>
      <c r="BB228" s="29">
        <v>43844</v>
      </c>
    </row>
    <row r="229" spans="1:54" hidden="1">
      <c r="A229" s="28" t="str">
        <f t="shared" si="48"/>
        <v>811243176303</v>
      </c>
      <c r="B229" s="30">
        <v>811243</v>
      </c>
      <c r="C229" s="30" t="s">
        <v>330</v>
      </c>
      <c r="D229" s="31">
        <v>176303</v>
      </c>
      <c r="E229" s="28" t="s">
        <v>205</v>
      </c>
      <c r="F229" s="28"/>
      <c r="G229" s="28"/>
      <c r="H229" s="28"/>
      <c r="I229" s="28"/>
      <c r="J229" s="28"/>
      <c r="K229" s="28"/>
      <c r="L229" s="20">
        <v>0</v>
      </c>
      <c r="M229" s="21">
        <v>0</v>
      </c>
      <c r="N229" s="20">
        <f t="shared" si="49"/>
        <v>0</v>
      </c>
      <c r="O229" s="20">
        <v>40</v>
      </c>
      <c r="P229" s="21">
        <v>0</v>
      </c>
      <c r="Q229" s="20">
        <f t="shared" si="50"/>
        <v>40</v>
      </c>
      <c r="R229" s="20">
        <v>0</v>
      </c>
      <c r="S229" s="22">
        <v>0</v>
      </c>
      <c r="T229" s="20">
        <f t="shared" si="51"/>
        <v>0</v>
      </c>
      <c r="U229" s="20">
        <v>0</v>
      </c>
      <c r="V229" s="21">
        <v>0</v>
      </c>
      <c r="W229" s="20">
        <f t="shared" si="52"/>
        <v>0</v>
      </c>
      <c r="X229" s="20">
        <v>0</v>
      </c>
      <c r="Y229" s="22">
        <v>0</v>
      </c>
      <c r="Z229" s="20">
        <f t="shared" si="53"/>
        <v>0</v>
      </c>
      <c r="AA229" s="20">
        <v>0</v>
      </c>
      <c r="AB229" s="22">
        <v>0</v>
      </c>
      <c r="AC229" s="20">
        <f t="shared" si="54"/>
        <v>0</v>
      </c>
      <c r="AD229" s="20">
        <v>5</v>
      </c>
      <c r="AE229" s="22">
        <v>0</v>
      </c>
      <c r="AF229" s="20">
        <f t="shared" si="55"/>
        <v>5</v>
      </c>
      <c r="AG229" s="20">
        <v>0</v>
      </c>
      <c r="AH229" s="21">
        <v>0</v>
      </c>
      <c r="AI229" s="20">
        <f t="shared" si="56"/>
        <v>0</v>
      </c>
      <c r="AJ229" s="20">
        <v>0</v>
      </c>
      <c r="AK229" s="21">
        <v>0</v>
      </c>
      <c r="AL229" s="20">
        <f t="shared" si="57"/>
        <v>0</v>
      </c>
      <c r="AM229" s="20">
        <v>5</v>
      </c>
      <c r="AN229" s="21">
        <v>0</v>
      </c>
      <c r="AO229" s="20">
        <f t="shared" si="58"/>
        <v>5</v>
      </c>
      <c r="AP229" s="21">
        <v>5</v>
      </c>
      <c r="AQ229" s="20">
        <v>0</v>
      </c>
      <c r="AR229" s="20">
        <f t="shared" si="59"/>
        <v>5</v>
      </c>
      <c r="AS229" s="20">
        <v>0</v>
      </c>
      <c r="AT229" s="21">
        <v>0</v>
      </c>
      <c r="AU229" s="20">
        <f t="shared" si="60"/>
        <v>0</v>
      </c>
      <c r="AV229" s="23">
        <f t="shared" si="61"/>
        <v>55</v>
      </c>
      <c r="AW229" s="22">
        <f t="shared" si="62"/>
        <v>0</v>
      </c>
      <c r="AX229" s="20">
        <f t="shared" si="63"/>
        <v>55</v>
      </c>
      <c r="AY229" s="28" t="s">
        <v>477</v>
      </c>
      <c r="AZ229" s="28" t="s">
        <v>477</v>
      </c>
      <c r="BA229" s="28" t="s">
        <v>352</v>
      </c>
      <c r="BB229" s="29">
        <v>43844</v>
      </c>
    </row>
    <row r="230" spans="1:54" hidden="1">
      <c r="A230" s="28" t="str">
        <f t="shared" si="48"/>
        <v>812071179911</v>
      </c>
      <c r="B230" s="30">
        <v>812071</v>
      </c>
      <c r="C230" s="30" t="s">
        <v>187</v>
      </c>
      <c r="D230" s="31">
        <v>179911</v>
      </c>
      <c r="E230" s="28" t="s">
        <v>186</v>
      </c>
      <c r="F230" s="28"/>
      <c r="G230" s="28"/>
      <c r="H230" s="28"/>
      <c r="I230" s="28"/>
      <c r="J230" s="28"/>
      <c r="K230" s="28"/>
      <c r="L230" s="20">
        <v>57.5</v>
      </c>
      <c r="M230" s="21">
        <v>7.5</v>
      </c>
      <c r="N230" s="20">
        <f t="shared" si="49"/>
        <v>65</v>
      </c>
      <c r="O230" s="20">
        <v>84.25</v>
      </c>
      <c r="P230" s="21">
        <v>12</v>
      </c>
      <c r="Q230" s="20">
        <f t="shared" si="50"/>
        <v>96.25</v>
      </c>
      <c r="R230" s="20">
        <v>89.5</v>
      </c>
      <c r="S230" s="22">
        <v>20</v>
      </c>
      <c r="T230" s="20">
        <f t="shared" si="51"/>
        <v>109.5</v>
      </c>
      <c r="U230" s="20">
        <v>46.25</v>
      </c>
      <c r="V230" s="21">
        <v>10</v>
      </c>
      <c r="W230" s="20">
        <f t="shared" si="52"/>
        <v>56.25</v>
      </c>
      <c r="X230" s="20">
        <v>68</v>
      </c>
      <c r="Y230" s="22">
        <v>7.5</v>
      </c>
      <c r="Z230" s="20">
        <f t="shared" si="53"/>
        <v>75.5</v>
      </c>
      <c r="AA230" s="20">
        <v>65.5</v>
      </c>
      <c r="AB230" s="22">
        <v>1</v>
      </c>
      <c r="AC230" s="20">
        <f t="shared" si="54"/>
        <v>66.5</v>
      </c>
      <c r="AD230" s="20">
        <v>80</v>
      </c>
      <c r="AE230" s="22">
        <v>10</v>
      </c>
      <c r="AF230" s="20">
        <f t="shared" si="55"/>
        <v>90</v>
      </c>
      <c r="AG230" s="20">
        <v>61</v>
      </c>
      <c r="AH230" s="21">
        <v>10</v>
      </c>
      <c r="AI230" s="20">
        <f t="shared" si="56"/>
        <v>71</v>
      </c>
      <c r="AJ230" s="20">
        <v>45</v>
      </c>
      <c r="AK230" s="21">
        <v>6</v>
      </c>
      <c r="AL230" s="20">
        <f t="shared" si="57"/>
        <v>51</v>
      </c>
      <c r="AM230" s="20">
        <v>49.35</v>
      </c>
      <c r="AN230" s="21">
        <v>2.6</v>
      </c>
      <c r="AO230" s="20">
        <f t="shared" si="58"/>
        <v>51.95</v>
      </c>
      <c r="AP230" s="21">
        <v>7.9</v>
      </c>
      <c r="AQ230" s="20">
        <v>2.9</v>
      </c>
      <c r="AR230" s="20">
        <f t="shared" si="59"/>
        <v>10.8</v>
      </c>
      <c r="AS230" s="20">
        <v>70.5</v>
      </c>
      <c r="AT230" s="21">
        <v>0</v>
      </c>
      <c r="AU230" s="20">
        <f t="shared" si="60"/>
        <v>70.5</v>
      </c>
      <c r="AV230" s="23">
        <f t="shared" si="61"/>
        <v>724.75</v>
      </c>
      <c r="AW230" s="22">
        <f t="shared" si="62"/>
        <v>89.5</v>
      </c>
      <c r="AX230" s="20">
        <f t="shared" si="63"/>
        <v>814.25</v>
      </c>
      <c r="AY230" s="28" t="s">
        <v>477</v>
      </c>
      <c r="AZ230" s="28" t="s">
        <v>477</v>
      </c>
      <c r="BA230" s="28" t="s">
        <v>352</v>
      </c>
      <c r="BB230" s="29">
        <v>44012</v>
      </c>
    </row>
    <row r="231" spans="1:54" hidden="1">
      <c r="A231" s="28" t="str">
        <f t="shared" si="48"/>
        <v>812077202452</v>
      </c>
      <c r="B231" s="30">
        <v>812077</v>
      </c>
      <c r="C231" s="30" t="s">
        <v>180</v>
      </c>
      <c r="D231" s="31">
        <v>202452</v>
      </c>
      <c r="E231" s="28" t="s">
        <v>179</v>
      </c>
      <c r="F231" s="28"/>
      <c r="G231" s="28"/>
      <c r="H231" s="28"/>
      <c r="I231" s="28"/>
      <c r="J231" s="28"/>
      <c r="K231" s="28"/>
      <c r="L231" s="20">
        <v>40</v>
      </c>
      <c r="M231" s="21">
        <v>0</v>
      </c>
      <c r="N231" s="20">
        <f t="shared" si="49"/>
        <v>40</v>
      </c>
      <c r="O231" s="20">
        <v>10</v>
      </c>
      <c r="P231" s="21">
        <v>0</v>
      </c>
      <c r="Q231" s="20">
        <f t="shared" si="50"/>
        <v>10</v>
      </c>
      <c r="R231" s="20">
        <v>37</v>
      </c>
      <c r="S231" s="22">
        <v>0</v>
      </c>
      <c r="T231" s="20">
        <f t="shared" si="51"/>
        <v>37</v>
      </c>
      <c r="U231" s="20">
        <v>17</v>
      </c>
      <c r="V231" s="21">
        <v>0</v>
      </c>
      <c r="W231" s="20">
        <f t="shared" si="52"/>
        <v>17</v>
      </c>
      <c r="X231" s="20">
        <v>44.25</v>
      </c>
      <c r="Y231" s="22">
        <v>1</v>
      </c>
      <c r="Z231" s="20">
        <f t="shared" si="53"/>
        <v>45.25</v>
      </c>
      <c r="AA231" s="20">
        <v>15</v>
      </c>
      <c r="AB231" s="22">
        <v>0</v>
      </c>
      <c r="AC231" s="20">
        <f t="shared" si="54"/>
        <v>15</v>
      </c>
      <c r="AD231" s="20">
        <v>16.25</v>
      </c>
      <c r="AE231" s="22">
        <v>0</v>
      </c>
      <c r="AF231" s="20">
        <f t="shared" si="55"/>
        <v>16.25</v>
      </c>
      <c r="AG231" s="20">
        <v>27.5</v>
      </c>
      <c r="AH231" s="21">
        <v>0</v>
      </c>
      <c r="AI231" s="20">
        <f t="shared" si="56"/>
        <v>27.5</v>
      </c>
      <c r="AJ231" s="20">
        <v>34</v>
      </c>
      <c r="AK231" s="21">
        <v>10</v>
      </c>
      <c r="AL231" s="20">
        <f t="shared" si="57"/>
        <v>44</v>
      </c>
      <c r="AM231" s="20">
        <v>17.5</v>
      </c>
      <c r="AN231" s="21">
        <v>0</v>
      </c>
      <c r="AO231" s="20">
        <f t="shared" si="58"/>
        <v>17.5</v>
      </c>
      <c r="AP231" s="21">
        <v>42.5</v>
      </c>
      <c r="AQ231" s="20">
        <v>0</v>
      </c>
      <c r="AR231" s="20">
        <f t="shared" si="59"/>
        <v>42.5</v>
      </c>
      <c r="AS231" s="20">
        <v>35.5</v>
      </c>
      <c r="AT231" s="21">
        <v>0</v>
      </c>
      <c r="AU231" s="20">
        <f t="shared" si="60"/>
        <v>35.5</v>
      </c>
      <c r="AV231" s="23">
        <f t="shared" si="61"/>
        <v>336.5</v>
      </c>
      <c r="AW231" s="22">
        <f t="shared" si="62"/>
        <v>11</v>
      </c>
      <c r="AX231" s="20">
        <f t="shared" si="63"/>
        <v>347.5</v>
      </c>
      <c r="AY231" s="28" t="s">
        <v>477</v>
      </c>
      <c r="AZ231" s="28" t="s">
        <v>477</v>
      </c>
      <c r="BA231" s="28" t="s">
        <v>352</v>
      </c>
      <c r="BB231" s="29">
        <v>44012</v>
      </c>
    </row>
    <row r="232" spans="1:54" hidden="1">
      <c r="A232" s="28" t="str">
        <f t="shared" si="48"/>
        <v>812102145639</v>
      </c>
      <c r="B232" s="30">
        <v>812102</v>
      </c>
      <c r="C232" s="30" t="s">
        <v>325</v>
      </c>
      <c r="D232" s="31">
        <v>145639</v>
      </c>
      <c r="E232" s="28" t="s">
        <v>182</v>
      </c>
      <c r="F232" s="28"/>
      <c r="G232" s="28"/>
      <c r="H232" s="28"/>
      <c r="I232" s="28"/>
      <c r="J232" s="28"/>
      <c r="K232" s="28"/>
      <c r="L232" s="20">
        <v>10</v>
      </c>
      <c r="M232" s="21">
        <v>0</v>
      </c>
      <c r="N232" s="20">
        <f t="shared" si="49"/>
        <v>10</v>
      </c>
      <c r="O232" s="20">
        <v>10.5</v>
      </c>
      <c r="P232" s="21">
        <v>0</v>
      </c>
      <c r="Q232" s="20">
        <f t="shared" si="50"/>
        <v>10.5</v>
      </c>
      <c r="R232" s="20">
        <v>27.75</v>
      </c>
      <c r="S232" s="22">
        <v>5.75</v>
      </c>
      <c r="T232" s="20">
        <f t="shared" si="51"/>
        <v>33.5</v>
      </c>
      <c r="U232" s="20">
        <v>12</v>
      </c>
      <c r="V232" s="21">
        <v>1</v>
      </c>
      <c r="W232" s="20">
        <f t="shared" si="52"/>
        <v>13</v>
      </c>
      <c r="X232" s="20">
        <v>21</v>
      </c>
      <c r="Y232" s="22">
        <v>0</v>
      </c>
      <c r="Z232" s="20">
        <f t="shared" si="53"/>
        <v>21</v>
      </c>
      <c r="AA232" s="20">
        <v>19</v>
      </c>
      <c r="AB232" s="22">
        <v>0</v>
      </c>
      <c r="AC232" s="20">
        <f t="shared" si="54"/>
        <v>19</v>
      </c>
      <c r="AD232" s="20">
        <v>15.5</v>
      </c>
      <c r="AE232" s="22">
        <v>0</v>
      </c>
      <c r="AF232" s="20">
        <f t="shared" si="55"/>
        <v>15.5</v>
      </c>
      <c r="AG232" s="20">
        <v>10</v>
      </c>
      <c r="AH232" s="21">
        <v>0</v>
      </c>
      <c r="AI232" s="20">
        <f t="shared" si="56"/>
        <v>10</v>
      </c>
      <c r="AJ232" s="20">
        <v>38.5</v>
      </c>
      <c r="AK232" s="21">
        <v>0</v>
      </c>
      <c r="AL232" s="20">
        <f t="shared" si="57"/>
        <v>38.5</v>
      </c>
      <c r="AM232" s="20">
        <v>0</v>
      </c>
      <c r="AN232" s="21">
        <v>0</v>
      </c>
      <c r="AO232" s="20">
        <f t="shared" si="58"/>
        <v>0</v>
      </c>
      <c r="AP232" s="21">
        <v>14.5</v>
      </c>
      <c r="AQ232" s="20">
        <v>0</v>
      </c>
      <c r="AR232" s="20">
        <f t="shared" si="59"/>
        <v>14.5</v>
      </c>
      <c r="AS232" s="20">
        <v>42.5</v>
      </c>
      <c r="AT232" s="21">
        <v>0</v>
      </c>
      <c r="AU232" s="20">
        <f t="shared" si="60"/>
        <v>42.5</v>
      </c>
      <c r="AV232" s="23">
        <f t="shared" si="61"/>
        <v>221.25</v>
      </c>
      <c r="AW232" s="22">
        <f t="shared" si="62"/>
        <v>6.75</v>
      </c>
      <c r="AX232" s="20">
        <f t="shared" si="63"/>
        <v>228</v>
      </c>
      <c r="AY232" s="28" t="s">
        <v>477</v>
      </c>
      <c r="AZ232" s="28" t="s">
        <v>477</v>
      </c>
      <c r="BA232" s="28" t="s">
        <v>352</v>
      </c>
      <c r="BB232" s="29">
        <v>44015</v>
      </c>
    </row>
    <row r="233" spans="1:54" hidden="1">
      <c r="A233" s="28" t="str">
        <f t="shared" si="48"/>
        <v>812160203154</v>
      </c>
      <c r="B233" s="30">
        <v>812160</v>
      </c>
      <c r="C233" s="30" t="s">
        <v>53</v>
      </c>
      <c r="D233" s="31">
        <v>203154</v>
      </c>
      <c r="E233" s="28" t="s">
        <v>247</v>
      </c>
      <c r="F233" s="28"/>
      <c r="G233" s="28"/>
      <c r="H233" s="28"/>
      <c r="I233" s="28"/>
      <c r="J233" s="28"/>
      <c r="K233" s="28"/>
      <c r="L233" s="20">
        <v>81</v>
      </c>
      <c r="M233" s="21">
        <v>13.5</v>
      </c>
      <c r="N233" s="20">
        <f t="shared" si="49"/>
        <v>94.5</v>
      </c>
      <c r="O233" s="20">
        <v>52.35</v>
      </c>
      <c r="P233" s="21">
        <v>0</v>
      </c>
      <c r="Q233" s="20">
        <f t="shared" si="50"/>
        <v>52.35</v>
      </c>
      <c r="R233" s="20">
        <v>242.55</v>
      </c>
      <c r="S233" s="22">
        <v>25</v>
      </c>
      <c r="T233" s="20">
        <f t="shared" si="51"/>
        <v>267.55</v>
      </c>
      <c r="U233" s="20">
        <v>133.5</v>
      </c>
      <c r="V233" s="21">
        <v>26.5</v>
      </c>
      <c r="W233" s="20">
        <f t="shared" si="52"/>
        <v>160</v>
      </c>
      <c r="X233" s="20">
        <v>8.25</v>
      </c>
      <c r="Y233" s="22">
        <v>0</v>
      </c>
      <c r="Z233" s="20">
        <f t="shared" si="53"/>
        <v>8.25</v>
      </c>
      <c r="AA233" s="20">
        <v>101</v>
      </c>
      <c r="AB233" s="22">
        <v>0</v>
      </c>
      <c r="AC233" s="20">
        <f t="shared" si="54"/>
        <v>101</v>
      </c>
      <c r="AD233" s="20">
        <v>50.5</v>
      </c>
      <c r="AE233" s="22">
        <v>0</v>
      </c>
      <c r="AF233" s="20">
        <f t="shared" si="55"/>
        <v>50.5</v>
      </c>
      <c r="AG233" s="20">
        <v>90.5</v>
      </c>
      <c r="AH233" s="21">
        <v>13</v>
      </c>
      <c r="AI233" s="20">
        <f t="shared" si="56"/>
        <v>103.5</v>
      </c>
      <c r="AJ233" s="20">
        <v>150.75</v>
      </c>
      <c r="AK233" s="21">
        <v>13</v>
      </c>
      <c r="AL233" s="20">
        <f t="shared" si="57"/>
        <v>163.75</v>
      </c>
      <c r="AM233" s="20">
        <v>153.5</v>
      </c>
      <c r="AN233" s="21">
        <v>7.25</v>
      </c>
      <c r="AO233" s="20">
        <f t="shared" si="58"/>
        <v>160.75</v>
      </c>
      <c r="AP233" s="21">
        <v>181</v>
      </c>
      <c r="AQ233" s="20">
        <v>5</v>
      </c>
      <c r="AR233" s="20">
        <f t="shared" si="59"/>
        <v>186</v>
      </c>
      <c r="AS233" s="20">
        <v>192.25</v>
      </c>
      <c r="AT233" s="21">
        <v>11.25</v>
      </c>
      <c r="AU233" s="20">
        <f t="shared" si="60"/>
        <v>203.5</v>
      </c>
      <c r="AV233" s="23">
        <f t="shared" si="61"/>
        <v>1437.15</v>
      </c>
      <c r="AW233" s="22">
        <f t="shared" si="62"/>
        <v>114.5</v>
      </c>
      <c r="AX233" s="20">
        <f t="shared" si="63"/>
        <v>1551.65</v>
      </c>
      <c r="AY233" s="28" t="s">
        <v>477</v>
      </c>
      <c r="AZ233" s="28" t="s">
        <v>477</v>
      </c>
      <c r="BA233" s="28" t="s">
        <v>352</v>
      </c>
      <c r="BB233" s="29">
        <v>44021</v>
      </c>
    </row>
    <row r="234" spans="1:54" hidden="1">
      <c r="A234" s="28" t="str">
        <f t="shared" si="48"/>
        <v>812237174445</v>
      </c>
      <c r="B234" s="30">
        <v>812237</v>
      </c>
      <c r="C234" s="30" t="s">
        <v>313</v>
      </c>
      <c r="D234" s="31">
        <v>174445</v>
      </c>
      <c r="E234" s="28" t="s">
        <v>173</v>
      </c>
      <c r="F234" s="28"/>
      <c r="G234" s="28"/>
      <c r="H234" s="28"/>
      <c r="I234" s="28"/>
      <c r="J234" s="28"/>
      <c r="K234" s="28"/>
      <c r="L234" s="20">
        <v>15.6</v>
      </c>
      <c r="M234" s="21">
        <v>0</v>
      </c>
      <c r="N234" s="20">
        <f t="shared" si="49"/>
        <v>15.6</v>
      </c>
      <c r="O234" s="20">
        <v>23.75</v>
      </c>
      <c r="P234" s="21">
        <v>0</v>
      </c>
      <c r="Q234" s="20">
        <f t="shared" si="50"/>
        <v>23.75</v>
      </c>
      <c r="R234" s="20">
        <v>27.5</v>
      </c>
      <c r="S234" s="22">
        <v>0</v>
      </c>
      <c r="T234" s="20">
        <f t="shared" si="51"/>
        <v>27.5</v>
      </c>
      <c r="U234" s="20">
        <v>40</v>
      </c>
      <c r="V234" s="21">
        <v>0</v>
      </c>
      <c r="W234" s="20">
        <f t="shared" si="52"/>
        <v>40</v>
      </c>
      <c r="X234" s="20">
        <v>20.5</v>
      </c>
      <c r="Y234" s="22">
        <v>0</v>
      </c>
      <c r="Z234" s="20">
        <f t="shared" si="53"/>
        <v>20.5</v>
      </c>
      <c r="AA234" s="20">
        <v>74.5</v>
      </c>
      <c r="AB234" s="22">
        <v>0</v>
      </c>
      <c r="AC234" s="20">
        <f t="shared" si="54"/>
        <v>74.5</v>
      </c>
      <c r="AD234" s="20">
        <v>10</v>
      </c>
      <c r="AE234" s="22">
        <v>0</v>
      </c>
      <c r="AF234" s="20">
        <f t="shared" si="55"/>
        <v>10</v>
      </c>
      <c r="AG234" s="20">
        <v>37.5</v>
      </c>
      <c r="AH234" s="21">
        <v>0</v>
      </c>
      <c r="AI234" s="20">
        <f t="shared" si="56"/>
        <v>37.5</v>
      </c>
      <c r="AJ234" s="20">
        <v>142.5</v>
      </c>
      <c r="AK234" s="21">
        <v>5</v>
      </c>
      <c r="AL234" s="20">
        <f t="shared" si="57"/>
        <v>147.5</v>
      </c>
      <c r="AM234" s="20">
        <v>35</v>
      </c>
      <c r="AN234" s="21">
        <v>6.5</v>
      </c>
      <c r="AO234" s="20">
        <f t="shared" si="58"/>
        <v>41.5</v>
      </c>
      <c r="AP234" s="21">
        <v>30.5</v>
      </c>
      <c r="AQ234" s="20">
        <v>0</v>
      </c>
      <c r="AR234" s="20">
        <f t="shared" si="59"/>
        <v>30.5</v>
      </c>
      <c r="AS234" s="20">
        <v>42.5</v>
      </c>
      <c r="AT234" s="21">
        <v>0</v>
      </c>
      <c r="AU234" s="20">
        <f t="shared" si="60"/>
        <v>42.5</v>
      </c>
      <c r="AV234" s="23">
        <f t="shared" si="61"/>
        <v>499.85</v>
      </c>
      <c r="AW234" s="22">
        <f t="shared" si="62"/>
        <v>11.5</v>
      </c>
      <c r="AX234" s="20">
        <f t="shared" si="63"/>
        <v>511.35</v>
      </c>
      <c r="AY234" s="28" t="s">
        <v>477</v>
      </c>
      <c r="AZ234" s="28" t="s">
        <v>477</v>
      </c>
      <c r="BA234" s="28" t="s">
        <v>352</v>
      </c>
      <c r="BB234" s="29">
        <v>44027</v>
      </c>
    </row>
    <row r="235" spans="1:54" hidden="1">
      <c r="A235" s="28" t="str">
        <f t="shared" si="48"/>
        <v>812546176388</v>
      </c>
      <c r="B235" s="30">
        <v>812546</v>
      </c>
      <c r="C235" s="30" t="s">
        <v>288</v>
      </c>
      <c r="D235" s="31">
        <v>176388</v>
      </c>
      <c r="E235" s="28" t="s">
        <v>150</v>
      </c>
      <c r="F235" s="28"/>
      <c r="G235" s="28"/>
      <c r="H235" s="28"/>
      <c r="I235" s="28"/>
      <c r="J235" s="28"/>
      <c r="K235" s="28"/>
      <c r="L235" s="20">
        <v>25</v>
      </c>
      <c r="M235" s="21">
        <v>0</v>
      </c>
      <c r="N235" s="20">
        <f t="shared" si="49"/>
        <v>25</v>
      </c>
      <c r="O235" s="20">
        <v>5</v>
      </c>
      <c r="P235" s="21">
        <v>0</v>
      </c>
      <c r="Q235" s="20">
        <f t="shared" si="50"/>
        <v>5</v>
      </c>
      <c r="R235" s="20">
        <v>15</v>
      </c>
      <c r="S235" s="22">
        <v>0</v>
      </c>
      <c r="T235" s="20">
        <f t="shared" si="51"/>
        <v>15</v>
      </c>
      <c r="U235" s="20">
        <v>15</v>
      </c>
      <c r="V235" s="21">
        <v>0</v>
      </c>
      <c r="W235" s="20">
        <f t="shared" si="52"/>
        <v>15</v>
      </c>
      <c r="X235" s="20">
        <v>20</v>
      </c>
      <c r="Y235" s="22">
        <v>0</v>
      </c>
      <c r="Z235" s="20">
        <f t="shared" si="53"/>
        <v>20</v>
      </c>
      <c r="AA235" s="20">
        <v>22.5</v>
      </c>
      <c r="AB235" s="22">
        <v>0</v>
      </c>
      <c r="AC235" s="20">
        <f t="shared" si="54"/>
        <v>22.5</v>
      </c>
      <c r="AD235" s="20">
        <v>15</v>
      </c>
      <c r="AE235" s="22">
        <v>0</v>
      </c>
      <c r="AF235" s="20">
        <f t="shared" si="55"/>
        <v>15</v>
      </c>
      <c r="AG235" s="20">
        <v>0</v>
      </c>
      <c r="AH235" s="21">
        <v>0</v>
      </c>
      <c r="AI235" s="20">
        <f t="shared" si="56"/>
        <v>0</v>
      </c>
      <c r="AJ235" s="20">
        <v>0</v>
      </c>
      <c r="AK235" s="21">
        <v>0</v>
      </c>
      <c r="AL235" s="20">
        <f t="shared" si="57"/>
        <v>0</v>
      </c>
      <c r="AM235" s="20">
        <v>0</v>
      </c>
      <c r="AN235" s="21">
        <v>0</v>
      </c>
      <c r="AO235" s="20">
        <f t="shared" si="58"/>
        <v>0</v>
      </c>
      <c r="AP235" s="21">
        <v>0</v>
      </c>
      <c r="AQ235" s="20">
        <v>0</v>
      </c>
      <c r="AR235" s="20">
        <f t="shared" si="59"/>
        <v>0</v>
      </c>
      <c r="AS235" s="20">
        <v>0</v>
      </c>
      <c r="AT235" s="21">
        <v>0</v>
      </c>
      <c r="AU235" s="20">
        <f t="shared" si="60"/>
        <v>0</v>
      </c>
      <c r="AV235" s="23">
        <f t="shared" si="61"/>
        <v>117.5</v>
      </c>
      <c r="AW235" s="22">
        <f t="shared" si="62"/>
        <v>0</v>
      </c>
      <c r="AX235" s="20">
        <f t="shared" si="63"/>
        <v>117.5</v>
      </c>
      <c r="AY235" s="28" t="s">
        <v>477</v>
      </c>
      <c r="AZ235" s="28" t="s">
        <v>477</v>
      </c>
      <c r="BA235" s="28" t="s">
        <v>352</v>
      </c>
      <c r="BB235" s="29">
        <v>44060</v>
      </c>
    </row>
    <row r="236" spans="1:54" hidden="1">
      <c r="A236" s="28" t="str">
        <f t="shared" si="48"/>
        <v>812793202452</v>
      </c>
      <c r="B236" s="30">
        <v>812793</v>
      </c>
      <c r="C236" s="30" t="s">
        <v>281</v>
      </c>
      <c r="D236" s="31">
        <v>202452</v>
      </c>
      <c r="E236" s="28" t="s">
        <v>179</v>
      </c>
      <c r="F236" s="28"/>
      <c r="G236" s="28"/>
      <c r="H236" s="28"/>
      <c r="I236" s="28"/>
      <c r="J236" s="28"/>
      <c r="K236" s="28"/>
      <c r="L236" s="20">
        <v>17.5</v>
      </c>
      <c r="M236" s="21">
        <v>0</v>
      </c>
      <c r="N236" s="20">
        <f t="shared" si="49"/>
        <v>17.5</v>
      </c>
      <c r="O236" s="20">
        <v>43.5</v>
      </c>
      <c r="P236" s="21">
        <v>0</v>
      </c>
      <c r="Q236" s="20">
        <f t="shared" si="50"/>
        <v>43.5</v>
      </c>
      <c r="R236" s="20">
        <v>39</v>
      </c>
      <c r="S236" s="22">
        <v>0</v>
      </c>
      <c r="T236" s="20">
        <f t="shared" si="51"/>
        <v>39</v>
      </c>
      <c r="U236" s="20">
        <v>17.5</v>
      </c>
      <c r="V236" s="21">
        <v>0</v>
      </c>
      <c r="W236" s="20">
        <f t="shared" si="52"/>
        <v>17.5</v>
      </c>
      <c r="X236" s="20">
        <v>11</v>
      </c>
      <c r="Y236" s="22">
        <v>0</v>
      </c>
      <c r="Z236" s="20">
        <f t="shared" si="53"/>
        <v>11</v>
      </c>
      <c r="AA236" s="20">
        <v>35</v>
      </c>
      <c r="AB236" s="22">
        <v>0</v>
      </c>
      <c r="AC236" s="20">
        <f t="shared" si="54"/>
        <v>35</v>
      </c>
      <c r="AD236" s="20">
        <v>15</v>
      </c>
      <c r="AE236" s="22">
        <v>0</v>
      </c>
      <c r="AF236" s="20">
        <f t="shared" si="55"/>
        <v>15</v>
      </c>
      <c r="AG236" s="20">
        <v>13</v>
      </c>
      <c r="AH236" s="21">
        <v>0</v>
      </c>
      <c r="AI236" s="20">
        <f t="shared" si="56"/>
        <v>13</v>
      </c>
      <c r="AJ236" s="20">
        <v>24.5</v>
      </c>
      <c r="AK236" s="21">
        <v>0</v>
      </c>
      <c r="AL236" s="20">
        <f t="shared" si="57"/>
        <v>24.5</v>
      </c>
      <c r="AM236" s="20">
        <v>42</v>
      </c>
      <c r="AN236" s="21">
        <v>0</v>
      </c>
      <c r="AO236" s="20">
        <f t="shared" si="58"/>
        <v>42</v>
      </c>
      <c r="AP236" s="21">
        <v>25</v>
      </c>
      <c r="AQ236" s="20">
        <v>0</v>
      </c>
      <c r="AR236" s="20">
        <f t="shared" si="59"/>
        <v>25</v>
      </c>
      <c r="AS236" s="20">
        <v>37.5</v>
      </c>
      <c r="AT236" s="21">
        <v>0</v>
      </c>
      <c r="AU236" s="20">
        <f t="shared" si="60"/>
        <v>37.5</v>
      </c>
      <c r="AV236" s="23">
        <f t="shared" si="61"/>
        <v>320.5</v>
      </c>
      <c r="AW236" s="22">
        <f t="shared" si="62"/>
        <v>0</v>
      </c>
      <c r="AX236" s="20">
        <f t="shared" si="63"/>
        <v>320.5</v>
      </c>
      <c r="AY236" s="28" t="s">
        <v>477</v>
      </c>
      <c r="AZ236" s="28" t="s">
        <v>477</v>
      </c>
      <c r="BA236" s="28" t="s">
        <v>352</v>
      </c>
      <c r="BB236" s="29">
        <v>44079</v>
      </c>
    </row>
    <row r="237" spans="1:54" hidden="1">
      <c r="A237" s="28" t="str">
        <f t="shared" si="48"/>
        <v>812794202994</v>
      </c>
      <c r="B237" s="30">
        <v>812794</v>
      </c>
      <c r="C237" s="30" t="s">
        <v>333</v>
      </c>
      <c r="D237" s="31">
        <v>202994</v>
      </c>
      <c r="E237" s="28" t="s">
        <v>251</v>
      </c>
      <c r="F237" s="28"/>
      <c r="G237" s="28"/>
      <c r="H237" s="28"/>
      <c r="I237" s="28"/>
      <c r="J237" s="28"/>
      <c r="K237" s="28"/>
      <c r="L237" s="20">
        <v>0</v>
      </c>
      <c r="M237" s="21">
        <v>0</v>
      </c>
      <c r="N237" s="20">
        <f t="shared" si="49"/>
        <v>0</v>
      </c>
      <c r="O237" s="20">
        <v>20</v>
      </c>
      <c r="P237" s="21">
        <v>0</v>
      </c>
      <c r="Q237" s="20">
        <f t="shared" si="50"/>
        <v>20</v>
      </c>
      <c r="R237" s="20">
        <v>15</v>
      </c>
      <c r="S237" s="22">
        <v>0</v>
      </c>
      <c r="T237" s="20">
        <f t="shared" si="51"/>
        <v>15</v>
      </c>
      <c r="U237" s="20">
        <v>17.5</v>
      </c>
      <c r="V237" s="21">
        <v>0</v>
      </c>
      <c r="W237" s="20">
        <f t="shared" si="52"/>
        <v>17.5</v>
      </c>
      <c r="X237" s="20">
        <v>12</v>
      </c>
      <c r="Y237" s="22">
        <v>0</v>
      </c>
      <c r="Z237" s="20">
        <f t="shared" si="53"/>
        <v>12</v>
      </c>
      <c r="AA237" s="20">
        <v>18</v>
      </c>
      <c r="AB237" s="22">
        <v>0</v>
      </c>
      <c r="AC237" s="20">
        <f t="shared" si="54"/>
        <v>18</v>
      </c>
      <c r="AD237" s="20">
        <v>9</v>
      </c>
      <c r="AE237" s="22">
        <v>0</v>
      </c>
      <c r="AF237" s="20">
        <f t="shared" si="55"/>
        <v>9</v>
      </c>
      <c r="AG237" s="20">
        <v>4</v>
      </c>
      <c r="AH237" s="21">
        <v>0</v>
      </c>
      <c r="AI237" s="20">
        <f t="shared" si="56"/>
        <v>4</v>
      </c>
      <c r="AJ237" s="20">
        <v>17.5</v>
      </c>
      <c r="AK237" s="21">
        <v>0</v>
      </c>
      <c r="AL237" s="20">
        <f t="shared" si="57"/>
        <v>17.5</v>
      </c>
      <c r="AM237" s="20">
        <v>10</v>
      </c>
      <c r="AN237" s="21">
        <v>0</v>
      </c>
      <c r="AO237" s="20">
        <f t="shared" si="58"/>
        <v>10</v>
      </c>
      <c r="AP237" s="21">
        <v>17.5</v>
      </c>
      <c r="AQ237" s="20">
        <v>0</v>
      </c>
      <c r="AR237" s="20">
        <f t="shared" si="59"/>
        <v>17.5</v>
      </c>
      <c r="AS237" s="20">
        <v>0</v>
      </c>
      <c r="AT237" s="21">
        <v>0</v>
      </c>
      <c r="AU237" s="20">
        <f t="shared" si="60"/>
        <v>0</v>
      </c>
      <c r="AV237" s="23">
        <f t="shared" si="61"/>
        <v>140.5</v>
      </c>
      <c r="AW237" s="22">
        <f t="shared" si="62"/>
        <v>0</v>
      </c>
      <c r="AX237" s="20">
        <f t="shared" si="63"/>
        <v>140.5</v>
      </c>
      <c r="AY237" s="28" t="s">
        <v>477</v>
      </c>
      <c r="AZ237" s="28" t="s">
        <v>477</v>
      </c>
      <c r="BA237" s="28" t="s">
        <v>352</v>
      </c>
      <c r="BB237" s="29">
        <v>44079</v>
      </c>
    </row>
    <row r="238" spans="1:54" hidden="1">
      <c r="A238" s="28" t="str">
        <f t="shared" si="48"/>
        <v>812883149825</v>
      </c>
      <c r="B238" s="30">
        <v>812883</v>
      </c>
      <c r="C238" s="30" t="s">
        <v>279</v>
      </c>
      <c r="D238" s="31">
        <v>149825</v>
      </c>
      <c r="E238" s="28" t="s">
        <v>263</v>
      </c>
      <c r="F238" s="28"/>
      <c r="G238" s="28"/>
      <c r="H238" s="28"/>
      <c r="I238" s="28"/>
      <c r="J238" s="28"/>
      <c r="K238" s="28"/>
      <c r="L238" s="20">
        <v>26</v>
      </c>
      <c r="M238" s="21">
        <v>0</v>
      </c>
      <c r="N238" s="20">
        <f t="shared" si="49"/>
        <v>26</v>
      </c>
      <c r="O238" s="20">
        <v>10</v>
      </c>
      <c r="P238" s="21">
        <v>0</v>
      </c>
      <c r="Q238" s="20">
        <f t="shared" si="50"/>
        <v>10</v>
      </c>
      <c r="R238" s="20">
        <v>35</v>
      </c>
      <c r="S238" s="22">
        <v>0</v>
      </c>
      <c r="T238" s="20">
        <f t="shared" si="51"/>
        <v>35</v>
      </c>
      <c r="U238" s="20">
        <v>40</v>
      </c>
      <c r="V238" s="21">
        <v>0</v>
      </c>
      <c r="W238" s="20">
        <f t="shared" si="52"/>
        <v>40</v>
      </c>
      <c r="X238" s="20">
        <v>63.5</v>
      </c>
      <c r="Y238" s="22">
        <v>0</v>
      </c>
      <c r="Z238" s="20">
        <f t="shared" si="53"/>
        <v>63.5</v>
      </c>
      <c r="AA238" s="20">
        <v>20</v>
      </c>
      <c r="AB238" s="22">
        <v>0</v>
      </c>
      <c r="AC238" s="20">
        <f t="shared" si="54"/>
        <v>20</v>
      </c>
      <c r="AD238" s="20">
        <v>20</v>
      </c>
      <c r="AE238" s="22">
        <v>0</v>
      </c>
      <c r="AF238" s="20">
        <f t="shared" si="55"/>
        <v>20</v>
      </c>
      <c r="AG238" s="20">
        <v>10</v>
      </c>
      <c r="AH238" s="21">
        <v>0</v>
      </c>
      <c r="AI238" s="20">
        <f t="shared" si="56"/>
        <v>10</v>
      </c>
      <c r="AJ238" s="20">
        <v>32.5</v>
      </c>
      <c r="AK238" s="21">
        <v>0</v>
      </c>
      <c r="AL238" s="20">
        <f t="shared" si="57"/>
        <v>32.5</v>
      </c>
      <c r="AM238" s="20">
        <v>10</v>
      </c>
      <c r="AN238" s="21">
        <v>0</v>
      </c>
      <c r="AO238" s="20">
        <f t="shared" si="58"/>
        <v>10</v>
      </c>
      <c r="AP238" s="21">
        <v>15</v>
      </c>
      <c r="AQ238" s="20">
        <v>0</v>
      </c>
      <c r="AR238" s="20">
        <f t="shared" si="59"/>
        <v>15</v>
      </c>
      <c r="AS238" s="20">
        <v>55</v>
      </c>
      <c r="AT238" s="21">
        <v>0</v>
      </c>
      <c r="AU238" s="20">
        <f t="shared" si="60"/>
        <v>55</v>
      </c>
      <c r="AV238" s="23">
        <f t="shared" si="61"/>
        <v>337</v>
      </c>
      <c r="AW238" s="22">
        <f t="shared" si="62"/>
        <v>0</v>
      </c>
      <c r="AX238" s="20">
        <f t="shared" si="63"/>
        <v>337</v>
      </c>
      <c r="AY238" s="28" t="s">
        <v>477</v>
      </c>
      <c r="AZ238" s="28" t="s">
        <v>477</v>
      </c>
      <c r="BA238" s="28" t="s">
        <v>352</v>
      </c>
      <c r="BB238" s="29">
        <v>44085</v>
      </c>
    </row>
    <row r="239" spans="1:54" hidden="1">
      <c r="A239" s="28" t="str">
        <f t="shared" si="48"/>
        <v>813147204307</v>
      </c>
      <c r="B239" s="30">
        <v>813147</v>
      </c>
      <c r="C239" s="30" t="s">
        <v>219</v>
      </c>
      <c r="D239" s="31">
        <v>204307</v>
      </c>
      <c r="E239" s="28" t="s">
        <v>192</v>
      </c>
      <c r="F239" s="28"/>
      <c r="G239" s="28"/>
      <c r="H239" s="28"/>
      <c r="I239" s="28"/>
      <c r="J239" s="28"/>
      <c r="K239" s="28"/>
      <c r="L239" s="20">
        <v>136.65</v>
      </c>
      <c r="M239" s="21">
        <v>0</v>
      </c>
      <c r="N239" s="20">
        <f t="shared" si="49"/>
        <v>136.65</v>
      </c>
      <c r="O239" s="20">
        <v>88</v>
      </c>
      <c r="P239" s="21">
        <v>0</v>
      </c>
      <c r="Q239" s="20">
        <f t="shared" si="50"/>
        <v>88</v>
      </c>
      <c r="R239" s="20">
        <v>174.60000000000002</v>
      </c>
      <c r="S239" s="22">
        <v>0</v>
      </c>
      <c r="T239" s="20">
        <f t="shared" si="51"/>
        <v>174.60000000000002</v>
      </c>
      <c r="U239" s="20">
        <v>143.75</v>
      </c>
      <c r="V239" s="21">
        <v>0</v>
      </c>
      <c r="W239" s="20">
        <f t="shared" si="52"/>
        <v>143.75</v>
      </c>
      <c r="X239" s="20">
        <v>81</v>
      </c>
      <c r="Y239" s="22">
        <v>5</v>
      </c>
      <c r="Z239" s="20">
        <f t="shared" si="53"/>
        <v>86</v>
      </c>
      <c r="AA239" s="20">
        <v>58.5</v>
      </c>
      <c r="AB239" s="22">
        <v>2</v>
      </c>
      <c r="AC239" s="20">
        <f t="shared" si="54"/>
        <v>60.5</v>
      </c>
      <c r="AD239" s="20">
        <v>43</v>
      </c>
      <c r="AE239" s="22">
        <v>0</v>
      </c>
      <c r="AF239" s="20">
        <f t="shared" si="55"/>
        <v>43</v>
      </c>
      <c r="AG239" s="20">
        <v>48.5</v>
      </c>
      <c r="AH239" s="21">
        <v>0</v>
      </c>
      <c r="AI239" s="20">
        <f t="shared" si="56"/>
        <v>48.5</v>
      </c>
      <c r="AJ239" s="20">
        <v>30</v>
      </c>
      <c r="AK239" s="21">
        <v>0</v>
      </c>
      <c r="AL239" s="20">
        <f t="shared" si="57"/>
        <v>30</v>
      </c>
      <c r="AM239" s="20">
        <v>10</v>
      </c>
      <c r="AN239" s="21">
        <v>0</v>
      </c>
      <c r="AO239" s="20">
        <f t="shared" si="58"/>
        <v>10</v>
      </c>
      <c r="AP239" s="21">
        <v>5</v>
      </c>
      <c r="AQ239" s="20">
        <v>0</v>
      </c>
      <c r="AR239" s="20">
        <f t="shared" si="59"/>
        <v>5</v>
      </c>
      <c r="AS239" s="20">
        <v>0</v>
      </c>
      <c r="AT239" s="21">
        <v>0</v>
      </c>
      <c r="AU239" s="20">
        <f t="shared" si="60"/>
        <v>0</v>
      </c>
      <c r="AV239" s="23">
        <f t="shared" si="61"/>
        <v>819</v>
      </c>
      <c r="AW239" s="22">
        <f t="shared" si="62"/>
        <v>7</v>
      </c>
      <c r="AX239" s="20">
        <f t="shared" si="63"/>
        <v>826</v>
      </c>
      <c r="AY239" s="28" t="s">
        <v>477</v>
      </c>
      <c r="AZ239" s="28" t="s">
        <v>477</v>
      </c>
      <c r="BA239" s="28" t="s">
        <v>352</v>
      </c>
      <c r="BB239" s="29">
        <v>44104</v>
      </c>
    </row>
    <row r="240" spans="1:54" hidden="1">
      <c r="A240" s="28" t="str">
        <f t="shared" si="48"/>
        <v>813149149583</v>
      </c>
      <c r="B240" s="30">
        <v>813149</v>
      </c>
      <c r="C240" s="30" t="s">
        <v>234</v>
      </c>
      <c r="D240" s="31">
        <v>149583</v>
      </c>
      <c r="E240" s="28" t="s">
        <v>233</v>
      </c>
      <c r="F240" s="28"/>
      <c r="G240" s="28"/>
      <c r="H240" s="28"/>
      <c r="I240" s="28"/>
      <c r="J240" s="28"/>
      <c r="K240" s="28"/>
      <c r="L240" s="20">
        <v>50.5</v>
      </c>
      <c r="M240" s="21">
        <v>0</v>
      </c>
      <c r="N240" s="20">
        <f t="shared" si="49"/>
        <v>50.5</v>
      </c>
      <c r="O240" s="20">
        <v>50</v>
      </c>
      <c r="P240" s="21">
        <v>0</v>
      </c>
      <c r="Q240" s="20">
        <f t="shared" si="50"/>
        <v>50</v>
      </c>
      <c r="R240" s="20">
        <v>66</v>
      </c>
      <c r="S240" s="22">
        <v>0</v>
      </c>
      <c r="T240" s="20">
        <f t="shared" si="51"/>
        <v>66</v>
      </c>
      <c r="U240" s="20">
        <v>42</v>
      </c>
      <c r="V240" s="21">
        <v>0</v>
      </c>
      <c r="W240" s="20">
        <f t="shared" si="52"/>
        <v>42</v>
      </c>
      <c r="X240" s="20">
        <v>31.5</v>
      </c>
      <c r="Y240" s="22">
        <v>0</v>
      </c>
      <c r="Z240" s="20">
        <f t="shared" si="53"/>
        <v>31.5</v>
      </c>
      <c r="AA240" s="20">
        <v>20</v>
      </c>
      <c r="AB240" s="22">
        <v>0</v>
      </c>
      <c r="AC240" s="20">
        <f t="shared" si="54"/>
        <v>20</v>
      </c>
      <c r="AD240" s="20">
        <v>19</v>
      </c>
      <c r="AE240" s="22">
        <v>0</v>
      </c>
      <c r="AF240" s="20">
        <f t="shared" si="55"/>
        <v>19</v>
      </c>
      <c r="AG240" s="20">
        <v>20</v>
      </c>
      <c r="AH240" s="21">
        <v>0</v>
      </c>
      <c r="AI240" s="20">
        <f t="shared" si="56"/>
        <v>20</v>
      </c>
      <c r="AJ240" s="20">
        <v>50</v>
      </c>
      <c r="AK240" s="21">
        <v>0</v>
      </c>
      <c r="AL240" s="20">
        <f t="shared" si="57"/>
        <v>50</v>
      </c>
      <c r="AM240" s="20">
        <v>50</v>
      </c>
      <c r="AN240" s="21">
        <v>0</v>
      </c>
      <c r="AO240" s="20">
        <f t="shared" si="58"/>
        <v>50</v>
      </c>
      <c r="AP240" s="21">
        <v>29</v>
      </c>
      <c r="AQ240" s="20">
        <v>4.5</v>
      </c>
      <c r="AR240" s="20">
        <f t="shared" si="59"/>
        <v>33.5</v>
      </c>
      <c r="AS240" s="20">
        <v>101</v>
      </c>
      <c r="AT240" s="21">
        <v>0</v>
      </c>
      <c r="AU240" s="20">
        <f t="shared" si="60"/>
        <v>101</v>
      </c>
      <c r="AV240" s="23">
        <f t="shared" si="61"/>
        <v>529</v>
      </c>
      <c r="AW240" s="22">
        <f t="shared" si="62"/>
        <v>4.5</v>
      </c>
      <c r="AX240" s="20">
        <f t="shared" si="63"/>
        <v>533.5</v>
      </c>
      <c r="AY240" s="28" t="s">
        <v>477</v>
      </c>
      <c r="AZ240" s="28" t="s">
        <v>477</v>
      </c>
      <c r="BA240" s="28" t="s">
        <v>352</v>
      </c>
      <c r="BB240" s="29">
        <v>44104</v>
      </c>
    </row>
    <row r="241" spans="1:54" hidden="1">
      <c r="A241" s="28" t="str">
        <f t="shared" si="48"/>
        <v>813195176303</v>
      </c>
      <c r="B241" s="30">
        <v>813195</v>
      </c>
      <c r="C241" s="30" t="s">
        <v>329</v>
      </c>
      <c r="D241" s="31">
        <v>176303</v>
      </c>
      <c r="E241" s="28" t="s">
        <v>205</v>
      </c>
      <c r="F241" s="28"/>
      <c r="G241" s="28"/>
      <c r="H241" s="28"/>
      <c r="I241" s="28"/>
      <c r="J241" s="28"/>
      <c r="K241" s="28"/>
      <c r="L241" s="20">
        <v>0</v>
      </c>
      <c r="M241" s="21">
        <v>0</v>
      </c>
      <c r="N241" s="20">
        <f t="shared" si="49"/>
        <v>0</v>
      </c>
      <c r="O241" s="20">
        <v>25</v>
      </c>
      <c r="P241" s="21">
        <v>0</v>
      </c>
      <c r="Q241" s="20">
        <f t="shared" si="50"/>
        <v>25</v>
      </c>
      <c r="R241" s="20">
        <v>0</v>
      </c>
      <c r="S241" s="22">
        <v>0</v>
      </c>
      <c r="T241" s="20">
        <f t="shared" si="51"/>
        <v>0</v>
      </c>
      <c r="U241" s="20">
        <v>2.5</v>
      </c>
      <c r="V241" s="21">
        <v>0</v>
      </c>
      <c r="W241" s="20">
        <f t="shared" si="52"/>
        <v>2.5</v>
      </c>
      <c r="X241" s="20">
        <v>2.5</v>
      </c>
      <c r="Y241" s="22">
        <v>0</v>
      </c>
      <c r="Z241" s="20">
        <f t="shared" si="53"/>
        <v>2.5</v>
      </c>
      <c r="AA241" s="20">
        <v>16</v>
      </c>
      <c r="AB241" s="22">
        <v>0</v>
      </c>
      <c r="AC241" s="20">
        <f t="shared" si="54"/>
        <v>16</v>
      </c>
      <c r="AD241" s="20">
        <v>0</v>
      </c>
      <c r="AE241" s="22">
        <v>0</v>
      </c>
      <c r="AF241" s="20">
        <f t="shared" si="55"/>
        <v>0</v>
      </c>
      <c r="AG241" s="20">
        <v>5</v>
      </c>
      <c r="AH241" s="21">
        <v>0</v>
      </c>
      <c r="AI241" s="20">
        <f t="shared" si="56"/>
        <v>5</v>
      </c>
      <c r="AJ241" s="20">
        <v>3.5</v>
      </c>
      <c r="AK241" s="21">
        <v>0</v>
      </c>
      <c r="AL241" s="20">
        <f t="shared" si="57"/>
        <v>3.5</v>
      </c>
      <c r="AM241" s="20">
        <v>7.5</v>
      </c>
      <c r="AN241" s="21">
        <v>0</v>
      </c>
      <c r="AO241" s="20">
        <f t="shared" si="58"/>
        <v>7.5</v>
      </c>
      <c r="AP241" s="21">
        <v>7.5</v>
      </c>
      <c r="AQ241" s="20">
        <v>0</v>
      </c>
      <c r="AR241" s="20">
        <f t="shared" si="59"/>
        <v>7.5</v>
      </c>
      <c r="AS241" s="20">
        <v>0</v>
      </c>
      <c r="AT241" s="21">
        <v>0</v>
      </c>
      <c r="AU241" s="20">
        <f t="shared" si="60"/>
        <v>0</v>
      </c>
      <c r="AV241" s="23">
        <f t="shared" si="61"/>
        <v>69.5</v>
      </c>
      <c r="AW241" s="22">
        <f t="shared" si="62"/>
        <v>0</v>
      </c>
      <c r="AX241" s="20">
        <f t="shared" si="63"/>
        <v>69.5</v>
      </c>
      <c r="AY241" s="28" t="s">
        <v>477</v>
      </c>
      <c r="AZ241" s="28" t="s">
        <v>477</v>
      </c>
      <c r="BA241" s="28" t="s">
        <v>352</v>
      </c>
      <c r="BB241" s="29">
        <v>44111</v>
      </c>
    </row>
    <row r="242" spans="1:54" hidden="1">
      <c r="A242" s="28" t="str">
        <f t="shared" si="48"/>
        <v>813271176276</v>
      </c>
      <c r="B242" s="30">
        <v>813271</v>
      </c>
      <c r="C242" s="30" t="s">
        <v>214</v>
      </c>
      <c r="D242" s="31">
        <v>176276</v>
      </c>
      <c r="E242" s="28" t="s">
        <v>181</v>
      </c>
      <c r="F242" s="28"/>
      <c r="G242" s="28"/>
      <c r="H242" s="28"/>
      <c r="I242" s="28"/>
      <c r="J242" s="28"/>
      <c r="K242" s="28"/>
      <c r="L242" s="20">
        <v>35</v>
      </c>
      <c r="M242" s="21">
        <v>0</v>
      </c>
      <c r="N242" s="20">
        <f t="shared" si="49"/>
        <v>35</v>
      </c>
      <c r="O242" s="20">
        <v>50</v>
      </c>
      <c r="P242" s="21">
        <v>0</v>
      </c>
      <c r="Q242" s="20">
        <f t="shared" si="50"/>
        <v>50</v>
      </c>
      <c r="R242" s="20">
        <v>45</v>
      </c>
      <c r="S242" s="22">
        <v>0</v>
      </c>
      <c r="T242" s="20">
        <f t="shared" si="51"/>
        <v>45</v>
      </c>
      <c r="U242" s="20">
        <v>66.5</v>
      </c>
      <c r="V242" s="21">
        <v>0</v>
      </c>
      <c r="W242" s="20">
        <f t="shared" si="52"/>
        <v>66.5</v>
      </c>
      <c r="X242" s="20">
        <v>70</v>
      </c>
      <c r="Y242" s="22">
        <v>0</v>
      </c>
      <c r="Z242" s="20">
        <f t="shared" si="53"/>
        <v>70</v>
      </c>
      <c r="AA242" s="20">
        <v>43</v>
      </c>
      <c r="AB242" s="22">
        <v>0</v>
      </c>
      <c r="AC242" s="20">
        <f t="shared" si="54"/>
        <v>43</v>
      </c>
      <c r="AD242" s="20">
        <v>25</v>
      </c>
      <c r="AE242" s="22">
        <v>0</v>
      </c>
      <c r="AF242" s="20">
        <f t="shared" si="55"/>
        <v>25</v>
      </c>
      <c r="AG242" s="20">
        <v>21.75</v>
      </c>
      <c r="AH242" s="21">
        <v>6.75</v>
      </c>
      <c r="AI242" s="20">
        <f t="shared" si="56"/>
        <v>28.5</v>
      </c>
      <c r="AJ242" s="20">
        <v>70</v>
      </c>
      <c r="AK242" s="21">
        <v>0</v>
      </c>
      <c r="AL242" s="20">
        <f t="shared" si="57"/>
        <v>70</v>
      </c>
      <c r="AM242" s="20">
        <v>50</v>
      </c>
      <c r="AN242" s="21">
        <v>10</v>
      </c>
      <c r="AO242" s="20">
        <f t="shared" si="58"/>
        <v>60</v>
      </c>
      <c r="AP242" s="21">
        <v>47</v>
      </c>
      <c r="AQ242" s="20">
        <v>0</v>
      </c>
      <c r="AR242" s="20">
        <f t="shared" si="59"/>
        <v>47</v>
      </c>
      <c r="AS242" s="20">
        <v>68.5</v>
      </c>
      <c r="AT242" s="21">
        <v>0</v>
      </c>
      <c r="AU242" s="20">
        <f t="shared" si="60"/>
        <v>68.5</v>
      </c>
      <c r="AV242" s="23">
        <f t="shared" si="61"/>
        <v>591.75</v>
      </c>
      <c r="AW242" s="22">
        <f t="shared" si="62"/>
        <v>16.75</v>
      </c>
      <c r="AX242" s="20">
        <f t="shared" si="63"/>
        <v>608.5</v>
      </c>
      <c r="AY242" s="28" t="s">
        <v>477</v>
      </c>
      <c r="AZ242" s="28" t="s">
        <v>477</v>
      </c>
      <c r="BA242" s="28" t="s">
        <v>352</v>
      </c>
      <c r="BB242" s="29">
        <v>44118</v>
      </c>
    </row>
    <row r="243" spans="1:54" hidden="1">
      <c r="A243" s="28" t="str">
        <f t="shared" si="48"/>
        <v>813946205270</v>
      </c>
      <c r="B243" s="30">
        <v>813946</v>
      </c>
      <c r="C243" s="30" t="s">
        <v>194</v>
      </c>
      <c r="D243" s="31">
        <v>205270</v>
      </c>
      <c r="E243" s="28" t="s">
        <v>183</v>
      </c>
      <c r="F243" s="28"/>
      <c r="G243" s="28"/>
      <c r="H243" s="28"/>
      <c r="I243" s="28"/>
      <c r="J243" s="28"/>
      <c r="K243" s="28"/>
      <c r="L243" s="20">
        <v>17.5</v>
      </c>
      <c r="M243" s="21">
        <v>0</v>
      </c>
      <c r="N243" s="20">
        <f t="shared" si="49"/>
        <v>17.5</v>
      </c>
      <c r="O243" s="20">
        <v>22.5</v>
      </c>
      <c r="P243" s="21">
        <v>0</v>
      </c>
      <c r="Q243" s="20">
        <f t="shared" si="50"/>
        <v>22.5</v>
      </c>
      <c r="R243" s="20">
        <v>19</v>
      </c>
      <c r="S243" s="22">
        <v>0</v>
      </c>
      <c r="T243" s="20">
        <f t="shared" si="51"/>
        <v>19</v>
      </c>
      <c r="U243" s="20">
        <v>30.5</v>
      </c>
      <c r="V243" s="21">
        <v>0</v>
      </c>
      <c r="W243" s="20">
        <f t="shared" si="52"/>
        <v>30.5</v>
      </c>
      <c r="X243" s="20">
        <v>63.05</v>
      </c>
      <c r="Y243" s="22">
        <v>0</v>
      </c>
      <c r="Z243" s="20">
        <f t="shared" si="53"/>
        <v>63.05</v>
      </c>
      <c r="AA243" s="20">
        <v>91.5</v>
      </c>
      <c r="AB243" s="22">
        <v>0</v>
      </c>
      <c r="AC243" s="20">
        <f t="shared" si="54"/>
        <v>91.5</v>
      </c>
      <c r="AD243" s="20">
        <v>93.1</v>
      </c>
      <c r="AE243" s="22">
        <v>0</v>
      </c>
      <c r="AF243" s="20">
        <f t="shared" si="55"/>
        <v>93.1</v>
      </c>
      <c r="AG243" s="20">
        <v>78.75</v>
      </c>
      <c r="AH243" s="21">
        <v>0</v>
      </c>
      <c r="AI243" s="20">
        <f t="shared" si="56"/>
        <v>78.75</v>
      </c>
      <c r="AJ243" s="20">
        <v>95.1</v>
      </c>
      <c r="AK243" s="21">
        <v>0.05</v>
      </c>
      <c r="AL243" s="20">
        <f t="shared" si="57"/>
        <v>95.149999999999991</v>
      </c>
      <c r="AM243" s="20">
        <v>105.75</v>
      </c>
      <c r="AN243" s="21">
        <v>0</v>
      </c>
      <c r="AO243" s="20">
        <f t="shared" si="58"/>
        <v>105.75</v>
      </c>
      <c r="AP243" s="21">
        <v>98</v>
      </c>
      <c r="AQ243" s="20">
        <v>0</v>
      </c>
      <c r="AR243" s="20">
        <f t="shared" si="59"/>
        <v>98</v>
      </c>
      <c r="AS243" s="20">
        <v>187.25</v>
      </c>
      <c r="AT243" s="21">
        <v>0</v>
      </c>
      <c r="AU243" s="20">
        <f t="shared" si="60"/>
        <v>187.25</v>
      </c>
      <c r="AV243" s="23">
        <f t="shared" si="61"/>
        <v>902</v>
      </c>
      <c r="AW243" s="22">
        <f t="shared" si="62"/>
        <v>0.05</v>
      </c>
      <c r="AX243" s="20">
        <f t="shared" si="63"/>
        <v>902.05</v>
      </c>
      <c r="AY243" s="28" t="s">
        <v>477</v>
      </c>
      <c r="AZ243" s="28" t="s">
        <v>477</v>
      </c>
      <c r="BA243" s="28" t="s">
        <v>352</v>
      </c>
      <c r="BB243" s="29">
        <v>44189</v>
      </c>
    </row>
    <row r="244" spans="1:54" hidden="1">
      <c r="A244" s="28" t="str">
        <f t="shared" si="48"/>
        <v>814097141512</v>
      </c>
      <c r="B244" s="30">
        <v>814097</v>
      </c>
      <c r="C244" s="30" t="s">
        <v>123</v>
      </c>
      <c r="D244" s="31">
        <v>141512</v>
      </c>
      <c r="E244" s="28" t="s">
        <v>136</v>
      </c>
      <c r="F244" s="28"/>
      <c r="G244" s="28"/>
      <c r="H244" s="28"/>
      <c r="I244" s="28"/>
      <c r="J244" s="28"/>
      <c r="K244" s="28"/>
      <c r="L244" s="20">
        <v>34</v>
      </c>
      <c r="M244" s="21">
        <v>0</v>
      </c>
      <c r="N244" s="20">
        <f t="shared" si="49"/>
        <v>34</v>
      </c>
      <c r="O244" s="20">
        <v>40.5</v>
      </c>
      <c r="P244" s="21">
        <v>0</v>
      </c>
      <c r="Q244" s="20">
        <f t="shared" si="50"/>
        <v>40.5</v>
      </c>
      <c r="R244" s="20">
        <v>75</v>
      </c>
      <c r="S244" s="22">
        <v>0</v>
      </c>
      <c r="T244" s="20">
        <f t="shared" si="51"/>
        <v>75</v>
      </c>
      <c r="U244" s="20">
        <v>51</v>
      </c>
      <c r="V244" s="21">
        <v>0</v>
      </c>
      <c r="W244" s="20">
        <f t="shared" si="52"/>
        <v>51</v>
      </c>
      <c r="X244" s="20">
        <v>47.5</v>
      </c>
      <c r="Y244" s="22">
        <v>0</v>
      </c>
      <c r="Z244" s="20">
        <f t="shared" si="53"/>
        <v>47.5</v>
      </c>
      <c r="AA244" s="20">
        <v>24.75</v>
      </c>
      <c r="AB244" s="22">
        <v>0</v>
      </c>
      <c r="AC244" s="20">
        <f t="shared" si="54"/>
        <v>24.75</v>
      </c>
      <c r="AD244" s="20">
        <v>50</v>
      </c>
      <c r="AE244" s="22">
        <v>8</v>
      </c>
      <c r="AF244" s="20">
        <f t="shared" si="55"/>
        <v>58</v>
      </c>
      <c r="AG244" s="20">
        <v>50</v>
      </c>
      <c r="AH244" s="21">
        <v>0</v>
      </c>
      <c r="AI244" s="20">
        <f t="shared" si="56"/>
        <v>50</v>
      </c>
      <c r="AJ244" s="20">
        <v>100</v>
      </c>
      <c r="AK244" s="21">
        <v>0</v>
      </c>
      <c r="AL244" s="20">
        <f t="shared" si="57"/>
        <v>100</v>
      </c>
      <c r="AM244" s="20">
        <v>32.5</v>
      </c>
      <c r="AN244" s="21">
        <v>0</v>
      </c>
      <c r="AO244" s="20">
        <f t="shared" si="58"/>
        <v>32.5</v>
      </c>
      <c r="AP244" s="21">
        <v>37.5</v>
      </c>
      <c r="AQ244" s="20">
        <v>0</v>
      </c>
      <c r="AR244" s="20">
        <f t="shared" si="59"/>
        <v>37.5</v>
      </c>
      <c r="AS244" s="20">
        <v>64.5</v>
      </c>
      <c r="AT244" s="21">
        <v>2.5</v>
      </c>
      <c r="AU244" s="20">
        <f t="shared" si="60"/>
        <v>67</v>
      </c>
      <c r="AV244" s="23">
        <f t="shared" si="61"/>
        <v>607.25</v>
      </c>
      <c r="AW244" s="22">
        <f t="shared" si="62"/>
        <v>10.5</v>
      </c>
      <c r="AX244" s="20">
        <f t="shared" si="63"/>
        <v>617.75</v>
      </c>
      <c r="AY244" s="28" t="s">
        <v>477</v>
      </c>
      <c r="AZ244" s="28" t="s">
        <v>477</v>
      </c>
      <c r="BA244" s="28" t="s">
        <v>352</v>
      </c>
      <c r="BB244" s="29">
        <v>44203</v>
      </c>
    </row>
    <row r="245" spans="1:54" hidden="1">
      <c r="A245" s="28" t="str">
        <f t="shared" si="48"/>
        <v>814248174693</v>
      </c>
      <c r="B245" s="30">
        <v>814248</v>
      </c>
      <c r="C245" s="30" t="s">
        <v>177</v>
      </c>
      <c r="D245" s="31">
        <v>174693</v>
      </c>
      <c r="E245" s="28" t="s">
        <v>176</v>
      </c>
      <c r="F245" s="28"/>
      <c r="G245" s="28"/>
      <c r="H245" s="28"/>
      <c r="I245" s="28"/>
      <c r="J245" s="28"/>
      <c r="K245" s="28"/>
      <c r="L245" s="20">
        <v>39</v>
      </c>
      <c r="M245" s="21">
        <v>18</v>
      </c>
      <c r="N245" s="20">
        <f t="shared" si="49"/>
        <v>57</v>
      </c>
      <c r="O245" s="20">
        <v>0</v>
      </c>
      <c r="P245" s="21">
        <v>0</v>
      </c>
      <c r="Q245" s="20">
        <f t="shared" si="50"/>
        <v>0</v>
      </c>
      <c r="R245" s="20">
        <v>0</v>
      </c>
      <c r="S245" s="22">
        <v>0</v>
      </c>
      <c r="T245" s="20">
        <f t="shared" si="51"/>
        <v>0</v>
      </c>
      <c r="U245" s="20">
        <v>0</v>
      </c>
      <c r="V245" s="21">
        <v>0</v>
      </c>
      <c r="W245" s="20">
        <f t="shared" si="52"/>
        <v>0</v>
      </c>
      <c r="X245" s="20">
        <v>0</v>
      </c>
      <c r="Y245" s="22">
        <v>0</v>
      </c>
      <c r="Z245" s="20">
        <f t="shared" si="53"/>
        <v>0</v>
      </c>
      <c r="AA245" s="20">
        <v>0</v>
      </c>
      <c r="AB245" s="22">
        <v>0</v>
      </c>
      <c r="AC245" s="20">
        <f t="shared" si="54"/>
        <v>0</v>
      </c>
      <c r="AD245" s="20">
        <v>0</v>
      </c>
      <c r="AE245" s="22">
        <v>0</v>
      </c>
      <c r="AF245" s="20">
        <f t="shared" si="55"/>
        <v>0</v>
      </c>
      <c r="AG245" s="20">
        <v>0</v>
      </c>
      <c r="AH245" s="21">
        <v>0</v>
      </c>
      <c r="AI245" s="20">
        <f t="shared" si="56"/>
        <v>0</v>
      </c>
      <c r="AJ245" s="20">
        <v>0</v>
      </c>
      <c r="AK245" s="21">
        <v>0</v>
      </c>
      <c r="AL245" s="20">
        <f t="shared" si="57"/>
        <v>0</v>
      </c>
      <c r="AM245" s="20">
        <v>0</v>
      </c>
      <c r="AN245" s="21">
        <v>0</v>
      </c>
      <c r="AO245" s="20">
        <f t="shared" si="58"/>
        <v>0</v>
      </c>
      <c r="AP245" s="21">
        <v>0</v>
      </c>
      <c r="AQ245" s="20">
        <v>0</v>
      </c>
      <c r="AR245" s="20">
        <f t="shared" si="59"/>
        <v>0</v>
      </c>
      <c r="AS245" s="20">
        <v>0</v>
      </c>
      <c r="AT245" s="21">
        <v>0</v>
      </c>
      <c r="AU245" s="20">
        <f t="shared" si="60"/>
        <v>0</v>
      </c>
      <c r="AV245" s="23">
        <f t="shared" si="61"/>
        <v>39</v>
      </c>
      <c r="AW245" s="22">
        <f t="shared" si="62"/>
        <v>18</v>
      </c>
      <c r="AX245" s="20">
        <f t="shared" si="63"/>
        <v>57</v>
      </c>
      <c r="AY245" s="28" t="s">
        <v>477</v>
      </c>
      <c r="AZ245" s="28" t="s">
        <v>477</v>
      </c>
      <c r="BA245" s="28" t="s">
        <v>352</v>
      </c>
      <c r="BB245" s="29">
        <v>44219</v>
      </c>
    </row>
    <row r="246" spans="1:54" hidden="1">
      <c r="A246" s="28" t="str">
        <f t="shared" si="48"/>
        <v>814284176303</v>
      </c>
      <c r="B246" s="30">
        <v>814284</v>
      </c>
      <c r="C246" s="30" t="s">
        <v>327</v>
      </c>
      <c r="D246" s="31">
        <v>176303</v>
      </c>
      <c r="E246" s="28" t="s">
        <v>205</v>
      </c>
      <c r="F246" s="28"/>
      <c r="G246" s="28"/>
      <c r="H246" s="28"/>
      <c r="I246" s="28"/>
      <c r="J246" s="28"/>
      <c r="K246" s="28"/>
      <c r="L246" s="20">
        <v>0</v>
      </c>
      <c r="M246" s="21">
        <v>0</v>
      </c>
      <c r="N246" s="20">
        <f t="shared" si="49"/>
        <v>0</v>
      </c>
      <c r="O246" s="20">
        <v>20</v>
      </c>
      <c r="P246" s="21">
        <v>0</v>
      </c>
      <c r="Q246" s="20">
        <f t="shared" si="50"/>
        <v>20</v>
      </c>
      <c r="R246" s="20">
        <v>62.5</v>
      </c>
      <c r="S246" s="22">
        <v>0</v>
      </c>
      <c r="T246" s="20">
        <f t="shared" si="51"/>
        <v>62.5</v>
      </c>
      <c r="U246" s="20">
        <v>43</v>
      </c>
      <c r="V246" s="21">
        <v>1.25</v>
      </c>
      <c r="W246" s="20">
        <f t="shared" si="52"/>
        <v>44.25</v>
      </c>
      <c r="X246" s="20">
        <v>32.5</v>
      </c>
      <c r="Y246" s="22">
        <v>0</v>
      </c>
      <c r="Z246" s="20">
        <f t="shared" si="53"/>
        <v>32.5</v>
      </c>
      <c r="AA246" s="20">
        <v>23.5</v>
      </c>
      <c r="AB246" s="22">
        <v>0</v>
      </c>
      <c r="AC246" s="20">
        <f t="shared" si="54"/>
        <v>23.5</v>
      </c>
      <c r="AD246" s="20">
        <v>61.5</v>
      </c>
      <c r="AE246" s="22">
        <v>0</v>
      </c>
      <c r="AF246" s="20">
        <f t="shared" si="55"/>
        <v>61.5</v>
      </c>
      <c r="AG246" s="20">
        <v>18.5</v>
      </c>
      <c r="AH246" s="21">
        <v>0</v>
      </c>
      <c r="AI246" s="20">
        <f t="shared" si="56"/>
        <v>18.5</v>
      </c>
      <c r="AJ246" s="20">
        <v>25</v>
      </c>
      <c r="AK246" s="21">
        <v>0</v>
      </c>
      <c r="AL246" s="20">
        <f t="shared" si="57"/>
        <v>25</v>
      </c>
      <c r="AM246" s="20">
        <v>40</v>
      </c>
      <c r="AN246" s="21">
        <v>0</v>
      </c>
      <c r="AO246" s="20">
        <f t="shared" si="58"/>
        <v>40</v>
      </c>
      <c r="AP246" s="21">
        <v>55</v>
      </c>
      <c r="AQ246" s="20">
        <v>0</v>
      </c>
      <c r="AR246" s="20">
        <f t="shared" si="59"/>
        <v>55</v>
      </c>
      <c r="AS246" s="20">
        <v>52.5</v>
      </c>
      <c r="AT246" s="21">
        <v>0</v>
      </c>
      <c r="AU246" s="20">
        <f t="shared" si="60"/>
        <v>52.5</v>
      </c>
      <c r="AV246" s="23">
        <f t="shared" si="61"/>
        <v>434</v>
      </c>
      <c r="AW246" s="22">
        <f t="shared" si="62"/>
        <v>1.25</v>
      </c>
      <c r="AX246" s="20">
        <f t="shared" si="63"/>
        <v>435.25</v>
      </c>
      <c r="AY246" s="28" t="s">
        <v>477</v>
      </c>
      <c r="AZ246" s="28" t="s">
        <v>477</v>
      </c>
      <c r="BA246" s="28" t="s">
        <v>352</v>
      </c>
      <c r="BB246" s="29">
        <v>44223</v>
      </c>
    </row>
    <row r="247" spans="1:54" hidden="1">
      <c r="A247" s="28" t="str">
        <f t="shared" si="48"/>
        <v>814284202452</v>
      </c>
      <c r="B247" s="30">
        <v>814284</v>
      </c>
      <c r="C247" s="30" t="s">
        <v>327</v>
      </c>
      <c r="D247" s="28">
        <v>202452</v>
      </c>
      <c r="E247" s="28" t="s">
        <v>179</v>
      </c>
      <c r="F247" s="28"/>
      <c r="G247" s="28"/>
      <c r="H247" s="28"/>
      <c r="I247" s="28"/>
      <c r="J247" s="28"/>
      <c r="K247" s="28"/>
      <c r="L247" s="20">
        <v>0</v>
      </c>
      <c r="M247" s="21">
        <v>0</v>
      </c>
      <c r="N247" s="20">
        <f t="shared" si="49"/>
        <v>0</v>
      </c>
      <c r="O247" s="20">
        <v>0</v>
      </c>
      <c r="P247" s="21">
        <v>0</v>
      </c>
      <c r="Q247" s="20">
        <f t="shared" si="50"/>
        <v>0</v>
      </c>
      <c r="R247" s="20">
        <v>0</v>
      </c>
      <c r="S247" s="22">
        <v>0</v>
      </c>
      <c r="T247" s="20">
        <f t="shared" si="51"/>
        <v>0</v>
      </c>
      <c r="U247" s="20">
        <v>0</v>
      </c>
      <c r="V247" s="21">
        <v>0</v>
      </c>
      <c r="W247" s="20">
        <f t="shared" si="52"/>
        <v>0</v>
      </c>
      <c r="X247" s="20">
        <v>0</v>
      </c>
      <c r="Y247" s="22">
        <v>0</v>
      </c>
      <c r="Z247" s="20">
        <f t="shared" si="53"/>
        <v>0</v>
      </c>
      <c r="AA247" s="20">
        <v>0</v>
      </c>
      <c r="AB247" s="22">
        <v>0</v>
      </c>
      <c r="AC247" s="20">
        <f t="shared" si="54"/>
        <v>0</v>
      </c>
      <c r="AD247" s="20">
        <v>0</v>
      </c>
      <c r="AE247" s="22">
        <v>0</v>
      </c>
      <c r="AF247" s="20">
        <f t="shared" si="55"/>
        <v>0</v>
      </c>
      <c r="AG247" s="20">
        <v>0</v>
      </c>
      <c r="AH247" s="21">
        <v>0</v>
      </c>
      <c r="AI247" s="20">
        <f t="shared" si="56"/>
        <v>0</v>
      </c>
      <c r="AJ247" s="20">
        <v>0</v>
      </c>
      <c r="AK247" s="21">
        <v>0</v>
      </c>
      <c r="AL247" s="20">
        <f t="shared" si="57"/>
        <v>0</v>
      </c>
      <c r="AM247" s="20">
        <v>0</v>
      </c>
      <c r="AN247" s="21">
        <v>0</v>
      </c>
      <c r="AO247" s="20">
        <f t="shared" si="58"/>
        <v>0</v>
      </c>
      <c r="AP247" s="21">
        <v>0</v>
      </c>
      <c r="AQ247" s="20">
        <v>0</v>
      </c>
      <c r="AR247" s="20">
        <f t="shared" si="59"/>
        <v>0</v>
      </c>
      <c r="AS247" s="20">
        <v>10</v>
      </c>
      <c r="AT247" s="21">
        <v>0</v>
      </c>
      <c r="AU247" s="20">
        <f t="shared" si="60"/>
        <v>10</v>
      </c>
      <c r="AV247" s="23">
        <f t="shared" si="61"/>
        <v>10</v>
      </c>
      <c r="AW247" s="22">
        <f t="shared" si="62"/>
        <v>0</v>
      </c>
      <c r="AX247" s="20">
        <f t="shared" si="63"/>
        <v>10</v>
      </c>
      <c r="AY247" s="28" t="s">
        <v>477</v>
      </c>
      <c r="AZ247" s="28" t="s">
        <v>477</v>
      </c>
      <c r="BA247" s="28" t="s">
        <v>352</v>
      </c>
      <c r="BB247" s="29">
        <v>44223</v>
      </c>
    </row>
    <row r="248" spans="1:54" hidden="1">
      <c r="A248" s="28" t="str">
        <f t="shared" si="48"/>
        <v>814528141512</v>
      </c>
      <c r="B248" s="30">
        <v>814528</v>
      </c>
      <c r="C248" s="30" t="s">
        <v>137</v>
      </c>
      <c r="D248" s="31">
        <v>141512</v>
      </c>
      <c r="E248" s="28" t="s">
        <v>136</v>
      </c>
      <c r="F248" s="28"/>
      <c r="G248" s="28"/>
      <c r="H248" s="28"/>
      <c r="I248" s="28"/>
      <c r="J248" s="28"/>
      <c r="K248" s="28"/>
      <c r="L248" s="20">
        <v>186</v>
      </c>
      <c r="M248" s="21">
        <v>14.75</v>
      </c>
      <c r="N248" s="20">
        <f t="shared" si="49"/>
        <v>200.75</v>
      </c>
      <c r="O248" s="20">
        <v>156</v>
      </c>
      <c r="P248" s="21">
        <v>18.5</v>
      </c>
      <c r="Q248" s="20">
        <f t="shared" si="50"/>
        <v>174.5</v>
      </c>
      <c r="R248" s="20">
        <v>180</v>
      </c>
      <c r="S248" s="22">
        <v>8.5</v>
      </c>
      <c r="T248" s="20">
        <f t="shared" si="51"/>
        <v>188.5</v>
      </c>
      <c r="U248" s="20">
        <v>162.44999999999999</v>
      </c>
      <c r="V248" s="21">
        <v>47.45</v>
      </c>
      <c r="W248" s="20">
        <f t="shared" si="52"/>
        <v>209.89999999999998</v>
      </c>
      <c r="X248" s="20">
        <v>90.5</v>
      </c>
      <c r="Y248" s="22">
        <v>0</v>
      </c>
      <c r="Z248" s="20">
        <f t="shared" si="53"/>
        <v>90.5</v>
      </c>
      <c r="AA248" s="20">
        <v>32.35</v>
      </c>
      <c r="AB248" s="22">
        <v>9.35</v>
      </c>
      <c r="AC248" s="20">
        <f t="shared" si="54"/>
        <v>41.7</v>
      </c>
      <c r="AD248" s="20">
        <v>159</v>
      </c>
      <c r="AE248" s="22">
        <v>68.5</v>
      </c>
      <c r="AF248" s="20">
        <f t="shared" si="55"/>
        <v>227.5</v>
      </c>
      <c r="AG248" s="20">
        <v>116.1</v>
      </c>
      <c r="AH248" s="21">
        <v>48.6</v>
      </c>
      <c r="AI248" s="20">
        <f t="shared" si="56"/>
        <v>164.7</v>
      </c>
      <c r="AJ248" s="20">
        <v>183.25</v>
      </c>
      <c r="AK248" s="21">
        <v>30.75</v>
      </c>
      <c r="AL248" s="20">
        <f t="shared" si="57"/>
        <v>214</v>
      </c>
      <c r="AM248" s="20">
        <v>88.75</v>
      </c>
      <c r="AN248" s="21">
        <v>56.25</v>
      </c>
      <c r="AO248" s="20">
        <f t="shared" si="58"/>
        <v>145</v>
      </c>
      <c r="AP248" s="21">
        <v>96.5</v>
      </c>
      <c r="AQ248" s="20">
        <v>7.75</v>
      </c>
      <c r="AR248" s="20">
        <f t="shared" si="59"/>
        <v>104.25</v>
      </c>
      <c r="AS248" s="20">
        <v>412.59999999999997</v>
      </c>
      <c r="AT248" s="21">
        <v>67.850000000000009</v>
      </c>
      <c r="AU248" s="20">
        <f t="shared" si="60"/>
        <v>480.45</v>
      </c>
      <c r="AV248" s="23">
        <f t="shared" si="61"/>
        <v>1863.5</v>
      </c>
      <c r="AW248" s="22">
        <f t="shared" si="62"/>
        <v>378.25</v>
      </c>
      <c r="AX248" s="20">
        <f t="shared" si="63"/>
        <v>2241.75</v>
      </c>
      <c r="AY248" s="28" t="s">
        <v>477</v>
      </c>
      <c r="AZ248" s="28" t="s">
        <v>477</v>
      </c>
      <c r="BA248" s="28" t="s">
        <v>352</v>
      </c>
      <c r="BB248" s="29">
        <v>44245</v>
      </c>
    </row>
    <row r="249" spans="1:54" hidden="1">
      <c r="A249" s="28" t="str">
        <f t="shared" si="48"/>
        <v>814541141512</v>
      </c>
      <c r="B249" s="30">
        <v>814541</v>
      </c>
      <c r="C249" s="30" t="s">
        <v>239</v>
      </c>
      <c r="D249" s="31">
        <v>141512</v>
      </c>
      <c r="E249" s="28" t="s">
        <v>136</v>
      </c>
      <c r="F249" s="28"/>
      <c r="G249" s="28"/>
      <c r="H249" s="28"/>
      <c r="I249" s="28"/>
      <c r="J249" s="28"/>
      <c r="K249" s="28"/>
      <c r="L249" s="20">
        <v>30</v>
      </c>
      <c r="M249" s="21">
        <v>0</v>
      </c>
      <c r="N249" s="20">
        <f t="shared" si="49"/>
        <v>30</v>
      </c>
      <c r="O249" s="20">
        <v>4.75</v>
      </c>
      <c r="P249" s="21">
        <v>4.75</v>
      </c>
      <c r="Q249" s="20">
        <f t="shared" si="50"/>
        <v>9.5</v>
      </c>
      <c r="R249" s="20">
        <v>20</v>
      </c>
      <c r="S249" s="22">
        <v>0</v>
      </c>
      <c r="T249" s="20">
        <f t="shared" si="51"/>
        <v>20</v>
      </c>
      <c r="U249" s="20">
        <v>0</v>
      </c>
      <c r="V249" s="21">
        <v>0</v>
      </c>
      <c r="W249" s="20">
        <f t="shared" si="52"/>
        <v>0</v>
      </c>
      <c r="X249" s="20">
        <v>13.8</v>
      </c>
      <c r="Y249" s="22">
        <v>0</v>
      </c>
      <c r="Z249" s="20">
        <f t="shared" si="53"/>
        <v>13.8</v>
      </c>
      <c r="AA249" s="20">
        <v>5</v>
      </c>
      <c r="AB249" s="22">
        <v>0</v>
      </c>
      <c r="AC249" s="20">
        <f t="shared" si="54"/>
        <v>5</v>
      </c>
      <c r="AD249" s="20">
        <v>43</v>
      </c>
      <c r="AE249" s="22">
        <v>0</v>
      </c>
      <c r="AF249" s="20">
        <f t="shared" si="55"/>
        <v>43</v>
      </c>
      <c r="AG249" s="20">
        <v>30</v>
      </c>
      <c r="AH249" s="21">
        <v>0</v>
      </c>
      <c r="AI249" s="20">
        <f t="shared" si="56"/>
        <v>30</v>
      </c>
      <c r="AJ249" s="20">
        <v>30</v>
      </c>
      <c r="AK249" s="21">
        <v>0</v>
      </c>
      <c r="AL249" s="20">
        <f t="shared" si="57"/>
        <v>30</v>
      </c>
      <c r="AM249" s="20">
        <v>0</v>
      </c>
      <c r="AN249" s="21">
        <v>0</v>
      </c>
      <c r="AO249" s="20">
        <f t="shared" si="58"/>
        <v>0</v>
      </c>
      <c r="AP249" s="21">
        <v>0</v>
      </c>
      <c r="AQ249" s="20">
        <v>0</v>
      </c>
      <c r="AR249" s="20">
        <f t="shared" si="59"/>
        <v>0</v>
      </c>
      <c r="AS249" s="20">
        <v>51</v>
      </c>
      <c r="AT249" s="21">
        <v>7.5</v>
      </c>
      <c r="AU249" s="20">
        <f t="shared" si="60"/>
        <v>58.5</v>
      </c>
      <c r="AV249" s="23">
        <f t="shared" si="61"/>
        <v>227.55</v>
      </c>
      <c r="AW249" s="22">
        <f t="shared" si="62"/>
        <v>12.25</v>
      </c>
      <c r="AX249" s="20">
        <f t="shared" si="63"/>
        <v>239.8</v>
      </c>
      <c r="AY249" s="28" t="s">
        <v>477</v>
      </c>
      <c r="AZ249" s="28" t="s">
        <v>477</v>
      </c>
      <c r="BA249" s="28" t="s">
        <v>352</v>
      </c>
      <c r="BB249" s="29">
        <v>44246</v>
      </c>
    </row>
    <row r="250" spans="1:54" hidden="1">
      <c r="A250" s="28" t="str">
        <f t="shared" si="48"/>
        <v>814711205266</v>
      </c>
      <c r="B250" s="30">
        <v>814711</v>
      </c>
      <c r="C250" s="30" t="s">
        <v>315</v>
      </c>
      <c r="D250" s="31">
        <v>205266</v>
      </c>
      <c r="E250" s="28" t="s">
        <v>257</v>
      </c>
      <c r="F250" s="28"/>
      <c r="G250" s="28"/>
      <c r="H250" s="28"/>
      <c r="I250" s="28"/>
      <c r="J250" s="28"/>
      <c r="K250" s="28"/>
      <c r="L250" s="20">
        <v>10</v>
      </c>
      <c r="M250" s="21">
        <v>0</v>
      </c>
      <c r="N250" s="20">
        <f t="shared" si="49"/>
        <v>10</v>
      </c>
      <c r="O250" s="20">
        <v>19</v>
      </c>
      <c r="P250" s="21">
        <v>0</v>
      </c>
      <c r="Q250" s="20">
        <f t="shared" si="50"/>
        <v>19</v>
      </c>
      <c r="R250" s="20">
        <v>10</v>
      </c>
      <c r="S250" s="22">
        <v>0</v>
      </c>
      <c r="T250" s="20">
        <f t="shared" si="51"/>
        <v>10</v>
      </c>
      <c r="U250" s="20">
        <v>3</v>
      </c>
      <c r="V250" s="21">
        <v>0</v>
      </c>
      <c r="W250" s="20">
        <f t="shared" si="52"/>
        <v>3</v>
      </c>
      <c r="X250" s="20">
        <v>0</v>
      </c>
      <c r="Y250" s="22">
        <v>0</v>
      </c>
      <c r="Z250" s="20">
        <f t="shared" si="53"/>
        <v>0</v>
      </c>
      <c r="AA250" s="20">
        <v>9</v>
      </c>
      <c r="AB250" s="22">
        <v>6</v>
      </c>
      <c r="AC250" s="20">
        <f t="shared" si="54"/>
        <v>15</v>
      </c>
      <c r="AD250" s="20">
        <v>0</v>
      </c>
      <c r="AE250" s="22">
        <v>0</v>
      </c>
      <c r="AF250" s="20">
        <f t="shared" si="55"/>
        <v>0</v>
      </c>
      <c r="AG250" s="20">
        <v>0</v>
      </c>
      <c r="AH250" s="21">
        <v>0</v>
      </c>
      <c r="AI250" s="20">
        <f t="shared" si="56"/>
        <v>0</v>
      </c>
      <c r="AJ250" s="20">
        <v>0</v>
      </c>
      <c r="AK250" s="21">
        <v>0</v>
      </c>
      <c r="AL250" s="20">
        <f t="shared" si="57"/>
        <v>0</v>
      </c>
      <c r="AM250" s="20">
        <v>20</v>
      </c>
      <c r="AN250" s="21">
        <v>6.5</v>
      </c>
      <c r="AO250" s="20">
        <f t="shared" si="58"/>
        <v>26.5</v>
      </c>
      <c r="AP250" s="21">
        <v>16</v>
      </c>
      <c r="AQ250" s="20">
        <v>0</v>
      </c>
      <c r="AR250" s="20">
        <f t="shared" si="59"/>
        <v>16</v>
      </c>
      <c r="AS250" s="20">
        <v>13</v>
      </c>
      <c r="AT250" s="21">
        <v>2.5</v>
      </c>
      <c r="AU250" s="20">
        <f t="shared" si="60"/>
        <v>15.5</v>
      </c>
      <c r="AV250" s="23">
        <f t="shared" si="61"/>
        <v>100</v>
      </c>
      <c r="AW250" s="22">
        <f t="shared" si="62"/>
        <v>15</v>
      </c>
      <c r="AX250" s="20">
        <f t="shared" si="63"/>
        <v>115</v>
      </c>
      <c r="AY250" s="28" t="s">
        <v>477</v>
      </c>
      <c r="AZ250" s="28" t="s">
        <v>477</v>
      </c>
      <c r="BA250" s="28" t="s">
        <v>352</v>
      </c>
      <c r="BB250" s="29">
        <v>44261</v>
      </c>
    </row>
    <row r="251" spans="1:54" hidden="1">
      <c r="A251" s="28" t="str">
        <f t="shared" si="48"/>
        <v>814942172150</v>
      </c>
      <c r="B251" s="30">
        <v>814942</v>
      </c>
      <c r="C251" s="30" t="s">
        <v>322</v>
      </c>
      <c r="D251" s="31">
        <v>172150</v>
      </c>
      <c r="E251" s="28" t="s">
        <v>178</v>
      </c>
      <c r="F251" s="28"/>
      <c r="G251" s="28"/>
      <c r="H251" s="28"/>
      <c r="I251" s="28"/>
      <c r="J251" s="28"/>
      <c r="K251" s="28"/>
      <c r="L251" s="20">
        <v>17.75</v>
      </c>
      <c r="M251" s="21">
        <v>0</v>
      </c>
      <c r="N251" s="20">
        <f t="shared" si="49"/>
        <v>17.75</v>
      </c>
      <c r="O251" s="20">
        <v>30</v>
      </c>
      <c r="P251" s="21">
        <v>0.5</v>
      </c>
      <c r="Q251" s="20">
        <f t="shared" si="50"/>
        <v>30.5</v>
      </c>
      <c r="R251" s="20">
        <v>35.75</v>
      </c>
      <c r="S251" s="22">
        <v>0</v>
      </c>
      <c r="T251" s="20">
        <f t="shared" si="51"/>
        <v>35.75</v>
      </c>
      <c r="U251" s="20">
        <v>65</v>
      </c>
      <c r="V251" s="21">
        <v>0</v>
      </c>
      <c r="W251" s="20">
        <f t="shared" si="52"/>
        <v>65</v>
      </c>
      <c r="X251" s="20">
        <v>57</v>
      </c>
      <c r="Y251" s="22">
        <v>0</v>
      </c>
      <c r="Z251" s="20">
        <f t="shared" si="53"/>
        <v>57</v>
      </c>
      <c r="AA251" s="20">
        <v>40.5</v>
      </c>
      <c r="AB251" s="22">
        <v>0.5</v>
      </c>
      <c r="AC251" s="20">
        <f t="shared" si="54"/>
        <v>41</v>
      </c>
      <c r="AD251" s="20">
        <v>32</v>
      </c>
      <c r="AE251" s="22">
        <v>0</v>
      </c>
      <c r="AF251" s="20">
        <f t="shared" si="55"/>
        <v>32</v>
      </c>
      <c r="AG251" s="20">
        <v>68.5</v>
      </c>
      <c r="AH251" s="21">
        <v>0.5</v>
      </c>
      <c r="AI251" s="20">
        <f t="shared" si="56"/>
        <v>69</v>
      </c>
      <c r="AJ251" s="20">
        <v>72.5</v>
      </c>
      <c r="AK251" s="21">
        <v>0</v>
      </c>
      <c r="AL251" s="20">
        <f t="shared" si="57"/>
        <v>72.5</v>
      </c>
      <c r="AM251" s="20">
        <v>22</v>
      </c>
      <c r="AN251" s="21">
        <v>12</v>
      </c>
      <c r="AO251" s="20">
        <f t="shared" si="58"/>
        <v>34</v>
      </c>
      <c r="AP251" s="21">
        <v>43.05</v>
      </c>
      <c r="AQ251" s="20">
        <v>10.55</v>
      </c>
      <c r="AR251" s="20">
        <f t="shared" si="59"/>
        <v>53.599999999999994</v>
      </c>
      <c r="AS251" s="20">
        <v>38.75</v>
      </c>
      <c r="AT251" s="21">
        <v>0</v>
      </c>
      <c r="AU251" s="20">
        <f t="shared" si="60"/>
        <v>38.75</v>
      </c>
      <c r="AV251" s="23">
        <f t="shared" si="61"/>
        <v>522.79999999999995</v>
      </c>
      <c r="AW251" s="22">
        <f t="shared" si="62"/>
        <v>24.05</v>
      </c>
      <c r="AX251" s="20">
        <f t="shared" si="63"/>
        <v>546.84999999999991</v>
      </c>
      <c r="AY251" s="28" t="s">
        <v>477</v>
      </c>
      <c r="AZ251" s="28" t="s">
        <v>477</v>
      </c>
      <c r="BA251" s="28" t="s">
        <v>352</v>
      </c>
      <c r="BB251" s="29">
        <v>44300</v>
      </c>
    </row>
    <row r="252" spans="1:54" hidden="1">
      <c r="A252" s="28" t="str">
        <f t="shared" si="48"/>
        <v>815057207857</v>
      </c>
      <c r="B252" s="28">
        <v>815057</v>
      </c>
      <c r="C252" s="28" t="s">
        <v>354</v>
      </c>
      <c r="D252" s="28">
        <v>207857</v>
      </c>
      <c r="E252" s="28" t="s">
        <v>4</v>
      </c>
      <c r="F252" s="28"/>
      <c r="G252" s="28"/>
      <c r="H252" s="28"/>
      <c r="I252" s="28"/>
      <c r="J252" s="28"/>
      <c r="K252" s="28"/>
      <c r="L252" s="20">
        <v>0</v>
      </c>
      <c r="M252" s="21">
        <v>0</v>
      </c>
      <c r="N252" s="20">
        <f t="shared" si="49"/>
        <v>0</v>
      </c>
      <c r="O252" s="20">
        <v>80</v>
      </c>
      <c r="P252" s="21">
        <v>6</v>
      </c>
      <c r="Q252" s="20">
        <f t="shared" si="50"/>
        <v>86</v>
      </c>
      <c r="R252" s="20">
        <v>215</v>
      </c>
      <c r="S252" s="22">
        <v>27</v>
      </c>
      <c r="T252" s="20">
        <f t="shared" si="51"/>
        <v>242</v>
      </c>
      <c r="U252" s="20">
        <v>125.5</v>
      </c>
      <c r="V252" s="21">
        <v>3.5</v>
      </c>
      <c r="W252" s="20">
        <f t="shared" si="52"/>
        <v>129</v>
      </c>
      <c r="X252" s="20">
        <v>82.4</v>
      </c>
      <c r="Y252" s="22">
        <v>34.9</v>
      </c>
      <c r="Z252" s="20">
        <f t="shared" si="53"/>
        <v>117.30000000000001</v>
      </c>
      <c r="AA252" s="20">
        <v>224</v>
      </c>
      <c r="AB252" s="22">
        <v>17</v>
      </c>
      <c r="AC252" s="20">
        <f t="shared" si="54"/>
        <v>241</v>
      </c>
      <c r="AD252" s="20">
        <v>140</v>
      </c>
      <c r="AE252" s="22">
        <v>35</v>
      </c>
      <c r="AF252" s="20">
        <f t="shared" si="55"/>
        <v>175</v>
      </c>
      <c r="AG252" s="20">
        <v>157.5</v>
      </c>
      <c r="AH252" s="21">
        <v>15</v>
      </c>
      <c r="AI252" s="20">
        <f t="shared" si="56"/>
        <v>172.5</v>
      </c>
      <c r="AJ252" s="20">
        <v>153.14999999999998</v>
      </c>
      <c r="AK252" s="21">
        <v>37.299999999999997</v>
      </c>
      <c r="AL252" s="20">
        <f t="shared" si="57"/>
        <v>190.45</v>
      </c>
      <c r="AM252" s="20">
        <v>148.5</v>
      </c>
      <c r="AN252" s="21">
        <v>50</v>
      </c>
      <c r="AO252" s="20">
        <f t="shared" si="58"/>
        <v>198.5</v>
      </c>
      <c r="AP252" s="21">
        <v>85</v>
      </c>
      <c r="AQ252" s="20">
        <v>35</v>
      </c>
      <c r="AR252" s="20">
        <f t="shared" si="59"/>
        <v>120</v>
      </c>
      <c r="AS252" s="20">
        <v>692.5</v>
      </c>
      <c r="AT252" s="21">
        <v>60</v>
      </c>
      <c r="AU252" s="20">
        <f t="shared" si="60"/>
        <v>752.5</v>
      </c>
      <c r="AV252" s="23">
        <f t="shared" si="61"/>
        <v>2103.5500000000002</v>
      </c>
      <c r="AW252" s="22">
        <f t="shared" si="62"/>
        <v>320.7</v>
      </c>
      <c r="AX252" s="20">
        <f t="shared" si="63"/>
        <v>2424.25</v>
      </c>
      <c r="AY252" s="28" t="s">
        <v>477</v>
      </c>
      <c r="AZ252" s="28" t="s">
        <v>477</v>
      </c>
      <c r="BA252" s="28" t="s">
        <v>352</v>
      </c>
      <c r="BB252" s="29">
        <v>44335</v>
      </c>
    </row>
    <row r="253" spans="1:54" hidden="1">
      <c r="A253" s="28" t="str">
        <f t="shared" si="48"/>
        <v>815231206681</v>
      </c>
      <c r="B253" s="30">
        <v>815231</v>
      </c>
      <c r="C253" s="30" t="s">
        <v>369</v>
      </c>
      <c r="D253" s="31">
        <v>206681</v>
      </c>
      <c r="E253" s="28" t="s">
        <v>159</v>
      </c>
      <c r="F253" s="28"/>
      <c r="G253" s="28"/>
      <c r="H253" s="28"/>
      <c r="I253" s="28"/>
      <c r="J253" s="28"/>
      <c r="K253" s="28"/>
      <c r="L253" s="20">
        <v>0</v>
      </c>
      <c r="M253" s="21">
        <v>0</v>
      </c>
      <c r="N253" s="20">
        <f t="shared" si="49"/>
        <v>0</v>
      </c>
      <c r="O253" s="20">
        <v>0</v>
      </c>
      <c r="P253" s="21">
        <v>0</v>
      </c>
      <c r="Q253" s="20">
        <f t="shared" si="50"/>
        <v>0</v>
      </c>
      <c r="R253" s="20">
        <v>42</v>
      </c>
      <c r="S253" s="22">
        <v>0</v>
      </c>
      <c r="T253" s="20">
        <f t="shared" si="51"/>
        <v>42</v>
      </c>
      <c r="U253" s="20">
        <v>44.5</v>
      </c>
      <c r="V253" s="21">
        <v>0</v>
      </c>
      <c r="W253" s="20">
        <f t="shared" si="52"/>
        <v>44.5</v>
      </c>
      <c r="X253" s="20">
        <v>29.5</v>
      </c>
      <c r="Y253" s="22">
        <v>7.5</v>
      </c>
      <c r="Z253" s="20">
        <f t="shared" si="53"/>
        <v>37</v>
      </c>
      <c r="AA253" s="20">
        <v>36</v>
      </c>
      <c r="AB253" s="22">
        <v>0</v>
      </c>
      <c r="AC253" s="20">
        <f t="shared" si="54"/>
        <v>36</v>
      </c>
      <c r="AD253" s="20">
        <v>18</v>
      </c>
      <c r="AE253" s="22">
        <v>0</v>
      </c>
      <c r="AF253" s="20">
        <f t="shared" si="55"/>
        <v>18</v>
      </c>
      <c r="AG253" s="20">
        <v>21</v>
      </c>
      <c r="AH253" s="21">
        <v>0</v>
      </c>
      <c r="AI253" s="20">
        <f t="shared" si="56"/>
        <v>21</v>
      </c>
      <c r="AJ253" s="20">
        <v>51.5</v>
      </c>
      <c r="AK253" s="21">
        <v>12.5</v>
      </c>
      <c r="AL253" s="20">
        <f t="shared" si="57"/>
        <v>64</v>
      </c>
      <c r="AM253" s="20">
        <v>30</v>
      </c>
      <c r="AN253" s="21">
        <v>0</v>
      </c>
      <c r="AO253" s="20">
        <f t="shared" si="58"/>
        <v>30</v>
      </c>
      <c r="AP253" s="21">
        <v>10</v>
      </c>
      <c r="AQ253" s="20">
        <v>0</v>
      </c>
      <c r="AR253" s="20">
        <f t="shared" si="59"/>
        <v>10</v>
      </c>
      <c r="AS253" s="20">
        <v>27.5</v>
      </c>
      <c r="AT253" s="21">
        <v>0</v>
      </c>
      <c r="AU253" s="20">
        <f t="shared" si="60"/>
        <v>27.5</v>
      </c>
      <c r="AV253" s="23">
        <f t="shared" si="61"/>
        <v>310</v>
      </c>
      <c r="AW253" s="22">
        <f t="shared" si="62"/>
        <v>20</v>
      </c>
      <c r="AX253" s="20">
        <f t="shared" si="63"/>
        <v>330</v>
      </c>
      <c r="AY253" s="28" t="s">
        <v>477</v>
      </c>
      <c r="AZ253" s="28" t="s">
        <v>477</v>
      </c>
      <c r="BA253" s="28" t="s">
        <v>352</v>
      </c>
      <c r="BB253" s="29">
        <v>44370</v>
      </c>
    </row>
    <row r="254" spans="1:54" hidden="1">
      <c r="A254" s="28" t="str">
        <f t="shared" si="48"/>
        <v>815408201172</v>
      </c>
      <c r="B254" s="30">
        <v>815408</v>
      </c>
      <c r="C254" s="30" t="s">
        <v>382</v>
      </c>
      <c r="D254" s="28">
        <v>201172</v>
      </c>
      <c r="E254" s="28" t="s">
        <v>174</v>
      </c>
      <c r="F254" s="28"/>
      <c r="G254" s="28"/>
      <c r="H254" s="28"/>
      <c r="I254" s="28"/>
      <c r="J254" s="28"/>
      <c r="K254" s="28"/>
      <c r="L254" s="20">
        <v>0</v>
      </c>
      <c r="M254" s="21">
        <v>0</v>
      </c>
      <c r="N254" s="20">
        <f t="shared" si="49"/>
        <v>0</v>
      </c>
      <c r="O254" s="20">
        <v>0</v>
      </c>
      <c r="P254" s="21">
        <v>0</v>
      </c>
      <c r="Q254" s="20">
        <f t="shared" si="50"/>
        <v>0</v>
      </c>
      <c r="R254" s="20">
        <v>0</v>
      </c>
      <c r="S254" s="22">
        <v>0</v>
      </c>
      <c r="T254" s="20">
        <f t="shared" si="51"/>
        <v>0</v>
      </c>
      <c r="U254" s="20">
        <v>47.5</v>
      </c>
      <c r="V254" s="21">
        <v>0</v>
      </c>
      <c r="W254" s="20">
        <f t="shared" si="52"/>
        <v>47.5</v>
      </c>
      <c r="X254" s="20">
        <v>46</v>
      </c>
      <c r="Y254" s="22">
        <v>1</v>
      </c>
      <c r="Z254" s="20">
        <f t="shared" si="53"/>
        <v>47</v>
      </c>
      <c r="AA254" s="20">
        <v>17.5</v>
      </c>
      <c r="AB254" s="22">
        <v>0</v>
      </c>
      <c r="AC254" s="20">
        <f t="shared" si="54"/>
        <v>17.5</v>
      </c>
      <c r="AD254" s="20">
        <v>27.5</v>
      </c>
      <c r="AE254" s="22">
        <v>0</v>
      </c>
      <c r="AF254" s="20">
        <f t="shared" si="55"/>
        <v>27.5</v>
      </c>
      <c r="AG254" s="20">
        <v>0</v>
      </c>
      <c r="AH254" s="21">
        <v>0</v>
      </c>
      <c r="AI254" s="20">
        <f t="shared" si="56"/>
        <v>0</v>
      </c>
      <c r="AJ254" s="20">
        <v>11</v>
      </c>
      <c r="AK254" s="21">
        <v>0</v>
      </c>
      <c r="AL254" s="20">
        <f t="shared" si="57"/>
        <v>11</v>
      </c>
      <c r="AM254" s="20">
        <v>10</v>
      </c>
      <c r="AN254" s="21">
        <v>0</v>
      </c>
      <c r="AO254" s="20">
        <f t="shared" si="58"/>
        <v>10</v>
      </c>
      <c r="AP254" s="21">
        <v>22.5</v>
      </c>
      <c r="AQ254" s="20">
        <v>0</v>
      </c>
      <c r="AR254" s="20">
        <f t="shared" si="59"/>
        <v>22.5</v>
      </c>
      <c r="AS254" s="20">
        <v>30</v>
      </c>
      <c r="AT254" s="21">
        <v>0</v>
      </c>
      <c r="AU254" s="20">
        <f t="shared" si="60"/>
        <v>30</v>
      </c>
      <c r="AV254" s="23">
        <f t="shared" si="61"/>
        <v>212</v>
      </c>
      <c r="AW254" s="22">
        <f t="shared" si="62"/>
        <v>1</v>
      </c>
      <c r="AX254" s="20">
        <f t="shared" si="63"/>
        <v>213</v>
      </c>
      <c r="AY254" s="28" t="s">
        <v>477</v>
      </c>
      <c r="AZ254" s="28" t="s">
        <v>477</v>
      </c>
      <c r="BA254" s="28" t="s">
        <v>352</v>
      </c>
      <c r="BB254" s="29">
        <v>44383</v>
      </c>
    </row>
    <row r="255" spans="1:54" hidden="1">
      <c r="A255" s="28" t="str">
        <f t="shared" si="48"/>
        <v>815417207787</v>
      </c>
      <c r="B255" s="30">
        <v>815417</v>
      </c>
      <c r="C255" s="30" t="s">
        <v>26</v>
      </c>
      <c r="D255" s="28">
        <v>207787</v>
      </c>
      <c r="E255" s="28" t="s">
        <v>393</v>
      </c>
      <c r="F255" s="28"/>
      <c r="G255" s="28"/>
      <c r="H255" s="28"/>
      <c r="I255" s="28"/>
      <c r="J255" s="28"/>
      <c r="K255" s="28"/>
      <c r="L255" s="20">
        <v>0</v>
      </c>
      <c r="M255" s="21">
        <v>0</v>
      </c>
      <c r="N255" s="20">
        <f t="shared" si="49"/>
        <v>0</v>
      </c>
      <c r="O255" s="20">
        <v>0</v>
      </c>
      <c r="P255" s="21">
        <v>0</v>
      </c>
      <c r="Q255" s="20">
        <f t="shared" si="50"/>
        <v>0</v>
      </c>
      <c r="R255" s="20">
        <v>0</v>
      </c>
      <c r="S255" s="22">
        <v>0</v>
      </c>
      <c r="T255" s="20">
        <f t="shared" si="51"/>
        <v>0</v>
      </c>
      <c r="U255" s="20">
        <v>3</v>
      </c>
      <c r="V255" s="21">
        <v>0</v>
      </c>
      <c r="W255" s="20">
        <f t="shared" si="52"/>
        <v>3</v>
      </c>
      <c r="X255" s="20">
        <v>17</v>
      </c>
      <c r="Y255" s="22">
        <v>0</v>
      </c>
      <c r="Z255" s="20">
        <f t="shared" si="53"/>
        <v>17</v>
      </c>
      <c r="AA255" s="20">
        <v>18</v>
      </c>
      <c r="AB255" s="22">
        <v>0</v>
      </c>
      <c r="AC255" s="20">
        <f t="shared" si="54"/>
        <v>18</v>
      </c>
      <c r="AD255" s="20">
        <v>20.5</v>
      </c>
      <c r="AE255" s="22">
        <v>0</v>
      </c>
      <c r="AF255" s="20">
        <f t="shared" si="55"/>
        <v>20.5</v>
      </c>
      <c r="AG255" s="20">
        <v>28</v>
      </c>
      <c r="AH255" s="21">
        <v>0</v>
      </c>
      <c r="AI255" s="20">
        <f t="shared" si="56"/>
        <v>28</v>
      </c>
      <c r="AJ255" s="20">
        <v>7.5</v>
      </c>
      <c r="AK255" s="21">
        <v>0</v>
      </c>
      <c r="AL255" s="20">
        <f t="shared" si="57"/>
        <v>7.5</v>
      </c>
      <c r="AM255" s="20">
        <v>0</v>
      </c>
      <c r="AN255" s="21">
        <v>0</v>
      </c>
      <c r="AO255" s="20">
        <f t="shared" si="58"/>
        <v>0</v>
      </c>
      <c r="AP255" s="21">
        <v>0</v>
      </c>
      <c r="AQ255" s="20">
        <v>0</v>
      </c>
      <c r="AR255" s="20">
        <f t="shared" si="59"/>
        <v>0</v>
      </c>
      <c r="AS255" s="20">
        <v>0</v>
      </c>
      <c r="AT255" s="21">
        <v>0</v>
      </c>
      <c r="AU255" s="20">
        <f t="shared" si="60"/>
        <v>0</v>
      </c>
      <c r="AV255" s="23">
        <f t="shared" si="61"/>
        <v>94</v>
      </c>
      <c r="AW255" s="22">
        <f t="shared" si="62"/>
        <v>0</v>
      </c>
      <c r="AX255" s="20">
        <f t="shared" si="63"/>
        <v>94</v>
      </c>
      <c r="AY255" s="28" t="s">
        <v>477</v>
      </c>
      <c r="AZ255" s="28" t="s">
        <v>477</v>
      </c>
      <c r="BA255" s="28" t="s">
        <v>352</v>
      </c>
      <c r="BB255" s="29">
        <v>44384</v>
      </c>
    </row>
    <row r="256" spans="1:54" hidden="1">
      <c r="A256" s="28" t="str">
        <f t="shared" si="48"/>
        <v>815426202994</v>
      </c>
      <c r="B256" s="30">
        <v>815426</v>
      </c>
      <c r="C256" s="30" t="s">
        <v>394</v>
      </c>
      <c r="D256" s="28">
        <v>202994</v>
      </c>
      <c r="E256" s="28" t="s">
        <v>251</v>
      </c>
      <c r="F256" s="28"/>
      <c r="G256" s="28"/>
      <c r="H256" s="28"/>
      <c r="I256" s="28"/>
      <c r="J256" s="28"/>
      <c r="K256" s="28"/>
      <c r="L256" s="20">
        <v>0</v>
      </c>
      <c r="M256" s="21">
        <v>0</v>
      </c>
      <c r="N256" s="20">
        <f t="shared" si="49"/>
        <v>0</v>
      </c>
      <c r="O256" s="20">
        <v>0</v>
      </c>
      <c r="P256" s="21">
        <v>0</v>
      </c>
      <c r="Q256" s="20">
        <f t="shared" si="50"/>
        <v>0</v>
      </c>
      <c r="R256" s="20">
        <v>0</v>
      </c>
      <c r="S256" s="22">
        <v>0</v>
      </c>
      <c r="T256" s="20">
        <f t="shared" si="51"/>
        <v>0</v>
      </c>
      <c r="U256" s="20">
        <v>16.5</v>
      </c>
      <c r="V256" s="21">
        <v>0</v>
      </c>
      <c r="W256" s="20">
        <f t="shared" si="52"/>
        <v>16.5</v>
      </c>
      <c r="X256" s="20">
        <v>24.85</v>
      </c>
      <c r="Y256" s="22">
        <v>0</v>
      </c>
      <c r="Z256" s="20">
        <f t="shared" si="53"/>
        <v>24.85</v>
      </c>
      <c r="AA256" s="20">
        <v>28</v>
      </c>
      <c r="AB256" s="22">
        <v>14</v>
      </c>
      <c r="AC256" s="20">
        <f t="shared" si="54"/>
        <v>42</v>
      </c>
      <c r="AD256" s="20">
        <v>28.5</v>
      </c>
      <c r="AE256" s="22">
        <v>0</v>
      </c>
      <c r="AF256" s="20">
        <f t="shared" si="55"/>
        <v>28.5</v>
      </c>
      <c r="AG256" s="20">
        <v>11.5</v>
      </c>
      <c r="AH256" s="21">
        <v>0</v>
      </c>
      <c r="AI256" s="20">
        <f t="shared" si="56"/>
        <v>11.5</v>
      </c>
      <c r="AJ256" s="20">
        <v>19</v>
      </c>
      <c r="AK256" s="21">
        <v>0</v>
      </c>
      <c r="AL256" s="20">
        <f t="shared" si="57"/>
        <v>19</v>
      </c>
      <c r="AM256" s="20">
        <v>25</v>
      </c>
      <c r="AN256" s="21">
        <v>0</v>
      </c>
      <c r="AO256" s="20">
        <f t="shared" si="58"/>
        <v>25</v>
      </c>
      <c r="AP256" s="21">
        <v>12.5</v>
      </c>
      <c r="AQ256" s="20">
        <v>0</v>
      </c>
      <c r="AR256" s="20">
        <f t="shared" si="59"/>
        <v>12.5</v>
      </c>
      <c r="AS256" s="20">
        <v>37.5</v>
      </c>
      <c r="AT256" s="21">
        <v>0</v>
      </c>
      <c r="AU256" s="20">
        <f t="shared" si="60"/>
        <v>37.5</v>
      </c>
      <c r="AV256" s="23">
        <f t="shared" si="61"/>
        <v>203.35</v>
      </c>
      <c r="AW256" s="22">
        <f t="shared" si="62"/>
        <v>14</v>
      </c>
      <c r="AX256" s="20">
        <f t="shared" si="63"/>
        <v>217.35</v>
      </c>
      <c r="AY256" s="28" t="s">
        <v>477</v>
      </c>
      <c r="AZ256" s="28" t="s">
        <v>477</v>
      </c>
      <c r="BA256" s="28" t="s">
        <v>352</v>
      </c>
      <c r="BB256" s="29">
        <v>44384</v>
      </c>
    </row>
    <row r="257" spans="1:54" hidden="1">
      <c r="A257" s="28" t="str">
        <f t="shared" si="48"/>
        <v>815514207857</v>
      </c>
      <c r="B257" s="30">
        <v>815514</v>
      </c>
      <c r="C257" s="30" t="s">
        <v>141</v>
      </c>
      <c r="D257" s="28">
        <v>207857</v>
      </c>
      <c r="E257" s="28" t="s">
        <v>4</v>
      </c>
      <c r="F257" s="28"/>
      <c r="G257" s="28"/>
      <c r="H257" s="28"/>
      <c r="I257" s="28"/>
      <c r="J257" s="28"/>
      <c r="K257" s="28"/>
      <c r="L257" s="20">
        <v>0</v>
      </c>
      <c r="M257" s="21">
        <v>0</v>
      </c>
      <c r="N257" s="20">
        <f t="shared" si="49"/>
        <v>0</v>
      </c>
      <c r="O257" s="20">
        <v>0</v>
      </c>
      <c r="P257" s="21">
        <v>0</v>
      </c>
      <c r="Q257" s="20">
        <f t="shared" si="50"/>
        <v>0</v>
      </c>
      <c r="R257" s="20">
        <v>0</v>
      </c>
      <c r="S257" s="22">
        <v>0</v>
      </c>
      <c r="T257" s="20">
        <f t="shared" si="51"/>
        <v>0</v>
      </c>
      <c r="U257" s="20">
        <v>30.95</v>
      </c>
      <c r="V257" s="21">
        <v>5</v>
      </c>
      <c r="W257" s="20">
        <f t="shared" si="52"/>
        <v>35.950000000000003</v>
      </c>
      <c r="X257" s="20">
        <v>35</v>
      </c>
      <c r="Y257" s="22">
        <v>2</v>
      </c>
      <c r="Z257" s="20">
        <f t="shared" si="53"/>
        <v>37</v>
      </c>
      <c r="AA257" s="20">
        <v>42.5</v>
      </c>
      <c r="AB257" s="22">
        <v>5</v>
      </c>
      <c r="AC257" s="20">
        <f t="shared" si="54"/>
        <v>47.5</v>
      </c>
      <c r="AD257" s="20">
        <v>40</v>
      </c>
      <c r="AE257" s="22">
        <v>1</v>
      </c>
      <c r="AF257" s="20">
        <f t="shared" si="55"/>
        <v>41</v>
      </c>
      <c r="AG257" s="20">
        <v>10</v>
      </c>
      <c r="AH257" s="21">
        <v>0</v>
      </c>
      <c r="AI257" s="20">
        <f t="shared" si="56"/>
        <v>10</v>
      </c>
      <c r="AJ257" s="20">
        <v>44</v>
      </c>
      <c r="AK257" s="21">
        <v>0</v>
      </c>
      <c r="AL257" s="20">
        <f t="shared" si="57"/>
        <v>44</v>
      </c>
      <c r="AM257" s="20">
        <v>12.45</v>
      </c>
      <c r="AN257" s="21">
        <v>4.45</v>
      </c>
      <c r="AO257" s="20">
        <f t="shared" si="58"/>
        <v>16.899999999999999</v>
      </c>
      <c r="AP257" s="21">
        <v>10</v>
      </c>
      <c r="AQ257" s="20">
        <v>0</v>
      </c>
      <c r="AR257" s="20">
        <f t="shared" si="59"/>
        <v>10</v>
      </c>
      <c r="AS257" s="20">
        <v>10</v>
      </c>
      <c r="AT257" s="21">
        <v>0</v>
      </c>
      <c r="AU257" s="20">
        <f t="shared" si="60"/>
        <v>10</v>
      </c>
      <c r="AV257" s="23">
        <f t="shared" si="61"/>
        <v>234.89999999999998</v>
      </c>
      <c r="AW257" s="22">
        <f t="shared" si="62"/>
        <v>17.45</v>
      </c>
      <c r="AX257" s="20">
        <f t="shared" si="63"/>
        <v>252.34999999999997</v>
      </c>
      <c r="AY257" s="28" t="s">
        <v>477</v>
      </c>
      <c r="AZ257" s="28" t="s">
        <v>477</v>
      </c>
      <c r="BA257" s="28" t="s">
        <v>352</v>
      </c>
      <c r="BB257" s="29">
        <v>44391</v>
      </c>
    </row>
    <row r="258" spans="1:54" hidden="1">
      <c r="A258" s="28" t="str">
        <f t="shared" ref="A258:A321" si="64">B258&amp;D258</f>
        <v>815593203154</v>
      </c>
      <c r="B258" s="30">
        <v>815593</v>
      </c>
      <c r="C258" s="30" t="s">
        <v>19</v>
      </c>
      <c r="D258" s="28">
        <v>203154</v>
      </c>
      <c r="E258" s="28" t="s">
        <v>247</v>
      </c>
      <c r="F258" s="28"/>
      <c r="G258" s="28"/>
      <c r="H258" s="28"/>
      <c r="I258" s="28"/>
      <c r="J258" s="28"/>
      <c r="K258" s="28"/>
      <c r="L258" s="20">
        <v>0</v>
      </c>
      <c r="M258" s="21">
        <v>0</v>
      </c>
      <c r="N258" s="20">
        <f t="shared" ref="N258:N321" si="65">SUM(L258:M258)</f>
        <v>0</v>
      </c>
      <c r="O258" s="20">
        <v>0</v>
      </c>
      <c r="P258" s="21">
        <v>0</v>
      </c>
      <c r="Q258" s="20">
        <f t="shared" ref="Q258:Q321" si="66">SUM(O258:P258)</f>
        <v>0</v>
      </c>
      <c r="R258" s="20">
        <v>0</v>
      </c>
      <c r="S258" s="22">
        <v>0</v>
      </c>
      <c r="T258" s="20">
        <f t="shared" ref="T258:T321" si="67">SUM(R258:S258)</f>
        <v>0</v>
      </c>
      <c r="U258" s="20">
        <v>15</v>
      </c>
      <c r="V258" s="21">
        <v>0</v>
      </c>
      <c r="W258" s="20">
        <f t="shared" ref="W258:W321" si="68">SUM(U258:V258)</f>
        <v>15</v>
      </c>
      <c r="X258" s="20">
        <v>0</v>
      </c>
      <c r="Y258" s="22">
        <v>0</v>
      </c>
      <c r="Z258" s="20">
        <f t="shared" ref="Z258:Z321" si="69">SUM(X258:Y258)</f>
        <v>0</v>
      </c>
      <c r="AA258" s="20">
        <v>23</v>
      </c>
      <c r="AB258" s="22">
        <v>0</v>
      </c>
      <c r="AC258" s="20">
        <f t="shared" ref="AC258:AC321" si="70">SUM(AA258:AB258)</f>
        <v>23</v>
      </c>
      <c r="AD258" s="20">
        <v>0</v>
      </c>
      <c r="AE258" s="22">
        <v>0</v>
      </c>
      <c r="AF258" s="20">
        <f t="shared" ref="AF258:AF321" si="71">SUM(AD258:AE258)</f>
        <v>0</v>
      </c>
      <c r="AG258" s="20">
        <v>0</v>
      </c>
      <c r="AH258" s="21">
        <v>0</v>
      </c>
      <c r="AI258" s="20">
        <f t="shared" ref="AI258:AI321" si="72">SUM(AG258:AH258)</f>
        <v>0</v>
      </c>
      <c r="AJ258" s="20">
        <v>0</v>
      </c>
      <c r="AK258" s="21">
        <v>0</v>
      </c>
      <c r="AL258" s="20">
        <f t="shared" ref="AL258:AL321" si="73">SUM(AJ258:AK258)</f>
        <v>0</v>
      </c>
      <c r="AM258" s="20">
        <v>0</v>
      </c>
      <c r="AN258" s="21">
        <v>0</v>
      </c>
      <c r="AO258" s="20">
        <f t="shared" ref="AO258:AO321" si="74">SUM(AM258:AN258)</f>
        <v>0</v>
      </c>
      <c r="AP258" s="21">
        <v>0</v>
      </c>
      <c r="AQ258" s="20">
        <v>0</v>
      </c>
      <c r="AR258" s="20">
        <f t="shared" ref="AR258:AR321" si="75">SUM(AP258:AQ258)</f>
        <v>0</v>
      </c>
      <c r="AS258" s="20">
        <v>0</v>
      </c>
      <c r="AT258" s="21">
        <v>0</v>
      </c>
      <c r="AU258" s="20">
        <f t="shared" ref="AU258:AU321" si="76">SUM(AS258:AT258)</f>
        <v>0</v>
      </c>
      <c r="AV258" s="23">
        <f t="shared" ref="AV258:AV321" si="77">SUM(L258+O258+R258+U258+X258+AA258+AD258+AG258+AJ258+AM258+AP258+AS258)</f>
        <v>38</v>
      </c>
      <c r="AW258" s="22">
        <f t="shared" ref="AW258:AW321" si="78">SUM(M258+P258+S258+V258+Y258+AB258+AE258+AH258+AK258+AN258+AQ258+AT258)</f>
        <v>0</v>
      </c>
      <c r="AX258" s="20">
        <f t="shared" ref="AX258:AX321" si="79">SUM(AV258:AW258)</f>
        <v>38</v>
      </c>
      <c r="AY258" s="28" t="s">
        <v>477</v>
      </c>
      <c r="AZ258" s="28" t="s">
        <v>477</v>
      </c>
      <c r="BA258" s="28" t="s">
        <v>352</v>
      </c>
      <c r="BB258" s="29">
        <v>44399</v>
      </c>
    </row>
    <row r="259" spans="1:54" hidden="1">
      <c r="A259" s="28" t="str">
        <f t="shared" si="64"/>
        <v>815657207857</v>
      </c>
      <c r="B259" s="30">
        <v>815657</v>
      </c>
      <c r="C259" s="30" t="s">
        <v>401</v>
      </c>
      <c r="D259" s="28">
        <v>207857</v>
      </c>
      <c r="E259" s="28" t="s">
        <v>4</v>
      </c>
      <c r="F259" s="28"/>
      <c r="G259" s="28"/>
      <c r="H259" s="28"/>
      <c r="I259" s="28"/>
      <c r="J259" s="28"/>
      <c r="K259" s="28"/>
      <c r="L259" s="20">
        <v>0</v>
      </c>
      <c r="M259" s="21">
        <v>0</v>
      </c>
      <c r="N259" s="20">
        <f t="shared" si="65"/>
        <v>0</v>
      </c>
      <c r="O259" s="20">
        <v>0</v>
      </c>
      <c r="P259" s="21">
        <v>0</v>
      </c>
      <c r="Q259" s="20">
        <f t="shared" si="66"/>
        <v>0</v>
      </c>
      <c r="R259" s="20">
        <v>0</v>
      </c>
      <c r="S259" s="22">
        <v>0</v>
      </c>
      <c r="T259" s="20">
        <f t="shared" si="67"/>
        <v>0</v>
      </c>
      <c r="U259" s="20">
        <v>20</v>
      </c>
      <c r="V259" s="21">
        <v>0</v>
      </c>
      <c r="W259" s="20">
        <f t="shared" si="68"/>
        <v>20</v>
      </c>
      <c r="X259" s="20">
        <v>79</v>
      </c>
      <c r="Y259" s="22">
        <v>5.5</v>
      </c>
      <c r="Z259" s="20">
        <f t="shared" si="69"/>
        <v>84.5</v>
      </c>
      <c r="AA259" s="20">
        <v>47.5</v>
      </c>
      <c r="AB259" s="22">
        <v>0</v>
      </c>
      <c r="AC259" s="20">
        <f t="shared" si="70"/>
        <v>47.5</v>
      </c>
      <c r="AD259" s="20">
        <v>39.5</v>
      </c>
      <c r="AE259" s="22">
        <v>10</v>
      </c>
      <c r="AF259" s="20">
        <f t="shared" si="71"/>
        <v>49.5</v>
      </c>
      <c r="AG259" s="20">
        <v>45</v>
      </c>
      <c r="AH259" s="21">
        <v>0</v>
      </c>
      <c r="AI259" s="20">
        <f t="shared" si="72"/>
        <v>45</v>
      </c>
      <c r="AJ259" s="20">
        <v>76.5</v>
      </c>
      <c r="AK259" s="21">
        <v>5</v>
      </c>
      <c r="AL259" s="20">
        <f t="shared" si="73"/>
        <v>81.5</v>
      </c>
      <c r="AM259" s="20">
        <v>40</v>
      </c>
      <c r="AN259" s="21">
        <v>10</v>
      </c>
      <c r="AO259" s="20">
        <f t="shared" si="74"/>
        <v>50</v>
      </c>
      <c r="AP259" s="21">
        <v>22.5</v>
      </c>
      <c r="AQ259" s="20">
        <v>5</v>
      </c>
      <c r="AR259" s="20">
        <f t="shared" si="75"/>
        <v>27.5</v>
      </c>
      <c r="AS259" s="20">
        <v>57.5</v>
      </c>
      <c r="AT259" s="21">
        <v>0</v>
      </c>
      <c r="AU259" s="20">
        <f t="shared" si="76"/>
        <v>57.5</v>
      </c>
      <c r="AV259" s="23">
        <f t="shared" si="77"/>
        <v>427.5</v>
      </c>
      <c r="AW259" s="22">
        <f t="shared" si="78"/>
        <v>35.5</v>
      </c>
      <c r="AX259" s="20">
        <f t="shared" si="79"/>
        <v>463</v>
      </c>
      <c r="AY259" s="28" t="s">
        <v>477</v>
      </c>
      <c r="AZ259" s="28" t="s">
        <v>477</v>
      </c>
      <c r="BA259" s="28" t="s">
        <v>352</v>
      </c>
      <c r="BB259" s="29">
        <v>44403</v>
      </c>
    </row>
    <row r="260" spans="1:54" hidden="1">
      <c r="A260" s="28" t="str">
        <f t="shared" si="64"/>
        <v>815663207857</v>
      </c>
      <c r="B260" s="30">
        <v>815663</v>
      </c>
      <c r="C260" s="30" t="s">
        <v>407</v>
      </c>
      <c r="D260" s="28">
        <v>207857</v>
      </c>
      <c r="E260" s="28" t="s">
        <v>4</v>
      </c>
      <c r="F260" s="28"/>
      <c r="G260" s="28"/>
      <c r="H260" s="28"/>
      <c r="I260" s="28"/>
      <c r="J260" s="28"/>
      <c r="K260" s="28"/>
      <c r="L260" s="20">
        <v>0</v>
      </c>
      <c r="M260" s="21">
        <v>0</v>
      </c>
      <c r="N260" s="20">
        <f t="shared" si="65"/>
        <v>0</v>
      </c>
      <c r="O260" s="20">
        <v>0</v>
      </c>
      <c r="P260" s="21">
        <v>0</v>
      </c>
      <c r="Q260" s="20">
        <f t="shared" si="66"/>
        <v>0</v>
      </c>
      <c r="R260" s="20">
        <v>0</v>
      </c>
      <c r="S260" s="22">
        <v>0</v>
      </c>
      <c r="T260" s="20">
        <f t="shared" si="67"/>
        <v>0</v>
      </c>
      <c r="U260" s="20">
        <v>20</v>
      </c>
      <c r="V260" s="21">
        <v>10</v>
      </c>
      <c r="W260" s="20">
        <f t="shared" si="68"/>
        <v>30</v>
      </c>
      <c r="X260" s="20">
        <v>20</v>
      </c>
      <c r="Y260" s="22">
        <v>0</v>
      </c>
      <c r="Z260" s="20">
        <f t="shared" si="69"/>
        <v>20</v>
      </c>
      <c r="AA260" s="20">
        <v>20</v>
      </c>
      <c r="AB260" s="22">
        <v>5</v>
      </c>
      <c r="AC260" s="20">
        <f t="shared" si="70"/>
        <v>25</v>
      </c>
      <c r="AD260" s="20">
        <v>10</v>
      </c>
      <c r="AE260" s="22">
        <v>0</v>
      </c>
      <c r="AF260" s="20">
        <f t="shared" si="71"/>
        <v>10</v>
      </c>
      <c r="AG260" s="20">
        <v>20</v>
      </c>
      <c r="AH260" s="21">
        <v>0</v>
      </c>
      <c r="AI260" s="20">
        <f t="shared" si="72"/>
        <v>20</v>
      </c>
      <c r="AJ260" s="20">
        <v>53.5</v>
      </c>
      <c r="AK260" s="21">
        <v>2.5</v>
      </c>
      <c r="AL260" s="20">
        <f t="shared" si="73"/>
        <v>56</v>
      </c>
      <c r="AM260" s="20">
        <v>11.4</v>
      </c>
      <c r="AN260" s="21">
        <v>0</v>
      </c>
      <c r="AO260" s="20">
        <f t="shared" si="74"/>
        <v>11.4</v>
      </c>
      <c r="AP260" s="21">
        <v>17.5</v>
      </c>
      <c r="AQ260" s="20">
        <v>0</v>
      </c>
      <c r="AR260" s="20">
        <f t="shared" si="75"/>
        <v>17.5</v>
      </c>
      <c r="AS260" s="20">
        <v>0</v>
      </c>
      <c r="AT260" s="21">
        <v>0</v>
      </c>
      <c r="AU260" s="20">
        <f t="shared" si="76"/>
        <v>0</v>
      </c>
      <c r="AV260" s="23">
        <f t="shared" si="77"/>
        <v>172.4</v>
      </c>
      <c r="AW260" s="22">
        <f t="shared" si="78"/>
        <v>17.5</v>
      </c>
      <c r="AX260" s="20">
        <f t="shared" si="79"/>
        <v>189.9</v>
      </c>
      <c r="AY260" s="28" t="s">
        <v>477</v>
      </c>
      <c r="AZ260" s="28" t="s">
        <v>477</v>
      </c>
      <c r="BA260" s="28" t="s">
        <v>352</v>
      </c>
      <c r="BB260" s="29">
        <v>44403</v>
      </c>
    </row>
    <row r="261" spans="1:54" hidden="1">
      <c r="A261" s="28" t="str">
        <f t="shared" si="64"/>
        <v>815664207857</v>
      </c>
      <c r="B261" s="30">
        <v>815664</v>
      </c>
      <c r="C261" s="30" t="s">
        <v>408</v>
      </c>
      <c r="D261" s="28">
        <v>207857</v>
      </c>
      <c r="E261" s="28" t="s">
        <v>4</v>
      </c>
      <c r="F261" s="28"/>
      <c r="G261" s="28"/>
      <c r="H261" s="28"/>
      <c r="I261" s="28"/>
      <c r="J261" s="28"/>
      <c r="K261" s="28"/>
      <c r="L261" s="20">
        <v>0</v>
      </c>
      <c r="M261" s="21">
        <v>0</v>
      </c>
      <c r="N261" s="20">
        <f t="shared" si="65"/>
        <v>0</v>
      </c>
      <c r="O261" s="20">
        <v>0</v>
      </c>
      <c r="P261" s="21">
        <v>0</v>
      </c>
      <c r="Q261" s="20">
        <f t="shared" si="66"/>
        <v>0</v>
      </c>
      <c r="R261" s="20">
        <v>0</v>
      </c>
      <c r="S261" s="22">
        <v>0</v>
      </c>
      <c r="T261" s="20">
        <f t="shared" si="67"/>
        <v>0</v>
      </c>
      <c r="U261" s="20">
        <v>10</v>
      </c>
      <c r="V261" s="21">
        <v>0</v>
      </c>
      <c r="W261" s="20">
        <f t="shared" si="68"/>
        <v>10</v>
      </c>
      <c r="X261" s="20">
        <v>20</v>
      </c>
      <c r="Y261" s="22">
        <v>0</v>
      </c>
      <c r="Z261" s="20">
        <f t="shared" si="69"/>
        <v>20</v>
      </c>
      <c r="AA261" s="20">
        <v>25.5</v>
      </c>
      <c r="AB261" s="22">
        <v>8</v>
      </c>
      <c r="AC261" s="20">
        <f t="shared" si="70"/>
        <v>33.5</v>
      </c>
      <c r="AD261" s="20">
        <v>45</v>
      </c>
      <c r="AE261" s="22">
        <v>8</v>
      </c>
      <c r="AF261" s="20">
        <f t="shared" si="71"/>
        <v>53</v>
      </c>
      <c r="AG261" s="20">
        <v>20</v>
      </c>
      <c r="AH261" s="21">
        <v>0</v>
      </c>
      <c r="AI261" s="20">
        <f t="shared" si="72"/>
        <v>20</v>
      </c>
      <c r="AJ261" s="20">
        <v>63.5</v>
      </c>
      <c r="AK261" s="21">
        <v>2.5</v>
      </c>
      <c r="AL261" s="20">
        <f t="shared" si="73"/>
        <v>66</v>
      </c>
      <c r="AM261" s="20">
        <v>10</v>
      </c>
      <c r="AN261" s="21">
        <v>0</v>
      </c>
      <c r="AO261" s="20">
        <f t="shared" si="74"/>
        <v>10</v>
      </c>
      <c r="AP261" s="21">
        <v>30</v>
      </c>
      <c r="AQ261" s="20">
        <v>0</v>
      </c>
      <c r="AR261" s="20">
        <f t="shared" si="75"/>
        <v>30</v>
      </c>
      <c r="AS261" s="20">
        <v>177.15</v>
      </c>
      <c r="AT261" s="21">
        <v>1.45</v>
      </c>
      <c r="AU261" s="20">
        <f t="shared" si="76"/>
        <v>178.6</v>
      </c>
      <c r="AV261" s="23">
        <f t="shared" si="77"/>
        <v>401.15</v>
      </c>
      <c r="AW261" s="22">
        <f t="shared" si="78"/>
        <v>19.95</v>
      </c>
      <c r="AX261" s="20">
        <f t="shared" si="79"/>
        <v>421.09999999999997</v>
      </c>
      <c r="AY261" s="28" t="s">
        <v>477</v>
      </c>
      <c r="AZ261" s="28" t="s">
        <v>477</v>
      </c>
      <c r="BA261" s="28" t="s">
        <v>352</v>
      </c>
      <c r="BB261" s="29">
        <v>44403</v>
      </c>
    </row>
    <row r="262" spans="1:54" hidden="1">
      <c r="A262" s="28" t="str">
        <f t="shared" si="64"/>
        <v>815719207857</v>
      </c>
      <c r="B262" s="30">
        <v>815719</v>
      </c>
      <c r="C262" s="30" t="s">
        <v>409</v>
      </c>
      <c r="D262" s="28">
        <v>207857</v>
      </c>
      <c r="E262" s="28" t="s">
        <v>4</v>
      </c>
      <c r="F262" s="28"/>
      <c r="G262" s="28"/>
      <c r="H262" s="28"/>
      <c r="I262" s="28"/>
      <c r="J262" s="28"/>
      <c r="K262" s="28"/>
      <c r="L262" s="20">
        <v>0</v>
      </c>
      <c r="M262" s="21">
        <v>0</v>
      </c>
      <c r="N262" s="20">
        <f t="shared" si="65"/>
        <v>0</v>
      </c>
      <c r="O262" s="20">
        <v>0</v>
      </c>
      <c r="P262" s="21">
        <v>0</v>
      </c>
      <c r="Q262" s="20">
        <f t="shared" si="66"/>
        <v>0</v>
      </c>
      <c r="R262" s="20">
        <v>0</v>
      </c>
      <c r="S262" s="22">
        <v>0</v>
      </c>
      <c r="T262" s="20">
        <f t="shared" si="67"/>
        <v>0</v>
      </c>
      <c r="U262" s="20">
        <v>10</v>
      </c>
      <c r="V262" s="21">
        <v>0</v>
      </c>
      <c r="W262" s="20">
        <f t="shared" si="68"/>
        <v>10</v>
      </c>
      <c r="X262" s="20">
        <v>16</v>
      </c>
      <c r="Y262" s="22">
        <v>6</v>
      </c>
      <c r="Z262" s="20">
        <f t="shared" si="69"/>
        <v>22</v>
      </c>
      <c r="AA262" s="20">
        <v>38.5</v>
      </c>
      <c r="AB262" s="22">
        <v>0</v>
      </c>
      <c r="AC262" s="20">
        <f t="shared" si="70"/>
        <v>38.5</v>
      </c>
      <c r="AD262" s="20">
        <v>42.5</v>
      </c>
      <c r="AE262" s="22">
        <v>2.5</v>
      </c>
      <c r="AF262" s="20">
        <f t="shared" si="71"/>
        <v>45</v>
      </c>
      <c r="AG262" s="20">
        <v>40</v>
      </c>
      <c r="AH262" s="21">
        <v>10</v>
      </c>
      <c r="AI262" s="20">
        <f t="shared" si="72"/>
        <v>50</v>
      </c>
      <c r="AJ262" s="20">
        <v>44</v>
      </c>
      <c r="AK262" s="21">
        <v>2.5</v>
      </c>
      <c r="AL262" s="20">
        <f t="shared" si="73"/>
        <v>46.5</v>
      </c>
      <c r="AM262" s="20">
        <v>20</v>
      </c>
      <c r="AN262" s="21">
        <v>10</v>
      </c>
      <c r="AO262" s="20">
        <f t="shared" si="74"/>
        <v>30</v>
      </c>
      <c r="AP262" s="21">
        <v>10</v>
      </c>
      <c r="AQ262" s="20">
        <v>0</v>
      </c>
      <c r="AR262" s="20">
        <f t="shared" si="75"/>
        <v>10</v>
      </c>
      <c r="AS262" s="20">
        <v>5</v>
      </c>
      <c r="AT262" s="21">
        <v>0</v>
      </c>
      <c r="AU262" s="20">
        <f t="shared" si="76"/>
        <v>5</v>
      </c>
      <c r="AV262" s="23">
        <f t="shared" si="77"/>
        <v>226</v>
      </c>
      <c r="AW262" s="22">
        <f t="shared" si="78"/>
        <v>31</v>
      </c>
      <c r="AX262" s="20">
        <f t="shared" si="79"/>
        <v>257</v>
      </c>
      <c r="AY262" s="28" t="s">
        <v>477</v>
      </c>
      <c r="AZ262" s="28" t="s">
        <v>477</v>
      </c>
      <c r="BA262" s="28" t="s">
        <v>352</v>
      </c>
      <c r="BB262" s="29">
        <v>44405</v>
      </c>
    </row>
    <row r="263" spans="1:54" hidden="1">
      <c r="A263" s="28" t="str">
        <f t="shared" si="64"/>
        <v>815720207857</v>
      </c>
      <c r="B263" s="30">
        <v>815720</v>
      </c>
      <c r="C263" s="30" t="s">
        <v>410</v>
      </c>
      <c r="D263" s="28">
        <v>207857</v>
      </c>
      <c r="E263" s="28" t="s">
        <v>4</v>
      </c>
      <c r="F263" s="28"/>
      <c r="G263" s="28"/>
      <c r="H263" s="28"/>
      <c r="I263" s="28"/>
      <c r="J263" s="28"/>
      <c r="K263" s="28"/>
      <c r="L263" s="20">
        <v>0</v>
      </c>
      <c r="M263" s="21">
        <v>0</v>
      </c>
      <c r="N263" s="20">
        <f t="shared" si="65"/>
        <v>0</v>
      </c>
      <c r="O263" s="20">
        <v>0</v>
      </c>
      <c r="P263" s="21">
        <v>0</v>
      </c>
      <c r="Q263" s="20">
        <f t="shared" si="66"/>
        <v>0</v>
      </c>
      <c r="R263" s="20">
        <v>0</v>
      </c>
      <c r="S263" s="22">
        <v>0</v>
      </c>
      <c r="T263" s="20">
        <f t="shared" si="67"/>
        <v>0</v>
      </c>
      <c r="U263" s="20">
        <v>7</v>
      </c>
      <c r="V263" s="21">
        <v>5</v>
      </c>
      <c r="W263" s="20">
        <f t="shared" si="68"/>
        <v>12</v>
      </c>
      <c r="X263" s="20">
        <v>27.5</v>
      </c>
      <c r="Y263" s="22">
        <v>0</v>
      </c>
      <c r="Z263" s="20">
        <f t="shared" si="69"/>
        <v>27.5</v>
      </c>
      <c r="AA263" s="20">
        <v>45</v>
      </c>
      <c r="AB263" s="22">
        <v>5</v>
      </c>
      <c r="AC263" s="20">
        <f t="shared" si="70"/>
        <v>50</v>
      </c>
      <c r="AD263" s="20">
        <v>63</v>
      </c>
      <c r="AE263" s="22">
        <v>5</v>
      </c>
      <c r="AF263" s="20">
        <f t="shared" si="71"/>
        <v>68</v>
      </c>
      <c r="AG263" s="20">
        <v>60</v>
      </c>
      <c r="AH263" s="21">
        <v>0</v>
      </c>
      <c r="AI263" s="20">
        <f t="shared" si="72"/>
        <v>60</v>
      </c>
      <c r="AJ263" s="20">
        <v>89.5</v>
      </c>
      <c r="AK263" s="21">
        <v>12.5</v>
      </c>
      <c r="AL263" s="20">
        <f t="shared" si="73"/>
        <v>102</v>
      </c>
      <c r="AM263" s="20">
        <v>30</v>
      </c>
      <c r="AN263" s="21">
        <v>10</v>
      </c>
      <c r="AO263" s="20">
        <f t="shared" si="74"/>
        <v>40</v>
      </c>
      <c r="AP263" s="21">
        <v>30</v>
      </c>
      <c r="AQ263" s="20">
        <v>0</v>
      </c>
      <c r="AR263" s="20">
        <f t="shared" si="75"/>
        <v>30</v>
      </c>
      <c r="AS263" s="20">
        <v>74</v>
      </c>
      <c r="AT263" s="21">
        <v>10</v>
      </c>
      <c r="AU263" s="20">
        <f t="shared" si="76"/>
        <v>84</v>
      </c>
      <c r="AV263" s="23">
        <f t="shared" si="77"/>
        <v>426</v>
      </c>
      <c r="AW263" s="22">
        <f t="shared" si="78"/>
        <v>47.5</v>
      </c>
      <c r="AX263" s="20">
        <f t="shared" si="79"/>
        <v>473.5</v>
      </c>
      <c r="AY263" s="28" t="s">
        <v>477</v>
      </c>
      <c r="AZ263" s="28" t="s">
        <v>477</v>
      </c>
      <c r="BA263" s="28" t="s">
        <v>352</v>
      </c>
      <c r="BB263" s="29">
        <v>44405</v>
      </c>
    </row>
    <row r="264" spans="1:54" hidden="1">
      <c r="A264" s="28" t="str">
        <f t="shared" si="64"/>
        <v>815929202870</v>
      </c>
      <c r="B264" s="30">
        <v>815929</v>
      </c>
      <c r="C264" s="30" t="s">
        <v>422</v>
      </c>
      <c r="D264" s="28">
        <v>202870</v>
      </c>
      <c r="E264" s="28" t="s">
        <v>423</v>
      </c>
      <c r="F264" s="28"/>
      <c r="G264" s="28"/>
      <c r="H264" s="28"/>
      <c r="I264" s="28"/>
      <c r="J264" s="28"/>
      <c r="K264" s="28"/>
      <c r="L264" s="20">
        <v>0</v>
      </c>
      <c r="M264" s="21">
        <v>0</v>
      </c>
      <c r="N264" s="20">
        <f t="shared" si="65"/>
        <v>0</v>
      </c>
      <c r="O264" s="20">
        <v>0</v>
      </c>
      <c r="P264" s="21">
        <v>0</v>
      </c>
      <c r="Q264" s="20">
        <f t="shared" si="66"/>
        <v>0</v>
      </c>
      <c r="R264" s="20">
        <v>0</v>
      </c>
      <c r="S264" s="22">
        <v>0</v>
      </c>
      <c r="T264" s="20">
        <f t="shared" si="67"/>
        <v>0</v>
      </c>
      <c r="U264" s="20">
        <v>0</v>
      </c>
      <c r="V264" s="21">
        <v>0</v>
      </c>
      <c r="W264" s="20">
        <f t="shared" si="68"/>
        <v>0</v>
      </c>
      <c r="X264" s="20">
        <v>20</v>
      </c>
      <c r="Y264" s="22">
        <v>10</v>
      </c>
      <c r="Z264" s="20">
        <f t="shared" si="69"/>
        <v>30</v>
      </c>
      <c r="AA264" s="20">
        <v>91</v>
      </c>
      <c r="AB264" s="22">
        <v>20.5</v>
      </c>
      <c r="AC264" s="20">
        <f t="shared" si="70"/>
        <v>111.5</v>
      </c>
      <c r="AD264" s="20">
        <v>83</v>
      </c>
      <c r="AE264" s="22">
        <v>40.6</v>
      </c>
      <c r="AF264" s="20">
        <f t="shared" si="71"/>
        <v>123.6</v>
      </c>
      <c r="AG264" s="20">
        <v>50</v>
      </c>
      <c r="AH264" s="21">
        <v>6</v>
      </c>
      <c r="AI264" s="20">
        <f t="shared" si="72"/>
        <v>56</v>
      </c>
      <c r="AJ264" s="20">
        <v>20</v>
      </c>
      <c r="AK264" s="21">
        <v>15.5</v>
      </c>
      <c r="AL264" s="20">
        <f t="shared" si="73"/>
        <v>35.5</v>
      </c>
      <c r="AM264" s="20">
        <v>49</v>
      </c>
      <c r="AN264" s="21">
        <v>5</v>
      </c>
      <c r="AO264" s="20">
        <f t="shared" si="74"/>
        <v>54</v>
      </c>
      <c r="AP264" s="21">
        <v>0</v>
      </c>
      <c r="AQ264" s="20">
        <v>0</v>
      </c>
      <c r="AR264" s="20">
        <f t="shared" si="75"/>
        <v>0</v>
      </c>
      <c r="AS264" s="20">
        <v>15</v>
      </c>
      <c r="AT264" s="21">
        <v>0</v>
      </c>
      <c r="AU264" s="20">
        <f t="shared" si="76"/>
        <v>15</v>
      </c>
      <c r="AV264" s="23">
        <f t="shared" si="77"/>
        <v>328</v>
      </c>
      <c r="AW264" s="22">
        <f t="shared" si="78"/>
        <v>97.6</v>
      </c>
      <c r="AX264" s="20">
        <f t="shared" si="79"/>
        <v>425.6</v>
      </c>
      <c r="AY264" s="28" t="s">
        <v>477</v>
      </c>
      <c r="AZ264" s="28" t="s">
        <v>477</v>
      </c>
      <c r="BA264" s="28" t="s">
        <v>352</v>
      </c>
      <c r="BB264" s="29">
        <v>44422</v>
      </c>
    </row>
    <row r="265" spans="1:54" hidden="1">
      <c r="A265" s="28" t="str">
        <f t="shared" si="64"/>
        <v>816261149825</v>
      </c>
      <c r="B265" s="30">
        <v>816261</v>
      </c>
      <c r="C265" s="30" t="s">
        <v>447</v>
      </c>
      <c r="D265" s="28">
        <v>149825</v>
      </c>
      <c r="E265" s="28" t="s">
        <v>263</v>
      </c>
      <c r="F265" s="28"/>
      <c r="G265" s="28"/>
      <c r="H265" s="28"/>
      <c r="I265" s="28"/>
      <c r="J265" s="28"/>
      <c r="K265" s="28"/>
      <c r="L265" s="20">
        <v>0</v>
      </c>
      <c r="M265" s="21">
        <v>0</v>
      </c>
      <c r="N265" s="20">
        <f t="shared" si="65"/>
        <v>0</v>
      </c>
      <c r="O265" s="20">
        <v>0</v>
      </c>
      <c r="P265" s="21">
        <v>0</v>
      </c>
      <c r="Q265" s="20">
        <f t="shared" si="66"/>
        <v>0</v>
      </c>
      <c r="R265" s="20">
        <v>0</v>
      </c>
      <c r="S265" s="22">
        <v>0</v>
      </c>
      <c r="T265" s="20">
        <f t="shared" si="67"/>
        <v>0</v>
      </c>
      <c r="U265" s="20">
        <v>0</v>
      </c>
      <c r="V265" s="21">
        <v>0</v>
      </c>
      <c r="W265" s="20">
        <f t="shared" si="68"/>
        <v>0</v>
      </c>
      <c r="X265" s="20">
        <v>0</v>
      </c>
      <c r="Y265" s="22">
        <v>0</v>
      </c>
      <c r="Z265" s="20">
        <f t="shared" si="69"/>
        <v>0</v>
      </c>
      <c r="AA265" s="20">
        <v>20</v>
      </c>
      <c r="AB265" s="22">
        <v>0</v>
      </c>
      <c r="AC265" s="20">
        <f t="shared" si="70"/>
        <v>20</v>
      </c>
      <c r="AD265" s="20">
        <v>25</v>
      </c>
      <c r="AE265" s="22">
        <v>0</v>
      </c>
      <c r="AF265" s="20">
        <f t="shared" si="71"/>
        <v>25</v>
      </c>
      <c r="AG265" s="20">
        <v>59</v>
      </c>
      <c r="AH265" s="21">
        <v>0</v>
      </c>
      <c r="AI265" s="20">
        <f t="shared" si="72"/>
        <v>59</v>
      </c>
      <c r="AJ265" s="20">
        <v>85.5</v>
      </c>
      <c r="AK265" s="21">
        <v>0</v>
      </c>
      <c r="AL265" s="20">
        <f t="shared" si="73"/>
        <v>85.5</v>
      </c>
      <c r="AM265" s="20">
        <v>25</v>
      </c>
      <c r="AN265" s="21">
        <v>0</v>
      </c>
      <c r="AO265" s="20">
        <f t="shared" si="74"/>
        <v>25</v>
      </c>
      <c r="AP265" s="21">
        <v>25</v>
      </c>
      <c r="AQ265" s="20">
        <v>0</v>
      </c>
      <c r="AR265" s="20">
        <f t="shared" si="75"/>
        <v>25</v>
      </c>
      <c r="AS265" s="20">
        <v>101</v>
      </c>
      <c r="AT265" s="21">
        <v>6.5</v>
      </c>
      <c r="AU265" s="20">
        <f t="shared" si="76"/>
        <v>107.5</v>
      </c>
      <c r="AV265" s="23">
        <f t="shared" si="77"/>
        <v>340.5</v>
      </c>
      <c r="AW265" s="22">
        <f t="shared" si="78"/>
        <v>6.5</v>
      </c>
      <c r="AX265" s="20">
        <f t="shared" si="79"/>
        <v>347</v>
      </c>
      <c r="AY265" s="28" t="s">
        <v>477</v>
      </c>
      <c r="AZ265" s="28" t="s">
        <v>477</v>
      </c>
      <c r="BA265" s="28" t="s">
        <v>352</v>
      </c>
      <c r="BB265" s="29">
        <v>44443</v>
      </c>
    </row>
    <row r="266" spans="1:54" hidden="1">
      <c r="A266" s="28" t="str">
        <f t="shared" si="64"/>
        <v>816262176276</v>
      </c>
      <c r="B266" s="30">
        <v>816262</v>
      </c>
      <c r="C266" s="30" t="s">
        <v>448</v>
      </c>
      <c r="D266" s="28">
        <v>176276</v>
      </c>
      <c r="E266" s="28" t="s">
        <v>181</v>
      </c>
      <c r="F266" s="28"/>
      <c r="G266" s="28"/>
      <c r="H266" s="28"/>
      <c r="I266" s="28"/>
      <c r="J266" s="28"/>
      <c r="K266" s="28"/>
      <c r="L266" s="20">
        <v>0</v>
      </c>
      <c r="M266" s="21">
        <v>0</v>
      </c>
      <c r="N266" s="20">
        <f t="shared" si="65"/>
        <v>0</v>
      </c>
      <c r="O266" s="20">
        <v>0</v>
      </c>
      <c r="P266" s="21">
        <v>0</v>
      </c>
      <c r="Q266" s="20">
        <f t="shared" si="66"/>
        <v>0</v>
      </c>
      <c r="R266" s="20">
        <v>0</v>
      </c>
      <c r="S266" s="22">
        <v>0</v>
      </c>
      <c r="T266" s="20">
        <f t="shared" si="67"/>
        <v>0</v>
      </c>
      <c r="U266" s="20">
        <v>0</v>
      </c>
      <c r="V266" s="21">
        <v>0</v>
      </c>
      <c r="W266" s="20">
        <f t="shared" si="68"/>
        <v>0</v>
      </c>
      <c r="X266" s="20">
        <v>0</v>
      </c>
      <c r="Y266" s="22">
        <v>0</v>
      </c>
      <c r="Z266" s="20">
        <f t="shared" si="69"/>
        <v>0</v>
      </c>
      <c r="AA266" s="20">
        <v>10</v>
      </c>
      <c r="AB266" s="22">
        <v>0</v>
      </c>
      <c r="AC266" s="20">
        <f t="shared" si="70"/>
        <v>10</v>
      </c>
      <c r="AD266" s="20">
        <v>20</v>
      </c>
      <c r="AE266" s="22">
        <v>0</v>
      </c>
      <c r="AF266" s="20">
        <f t="shared" si="71"/>
        <v>20</v>
      </c>
      <c r="AG266" s="20">
        <v>0</v>
      </c>
      <c r="AH266" s="21">
        <v>0</v>
      </c>
      <c r="AI266" s="20">
        <f t="shared" si="72"/>
        <v>0</v>
      </c>
      <c r="AJ266" s="20">
        <v>32.5</v>
      </c>
      <c r="AK266" s="21">
        <v>0</v>
      </c>
      <c r="AL266" s="20">
        <f t="shared" si="73"/>
        <v>32.5</v>
      </c>
      <c r="AM266" s="20">
        <v>27.5</v>
      </c>
      <c r="AN266" s="21">
        <v>0</v>
      </c>
      <c r="AO266" s="20">
        <f t="shared" si="74"/>
        <v>27.5</v>
      </c>
      <c r="AP266" s="21">
        <v>39</v>
      </c>
      <c r="AQ266" s="20">
        <v>0</v>
      </c>
      <c r="AR266" s="20">
        <f t="shared" si="75"/>
        <v>39</v>
      </c>
      <c r="AS266" s="20">
        <v>34</v>
      </c>
      <c r="AT266" s="21">
        <v>0</v>
      </c>
      <c r="AU266" s="20">
        <f t="shared" si="76"/>
        <v>34</v>
      </c>
      <c r="AV266" s="23">
        <f t="shared" si="77"/>
        <v>163</v>
      </c>
      <c r="AW266" s="22">
        <f t="shared" si="78"/>
        <v>0</v>
      </c>
      <c r="AX266" s="20">
        <f t="shared" si="79"/>
        <v>163</v>
      </c>
      <c r="AY266" s="28" t="s">
        <v>477</v>
      </c>
      <c r="AZ266" s="28" t="s">
        <v>477</v>
      </c>
      <c r="BA266" s="28" t="s">
        <v>352</v>
      </c>
      <c r="BB266" s="29">
        <v>44443</v>
      </c>
    </row>
    <row r="267" spans="1:54" hidden="1">
      <c r="A267" s="28" t="str">
        <f t="shared" si="64"/>
        <v>816272119071</v>
      </c>
      <c r="B267" s="30">
        <v>816272</v>
      </c>
      <c r="C267" s="30" t="s">
        <v>94</v>
      </c>
      <c r="D267" s="28">
        <v>119071</v>
      </c>
      <c r="E267" s="28" t="s">
        <v>184</v>
      </c>
      <c r="F267" s="28"/>
      <c r="G267" s="28"/>
      <c r="H267" s="28"/>
      <c r="I267" s="28"/>
      <c r="J267" s="28"/>
      <c r="K267" s="28"/>
      <c r="L267" s="20">
        <v>0</v>
      </c>
      <c r="M267" s="21">
        <v>0</v>
      </c>
      <c r="N267" s="20">
        <f t="shared" si="65"/>
        <v>0</v>
      </c>
      <c r="O267" s="20">
        <v>0</v>
      </c>
      <c r="P267" s="21">
        <v>0</v>
      </c>
      <c r="Q267" s="20">
        <f t="shared" si="66"/>
        <v>0</v>
      </c>
      <c r="R267" s="20">
        <v>0</v>
      </c>
      <c r="S267" s="22">
        <v>0</v>
      </c>
      <c r="T267" s="20">
        <f t="shared" si="67"/>
        <v>0</v>
      </c>
      <c r="U267" s="20">
        <v>0</v>
      </c>
      <c r="V267" s="21">
        <v>0</v>
      </c>
      <c r="W267" s="20">
        <f t="shared" si="68"/>
        <v>0</v>
      </c>
      <c r="X267" s="20">
        <v>0</v>
      </c>
      <c r="Y267" s="22">
        <v>0</v>
      </c>
      <c r="Z267" s="20">
        <f t="shared" si="69"/>
        <v>0</v>
      </c>
      <c r="AA267" s="20">
        <v>40</v>
      </c>
      <c r="AB267" s="22">
        <v>0</v>
      </c>
      <c r="AC267" s="20">
        <f t="shared" si="70"/>
        <v>40</v>
      </c>
      <c r="AD267" s="20">
        <v>20</v>
      </c>
      <c r="AE267" s="22">
        <v>0</v>
      </c>
      <c r="AF267" s="20">
        <f t="shared" si="71"/>
        <v>20</v>
      </c>
      <c r="AG267" s="20">
        <v>5</v>
      </c>
      <c r="AH267" s="21">
        <v>0</v>
      </c>
      <c r="AI267" s="20">
        <f t="shared" si="72"/>
        <v>5</v>
      </c>
      <c r="AJ267" s="20">
        <v>10</v>
      </c>
      <c r="AK267" s="21">
        <v>0</v>
      </c>
      <c r="AL267" s="20">
        <f t="shared" si="73"/>
        <v>10</v>
      </c>
      <c r="AM267" s="20">
        <v>0</v>
      </c>
      <c r="AN267" s="21">
        <v>0</v>
      </c>
      <c r="AO267" s="20">
        <f t="shared" si="74"/>
        <v>0</v>
      </c>
      <c r="AP267" s="21">
        <v>0</v>
      </c>
      <c r="AQ267" s="20">
        <v>0</v>
      </c>
      <c r="AR267" s="20">
        <f t="shared" si="75"/>
        <v>0</v>
      </c>
      <c r="AS267" s="20">
        <v>0</v>
      </c>
      <c r="AT267" s="21">
        <v>0</v>
      </c>
      <c r="AU267" s="20">
        <f t="shared" si="76"/>
        <v>0</v>
      </c>
      <c r="AV267" s="23">
        <f t="shared" si="77"/>
        <v>75</v>
      </c>
      <c r="AW267" s="22">
        <f t="shared" si="78"/>
        <v>0</v>
      </c>
      <c r="AX267" s="20">
        <f t="shared" si="79"/>
        <v>75</v>
      </c>
      <c r="AY267" s="28" t="s">
        <v>477</v>
      </c>
      <c r="AZ267" s="28" t="s">
        <v>477</v>
      </c>
      <c r="BA267" s="28" t="s">
        <v>352</v>
      </c>
      <c r="BB267" s="29">
        <v>44443</v>
      </c>
    </row>
    <row r="268" spans="1:54" hidden="1">
      <c r="A268" s="28" t="str">
        <f t="shared" si="64"/>
        <v>816314179911</v>
      </c>
      <c r="B268" s="30">
        <v>816314</v>
      </c>
      <c r="C268" s="30" t="s">
        <v>429</v>
      </c>
      <c r="D268" s="28">
        <v>179911</v>
      </c>
      <c r="E268" s="28" t="s">
        <v>186</v>
      </c>
      <c r="F268" s="28"/>
      <c r="G268" s="28"/>
      <c r="H268" s="28"/>
      <c r="I268" s="28"/>
      <c r="J268" s="28"/>
      <c r="K268" s="28"/>
      <c r="L268" s="20">
        <v>0</v>
      </c>
      <c r="M268" s="21">
        <v>0</v>
      </c>
      <c r="N268" s="20">
        <f t="shared" si="65"/>
        <v>0</v>
      </c>
      <c r="O268" s="20">
        <v>0</v>
      </c>
      <c r="P268" s="21">
        <v>0</v>
      </c>
      <c r="Q268" s="20">
        <f t="shared" si="66"/>
        <v>0</v>
      </c>
      <c r="R268" s="20">
        <v>0</v>
      </c>
      <c r="S268" s="22">
        <v>0</v>
      </c>
      <c r="T268" s="20">
        <f t="shared" si="67"/>
        <v>0</v>
      </c>
      <c r="U268" s="20">
        <v>0</v>
      </c>
      <c r="V268" s="21">
        <v>0</v>
      </c>
      <c r="W268" s="20">
        <f t="shared" si="68"/>
        <v>0</v>
      </c>
      <c r="X268" s="20">
        <v>0</v>
      </c>
      <c r="Y268" s="22">
        <v>0</v>
      </c>
      <c r="Z268" s="20">
        <f t="shared" si="69"/>
        <v>0</v>
      </c>
      <c r="AA268" s="20">
        <v>24.75</v>
      </c>
      <c r="AB268" s="22">
        <v>0</v>
      </c>
      <c r="AC268" s="20">
        <f t="shared" si="70"/>
        <v>24.75</v>
      </c>
      <c r="AD268" s="20">
        <v>6.25</v>
      </c>
      <c r="AE268" s="22">
        <v>0</v>
      </c>
      <c r="AF268" s="20">
        <f t="shared" si="71"/>
        <v>6.25</v>
      </c>
      <c r="AG268" s="20">
        <v>26.5</v>
      </c>
      <c r="AH268" s="21">
        <v>0</v>
      </c>
      <c r="AI268" s="20">
        <f t="shared" si="72"/>
        <v>26.5</v>
      </c>
      <c r="AJ268" s="20">
        <v>27</v>
      </c>
      <c r="AK268" s="21">
        <v>0</v>
      </c>
      <c r="AL268" s="20">
        <f t="shared" si="73"/>
        <v>27</v>
      </c>
      <c r="AM268" s="20">
        <v>30.1</v>
      </c>
      <c r="AN268" s="21">
        <v>3.85</v>
      </c>
      <c r="AO268" s="20">
        <f t="shared" si="74"/>
        <v>33.950000000000003</v>
      </c>
      <c r="AP268" s="21">
        <v>0</v>
      </c>
      <c r="AQ268" s="20">
        <v>0</v>
      </c>
      <c r="AR268" s="20">
        <f t="shared" si="75"/>
        <v>0</v>
      </c>
      <c r="AS268" s="20">
        <v>0</v>
      </c>
      <c r="AT268" s="21">
        <v>0</v>
      </c>
      <c r="AU268" s="20">
        <f t="shared" si="76"/>
        <v>0</v>
      </c>
      <c r="AV268" s="23">
        <f t="shared" si="77"/>
        <v>114.6</v>
      </c>
      <c r="AW268" s="22">
        <f t="shared" si="78"/>
        <v>3.85</v>
      </c>
      <c r="AX268" s="20">
        <f t="shared" si="79"/>
        <v>118.44999999999999</v>
      </c>
      <c r="AY268" s="28" t="s">
        <v>477</v>
      </c>
      <c r="AZ268" s="28" t="s">
        <v>477</v>
      </c>
      <c r="BA268" s="28" t="s">
        <v>352</v>
      </c>
      <c r="BB268" s="29">
        <v>44450</v>
      </c>
    </row>
    <row r="269" spans="1:54" hidden="1">
      <c r="A269" s="28" t="str">
        <f t="shared" si="64"/>
        <v>816348207857</v>
      </c>
      <c r="B269" s="30">
        <v>816348</v>
      </c>
      <c r="C269" s="30" t="s">
        <v>431</v>
      </c>
      <c r="D269" s="28">
        <v>207857</v>
      </c>
      <c r="E269" s="28" t="s">
        <v>4</v>
      </c>
      <c r="F269" s="28"/>
      <c r="G269" s="28"/>
      <c r="H269" s="28"/>
      <c r="I269" s="28"/>
      <c r="J269" s="28"/>
      <c r="K269" s="28"/>
      <c r="L269" s="20">
        <v>0</v>
      </c>
      <c r="M269" s="21">
        <v>0</v>
      </c>
      <c r="N269" s="20">
        <f t="shared" si="65"/>
        <v>0</v>
      </c>
      <c r="O269" s="20">
        <v>0</v>
      </c>
      <c r="P269" s="21">
        <v>0</v>
      </c>
      <c r="Q269" s="20">
        <f t="shared" si="66"/>
        <v>0</v>
      </c>
      <c r="R269" s="20">
        <v>0</v>
      </c>
      <c r="S269" s="22">
        <v>0</v>
      </c>
      <c r="T269" s="20">
        <f t="shared" si="67"/>
        <v>0</v>
      </c>
      <c r="U269" s="20">
        <v>0</v>
      </c>
      <c r="V269" s="21">
        <v>0</v>
      </c>
      <c r="W269" s="20">
        <f t="shared" si="68"/>
        <v>0</v>
      </c>
      <c r="X269" s="20">
        <v>0</v>
      </c>
      <c r="Y269" s="22">
        <v>0</v>
      </c>
      <c r="Z269" s="20">
        <f t="shared" si="69"/>
        <v>0</v>
      </c>
      <c r="AA269" s="20">
        <v>40</v>
      </c>
      <c r="AB269" s="22">
        <v>5</v>
      </c>
      <c r="AC269" s="20">
        <f t="shared" si="70"/>
        <v>45</v>
      </c>
      <c r="AD269" s="20">
        <v>62</v>
      </c>
      <c r="AE269" s="22">
        <v>5</v>
      </c>
      <c r="AF269" s="20">
        <f t="shared" si="71"/>
        <v>67</v>
      </c>
      <c r="AG269" s="20">
        <v>60</v>
      </c>
      <c r="AH269" s="21">
        <v>0</v>
      </c>
      <c r="AI269" s="20">
        <f t="shared" si="72"/>
        <v>60</v>
      </c>
      <c r="AJ269" s="20">
        <v>52</v>
      </c>
      <c r="AK269" s="21">
        <v>2.5</v>
      </c>
      <c r="AL269" s="20">
        <f t="shared" si="73"/>
        <v>54.5</v>
      </c>
      <c r="AM269" s="20">
        <v>30</v>
      </c>
      <c r="AN269" s="21">
        <v>6</v>
      </c>
      <c r="AO269" s="20">
        <f t="shared" si="74"/>
        <v>36</v>
      </c>
      <c r="AP269" s="21">
        <v>65</v>
      </c>
      <c r="AQ269" s="20">
        <v>5</v>
      </c>
      <c r="AR269" s="20">
        <f t="shared" si="75"/>
        <v>70</v>
      </c>
      <c r="AS269" s="20">
        <v>113</v>
      </c>
      <c r="AT269" s="21">
        <v>30</v>
      </c>
      <c r="AU269" s="20">
        <f t="shared" si="76"/>
        <v>143</v>
      </c>
      <c r="AV269" s="23">
        <f t="shared" si="77"/>
        <v>422</v>
      </c>
      <c r="AW269" s="22">
        <f t="shared" si="78"/>
        <v>53.5</v>
      </c>
      <c r="AX269" s="20">
        <f t="shared" si="79"/>
        <v>475.5</v>
      </c>
      <c r="AY269" s="28" t="s">
        <v>477</v>
      </c>
      <c r="AZ269" s="28" t="s">
        <v>477</v>
      </c>
      <c r="BA269" s="28" t="s">
        <v>352</v>
      </c>
      <c r="BB269" s="29">
        <v>44454</v>
      </c>
    </row>
    <row r="270" spans="1:54" hidden="1">
      <c r="A270" s="28" t="str">
        <f t="shared" si="64"/>
        <v>816639203971</v>
      </c>
      <c r="B270" s="30">
        <v>816639</v>
      </c>
      <c r="C270" s="30" t="s">
        <v>456</v>
      </c>
      <c r="D270" s="28">
        <v>203971</v>
      </c>
      <c r="E270" s="28" t="s">
        <v>457</v>
      </c>
      <c r="F270" s="28"/>
      <c r="G270" s="28"/>
      <c r="H270" s="28"/>
      <c r="I270" s="28"/>
      <c r="J270" s="28"/>
      <c r="K270" s="28"/>
      <c r="L270" s="20">
        <v>0</v>
      </c>
      <c r="M270" s="21">
        <v>0</v>
      </c>
      <c r="N270" s="20">
        <f t="shared" si="65"/>
        <v>0</v>
      </c>
      <c r="O270" s="20">
        <v>0</v>
      </c>
      <c r="P270" s="21">
        <v>0</v>
      </c>
      <c r="Q270" s="20">
        <f t="shared" si="66"/>
        <v>0</v>
      </c>
      <c r="R270" s="20">
        <v>0</v>
      </c>
      <c r="S270" s="22">
        <v>0</v>
      </c>
      <c r="T270" s="20">
        <f t="shared" si="67"/>
        <v>0</v>
      </c>
      <c r="U270" s="20">
        <v>0</v>
      </c>
      <c r="V270" s="21">
        <v>0</v>
      </c>
      <c r="W270" s="20">
        <f t="shared" si="68"/>
        <v>0</v>
      </c>
      <c r="X270" s="20">
        <v>0</v>
      </c>
      <c r="Y270" s="22">
        <v>0</v>
      </c>
      <c r="Z270" s="20">
        <f t="shared" si="69"/>
        <v>0</v>
      </c>
      <c r="AA270" s="20">
        <v>0</v>
      </c>
      <c r="AB270" s="22">
        <v>0</v>
      </c>
      <c r="AC270" s="20">
        <f t="shared" si="70"/>
        <v>0</v>
      </c>
      <c r="AD270" s="20">
        <v>38.5</v>
      </c>
      <c r="AE270" s="22">
        <v>8.5</v>
      </c>
      <c r="AF270" s="20">
        <f t="shared" si="71"/>
        <v>47</v>
      </c>
      <c r="AG270" s="20">
        <v>13.5</v>
      </c>
      <c r="AH270" s="21">
        <v>0</v>
      </c>
      <c r="AI270" s="20">
        <f t="shared" si="72"/>
        <v>13.5</v>
      </c>
      <c r="AJ270" s="20">
        <v>50.5</v>
      </c>
      <c r="AK270" s="21">
        <v>0</v>
      </c>
      <c r="AL270" s="20">
        <f t="shared" si="73"/>
        <v>50.5</v>
      </c>
      <c r="AM270" s="20">
        <v>38.4</v>
      </c>
      <c r="AN270" s="21">
        <v>6.4</v>
      </c>
      <c r="AO270" s="20">
        <f t="shared" si="74"/>
        <v>44.8</v>
      </c>
      <c r="AP270" s="21">
        <v>19.5</v>
      </c>
      <c r="AQ270" s="20">
        <v>0</v>
      </c>
      <c r="AR270" s="20">
        <f t="shared" si="75"/>
        <v>19.5</v>
      </c>
      <c r="AS270" s="20">
        <v>31.5</v>
      </c>
      <c r="AT270" s="21">
        <v>0</v>
      </c>
      <c r="AU270" s="20">
        <f t="shared" si="76"/>
        <v>31.5</v>
      </c>
      <c r="AV270" s="23">
        <f t="shared" si="77"/>
        <v>191.9</v>
      </c>
      <c r="AW270" s="22">
        <f t="shared" si="78"/>
        <v>14.9</v>
      </c>
      <c r="AX270" s="20">
        <f t="shared" si="79"/>
        <v>206.8</v>
      </c>
      <c r="AY270" s="28" t="s">
        <v>477</v>
      </c>
      <c r="AZ270" s="28" t="s">
        <v>477</v>
      </c>
      <c r="BA270" s="28" t="s">
        <v>352</v>
      </c>
      <c r="BB270" s="29">
        <v>44474</v>
      </c>
    </row>
    <row r="271" spans="1:54" hidden="1">
      <c r="A271" s="28" t="str">
        <f t="shared" si="64"/>
        <v>816685201172</v>
      </c>
      <c r="B271" s="30">
        <v>816685</v>
      </c>
      <c r="C271" s="30" t="s">
        <v>458</v>
      </c>
      <c r="D271" s="28">
        <v>201172</v>
      </c>
      <c r="E271" s="28" t="s">
        <v>174</v>
      </c>
      <c r="F271" s="28"/>
      <c r="G271" s="28"/>
      <c r="H271" s="28"/>
      <c r="I271" s="28"/>
      <c r="J271" s="28"/>
      <c r="K271" s="28"/>
      <c r="L271" s="20">
        <v>0</v>
      </c>
      <c r="M271" s="21">
        <v>0</v>
      </c>
      <c r="N271" s="20">
        <f t="shared" si="65"/>
        <v>0</v>
      </c>
      <c r="O271" s="20">
        <v>0</v>
      </c>
      <c r="P271" s="21">
        <v>0</v>
      </c>
      <c r="Q271" s="20">
        <f t="shared" si="66"/>
        <v>0</v>
      </c>
      <c r="R271" s="20">
        <v>0</v>
      </c>
      <c r="S271" s="22">
        <v>0</v>
      </c>
      <c r="T271" s="20">
        <f t="shared" si="67"/>
        <v>0</v>
      </c>
      <c r="U271" s="20">
        <v>0</v>
      </c>
      <c r="V271" s="21">
        <v>0</v>
      </c>
      <c r="W271" s="20">
        <f t="shared" si="68"/>
        <v>0</v>
      </c>
      <c r="X271" s="20">
        <v>0</v>
      </c>
      <c r="Y271" s="22">
        <v>0</v>
      </c>
      <c r="Z271" s="20">
        <f t="shared" si="69"/>
        <v>0</v>
      </c>
      <c r="AA271" s="20">
        <v>0</v>
      </c>
      <c r="AB271" s="22">
        <v>0</v>
      </c>
      <c r="AC271" s="20">
        <f t="shared" si="70"/>
        <v>0</v>
      </c>
      <c r="AD271" s="20">
        <v>91.5</v>
      </c>
      <c r="AE271" s="22">
        <v>0</v>
      </c>
      <c r="AF271" s="20">
        <f t="shared" si="71"/>
        <v>91.5</v>
      </c>
      <c r="AG271" s="20">
        <v>26.75</v>
      </c>
      <c r="AH271" s="21">
        <v>0</v>
      </c>
      <c r="AI271" s="20">
        <f t="shared" si="72"/>
        <v>26.75</v>
      </c>
      <c r="AJ271" s="20">
        <v>121</v>
      </c>
      <c r="AK271" s="21">
        <v>5</v>
      </c>
      <c r="AL271" s="20">
        <f t="shared" si="73"/>
        <v>126</v>
      </c>
      <c r="AM271" s="20">
        <v>114.5</v>
      </c>
      <c r="AN271" s="21">
        <v>0</v>
      </c>
      <c r="AO271" s="20">
        <f t="shared" si="74"/>
        <v>114.5</v>
      </c>
      <c r="AP271" s="21">
        <v>244.25</v>
      </c>
      <c r="AQ271" s="20">
        <v>0</v>
      </c>
      <c r="AR271" s="20">
        <f t="shared" si="75"/>
        <v>244.25</v>
      </c>
      <c r="AS271" s="20">
        <v>306.64999999999998</v>
      </c>
      <c r="AT271" s="21">
        <v>2.65</v>
      </c>
      <c r="AU271" s="20">
        <f t="shared" si="76"/>
        <v>309.29999999999995</v>
      </c>
      <c r="AV271" s="23">
        <f t="shared" si="77"/>
        <v>904.65</v>
      </c>
      <c r="AW271" s="22">
        <f t="shared" si="78"/>
        <v>7.65</v>
      </c>
      <c r="AX271" s="20">
        <f t="shared" si="79"/>
        <v>912.3</v>
      </c>
      <c r="AY271" s="28" t="s">
        <v>477</v>
      </c>
      <c r="AZ271" s="28" t="s">
        <v>477</v>
      </c>
      <c r="BA271" s="28" t="s">
        <v>352</v>
      </c>
      <c r="BB271" s="29">
        <v>44478</v>
      </c>
    </row>
    <row r="272" spans="1:54" hidden="1">
      <c r="A272" s="28" t="str">
        <f t="shared" si="64"/>
        <v>816906207857</v>
      </c>
      <c r="B272" s="30">
        <v>816906</v>
      </c>
      <c r="C272" s="30" t="s">
        <v>125</v>
      </c>
      <c r="D272" s="28">
        <v>207857</v>
      </c>
      <c r="E272" s="28" t="s">
        <v>4</v>
      </c>
      <c r="F272" s="28"/>
      <c r="G272" s="28"/>
      <c r="H272" s="28"/>
      <c r="I272" s="28"/>
      <c r="J272" s="28"/>
      <c r="K272" s="28"/>
      <c r="L272" s="20">
        <v>0</v>
      </c>
      <c r="M272" s="21">
        <v>0</v>
      </c>
      <c r="N272" s="20">
        <f t="shared" si="65"/>
        <v>0</v>
      </c>
      <c r="O272" s="20">
        <v>0</v>
      </c>
      <c r="P272" s="21">
        <v>0</v>
      </c>
      <c r="Q272" s="20">
        <f t="shared" si="66"/>
        <v>0</v>
      </c>
      <c r="R272" s="20">
        <v>0</v>
      </c>
      <c r="S272" s="22">
        <v>0</v>
      </c>
      <c r="T272" s="20">
        <f t="shared" si="67"/>
        <v>0</v>
      </c>
      <c r="U272" s="20">
        <v>0</v>
      </c>
      <c r="V272" s="21">
        <v>0</v>
      </c>
      <c r="W272" s="20">
        <f t="shared" si="68"/>
        <v>0</v>
      </c>
      <c r="X272" s="20">
        <v>0</v>
      </c>
      <c r="Y272" s="22">
        <v>0</v>
      </c>
      <c r="Z272" s="20">
        <f t="shared" si="69"/>
        <v>0</v>
      </c>
      <c r="AA272" s="20">
        <v>0</v>
      </c>
      <c r="AB272" s="22">
        <v>0</v>
      </c>
      <c r="AC272" s="20">
        <f t="shared" si="70"/>
        <v>0</v>
      </c>
      <c r="AD272" s="20">
        <v>20</v>
      </c>
      <c r="AE272" s="22">
        <v>10</v>
      </c>
      <c r="AF272" s="20">
        <f t="shared" si="71"/>
        <v>30</v>
      </c>
      <c r="AG272" s="20">
        <v>85</v>
      </c>
      <c r="AH272" s="21">
        <v>10</v>
      </c>
      <c r="AI272" s="20">
        <f t="shared" si="72"/>
        <v>95</v>
      </c>
      <c r="AJ272" s="20">
        <v>52</v>
      </c>
      <c r="AK272" s="21">
        <v>2.5</v>
      </c>
      <c r="AL272" s="20">
        <f t="shared" si="73"/>
        <v>54.5</v>
      </c>
      <c r="AM272" s="20">
        <v>10</v>
      </c>
      <c r="AN272" s="21">
        <v>0</v>
      </c>
      <c r="AO272" s="20">
        <f t="shared" si="74"/>
        <v>10</v>
      </c>
      <c r="AP272" s="21">
        <v>32.5</v>
      </c>
      <c r="AQ272" s="20">
        <v>0</v>
      </c>
      <c r="AR272" s="20">
        <f t="shared" si="75"/>
        <v>32.5</v>
      </c>
      <c r="AS272" s="20">
        <v>83.75</v>
      </c>
      <c r="AT272" s="21">
        <v>27.75</v>
      </c>
      <c r="AU272" s="20">
        <f t="shared" si="76"/>
        <v>111.5</v>
      </c>
      <c r="AV272" s="23">
        <f t="shared" si="77"/>
        <v>283.25</v>
      </c>
      <c r="AW272" s="22">
        <f t="shared" si="78"/>
        <v>50.25</v>
      </c>
      <c r="AX272" s="20">
        <f t="shared" si="79"/>
        <v>333.5</v>
      </c>
      <c r="AY272" s="28" t="s">
        <v>477</v>
      </c>
      <c r="AZ272" s="28" t="s">
        <v>477</v>
      </c>
      <c r="BA272" s="28" t="s">
        <v>352</v>
      </c>
      <c r="BB272" s="29">
        <v>44499</v>
      </c>
    </row>
    <row r="273" spans="1:54" hidden="1">
      <c r="A273" s="28" t="str">
        <f t="shared" si="64"/>
        <v>816933202870</v>
      </c>
      <c r="B273" s="30">
        <v>816933</v>
      </c>
      <c r="C273" s="30" t="s">
        <v>472</v>
      </c>
      <c r="D273" s="28">
        <v>202870</v>
      </c>
      <c r="E273" s="28" t="s">
        <v>423</v>
      </c>
      <c r="F273" s="28"/>
      <c r="G273" s="28"/>
      <c r="H273" s="28"/>
      <c r="I273" s="28"/>
      <c r="J273" s="28"/>
      <c r="K273" s="28"/>
      <c r="L273" s="20">
        <v>0</v>
      </c>
      <c r="M273" s="21">
        <v>0</v>
      </c>
      <c r="N273" s="20">
        <f t="shared" si="65"/>
        <v>0</v>
      </c>
      <c r="O273" s="20">
        <v>0</v>
      </c>
      <c r="P273" s="21">
        <v>0</v>
      </c>
      <c r="Q273" s="20">
        <f t="shared" si="66"/>
        <v>0</v>
      </c>
      <c r="R273" s="20">
        <v>0</v>
      </c>
      <c r="S273" s="22">
        <v>0</v>
      </c>
      <c r="T273" s="20">
        <f t="shared" si="67"/>
        <v>0</v>
      </c>
      <c r="U273" s="20">
        <v>0</v>
      </c>
      <c r="V273" s="21">
        <v>0</v>
      </c>
      <c r="W273" s="20">
        <f t="shared" si="68"/>
        <v>0</v>
      </c>
      <c r="X273" s="20">
        <v>0</v>
      </c>
      <c r="Y273" s="22">
        <v>0</v>
      </c>
      <c r="Z273" s="20">
        <f t="shared" si="69"/>
        <v>0</v>
      </c>
      <c r="AA273" s="20">
        <v>0</v>
      </c>
      <c r="AB273" s="22">
        <v>0</v>
      </c>
      <c r="AC273" s="20">
        <f t="shared" si="70"/>
        <v>0</v>
      </c>
      <c r="AD273" s="20">
        <v>0</v>
      </c>
      <c r="AE273" s="22">
        <v>0</v>
      </c>
      <c r="AF273" s="20">
        <f t="shared" si="71"/>
        <v>0</v>
      </c>
      <c r="AG273" s="20">
        <v>11</v>
      </c>
      <c r="AH273" s="21">
        <v>0</v>
      </c>
      <c r="AI273" s="20">
        <f t="shared" si="72"/>
        <v>11</v>
      </c>
      <c r="AJ273" s="20">
        <v>10</v>
      </c>
      <c r="AK273" s="21">
        <v>0</v>
      </c>
      <c r="AL273" s="20">
        <f t="shared" si="73"/>
        <v>10</v>
      </c>
      <c r="AM273" s="20">
        <v>0</v>
      </c>
      <c r="AN273" s="21">
        <v>0</v>
      </c>
      <c r="AO273" s="20">
        <f t="shared" si="74"/>
        <v>0</v>
      </c>
      <c r="AP273" s="21">
        <v>0</v>
      </c>
      <c r="AQ273" s="20">
        <v>0</v>
      </c>
      <c r="AR273" s="20">
        <f t="shared" si="75"/>
        <v>0</v>
      </c>
      <c r="AS273" s="20">
        <v>0</v>
      </c>
      <c r="AT273" s="21">
        <v>0</v>
      </c>
      <c r="AU273" s="20">
        <f t="shared" si="76"/>
        <v>0</v>
      </c>
      <c r="AV273" s="23">
        <f t="shared" si="77"/>
        <v>21</v>
      </c>
      <c r="AW273" s="22">
        <f t="shared" si="78"/>
        <v>0</v>
      </c>
      <c r="AX273" s="20">
        <f t="shared" si="79"/>
        <v>21</v>
      </c>
      <c r="AY273" s="28" t="s">
        <v>477</v>
      </c>
      <c r="AZ273" s="28" t="s">
        <v>477</v>
      </c>
      <c r="BA273" s="28" t="s">
        <v>352</v>
      </c>
      <c r="BB273" s="29">
        <v>44499</v>
      </c>
    </row>
    <row r="274" spans="1:54" hidden="1">
      <c r="A274" s="28" t="str">
        <f t="shared" si="64"/>
        <v>817029208976</v>
      </c>
      <c r="B274" s="30">
        <v>817029</v>
      </c>
      <c r="C274" s="30" t="s">
        <v>473</v>
      </c>
      <c r="D274" s="28">
        <v>208976</v>
      </c>
      <c r="E274" s="28" t="s">
        <v>474</v>
      </c>
      <c r="F274" s="28"/>
      <c r="G274" s="28"/>
      <c r="H274" s="28"/>
      <c r="I274" s="28"/>
      <c r="J274" s="28"/>
      <c r="K274" s="28"/>
      <c r="L274" s="20">
        <v>0</v>
      </c>
      <c r="M274" s="21">
        <v>0</v>
      </c>
      <c r="N274" s="20">
        <f t="shared" si="65"/>
        <v>0</v>
      </c>
      <c r="O274" s="20">
        <v>0</v>
      </c>
      <c r="P274" s="21">
        <v>0</v>
      </c>
      <c r="Q274" s="20">
        <f t="shared" si="66"/>
        <v>0</v>
      </c>
      <c r="R274" s="20">
        <v>0</v>
      </c>
      <c r="S274" s="22">
        <v>0</v>
      </c>
      <c r="T274" s="20">
        <f t="shared" si="67"/>
        <v>0</v>
      </c>
      <c r="U274" s="20">
        <v>0</v>
      </c>
      <c r="V274" s="21">
        <v>0</v>
      </c>
      <c r="W274" s="20">
        <f t="shared" si="68"/>
        <v>0</v>
      </c>
      <c r="X274" s="20">
        <v>0</v>
      </c>
      <c r="Y274" s="22">
        <v>0</v>
      </c>
      <c r="Z274" s="20">
        <f t="shared" si="69"/>
        <v>0</v>
      </c>
      <c r="AA274" s="20">
        <v>0</v>
      </c>
      <c r="AB274" s="22">
        <v>0</v>
      </c>
      <c r="AC274" s="20">
        <f t="shared" si="70"/>
        <v>0</v>
      </c>
      <c r="AD274" s="20">
        <v>0</v>
      </c>
      <c r="AE274" s="22">
        <v>0</v>
      </c>
      <c r="AF274" s="20">
        <f t="shared" si="71"/>
        <v>0</v>
      </c>
      <c r="AG274" s="20">
        <v>32.5</v>
      </c>
      <c r="AH274" s="21">
        <v>5</v>
      </c>
      <c r="AI274" s="20">
        <f t="shared" si="72"/>
        <v>37.5</v>
      </c>
      <c r="AJ274" s="20">
        <v>25</v>
      </c>
      <c r="AK274" s="21">
        <v>0</v>
      </c>
      <c r="AL274" s="20">
        <f t="shared" si="73"/>
        <v>25</v>
      </c>
      <c r="AM274" s="20">
        <v>59</v>
      </c>
      <c r="AN274" s="21">
        <v>6</v>
      </c>
      <c r="AO274" s="20">
        <f t="shared" si="74"/>
        <v>65</v>
      </c>
      <c r="AP274" s="21">
        <v>72.5</v>
      </c>
      <c r="AQ274" s="20">
        <v>0</v>
      </c>
      <c r="AR274" s="20">
        <f t="shared" si="75"/>
        <v>72.5</v>
      </c>
      <c r="AS274" s="20">
        <v>82.5</v>
      </c>
      <c r="AT274" s="21">
        <v>0</v>
      </c>
      <c r="AU274" s="20">
        <f t="shared" si="76"/>
        <v>82.5</v>
      </c>
      <c r="AV274" s="23">
        <f t="shared" si="77"/>
        <v>271.5</v>
      </c>
      <c r="AW274" s="22">
        <f t="shared" si="78"/>
        <v>11</v>
      </c>
      <c r="AX274" s="20">
        <f t="shared" si="79"/>
        <v>282.5</v>
      </c>
      <c r="AY274" s="28" t="s">
        <v>477</v>
      </c>
      <c r="AZ274" s="28" t="s">
        <v>477</v>
      </c>
      <c r="BA274" s="28" t="s">
        <v>352</v>
      </c>
      <c r="BB274" s="29">
        <v>44516</v>
      </c>
    </row>
    <row r="275" spans="1:54" hidden="1">
      <c r="A275" s="28" t="str">
        <f t="shared" si="64"/>
        <v>817030209816</v>
      </c>
      <c r="B275" s="30">
        <v>817030</v>
      </c>
      <c r="C275" s="30" t="s">
        <v>475</v>
      </c>
      <c r="D275" s="28">
        <v>209816</v>
      </c>
      <c r="E275" s="28" t="s">
        <v>172</v>
      </c>
      <c r="F275" s="28"/>
      <c r="G275" s="28"/>
      <c r="H275" s="28"/>
      <c r="I275" s="28"/>
      <c r="J275" s="28"/>
      <c r="K275" s="28"/>
      <c r="L275" s="20">
        <v>0</v>
      </c>
      <c r="M275" s="21">
        <v>0</v>
      </c>
      <c r="N275" s="20">
        <f t="shared" si="65"/>
        <v>0</v>
      </c>
      <c r="O275" s="20">
        <v>0</v>
      </c>
      <c r="P275" s="21">
        <v>0</v>
      </c>
      <c r="Q275" s="20">
        <f t="shared" si="66"/>
        <v>0</v>
      </c>
      <c r="R275" s="20">
        <v>0</v>
      </c>
      <c r="S275" s="22">
        <v>0</v>
      </c>
      <c r="T275" s="20">
        <f t="shared" si="67"/>
        <v>0</v>
      </c>
      <c r="U275" s="20">
        <v>0</v>
      </c>
      <c r="V275" s="21">
        <v>0</v>
      </c>
      <c r="W275" s="20">
        <f t="shared" si="68"/>
        <v>0</v>
      </c>
      <c r="X275" s="20">
        <v>0</v>
      </c>
      <c r="Y275" s="22">
        <v>0</v>
      </c>
      <c r="Z275" s="20">
        <f t="shared" si="69"/>
        <v>0</v>
      </c>
      <c r="AA275" s="20">
        <v>0</v>
      </c>
      <c r="AB275" s="22">
        <v>0</v>
      </c>
      <c r="AC275" s="20">
        <f t="shared" si="70"/>
        <v>0</v>
      </c>
      <c r="AD275" s="20">
        <v>0</v>
      </c>
      <c r="AE275" s="22">
        <v>0</v>
      </c>
      <c r="AF275" s="20">
        <f t="shared" si="71"/>
        <v>0</v>
      </c>
      <c r="AG275" s="20">
        <v>17</v>
      </c>
      <c r="AH275" s="21">
        <v>2.5</v>
      </c>
      <c r="AI275" s="20">
        <f t="shared" si="72"/>
        <v>19.5</v>
      </c>
      <c r="AJ275" s="20">
        <v>100</v>
      </c>
      <c r="AK275" s="21">
        <v>0</v>
      </c>
      <c r="AL275" s="20">
        <f t="shared" si="73"/>
        <v>100</v>
      </c>
      <c r="AM275" s="20">
        <v>125.75</v>
      </c>
      <c r="AN275" s="21">
        <v>0</v>
      </c>
      <c r="AO275" s="20">
        <f t="shared" si="74"/>
        <v>125.75</v>
      </c>
      <c r="AP275" s="21">
        <v>91</v>
      </c>
      <c r="AQ275" s="20">
        <v>0</v>
      </c>
      <c r="AR275" s="20">
        <f t="shared" si="75"/>
        <v>91</v>
      </c>
      <c r="AS275" s="20">
        <v>83.5</v>
      </c>
      <c r="AT275" s="21">
        <v>0</v>
      </c>
      <c r="AU275" s="20">
        <f t="shared" si="76"/>
        <v>83.5</v>
      </c>
      <c r="AV275" s="23">
        <f t="shared" si="77"/>
        <v>417.25</v>
      </c>
      <c r="AW275" s="22">
        <f t="shared" si="78"/>
        <v>2.5</v>
      </c>
      <c r="AX275" s="20">
        <f t="shared" si="79"/>
        <v>419.75</v>
      </c>
      <c r="AY275" s="28" t="s">
        <v>477</v>
      </c>
      <c r="AZ275" s="28" t="s">
        <v>477</v>
      </c>
      <c r="BA275" s="28" t="s">
        <v>352</v>
      </c>
      <c r="BB275" s="29">
        <v>44516</v>
      </c>
    </row>
    <row r="276" spans="1:54" hidden="1">
      <c r="A276" s="28" t="str">
        <f t="shared" si="64"/>
        <v>817030210855</v>
      </c>
      <c r="B276" s="30">
        <v>817030</v>
      </c>
      <c r="C276" s="30" t="s">
        <v>475</v>
      </c>
      <c r="D276" s="28">
        <v>210855</v>
      </c>
      <c r="E276" s="28" t="s">
        <v>172</v>
      </c>
      <c r="F276" s="28"/>
      <c r="G276" s="28"/>
      <c r="H276" s="28"/>
      <c r="I276" s="28"/>
      <c r="J276" s="28"/>
      <c r="K276" s="28"/>
      <c r="L276" s="20">
        <v>0</v>
      </c>
      <c r="M276" s="21">
        <v>0</v>
      </c>
      <c r="N276" s="20">
        <f t="shared" si="65"/>
        <v>0</v>
      </c>
      <c r="O276" s="20">
        <v>0</v>
      </c>
      <c r="P276" s="21">
        <v>0</v>
      </c>
      <c r="Q276" s="20">
        <f t="shared" si="66"/>
        <v>0</v>
      </c>
      <c r="R276" s="20">
        <v>0</v>
      </c>
      <c r="S276" s="22">
        <v>0</v>
      </c>
      <c r="T276" s="20">
        <f t="shared" si="67"/>
        <v>0</v>
      </c>
      <c r="U276" s="20">
        <v>0</v>
      </c>
      <c r="V276" s="21">
        <v>0</v>
      </c>
      <c r="W276" s="20">
        <f t="shared" si="68"/>
        <v>0</v>
      </c>
      <c r="X276" s="20">
        <v>0</v>
      </c>
      <c r="Y276" s="22">
        <v>0</v>
      </c>
      <c r="Z276" s="20">
        <f t="shared" si="69"/>
        <v>0</v>
      </c>
      <c r="AA276" s="20">
        <v>0</v>
      </c>
      <c r="AB276" s="22">
        <v>0</v>
      </c>
      <c r="AC276" s="20">
        <f t="shared" si="70"/>
        <v>0</v>
      </c>
      <c r="AD276" s="20">
        <v>0</v>
      </c>
      <c r="AE276" s="22">
        <v>0</v>
      </c>
      <c r="AF276" s="20">
        <f t="shared" si="71"/>
        <v>0</v>
      </c>
      <c r="AG276" s="20">
        <v>0</v>
      </c>
      <c r="AH276" s="21">
        <v>0</v>
      </c>
      <c r="AI276" s="20">
        <f t="shared" si="72"/>
        <v>0</v>
      </c>
      <c r="AJ276" s="20">
        <v>0</v>
      </c>
      <c r="AK276" s="21">
        <v>0</v>
      </c>
      <c r="AL276" s="20">
        <f t="shared" si="73"/>
        <v>0</v>
      </c>
      <c r="AM276" s="20">
        <v>0</v>
      </c>
      <c r="AN276" s="21">
        <v>0</v>
      </c>
      <c r="AO276" s="20">
        <f t="shared" si="74"/>
        <v>0</v>
      </c>
      <c r="AP276" s="21">
        <v>0</v>
      </c>
      <c r="AQ276" s="20">
        <v>0</v>
      </c>
      <c r="AR276" s="20">
        <f t="shared" si="75"/>
        <v>0</v>
      </c>
      <c r="AS276" s="20">
        <v>7.75</v>
      </c>
      <c r="AT276" s="21">
        <v>0</v>
      </c>
      <c r="AU276" s="20">
        <f t="shared" si="76"/>
        <v>7.75</v>
      </c>
      <c r="AV276" s="23">
        <f t="shared" si="77"/>
        <v>7.75</v>
      </c>
      <c r="AW276" s="22">
        <f t="shared" si="78"/>
        <v>0</v>
      </c>
      <c r="AX276" s="20">
        <f t="shared" si="79"/>
        <v>7.75</v>
      </c>
      <c r="AY276" s="28" t="s">
        <v>477</v>
      </c>
      <c r="AZ276" s="28" t="s">
        <v>477</v>
      </c>
      <c r="BA276" s="28" t="s">
        <v>352</v>
      </c>
      <c r="BB276" s="29">
        <v>44516</v>
      </c>
    </row>
    <row r="277" spans="1:54" hidden="1">
      <c r="A277" s="28" t="str">
        <f t="shared" si="64"/>
        <v>817031208268</v>
      </c>
      <c r="B277" s="30">
        <v>817031</v>
      </c>
      <c r="C277" s="30" t="s">
        <v>481</v>
      </c>
      <c r="D277" s="28">
        <v>208268</v>
      </c>
      <c r="E277" s="28" t="s">
        <v>388</v>
      </c>
      <c r="F277" s="28"/>
      <c r="G277" s="28"/>
      <c r="H277" s="28"/>
      <c r="I277" s="28"/>
      <c r="J277" s="28"/>
      <c r="K277" s="28"/>
      <c r="L277" s="20">
        <v>0</v>
      </c>
      <c r="M277" s="21">
        <v>0</v>
      </c>
      <c r="N277" s="20">
        <f t="shared" si="65"/>
        <v>0</v>
      </c>
      <c r="O277" s="20">
        <v>0</v>
      </c>
      <c r="P277" s="21">
        <v>0</v>
      </c>
      <c r="Q277" s="20">
        <f t="shared" si="66"/>
        <v>0</v>
      </c>
      <c r="R277" s="20">
        <v>0</v>
      </c>
      <c r="S277" s="22">
        <v>0</v>
      </c>
      <c r="T277" s="20">
        <f t="shared" si="67"/>
        <v>0</v>
      </c>
      <c r="U277" s="20">
        <v>0</v>
      </c>
      <c r="V277" s="21">
        <v>0</v>
      </c>
      <c r="W277" s="20">
        <f t="shared" si="68"/>
        <v>0</v>
      </c>
      <c r="X277" s="20">
        <v>0</v>
      </c>
      <c r="Y277" s="22">
        <v>0</v>
      </c>
      <c r="Z277" s="20">
        <f t="shared" si="69"/>
        <v>0</v>
      </c>
      <c r="AA277" s="20">
        <v>0</v>
      </c>
      <c r="AB277" s="22">
        <v>0</v>
      </c>
      <c r="AC277" s="20">
        <f t="shared" si="70"/>
        <v>0</v>
      </c>
      <c r="AD277" s="20">
        <v>0</v>
      </c>
      <c r="AE277" s="22">
        <v>0</v>
      </c>
      <c r="AF277" s="20">
        <f t="shared" si="71"/>
        <v>0</v>
      </c>
      <c r="AG277" s="20">
        <v>50</v>
      </c>
      <c r="AH277" s="21">
        <v>0</v>
      </c>
      <c r="AI277" s="20">
        <f t="shared" si="72"/>
        <v>50</v>
      </c>
      <c r="AJ277" s="20">
        <v>36.5</v>
      </c>
      <c r="AK277" s="21">
        <v>0</v>
      </c>
      <c r="AL277" s="20">
        <f t="shared" si="73"/>
        <v>36.5</v>
      </c>
      <c r="AM277" s="20">
        <v>10</v>
      </c>
      <c r="AN277" s="21">
        <v>0</v>
      </c>
      <c r="AO277" s="20">
        <f t="shared" si="74"/>
        <v>10</v>
      </c>
      <c r="AP277" s="21">
        <v>35</v>
      </c>
      <c r="AQ277" s="20">
        <v>0</v>
      </c>
      <c r="AR277" s="20">
        <f t="shared" si="75"/>
        <v>35</v>
      </c>
      <c r="AS277" s="20">
        <v>17.5</v>
      </c>
      <c r="AT277" s="21">
        <v>0</v>
      </c>
      <c r="AU277" s="20">
        <f t="shared" si="76"/>
        <v>17.5</v>
      </c>
      <c r="AV277" s="23">
        <f t="shared" si="77"/>
        <v>149</v>
      </c>
      <c r="AW277" s="22">
        <f t="shared" si="78"/>
        <v>0</v>
      </c>
      <c r="AX277" s="20">
        <f t="shared" si="79"/>
        <v>149</v>
      </c>
      <c r="AY277" s="28" t="s">
        <v>477</v>
      </c>
      <c r="AZ277" s="28" t="s">
        <v>477</v>
      </c>
      <c r="BA277" s="28" t="s">
        <v>352</v>
      </c>
      <c r="BB277" s="29">
        <v>44516</v>
      </c>
    </row>
    <row r="278" spans="1:54" hidden="1">
      <c r="A278" s="28" t="str">
        <f t="shared" si="64"/>
        <v>817102207857</v>
      </c>
      <c r="B278" s="30">
        <v>817102</v>
      </c>
      <c r="C278" s="30" t="s">
        <v>225</v>
      </c>
      <c r="D278" s="28">
        <v>207857</v>
      </c>
      <c r="E278" s="28" t="s">
        <v>4</v>
      </c>
      <c r="F278" s="28"/>
      <c r="G278" s="28"/>
      <c r="H278" s="28"/>
      <c r="I278" s="28"/>
      <c r="J278" s="28"/>
      <c r="K278" s="28"/>
      <c r="L278" s="20">
        <v>0</v>
      </c>
      <c r="M278" s="21">
        <v>0</v>
      </c>
      <c r="N278" s="20">
        <f t="shared" si="65"/>
        <v>0</v>
      </c>
      <c r="O278" s="20">
        <v>0</v>
      </c>
      <c r="P278" s="21">
        <v>0</v>
      </c>
      <c r="Q278" s="20">
        <f t="shared" si="66"/>
        <v>0</v>
      </c>
      <c r="R278" s="20">
        <v>0</v>
      </c>
      <c r="S278" s="22">
        <v>0</v>
      </c>
      <c r="T278" s="20">
        <f t="shared" si="67"/>
        <v>0</v>
      </c>
      <c r="U278" s="20">
        <v>0</v>
      </c>
      <c r="V278" s="21">
        <v>0</v>
      </c>
      <c r="W278" s="20">
        <f t="shared" si="68"/>
        <v>0</v>
      </c>
      <c r="X278" s="20">
        <v>0</v>
      </c>
      <c r="Y278" s="22">
        <v>0</v>
      </c>
      <c r="Z278" s="20">
        <f t="shared" si="69"/>
        <v>0</v>
      </c>
      <c r="AA278" s="20">
        <v>0</v>
      </c>
      <c r="AB278" s="22">
        <v>0</v>
      </c>
      <c r="AC278" s="20">
        <f t="shared" si="70"/>
        <v>0</v>
      </c>
      <c r="AD278" s="20">
        <v>0</v>
      </c>
      <c r="AE278" s="22">
        <v>0</v>
      </c>
      <c r="AF278" s="20">
        <f t="shared" si="71"/>
        <v>0</v>
      </c>
      <c r="AG278" s="20">
        <v>45</v>
      </c>
      <c r="AH278" s="21">
        <v>10</v>
      </c>
      <c r="AI278" s="20">
        <f t="shared" si="72"/>
        <v>55</v>
      </c>
      <c r="AJ278" s="20">
        <v>80</v>
      </c>
      <c r="AK278" s="21">
        <v>5</v>
      </c>
      <c r="AL278" s="20">
        <f t="shared" si="73"/>
        <v>85</v>
      </c>
      <c r="AM278" s="20">
        <v>10</v>
      </c>
      <c r="AN278" s="21">
        <v>0</v>
      </c>
      <c r="AO278" s="20">
        <f t="shared" si="74"/>
        <v>10</v>
      </c>
      <c r="AP278" s="21">
        <v>47.5</v>
      </c>
      <c r="AQ278" s="20">
        <v>0</v>
      </c>
      <c r="AR278" s="20">
        <f t="shared" si="75"/>
        <v>47.5</v>
      </c>
      <c r="AS278" s="20">
        <v>102</v>
      </c>
      <c r="AT278" s="21">
        <v>0</v>
      </c>
      <c r="AU278" s="20">
        <f t="shared" si="76"/>
        <v>102</v>
      </c>
      <c r="AV278" s="23">
        <f t="shared" si="77"/>
        <v>284.5</v>
      </c>
      <c r="AW278" s="22">
        <f t="shared" si="78"/>
        <v>15</v>
      </c>
      <c r="AX278" s="20">
        <f t="shared" si="79"/>
        <v>299.5</v>
      </c>
      <c r="AY278" s="28" t="s">
        <v>477</v>
      </c>
      <c r="AZ278" s="28" t="s">
        <v>477</v>
      </c>
      <c r="BA278" s="28" t="s">
        <v>352</v>
      </c>
      <c r="BB278" s="29">
        <v>44524</v>
      </c>
    </row>
    <row r="279" spans="1:54" hidden="1">
      <c r="A279" s="28" t="str">
        <f t="shared" si="64"/>
        <v>817272202870</v>
      </c>
      <c r="B279" s="30">
        <v>817272</v>
      </c>
      <c r="C279" s="30" t="s">
        <v>494</v>
      </c>
      <c r="D279" s="28">
        <v>202870</v>
      </c>
      <c r="E279" s="28" t="s">
        <v>423</v>
      </c>
      <c r="F279" s="28"/>
      <c r="G279" s="28"/>
      <c r="H279" s="28"/>
      <c r="I279" s="28"/>
      <c r="J279" s="28"/>
      <c r="K279" s="28"/>
      <c r="L279" s="20">
        <v>0</v>
      </c>
      <c r="M279" s="21">
        <v>0</v>
      </c>
      <c r="N279" s="20">
        <f t="shared" si="65"/>
        <v>0</v>
      </c>
      <c r="O279" s="20">
        <v>0</v>
      </c>
      <c r="P279" s="21">
        <v>0</v>
      </c>
      <c r="Q279" s="20">
        <f t="shared" si="66"/>
        <v>0</v>
      </c>
      <c r="R279" s="20">
        <v>0</v>
      </c>
      <c r="S279" s="22">
        <v>0</v>
      </c>
      <c r="T279" s="20">
        <f t="shared" si="67"/>
        <v>0</v>
      </c>
      <c r="U279" s="20">
        <v>0</v>
      </c>
      <c r="V279" s="21">
        <v>0</v>
      </c>
      <c r="W279" s="20">
        <f t="shared" si="68"/>
        <v>0</v>
      </c>
      <c r="X279" s="20">
        <v>0</v>
      </c>
      <c r="Y279" s="22">
        <v>0</v>
      </c>
      <c r="Z279" s="20">
        <f t="shared" si="69"/>
        <v>0</v>
      </c>
      <c r="AA279" s="20">
        <v>0</v>
      </c>
      <c r="AB279" s="22">
        <v>0</v>
      </c>
      <c r="AC279" s="20">
        <f t="shared" si="70"/>
        <v>0</v>
      </c>
      <c r="AD279" s="20">
        <v>0</v>
      </c>
      <c r="AE279" s="22">
        <v>0</v>
      </c>
      <c r="AF279" s="20">
        <f t="shared" si="71"/>
        <v>0</v>
      </c>
      <c r="AG279" s="20">
        <v>0</v>
      </c>
      <c r="AH279" s="21">
        <v>0</v>
      </c>
      <c r="AI279" s="20">
        <f t="shared" si="72"/>
        <v>0</v>
      </c>
      <c r="AJ279" s="20">
        <v>68</v>
      </c>
      <c r="AK279" s="21">
        <v>18.5</v>
      </c>
      <c r="AL279" s="20">
        <f t="shared" si="73"/>
        <v>86.5</v>
      </c>
      <c r="AM279" s="20">
        <v>96</v>
      </c>
      <c r="AN279" s="21">
        <v>4</v>
      </c>
      <c r="AO279" s="20">
        <f t="shared" si="74"/>
        <v>100</v>
      </c>
      <c r="AP279" s="21">
        <v>40</v>
      </c>
      <c r="AQ279" s="20">
        <v>14.5</v>
      </c>
      <c r="AR279" s="20">
        <f t="shared" si="75"/>
        <v>54.5</v>
      </c>
      <c r="AS279" s="20">
        <v>52</v>
      </c>
      <c r="AT279" s="21">
        <v>0</v>
      </c>
      <c r="AU279" s="20">
        <f t="shared" si="76"/>
        <v>52</v>
      </c>
      <c r="AV279" s="23">
        <f t="shared" si="77"/>
        <v>256</v>
      </c>
      <c r="AW279" s="22">
        <f t="shared" si="78"/>
        <v>37</v>
      </c>
      <c r="AX279" s="20">
        <f t="shared" si="79"/>
        <v>293</v>
      </c>
      <c r="AY279" s="28" t="s">
        <v>477</v>
      </c>
      <c r="AZ279" s="28" t="s">
        <v>477</v>
      </c>
      <c r="BA279" s="28" t="s">
        <v>352</v>
      </c>
      <c r="BB279" s="29">
        <v>44541</v>
      </c>
    </row>
    <row r="280" spans="1:54" hidden="1">
      <c r="A280" s="28" t="str">
        <f t="shared" si="64"/>
        <v>817546141512</v>
      </c>
      <c r="B280" s="30">
        <v>817546</v>
      </c>
      <c r="C280" s="30" t="s">
        <v>501</v>
      </c>
      <c r="D280" s="28">
        <v>141512</v>
      </c>
      <c r="E280" s="28" t="s">
        <v>136</v>
      </c>
      <c r="F280" s="28"/>
      <c r="G280" s="28"/>
      <c r="H280" s="28"/>
      <c r="I280" s="28"/>
      <c r="J280" s="28"/>
      <c r="K280" s="28"/>
      <c r="L280" s="20">
        <v>0</v>
      </c>
      <c r="M280" s="21">
        <v>0</v>
      </c>
      <c r="N280" s="20">
        <f t="shared" si="65"/>
        <v>0</v>
      </c>
      <c r="O280" s="20">
        <v>0</v>
      </c>
      <c r="P280" s="21">
        <v>0</v>
      </c>
      <c r="Q280" s="20">
        <f t="shared" si="66"/>
        <v>0</v>
      </c>
      <c r="R280" s="20">
        <v>0</v>
      </c>
      <c r="S280" s="22">
        <v>0</v>
      </c>
      <c r="T280" s="20">
        <f t="shared" si="67"/>
        <v>0</v>
      </c>
      <c r="U280" s="20">
        <v>0</v>
      </c>
      <c r="V280" s="21">
        <v>0</v>
      </c>
      <c r="W280" s="20">
        <f t="shared" si="68"/>
        <v>0</v>
      </c>
      <c r="X280" s="20">
        <v>0</v>
      </c>
      <c r="Y280" s="22">
        <v>0</v>
      </c>
      <c r="Z280" s="20">
        <f t="shared" si="69"/>
        <v>0</v>
      </c>
      <c r="AA280" s="20">
        <v>0</v>
      </c>
      <c r="AB280" s="22">
        <v>0</v>
      </c>
      <c r="AC280" s="20">
        <f t="shared" si="70"/>
        <v>0</v>
      </c>
      <c r="AD280" s="20">
        <v>0</v>
      </c>
      <c r="AE280" s="22">
        <v>0</v>
      </c>
      <c r="AF280" s="20">
        <f t="shared" si="71"/>
        <v>0</v>
      </c>
      <c r="AG280" s="20">
        <v>0</v>
      </c>
      <c r="AH280" s="21">
        <v>0</v>
      </c>
      <c r="AI280" s="20">
        <f t="shared" si="72"/>
        <v>0</v>
      </c>
      <c r="AJ280" s="20">
        <v>55</v>
      </c>
      <c r="AK280" s="21">
        <v>0</v>
      </c>
      <c r="AL280" s="20">
        <f t="shared" si="73"/>
        <v>55</v>
      </c>
      <c r="AM280" s="20">
        <v>59.75</v>
      </c>
      <c r="AN280" s="21">
        <v>5.25</v>
      </c>
      <c r="AO280" s="20">
        <f t="shared" si="74"/>
        <v>65</v>
      </c>
      <c r="AP280" s="21">
        <v>56.5</v>
      </c>
      <c r="AQ280" s="20">
        <v>3</v>
      </c>
      <c r="AR280" s="20">
        <f t="shared" si="75"/>
        <v>59.5</v>
      </c>
      <c r="AS280" s="20">
        <v>61</v>
      </c>
      <c r="AT280" s="21">
        <v>2.5</v>
      </c>
      <c r="AU280" s="20">
        <f t="shared" si="76"/>
        <v>63.5</v>
      </c>
      <c r="AV280" s="23">
        <f t="shared" si="77"/>
        <v>232.25</v>
      </c>
      <c r="AW280" s="22">
        <f t="shared" si="78"/>
        <v>10.75</v>
      </c>
      <c r="AX280" s="20">
        <f t="shared" si="79"/>
        <v>243</v>
      </c>
      <c r="AY280" s="28" t="s">
        <v>477</v>
      </c>
      <c r="AZ280" s="28" t="s">
        <v>477</v>
      </c>
      <c r="BA280" s="28" t="s">
        <v>352</v>
      </c>
      <c r="BB280" s="29">
        <v>44560</v>
      </c>
    </row>
    <row r="281" spans="1:54" hidden="1">
      <c r="A281" s="28" t="str">
        <f t="shared" si="64"/>
        <v>817611119071</v>
      </c>
      <c r="B281" s="30">
        <v>817611</v>
      </c>
      <c r="C281" s="30" t="s">
        <v>514</v>
      </c>
      <c r="D281" s="28">
        <v>119071</v>
      </c>
      <c r="E281" s="28" t="s">
        <v>184</v>
      </c>
      <c r="F281" s="28"/>
      <c r="G281" s="28"/>
      <c r="H281" s="28"/>
      <c r="I281" s="28"/>
      <c r="J281" s="28"/>
      <c r="K281" s="28"/>
      <c r="L281" s="20">
        <v>0</v>
      </c>
      <c r="M281" s="21">
        <v>0</v>
      </c>
      <c r="N281" s="20">
        <f t="shared" si="65"/>
        <v>0</v>
      </c>
      <c r="O281" s="20">
        <v>0</v>
      </c>
      <c r="P281" s="21">
        <v>0</v>
      </c>
      <c r="Q281" s="20">
        <f t="shared" si="66"/>
        <v>0</v>
      </c>
      <c r="R281" s="20">
        <v>0</v>
      </c>
      <c r="S281" s="22">
        <v>0</v>
      </c>
      <c r="T281" s="20">
        <f t="shared" si="67"/>
        <v>0</v>
      </c>
      <c r="U281" s="20">
        <v>0</v>
      </c>
      <c r="V281" s="21">
        <v>0</v>
      </c>
      <c r="W281" s="20">
        <f t="shared" si="68"/>
        <v>0</v>
      </c>
      <c r="X281" s="20">
        <v>0</v>
      </c>
      <c r="Y281" s="22">
        <v>0</v>
      </c>
      <c r="Z281" s="20">
        <f t="shared" si="69"/>
        <v>0</v>
      </c>
      <c r="AA281" s="20">
        <v>0</v>
      </c>
      <c r="AB281" s="22">
        <v>0</v>
      </c>
      <c r="AC281" s="20">
        <f t="shared" si="70"/>
        <v>0</v>
      </c>
      <c r="AD281" s="20">
        <v>0</v>
      </c>
      <c r="AE281" s="22">
        <v>0</v>
      </c>
      <c r="AF281" s="20">
        <f t="shared" si="71"/>
        <v>0</v>
      </c>
      <c r="AG281" s="20">
        <v>0</v>
      </c>
      <c r="AH281" s="21">
        <v>0</v>
      </c>
      <c r="AI281" s="20">
        <f t="shared" si="72"/>
        <v>0</v>
      </c>
      <c r="AJ281" s="20">
        <v>0</v>
      </c>
      <c r="AK281" s="21">
        <v>0</v>
      </c>
      <c r="AL281" s="20">
        <f t="shared" si="73"/>
        <v>0</v>
      </c>
      <c r="AM281" s="20">
        <v>52.5</v>
      </c>
      <c r="AN281" s="21">
        <v>0</v>
      </c>
      <c r="AO281" s="20">
        <f t="shared" si="74"/>
        <v>52.5</v>
      </c>
      <c r="AP281" s="21">
        <v>10</v>
      </c>
      <c r="AQ281" s="20">
        <v>0</v>
      </c>
      <c r="AR281" s="20">
        <f t="shared" si="75"/>
        <v>10</v>
      </c>
      <c r="AS281" s="20">
        <v>20</v>
      </c>
      <c r="AT281" s="21">
        <v>0</v>
      </c>
      <c r="AU281" s="20">
        <f t="shared" si="76"/>
        <v>20</v>
      </c>
      <c r="AV281" s="23">
        <f t="shared" si="77"/>
        <v>82.5</v>
      </c>
      <c r="AW281" s="22">
        <f t="shared" si="78"/>
        <v>0</v>
      </c>
      <c r="AX281" s="20">
        <f t="shared" si="79"/>
        <v>82.5</v>
      </c>
      <c r="AY281" s="28" t="s">
        <v>477</v>
      </c>
      <c r="AZ281" s="28" t="s">
        <v>477</v>
      </c>
      <c r="BA281" s="28" t="s">
        <v>352</v>
      </c>
      <c r="BB281" s="29">
        <v>44567</v>
      </c>
    </row>
    <row r="282" spans="1:54" hidden="1">
      <c r="A282" s="28" t="str">
        <f t="shared" si="64"/>
        <v>817628207857</v>
      </c>
      <c r="B282" s="30">
        <v>817628</v>
      </c>
      <c r="C282" s="30" t="s">
        <v>504</v>
      </c>
      <c r="D282" s="28">
        <v>207857</v>
      </c>
      <c r="E282" s="28" t="s">
        <v>4</v>
      </c>
      <c r="F282" s="28"/>
      <c r="G282" s="28"/>
      <c r="H282" s="28"/>
      <c r="I282" s="28"/>
      <c r="J282" s="28"/>
      <c r="K282" s="28"/>
      <c r="L282" s="20">
        <v>0</v>
      </c>
      <c r="M282" s="21">
        <v>0</v>
      </c>
      <c r="N282" s="20">
        <f t="shared" si="65"/>
        <v>0</v>
      </c>
      <c r="O282" s="20">
        <v>0</v>
      </c>
      <c r="P282" s="21">
        <v>0</v>
      </c>
      <c r="Q282" s="20">
        <f t="shared" si="66"/>
        <v>0</v>
      </c>
      <c r="R282" s="20">
        <v>0</v>
      </c>
      <c r="S282" s="22">
        <v>0</v>
      </c>
      <c r="T282" s="20">
        <f t="shared" si="67"/>
        <v>0</v>
      </c>
      <c r="U282" s="20">
        <v>0</v>
      </c>
      <c r="V282" s="21">
        <v>0</v>
      </c>
      <c r="W282" s="20">
        <f t="shared" si="68"/>
        <v>0</v>
      </c>
      <c r="X282" s="20">
        <v>0</v>
      </c>
      <c r="Y282" s="22">
        <v>0</v>
      </c>
      <c r="Z282" s="20">
        <f t="shared" si="69"/>
        <v>0</v>
      </c>
      <c r="AA282" s="20">
        <v>0</v>
      </c>
      <c r="AB282" s="22">
        <v>0</v>
      </c>
      <c r="AC282" s="20">
        <f t="shared" si="70"/>
        <v>0</v>
      </c>
      <c r="AD282" s="20">
        <v>0</v>
      </c>
      <c r="AE282" s="22">
        <v>0</v>
      </c>
      <c r="AF282" s="20">
        <f t="shared" si="71"/>
        <v>0</v>
      </c>
      <c r="AG282" s="20">
        <v>0</v>
      </c>
      <c r="AH282" s="21">
        <v>0</v>
      </c>
      <c r="AI282" s="20">
        <f t="shared" si="72"/>
        <v>0</v>
      </c>
      <c r="AJ282" s="20">
        <v>0</v>
      </c>
      <c r="AK282" s="21">
        <v>0</v>
      </c>
      <c r="AL282" s="20">
        <f t="shared" si="73"/>
        <v>0</v>
      </c>
      <c r="AM282" s="20">
        <v>20</v>
      </c>
      <c r="AN282" s="21">
        <v>10</v>
      </c>
      <c r="AO282" s="20">
        <f t="shared" si="74"/>
        <v>30</v>
      </c>
      <c r="AP282" s="21">
        <v>10</v>
      </c>
      <c r="AQ282" s="20">
        <v>0</v>
      </c>
      <c r="AR282" s="20">
        <f t="shared" si="75"/>
        <v>10</v>
      </c>
      <c r="AS282" s="20">
        <v>0</v>
      </c>
      <c r="AT282" s="21">
        <v>0</v>
      </c>
      <c r="AU282" s="20">
        <f t="shared" si="76"/>
        <v>0</v>
      </c>
      <c r="AV282" s="23">
        <f t="shared" si="77"/>
        <v>30</v>
      </c>
      <c r="AW282" s="22">
        <f t="shared" si="78"/>
        <v>10</v>
      </c>
      <c r="AX282" s="20">
        <f t="shared" si="79"/>
        <v>40</v>
      </c>
      <c r="AY282" s="28" t="s">
        <v>477</v>
      </c>
      <c r="AZ282" s="28" t="s">
        <v>477</v>
      </c>
      <c r="BA282" s="28" t="s">
        <v>352</v>
      </c>
      <c r="BB282" s="29">
        <v>44568</v>
      </c>
    </row>
    <row r="283" spans="1:54" hidden="1">
      <c r="A283" s="28" t="str">
        <f t="shared" si="64"/>
        <v>817917207857</v>
      </c>
      <c r="B283" s="30">
        <v>817917</v>
      </c>
      <c r="C283" s="30" t="s">
        <v>523</v>
      </c>
      <c r="D283" s="28">
        <v>207857</v>
      </c>
      <c r="E283" s="28" t="s">
        <v>4</v>
      </c>
      <c r="F283" s="28"/>
      <c r="G283" s="28"/>
      <c r="H283" s="28"/>
      <c r="I283" s="28"/>
      <c r="J283" s="28"/>
      <c r="K283" s="28"/>
      <c r="L283" s="20">
        <v>0</v>
      </c>
      <c r="M283" s="21">
        <v>0</v>
      </c>
      <c r="N283" s="20">
        <f t="shared" si="65"/>
        <v>0</v>
      </c>
      <c r="O283" s="20">
        <v>0</v>
      </c>
      <c r="P283" s="21">
        <v>0</v>
      </c>
      <c r="Q283" s="20">
        <f t="shared" si="66"/>
        <v>0</v>
      </c>
      <c r="R283" s="20">
        <v>0</v>
      </c>
      <c r="S283" s="22">
        <v>0</v>
      </c>
      <c r="T283" s="20">
        <f t="shared" si="67"/>
        <v>0</v>
      </c>
      <c r="U283" s="20">
        <v>0</v>
      </c>
      <c r="V283" s="21">
        <v>0</v>
      </c>
      <c r="W283" s="20">
        <f t="shared" si="68"/>
        <v>0</v>
      </c>
      <c r="X283" s="20">
        <v>0</v>
      </c>
      <c r="Y283" s="22">
        <v>0</v>
      </c>
      <c r="Z283" s="20">
        <f t="shared" si="69"/>
        <v>0</v>
      </c>
      <c r="AA283" s="20">
        <v>0</v>
      </c>
      <c r="AB283" s="22">
        <v>0</v>
      </c>
      <c r="AC283" s="20">
        <f t="shared" si="70"/>
        <v>0</v>
      </c>
      <c r="AD283" s="20">
        <v>0</v>
      </c>
      <c r="AE283" s="22">
        <v>0</v>
      </c>
      <c r="AF283" s="20">
        <f t="shared" si="71"/>
        <v>0</v>
      </c>
      <c r="AG283" s="20">
        <v>0</v>
      </c>
      <c r="AH283" s="21">
        <v>0</v>
      </c>
      <c r="AI283" s="20">
        <f t="shared" si="72"/>
        <v>0</v>
      </c>
      <c r="AJ283" s="20">
        <v>0</v>
      </c>
      <c r="AK283" s="21">
        <v>0</v>
      </c>
      <c r="AL283" s="20">
        <f t="shared" si="73"/>
        <v>0</v>
      </c>
      <c r="AM283" s="20">
        <v>0</v>
      </c>
      <c r="AN283" s="21">
        <v>0</v>
      </c>
      <c r="AO283" s="20">
        <f t="shared" si="74"/>
        <v>0</v>
      </c>
      <c r="AP283" s="21">
        <v>37.5</v>
      </c>
      <c r="AQ283" s="20">
        <v>0</v>
      </c>
      <c r="AR283" s="20">
        <f t="shared" si="75"/>
        <v>37.5</v>
      </c>
      <c r="AS283" s="20">
        <v>124.8</v>
      </c>
      <c r="AT283" s="21">
        <v>7.5</v>
      </c>
      <c r="AU283" s="20">
        <f t="shared" si="76"/>
        <v>132.30000000000001</v>
      </c>
      <c r="AV283" s="23">
        <f t="shared" si="77"/>
        <v>162.30000000000001</v>
      </c>
      <c r="AW283" s="22">
        <f t="shared" si="78"/>
        <v>7.5</v>
      </c>
      <c r="AX283" s="20">
        <f t="shared" si="79"/>
        <v>169.8</v>
      </c>
      <c r="AY283" s="28" t="s">
        <v>477</v>
      </c>
      <c r="AZ283" s="28" t="s">
        <v>477</v>
      </c>
      <c r="BA283" s="28" t="s">
        <v>352</v>
      </c>
      <c r="BB283" s="29">
        <v>44592</v>
      </c>
    </row>
    <row r="284" spans="1:54" hidden="1">
      <c r="A284" s="28" t="str">
        <f t="shared" si="64"/>
        <v>817917211256</v>
      </c>
      <c r="B284" s="30">
        <v>817917</v>
      </c>
      <c r="C284" s="30" t="s">
        <v>523</v>
      </c>
      <c r="D284" s="28">
        <v>211256</v>
      </c>
      <c r="E284" s="28" t="s">
        <v>530</v>
      </c>
      <c r="F284" s="28"/>
      <c r="G284" s="28"/>
      <c r="H284" s="28"/>
      <c r="I284" s="28"/>
      <c r="J284" s="28"/>
      <c r="K284" s="28"/>
      <c r="L284" s="20">
        <v>0</v>
      </c>
      <c r="M284" s="21">
        <v>0</v>
      </c>
      <c r="N284" s="20">
        <f t="shared" si="65"/>
        <v>0</v>
      </c>
      <c r="O284" s="20">
        <v>0</v>
      </c>
      <c r="P284" s="21">
        <v>0</v>
      </c>
      <c r="Q284" s="20">
        <f t="shared" si="66"/>
        <v>0</v>
      </c>
      <c r="R284" s="20">
        <v>0</v>
      </c>
      <c r="S284" s="22">
        <v>0</v>
      </c>
      <c r="T284" s="20">
        <f t="shared" si="67"/>
        <v>0</v>
      </c>
      <c r="U284" s="20">
        <v>0</v>
      </c>
      <c r="V284" s="21">
        <v>0</v>
      </c>
      <c r="W284" s="20">
        <f t="shared" si="68"/>
        <v>0</v>
      </c>
      <c r="X284" s="20">
        <v>0</v>
      </c>
      <c r="Y284" s="22">
        <v>0</v>
      </c>
      <c r="Z284" s="20">
        <f t="shared" si="69"/>
        <v>0</v>
      </c>
      <c r="AA284" s="20">
        <v>0</v>
      </c>
      <c r="AB284" s="22">
        <v>0</v>
      </c>
      <c r="AC284" s="20">
        <f t="shared" si="70"/>
        <v>0</v>
      </c>
      <c r="AD284" s="20">
        <v>0</v>
      </c>
      <c r="AE284" s="22">
        <v>0</v>
      </c>
      <c r="AF284" s="20">
        <f t="shared" si="71"/>
        <v>0</v>
      </c>
      <c r="AG284" s="20">
        <v>0</v>
      </c>
      <c r="AH284" s="21">
        <v>0</v>
      </c>
      <c r="AI284" s="20">
        <f t="shared" si="72"/>
        <v>0</v>
      </c>
      <c r="AJ284" s="20">
        <v>0</v>
      </c>
      <c r="AK284" s="21">
        <v>0</v>
      </c>
      <c r="AL284" s="20">
        <f t="shared" si="73"/>
        <v>0</v>
      </c>
      <c r="AM284" s="20">
        <v>0</v>
      </c>
      <c r="AN284" s="21">
        <v>0</v>
      </c>
      <c r="AO284" s="20">
        <f t="shared" si="74"/>
        <v>0</v>
      </c>
      <c r="AP284" s="21">
        <v>10</v>
      </c>
      <c r="AQ284" s="20">
        <v>0</v>
      </c>
      <c r="AR284" s="20">
        <f t="shared" si="75"/>
        <v>10</v>
      </c>
      <c r="AS284" s="20">
        <v>0</v>
      </c>
      <c r="AT284" s="21">
        <v>0</v>
      </c>
      <c r="AU284" s="20">
        <f t="shared" si="76"/>
        <v>0</v>
      </c>
      <c r="AV284" s="23">
        <f t="shared" si="77"/>
        <v>10</v>
      </c>
      <c r="AW284" s="22">
        <f t="shared" si="78"/>
        <v>0</v>
      </c>
      <c r="AX284" s="20">
        <f t="shared" si="79"/>
        <v>10</v>
      </c>
      <c r="AY284" s="28" t="s">
        <v>477</v>
      </c>
      <c r="AZ284" s="28" t="s">
        <v>477</v>
      </c>
      <c r="BA284" s="28" t="s">
        <v>352</v>
      </c>
      <c r="BB284" s="29">
        <v>44592</v>
      </c>
    </row>
    <row r="285" spans="1:54" hidden="1">
      <c r="A285" s="28" t="str">
        <f t="shared" si="64"/>
        <v>817933202870</v>
      </c>
      <c r="B285" s="30">
        <v>817933</v>
      </c>
      <c r="C285" s="30" t="s">
        <v>313</v>
      </c>
      <c r="D285" s="28">
        <v>202870</v>
      </c>
      <c r="E285" s="28" t="s">
        <v>423</v>
      </c>
      <c r="F285" s="28"/>
      <c r="G285" s="28"/>
      <c r="H285" s="28"/>
      <c r="I285" s="28"/>
      <c r="J285" s="28"/>
      <c r="K285" s="28"/>
      <c r="L285" s="20">
        <v>0</v>
      </c>
      <c r="M285" s="21">
        <v>0</v>
      </c>
      <c r="N285" s="20">
        <f t="shared" si="65"/>
        <v>0</v>
      </c>
      <c r="O285" s="20">
        <v>0</v>
      </c>
      <c r="P285" s="21">
        <v>0</v>
      </c>
      <c r="Q285" s="20">
        <f t="shared" si="66"/>
        <v>0</v>
      </c>
      <c r="R285" s="20">
        <v>0</v>
      </c>
      <c r="S285" s="22">
        <v>0</v>
      </c>
      <c r="T285" s="20">
        <f t="shared" si="67"/>
        <v>0</v>
      </c>
      <c r="U285" s="20">
        <v>0</v>
      </c>
      <c r="V285" s="21">
        <v>0</v>
      </c>
      <c r="W285" s="20">
        <f t="shared" si="68"/>
        <v>0</v>
      </c>
      <c r="X285" s="20">
        <v>0</v>
      </c>
      <c r="Y285" s="22">
        <v>0</v>
      </c>
      <c r="Z285" s="20">
        <f t="shared" si="69"/>
        <v>0</v>
      </c>
      <c r="AA285" s="20">
        <v>0</v>
      </c>
      <c r="AB285" s="22">
        <v>0</v>
      </c>
      <c r="AC285" s="20">
        <f t="shared" si="70"/>
        <v>0</v>
      </c>
      <c r="AD285" s="20">
        <v>0</v>
      </c>
      <c r="AE285" s="22">
        <v>0</v>
      </c>
      <c r="AF285" s="20">
        <f t="shared" si="71"/>
        <v>0</v>
      </c>
      <c r="AG285" s="20">
        <v>0</v>
      </c>
      <c r="AH285" s="21">
        <v>0</v>
      </c>
      <c r="AI285" s="20">
        <f t="shared" si="72"/>
        <v>0</v>
      </c>
      <c r="AJ285" s="20">
        <v>0</v>
      </c>
      <c r="AK285" s="21">
        <v>0</v>
      </c>
      <c r="AL285" s="20">
        <f t="shared" si="73"/>
        <v>0</v>
      </c>
      <c r="AM285" s="20">
        <v>0</v>
      </c>
      <c r="AN285" s="21">
        <v>0</v>
      </c>
      <c r="AO285" s="20">
        <f t="shared" si="74"/>
        <v>0</v>
      </c>
      <c r="AP285" s="21">
        <v>74</v>
      </c>
      <c r="AQ285" s="20">
        <v>15</v>
      </c>
      <c r="AR285" s="20">
        <f t="shared" si="75"/>
        <v>89</v>
      </c>
      <c r="AS285" s="20">
        <v>134.5</v>
      </c>
      <c r="AT285" s="21">
        <v>19</v>
      </c>
      <c r="AU285" s="20">
        <f t="shared" si="76"/>
        <v>153.5</v>
      </c>
      <c r="AV285" s="23">
        <f t="shared" si="77"/>
        <v>208.5</v>
      </c>
      <c r="AW285" s="22">
        <f t="shared" si="78"/>
        <v>34</v>
      </c>
      <c r="AX285" s="20">
        <f t="shared" si="79"/>
        <v>242.5</v>
      </c>
      <c r="AY285" s="28" t="s">
        <v>477</v>
      </c>
      <c r="AZ285" s="28" t="s">
        <v>477</v>
      </c>
      <c r="BA285" s="28" t="s">
        <v>352</v>
      </c>
      <c r="BB285" s="29">
        <v>44593</v>
      </c>
    </row>
    <row r="286" spans="1:54" hidden="1">
      <c r="A286" s="28" t="str">
        <f t="shared" si="64"/>
        <v>818163119071</v>
      </c>
      <c r="B286" s="30">
        <v>818163</v>
      </c>
      <c r="C286" s="30" t="s">
        <v>365</v>
      </c>
      <c r="D286" s="28">
        <v>119071</v>
      </c>
      <c r="E286" s="28" t="s">
        <v>184</v>
      </c>
      <c r="F286" s="28"/>
      <c r="G286" s="28"/>
      <c r="H286" s="28"/>
      <c r="I286" s="28"/>
      <c r="J286" s="28"/>
      <c r="K286" s="28"/>
      <c r="L286" s="20">
        <v>0</v>
      </c>
      <c r="M286" s="21">
        <v>0</v>
      </c>
      <c r="N286" s="20">
        <f t="shared" si="65"/>
        <v>0</v>
      </c>
      <c r="O286" s="20">
        <v>0</v>
      </c>
      <c r="P286" s="21">
        <v>0</v>
      </c>
      <c r="Q286" s="20">
        <f t="shared" si="66"/>
        <v>0</v>
      </c>
      <c r="R286" s="20">
        <v>0</v>
      </c>
      <c r="S286" s="22">
        <v>0</v>
      </c>
      <c r="T286" s="20">
        <f t="shared" si="67"/>
        <v>0</v>
      </c>
      <c r="U286" s="20">
        <v>0</v>
      </c>
      <c r="V286" s="21">
        <v>0</v>
      </c>
      <c r="W286" s="20">
        <f t="shared" si="68"/>
        <v>0</v>
      </c>
      <c r="X286" s="20">
        <v>0</v>
      </c>
      <c r="Y286" s="22">
        <v>0</v>
      </c>
      <c r="Z286" s="20">
        <f t="shared" si="69"/>
        <v>0</v>
      </c>
      <c r="AA286" s="20">
        <v>0</v>
      </c>
      <c r="AB286" s="22">
        <v>0</v>
      </c>
      <c r="AC286" s="20">
        <f t="shared" si="70"/>
        <v>0</v>
      </c>
      <c r="AD286" s="20">
        <v>0</v>
      </c>
      <c r="AE286" s="22">
        <v>0</v>
      </c>
      <c r="AF286" s="20">
        <f t="shared" si="71"/>
        <v>0</v>
      </c>
      <c r="AG286" s="20">
        <v>0</v>
      </c>
      <c r="AH286" s="21">
        <v>0</v>
      </c>
      <c r="AI286" s="20">
        <f t="shared" si="72"/>
        <v>0</v>
      </c>
      <c r="AJ286" s="20">
        <v>0</v>
      </c>
      <c r="AK286" s="21">
        <v>0</v>
      </c>
      <c r="AL286" s="20">
        <f t="shared" si="73"/>
        <v>0</v>
      </c>
      <c r="AM286" s="20">
        <v>0</v>
      </c>
      <c r="AN286" s="21">
        <v>0</v>
      </c>
      <c r="AO286" s="20">
        <f t="shared" si="74"/>
        <v>0</v>
      </c>
      <c r="AP286" s="21">
        <v>20</v>
      </c>
      <c r="AQ286" s="20">
        <v>0</v>
      </c>
      <c r="AR286" s="20">
        <f t="shared" si="75"/>
        <v>20</v>
      </c>
      <c r="AS286" s="20">
        <v>172</v>
      </c>
      <c r="AT286" s="21">
        <v>0</v>
      </c>
      <c r="AU286" s="20">
        <f t="shared" si="76"/>
        <v>172</v>
      </c>
      <c r="AV286" s="23">
        <f t="shared" si="77"/>
        <v>192</v>
      </c>
      <c r="AW286" s="22">
        <f t="shared" si="78"/>
        <v>0</v>
      </c>
      <c r="AX286" s="20">
        <f t="shared" si="79"/>
        <v>192</v>
      </c>
      <c r="AY286" s="28" t="s">
        <v>477</v>
      </c>
      <c r="AZ286" s="28" t="s">
        <v>477</v>
      </c>
      <c r="BA286" s="28" t="s">
        <v>352</v>
      </c>
      <c r="BB286" s="29">
        <v>44618</v>
      </c>
    </row>
    <row r="287" spans="1:54" hidden="1">
      <c r="A287" s="28" t="str">
        <f t="shared" si="64"/>
        <v>818194141512</v>
      </c>
      <c r="B287" s="30">
        <v>818194</v>
      </c>
      <c r="C287" s="30" t="s">
        <v>34</v>
      </c>
      <c r="D287" s="28">
        <v>141512</v>
      </c>
      <c r="E287" s="28" t="s">
        <v>136</v>
      </c>
      <c r="F287" s="28"/>
      <c r="G287" s="28"/>
      <c r="H287" s="28"/>
      <c r="I287" s="28"/>
      <c r="J287" s="28"/>
      <c r="K287" s="28"/>
      <c r="L287" s="20">
        <v>0</v>
      </c>
      <c r="M287" s="21">
        <v>0</v>
      </c>
      <c r="N287" s="20">
        <f t="shared" si="65"/>
        <v>0</v>
      </c>
      <c r="O287" s="20">
        <v>0</v>
      </c>
      <c r="P287" s="21">
        <v>0</v>
      </c>
      <c r="Q287" s="20">
        <f t="shared" si="66"/>
        <v>0</v>
      </c>
      <c r="R287" s="20">
        <v>0</v>
      </c>
      <c r="S287" s="22">
        <v>0</v>
      </c>
      <c r="T287" s="20">
        <f t="shared" si="67"/>
        <v>0</v>
      </c>
      <c r="U287" s="20">
        <v>0</v>
      </c>
      <c r="V287" s="21">
        <v>0</v>
      </c>
      <c r="W287" s="20">
        <f t="shared" si="68"/>
        <v>0</v>
      </c>
      <c r="X287" s="20">
        <v>0</v>
      </c>
      <c r="Y287" s="22">
        <v>0</v>
      </c>
      <c r="Z287" s="20">
        <f t="shared" si="69"/>
        <v>0</v>
      </c>
      <c r="AA287" s="20">
        <v>0</v>
      </c>
      <c r="AB287" s="22">
        <v>0</v>
      </c>
      <c r="AC287" s="20">
        <f t="shared" si="70"/>
        <v>0</v>
      </c>
      <c r="AD287" s="20">
        <v>0</v>
      </c>
      <c r="AE287" s="22">
        <v>0</v>
      </c>
      <c r="AF287" s="20">
        <f t="shared" si="71"/>
        <v>0</v>
      </c>
      <c r="AG287" s="20">
        <v>0</v>
      </c>
      <c r="AH287" s="21">
        <v>0</v>
      </c>
      <c r="AI287" s="20">
        <f t="shared" si="72"/>
        <v>0</v>
      </c>
      <c r="AJ287" s="20">
        <v>0</v>
      </c>
      <c r="AK287" s="21">
        <v>0</v>
      </c>
      <c r="AL287" s="20">
        <f t="shared" si="73"/>
        <v>0</v>
      </c>
      <c r="AM287" s="20">
        <v>0</v>
      </c>
      <c r="AN287" s="21">
        <v>0</v>
      </c>
      <c r="AO287" s="20">
        <f t="shared" si="74"/>
        <v>0</v>
      </c>
      <c r="AP287" s="21">
        <v>0</v>
      </c>
      <c r="AQ287" s="20">
        <v>0</v>
      </c>
      <c r="AR287" s="20">
        <f t="shared" si="75"/>
        <v>0</v>
      </c>
      <c r="AS287" s="20">
        <v>60.5</v>
      </c>
      <c r="AT287" s="21">
        <v>2.5</v>
      </c>
      <c r="AU287" s="20">
        <f t="shared" si="76"/>
        <v>63</v>
      </c>
      <c r="AV287" s="23">
        <f t="shared" si="77"/>
        <v>60.5</v>
      </c>
      <c r="AW287" s="22">
        <f t="shared" si="78"/>
        <v>2.5</v>
      </c>
      <c r="AX287" s="20">
        <f t="shared" si="79"/>
        <v>63</v>
      </c>
      <c r="AY287" s="28" t="s">
        <v>477</v>
      </c>
      <c r="AZ287" s="28" t="s">
        <v>477</v>
      </c>
      <c r="BA287" s="28" t="s">
        <v>352</v>
      </c>
      <c r="BB287" s="29">
        <v>44618</v>
      </c>
    </row>
    <row r="288" spans="1:54" hidden="1">
      <c r="A288" s="28" t="str">
        <f t="shared" si="64"/>
        <v>818232209816</v>
      </c>
      <c r="B288" s="30">
        <v>818232</v>
      </c>
      <c r="C288" s="30" t="s">
        <v>535</v>
      </c>
      <c r="D288" s="28">
        <v>209816</v>
      </c>
      <c r="E288" s="28" t="s">
        <v>172</v>
      </c>
      <c r="F288" s="28"/>
      <c r="G288" s="28"/>
      <c r="H288" s="28"/>
      <c r="I288" s="28"/>
      <c r="J288" s="28"/>
      <c r="K288" s="28"/>
      <c r="L288" s="20">
        <v>0</v>
      </c>
      <c r="M288" s="21">
        <v>0</v>
      </c>
      <c r="N288" s="20">
        <f t="shared" si="65"/>
        <v>0</v>
      </c>
      <c r="O288" s="20">
        <v>0</v>
      </c>
      <c r="P288" s="21">
        <v>0</v>
      </c>
      <c r="Q288" s="20">
        <f t="shared" si="66"/>
        <v>0</v>
      </c>
      <c r="R288" s="20">
        <v>0</v>
      </c>
      <c r="S288" s="22">
        <v>0</v>
      </c>
      <c r="T288" s="20">
        <f t="shared" si="67"/>
        <v>0</v>
      </c>
      <c r="U288" s="20">
        <v>0</v>
      </c>
      <c r="V288" s="21">
        <v>0</v>
      </c>
      <c r="W288" s="20">
        <f t="shared" si="68"/>
        <v>0</v>
      </c>
      <c r="X288" s="20">
        <v>0</v>
      </c>
      <c r="Y288" s="22">
        <v>0</v>
      </c>
      <c r="Z288" s="20">
        <f t="shared" si="69"/>
        <v>0</v>
      </c>
      <c r="AA288" s="20">
        <v>0</v>
      </c>
      <c r="AB288" s="22">
        <v>0</v>
      </c>
      <c r="AC288" s="20">
        <f t="shared" si="70"/>
        <v>0</v>
      </c>
      <c r="AD288" s="20">
        <v>0</v>
      </c>
      <c r="AE288" s="22">
        <v>0</v>
      </c>
      <c r="AF288" s="20">
        <f t="shared" si="71"/>
        <v>0</v>
      </c>
      <c r="AG288" s="20">
        <v>0</v>
      </c>
      <c r="AH288" s="21">
        <v>0</v>
      </c>
      <c r="AI288" s="20">
        <f t="shared" si="72"/>
        <v>0</v>
      </c>
      <c r="AJ288" s="20">
        <v>0</v>
      </c>
      <c r="AK288" s="21">
        <v>0</v>
      </c>
      <c r="AL288" s="20">
        <f t="shared" si="73"/>
        <v>0</v>
      </c>
      <c r="AM288" s="20">
        <v>0</v>
      </c>
      <c r="AN288" s="21">
        <v>0</v>
      </c>
      <c r="AO288" s="20">
        <f t="shared" si="74"/>
        <v>0</v>
      </c>
      <c r="AP288" s="21">
        <v>0</v>
      </c>
      <c r="AQ288" s="20">
        <v>0</v>
      </c>
      <c r="AR288" s="20">
        <f t="shared" si="75"/>
        <v>0</v>
      </c>
      <c r="AS288" s="20">
        <v>22.5</v>
      </c>
      <c r="AT288" s="21">
        <v>0</v>
      </c>
      <c r="AU288" s="20">
        <f t="shared" si="76"/>
        <v>22.5</v>
      </c>
      <c r="AV288" s="23">
        <f t="shared" si="77"/>
        <v>22.5</v>
      </c>
      <c r="AW288" s="22">
        <f t="shared" si="78"/>
        <v>0</v>
      </c>
      <c r="AX288" s="20">
        <f t="shared" si="79"/>
        <v>22.5</v>
      </c>
      <c r="AY288" s="28" t="s">
        <v>477</v>
      </c>
      <c r="AZ288" s="28" t="s">
        <v>477</v>
      </c>
      <c r="BA288" s="28" t="s">
        <v>352</v>
      </c>
      <c r="BB288" s="29">
        <v>44622</v>
      </c>
    </row>
    <row r="289" spans="1:54" hidden="1">
      <c r="A289" s="28" t="str">
        <f t="shared" si="64"/>
        <v>818235211342</v>
      </c>
      <c r="B289" s="30">
        <v>818235</v>
      </c>
      <c r="C289" s="30" t="s">
        <v>536</v>
      </c>
      <c r="D289" s="28">
        <v>211342</v>
      </c>
      <c r="E289" s="28" t="s">
        <v>537</v>
      </c>
      <c r="F289" s="28"/>
      <c r="G289" s="28"/>
      <c r="H289" s="28"/>
      <c r="I289" s="28"/>
      <c r="J289" s="28"/>
      <c r="K289" s="28"/>
      <c r="L289" s="20">
        <v>0</v>
      </c>
      <c r="M289" s="21">
        <v>0</v>
      </c>
      <c r="N289" s="20">
        <f t="shared" si="65"/>
        <v>0</v>
      </c>
      <c r="O289" s="20">
        <v>0</v>
      </c>
      <c r="P289" s="21">
        <v>0</v>
      </c>
      <c r="Q289" s="20">
        <f t="shared" si="66"/>
        <v>0</v>
      </c>
      <c r="R289" s="20">
        <v>0</v>
      </c>
      <c r="S289" s="22">
        <v>0</v>
      </c>
      <c r="T289" s="20">
        <f t="shared" si="67"/>
        <v>0</v>
      </c>
      <c r="U289" s="20">
        <v>0</v>
      </c>
      <c r="V289" s="21">
        <v>0</v>
      </c>
      <c r="W289" s="20">
        <f t="shared" si="68"/>
        <v>0</v>
      </c>
      <c r="X289" s="20">
        <v>0</v>
      </c>
      <c r="Y289" s="22">
        <v>0</v>
      </c>
      <c r="Z289" s="20">
        <f t="shared" si="69"/>
        <v>0</v>
      </c>
      <c r="AA289" s="20">
        <v>0</v>
      </c>
      <c r="AB289" s="22">
        <v>0</v>
      </c>
      <c r="AC289" s="20">
        <f t="shared" si="70"/>
        <v>0</v>
      </c>
      <c r="AD289" s="20">
        <v>0</v>
      </c>
      <c r="AE289" s="22">
        <v>0</v>
      </c>
      <c r="AF289" s="20">
        <f t="shared" si="71"/>
        <v>0</v>
      </c>
      <c r="AG289" s="20">
        <v>0</v>
      </c>
      <c r="AH289" s="21">
        <v>0</v>
      </c>
      <c r="AI289" s="20">
        <f t="shared" si="72"/>
        <v>0</v>
      </c>
      <c r="AJ289" s="20">
        <v>0</v>
      </c>
      <c r="AK289" s="21">
        <v>0</v>
      </c>
      <c r="AL289" s="20">
        <f t="shared" si="73"/>
        <v>0</v>
      </c>
      <c r="AM289" s="20">
        <v>0</v>
      </c>
      <c r="AN289" s="21">
        <v>0</v>
      </c>
      <c r="AO289" s="20">
        <f t="shared" si="74"/>
        <v>0</v>
      </c>
      <c r="AP289" s="21">
        <v>0</v>
      </c>
      <c r="AQ289" s="20">
        <v>0</v>
      </c>
      <c r="AR289" s="20">
        <f t="shared" si="75"/>
        <v>0</v>
      </c>
      <c r="AS289" s="20">
        <v>30</v>
      </c>
      <c r="AT289" s="21">
        <v>0</v>
      </c>
      <c r="AU289" s="20">
        <f t="shared" si="76"/>
        <v>30</v>
      </c>
      <c r="AV289" s="23">
        <f t="shared" si="77"/>
        <v>30</v>
      </c>
      <c r="AW289" s="22">
        <f t="shared" si="78"/>
        <v>0</v>
      </c>
      <c r="AX289" s="20">
        <f t="shared" si="79"/>
        <v>30</v>
      </c>
      <c r="AY289" s="28" t="s">
        <v>477</v>
      </c>
      <c r="AZ289" s="28" t="s">
        <v>477</v>
      </c>
      <c r="BA289" s="28" t="s">
        <v>352</v>
      </c>
      <c r="BB289" s="29">
        <v>44622</v>
      </c>
    </row>
    <row r="290" spans="1:54" hidden="1">
      <c r="A290" s="28" t="str">
        <f t="shared" si="64"/>
        <v>818237209816</v>
      </c>
      <c r="B290" s="30">
        <v>818237</v>
      </c>
      <c r="C290" s="30" t="s">
        <v>538</v>
      </c>
      <c r="D290" s="28">
        <v>209816</v>
      </c>
      <c r="E290" s="28" t="s">
        <v>172</v>
      </c>
      <c r="F290" s="28"/>
      <c r="G290" s="28"/>
      <c r="H290" s="28"/>
      <c r="I290" s="28"/>
      <c r="J290" s="28"/>
      <c r="K290" s="28"/>
      <c r="L290" s="20">
        <v>0</v>
      </c>
      <c r="M290" s="21">
        <v>0</v>
      </c>
      <c r="N290" s="20">
        <f t="shared" si="65"/>
        <v>0</v>
      </c>
      <c r="O290" s="20">
        <v>0</v>
      </c>
      <c r="P290" s="21">
        <v>0</v>
      </c>
      <c r="Q290" s="20">
        <f t="shared" si="66"/>
        <v>0</v>
      </c>
      <c r="R290" s="20">
        <v>0</v>
      </c>
      <c r="S290" s="22">
        <v>0</v>
      </c>
      <c r="T290" s="20">
        <f t="shared" si="67"/>
        <v>0</v>
      </c>
      <c r="U290" s="20">
        <v>0</v>
      </c>
      <c r="V290" s="21">
        <v>0</v>
      </c>
      <c r="W290" s="20">
        <f t="shared" si="68"/>
        <v>0</v>
      </c>
      <c r="X290" s="20">
        <v>0</v>
      </c>
      <c r="Y290" s="22">
        <v>0</v>
      </c>
      <c r="Z290" s="20">
        <f t="shared" si="69"/>
        <v>0</v>
      </c>
      <c r="AA290" s="20">
        <v>0</v>
      </c>
      <c r="AB290" s="22">
        <v>0</v>
      </c>
      <c r="AC290" s="20">
        <f t="shared" si="70"/>
        <v>0</v>
      </c>
      <c r="AD290" s="20">
        <v>0</v>
      </c>
      <c r="AE290" s="22">
        <v>0</v>
      </c>
      <c r="AF290" s="20">
        <f t="shared" si="71"/>
        <v>0</v>
      </c>
      <c r="AG290" s="20">
        <v>0</v>
      </c>
      <c r="AH290" s="21">
        <v>0</v>
      </c>
      <c r="AI290" s="20">
        <f t="shared" si="72"/>
        <v>0</v>
      </c>
      <c r="AJ290" s="20">
        <v>0</v>
      </c>
      <c r="AK290" s="21">
        <v>0</v>
      </c>
      <c r="AL290" s="20">
        <f t="shared" si="73"/>
        <v>0</v>
      </c>
      <c r="AM290" s="20">
        <v>0</v>
      </c>
      <c r="AN290" s="21">
        <v>0</v>
      </c>
      <c r="AO290" s="20">
        <f t="shared" si="74"/>
        <v>0</v>
      </c>
      <c r="AP290" s="21">
        <v>0</v>
      </c>
      <c r="AQ290" s="20">
        <v>0</v>
      </c>
      <c r="AR290" s="20">
        <f t="shared" si="75"/>
        <v>0</v>
      </c>
      <c r="AS290" s="20">
        <v>27.5</v>
      </c>
      <c r="AT290" s="21">
        <v>0</v>
      </c>
      <c r="AU290" s="20">
        <f t="shared" si="76"/>
        <v>27.5</v>
      </c>
      <c r="AV290" s="23">
        <f t="shared" si="77"/>
        <v>27.5</v>
      </c>
      <c r="AW290" s="22">
        <f t="shared" si="78"/>
        <v>0</v>
      </c>
      <c r="AX290" s="20">
        <f t="shared" si="79"/>
        <v>27.5</v>
      </c>
      <c r="AY290" s="28" t="s">
        <v>477</v>
      </c>
      <c r="AZ290" s="28" t="s">
        <v>477</v>
      </c>
      <c r="BA290" s="28" t="s">
        <v>352</v>
      </c>
      <c r="BB290" s="29">
        <v>44622</v>
      </c>
    </row>
    <row r="291" spans="1:54" hidden="1">
      <c r="A291" s="28" t="str">
        <f t="shared" si="64"/>
        <v>818514210433</v>
      </c>
      <c r="B291" s="30">
        <v>818514</v>
      </c>
      <c r="C291" s="30" t="s">
        <v>547</v>
      </c>
      <c r="D291" s="28">
        <v>210433</v>
      </c>
      <c r="E291" s="28" t="s">
        <v>548</v>
      </c>
      <c r="F291" s="28"/>
      <c r="G291" s="28"/>
      <c r="H291" s="28"/>
      <c r="I291" s="28"/>
      <c r="J291" s="28"/>
      <c r="K291" s="28"/>
      <c r="L291" s="20">
        <v>0</v>
      </c>
      <c r="M291" s="21">
        <v>0</v>
      </c>
      <c r="N291" s="20">
        <f t="shared" si="65"/>
        <v>0</v>
      </c>
      <c r="O291" s="20">
        <v>0</v>
      </c>
      <c r="P291" s="21">
        <v>0</v>
      </c>
      <c r="Q291" s="20">
        <f t="shared" si="66"/>
        <v>0</v>
      </c>
      <c r="R291" s="20">
        <v>0</v>
      </c>
      <c r="S291" s="22">
        <v>0</v>
      </c>
      <c r="T291" s="20">
        <f t="shared" si="67"/>
        <v>0</v>
      </c>
      <c r="U291" s="20">
        <v>0</v>
      </c>
      <c r="V291" s="21">
        <v>0</v>
      </c>
      <c r="W291" s="20">
        <f t="shared" si="68"/>
        <v>0</v>
      </c>
      <c r="X291" s="20">
        <v>0</v>
      </c>
      <c r="Y291" s="22">
        <v>0</v>
      </c>
      <c r="Z291" s="20">
        <f t="shared" si="69"/>
        <v>0</v>
      </c>
      <c r="AA291" s="20">
        <v>0</v>
      </c>
      <c r="AB291" s="22">
        <v>0</v>
      </c>
      <c r="AC291" s="20">
        <f t="shared" si="70"/>
        <v>0</v>
      </c>
      <c r="AD291" s="20">
        <v>0</v>
      </c>
      <c r="AE291" s="22">
        <v>0</v>
      </c>
      <c r="AF291" s="20">
        <f t="shared" si="71"/>
        <v>0</v>
      </c>
      <c r="AG291" s="20">
        <v>0</v>
      </c>
      <c r="AH291" s="21">
        <v>0</v>
      </c>
      <c r="AI291" s="20">
        <f t="shared" si="72"/>
        <v>0</v>
      </c>
      <c r="AJ291" s="20">
        <v>0</v>
      </c>
      <c r="AK291" s="21">
        <v>0</v>
      </c>
      <c r="AL291" s="20">
        <f t="shared" si="73"/>
        <v>0</v>
      </c>
      <c r="AM291" s="20">
        <v>0</v>
      </c>
      <c r="AN291" s="21">
        <v>0</v>
      </c>
      <c r="AO291" s="20">
        <f t="shared" si="74"/>
        <v>0</v>
      </c>
      <c r="AP291" s="21">
        <v>0</v>
      </c>
      <c r="AQ291" s="20">
        <v>0</v>
      </c>
      <c r="AR291" s="20">
        <f t="shared" si="75"/>
        <v>0</v>
      </c>
      <c r="AS291" s="20">
        <v>40</v>
      </c>
      <c r="AT291" s="21">
        <v>0</v>
      </c>
      <c r="AU291" s="20">
        <f t="shared" si="76"/>
        <v>40</v>
      </c>
      <c r="AV291" s="23">
        <f t="shared" si="77"/>
        <v>40</v>
      </c>
      <c r="AW291" s="22">
        <f t="shared" si="78"/>
        <v>0</v>
      </c>
      <c r="AX291" s="20">
        <f t="shared" si="79"/>
        <v>40</v>
      </c>
      <c r="AY291" s="28" t="s">
        <v>477</v>
      </c>
      <c r="AZ291" s="28" t="s">
        <v>477</v>
      </c>
      <c r="BA291" s="28" t="s">
        <v>352</v>
      </c>
      <c r="BB291" s="29">
        <v>44649</v>
      </c>
    </row>
    <row r="292" spans="1:54" hidden="1">
      <c r="A292" s="28" t="str">
        <f t="shared" si="64"/>
        <v>801716119261</v>
      </c>
      <c r="B292" s="30">
        <v>801716</v>
      </c>
      <c r="C292" s="30" t="s">
        <v>55</v>
      </c>
      <c r="D292" s="31">
        <v>119261</v>
      </c>
      <c r="E292" s="28" t="s">
        <v>170</v>
      </c>
      <c r="F292" s="28"/>
      <c r="G292" s="28"/>
      <c r="H292" s="28"/>
      <c r="I292" s="28"/>
      <c r="J292" s="28"/>
      <c r="K292" s="28"/>
      <c r="L292" s="20">
        <v>50</v>
      </c>
      <c r="M292" s="21">
        <v>0</v>
      </c>
      <c r="N292" s="20">
        <f t="shared" si="65"/>
        <v>50</v>
      </c>
      <c r="O292" s="20">
        <v>50</v>
      </c>
      <c r="P292" s="21">
        <v>0</v>
      </c>
      <c r="Q292" s="20">
        <f t="shared" si="66"/>
        <v>50</v>
      </c>
      <c r="R292" s="20">
        <v>31</v>
      </c>
      <c r="S292" s="22">
        <v>0</v>
      </c>
      <c r="T292" s="20">
        <f t="shared" si="67"/>
        <v>31</v>
      </c>
      <c r="U292" s="20">
        <v>83</v>
      </c>
      <c r="V292" s="21">
        <v>0</v>
      </c>
      <c r="W292" s="20">
        <f t="shared" si="68"/>
        <v>83</v>
      </c>
      <c r="X292" s="20">
        <v>21</v>
      </c>
      <c r="Y292" s="22">
        <v>0</v>
      </c>
      <c r="Z292" s="20">
        <f t="shared" si="69"/>
        <v>21</v>
      </c>
      <c r="AA292" s="20">
        <v>1</v>
      </c>
      <c r="AB292" s="22">
        <v>0</v>
      </c>
      <c r="AC292" s="20">
        <f t="shared" si="70"/>
        <v>1</v>
      </c>
      <c r="AD292" s="20">
        <v>146</v>
      </c>
      <c r="AE292" s="22">
        <v>0</v>
      </c>
      <c r="AF292" s="20">
        <f t="shared" si="71"/>
        <v>146</v>
      </c>
      <c r="AG292" s="20">
        <v>201</v>
      </c>
      <c r="AH292" s="21">
        <v>0</v>
      </c>
      <c r="AI292" s="20">
        <f t="shared" si="72"/>
        <v>201</v>
      </c>
      <c r="AJ292" s="20">
        <v>100</v>
      </c>
      <c r="AK292" s="21">
        <v>0</v>
      </c>
      <c r="AL292" s="20">
        <f t="shared" si="73"/>
        <v>100</v>
      </c>
      <c r="AM292" s="20">
        <v>105.75</v>
      </c>
      <c r="AN292" s="21">
        <v>0</v>
      </c>
      <c r="AO292" s="20">
        <f t="shared" si="74"/>
        <v>105.75</v>
      </c>
      <c r="AP292" s="21">
        <v>118</v>
      </c>
      <c r="AQ292" s="20">
        <v>0</v>
      </c>
      <c r="AR292" s="20">
        <f t="shared" si="75"/>
        <v>118</v>
      </c>
      <c r="AS292" s="20">
        <v>150</v>
      </c>
      <c r="AT292" s="21">
        <v>0</v>
      </c>
      <c r="AU292" s="20">
        <f t="shared" si="76"/>
        <v>150</v>
      </c>
      <c r="AV292" s="23">
        <f t="shared" si="77"/>
        <v>1056.75</v>
      </c>
      <c r="AW292" s="22">
        <f t="shared" si="78"/>
        <v>0</v>
      </c>
      <c r="AX292" s="20">
        <f t="shared" si="79"/>
        <v>1056.75</v>
      </c>
      <c r="AY292" s="28" t="s">
        <v>478</v>
      </c>
      <c r="AZ292" s="28" t="s">
        <v>478</v>
      </c>
      <c r="BA292" s="28" t="s">
        <v>352</v>
      </c>
      <c r="BB292" s="29">
        <v>41318</v>
      </c>
    </row>
    <row r="293" spans="1:54" hidden="1">
      <c r="A293" s="28" t="str">
        <f t="shared" si="64"/>
        <v>801729119261</v>
      </c>
      <c r="B293" s="30">
        <v>801729</v>
      </c>
      <c r="C293" s="30" t="s">
        <v>299</v>
      </c>
      <c r="D293" s="31">
        <v>119261</v>
      </c>
      <c r="E293" s="28" t="s">
        <v>170</v>
      </c>
      <c r="F293" s="28"/>
      <c r="G293" s="28"/>
      <c r="H293" s="28"/>
      <c r="I293" s="28"/>
      <c r="J293" s="28"/>
      <c r="K293" s="28"/>
      <c r="L293" s="20">
        <v>30</v>
      </c>
      <c r="M293" s="21">
        <v>0</v>
      </c>
      <c r="N293" s="20">
        <f t="shared" si="65"/>
        <v>30</v>
      </c>
      <c r="O293" s="20">
        <v>0</v>
      </c>
      <c r="P293" s="21">
        <v>0</v>
      </c>
      <c r="Q293" s="20">
        <f t="shared" si="66"/>
        <v>0</v>
      </c>
      <c r="R293" s="20">
        <v>50</v>
      </c>
      <c r="S293" s="22">
        <v>0</v>
      </c>
      <c r="T293" s="20">
        <f t="shared" si="67"/>
        <v>50</v>
      </c>
      <c r="U293" s="20">
        <v>22</v>
      </c>
      <c r="V293" s="21">
        <v>0</v>
      </c>
      <c r="W293" s="20">
        <f t="shared" si="68"/>
        <v>22</v>
      </c>
      <c r="X293" s="20">
        <v>50</v>
      </c>
      <c r="Y293" s="22">
        <v>0</v>
      </c>
      <c r="Z293" s="20">
        <f t="shared" si="69"/>
        <v>50</v>
      </c>
      <c r="AA293" s="20">
        <v>0</v>
      </c>
      <c r="AB293" s="22">
        <v>0</v>
      </c>
      <c r="AC293" s="20">
        <f t="shared" si="70"/>
        <v>0</v>
      </c>
      <c r="AD293" s="20">
        <v>0</v>
      </c>
      <c r="AE293" s="22">
        <v>0</v>
      </c>
      <c r="AF293" s="20">
        <f t="shared" si="71"/>
        <v>0</v>
      </c>
      <c r="AG293" s="20">
        <v>50</v>
      </c>
      <c r="AH293" s="21">
        <v>0</v>
      </c>
      <c r="AI293" s="20">
        <f t="shared" si="72"/>
        <v>50</v>
      </c>
      <c r="AJ293" s="20">
        <v>21</v>
      </c>
      <c r="AK293" s="21">
        <v>0</v>
      </c>
      <c r="AL293" s="20">
        <f t="shared" si="73"/>
        <v>21</v>
      </c>
      <c r="AM293" s="20">
        <v>0</v>
      </c>
      <c r="AN293" s="21">
        <v>0</v>
      </c>
      <c r="AO293" s="20">
        <f t="shared" si="74"/>
        <v>0</v>
      </c>
      <c r="AP293" s="21">
        <v>0</v>
      </c>
      <c r="AQ293" s="20">
        <v>0</v>
      </c>
      <c r="AR293" s="20">
        <f t="shared" si="75"/>
        <v>0</v>
      </c>
      <c r="AS293" s="20">
        <v>0</v>
      </c>
      <c r="AT293" s="21">
        <v>0</v>
      </c>
      <c r="AU293" s="20">
        <f t="shared" si="76"/>
        <v>0</v>
      </c>
      <c r="AV293" s="23">
        <f t="shared" si="77"/>
        <v>223</v>
      </c>
      <c r="AW293" s="22">
        <f t="shared" si="78"/>
        <v>0</v>
      </c>
      <c r="AX293" s="20">
        <f t="shared" si="79"/>
        <v>223</v>
      </c>
      <c r="AY293" s="28" t="s">
        <v>478</v>
      </c>
      <c r="AZ293" s="28" t="s">
        <v>478</v>
      </c>
      <c r="BA293" s="28" t="s">
        <v>352</v>
      </c>
      <c r="BB293" s="29">
        <v>41323</v>
      </c>
    </row>
    <row r="294" spans="1:54" hidden="1">
      <c r="A294" s="28" t="str">
        <f t="shared" si="64"/>
        <v>801876119261</v>
      </c>
      <c r="B294" s="30">
        <v>801876</v>
      </c>
      <c r="C294" s="30" t="s">
        <v>232</v>
      </c>
      <c r="D294" s="31">
        <v>119261</v>
      </c>
      <c r="E294" s="28" t="s">
        <v>170</v>
      </c>
      <c r="F294" s="28"/>
      <c r="G294" s="28"/>
      <c r="H294" s="28"/>
      <c r="I294" s="28"/>
      <c r="J294" s="28"/>
      <c r="K294" s="28"/>
      <c r="L294" s="20">
        <v>51</v>
      </c>
      <c r="M294" s="21">
        <v>0</v>
      </c>
      <c r="N294" s="20">
        <f t="shared" si="65"/>
        <v>51</v>
      </c>
      <c r="O294" s="20">
        <v>0</v>
      </c>
      <c r="P294" s="21">
        <v>0</v>
      </c>
      <c r="Q294" s="20">
        <f t="shared" si="66"/>
        <v>0</v>
      </c>
      <c r="R294" s="20">
        <v>30</v>
      </c>
      <c r="S294" s="22">
        <v>0</v>
      </c>
      <c r="T294" s="20">
        <f t="shared" si="67"/>
        <v>30</v>
      </c>
      <c r="U294" s="20">
        <v>22</v>
      </c>
      <c r="V294" s="21">
        <v>0</v>
      </c>
      <c r="W294" s="20">
        <f t="shared" si="68"/>
        <v>22</v>
      </c>
      <c r="X294" s="20">
        <v>10</v>
      </c>
      <c r="Y294" s="22">
        <v>0</v>
      </c>
      <c r="Z294" s="20">
        <f t="shared" si="69"/>
        <v>10</v>
      </c>
      <c r="AA294" s="20">
        <v>0</v>
      </c>
      <c r="AB294" s="22">
        <v>0</v>
      </c>
      <c r="AC294" s="20">
        <f t="shared" si="70"/>
        <v>0</v>
      </c>
      <c r="AD294" s="20">
        <v>51</v>
      </c>
      <c r="AE294" s="22">
        <v>0</v>
      </c>
      <c r="AF294" s="20">
        <f t="shared" si="71"/>
        <v>51</v>
      </c>
      <c r="AG294" s="20">
        <v>20</v>
      </c>
      <c r="AH294" s="21">
        <v>0</v>
      </c>
      <c r="AI294" s="20">
        <f t="shared" si="72"/>
        <v>20</v>
      </c>
      <c r="AJ294" s="20">
        <v>0</v>
      </c>
      <c r="AK294" s="21">
        <v>0</v>
      </c>
      <c r="AL294" s="20">
        <f t="shared" si="73"/>
        <v>0</v>
      </c>
      <c r="AM294" s="20">
        <v>50</v>
      </c>
      <c r="AN294" s="21">
        <v>0</v>
      </c>
      <c r="AO294" s="20">
        <f t="shared" si="74"/>
        <v>50</v>
      </c>
      <c r="AP294" s="21">
        <v>0</v>
      </c>
      <c r="AQ294" s="20">
        <v>0</v>
      </c>
      <c r="AR294" s="20">
        <f t="shared" si="75"/>
        <v>0</v>
      </c>
      <c r="AS294" s="20">
        <v>0</v>
      </c>
      <c r="AT294" s="21">
        <v>0</v>
      </c>
      <c r="AU294" s="20">
        <f t="shared" si="76"/>
        <v>0</v>
      </c>
      <c r="AV294" s="23">
        <f t="shared" si="77"/>
        <v>234</v>
      </c>
      <c r="AW294" s="22">
        <f t="shared" si="78"/>
        <v>0</v>
      </c>
      <c r="AX294" s="20">
        <f t="shared" si="79"/>
        <v>234</v>
      </c>
      <c r="AY294" s="28" t="s">
        <v>478</v>
      </c>
      <c r="AZ294" s="28" t="s">
        <v>478</v>
      </c>
      <c r="BA294" s="28" t="s">
        <v>352</v>
      </c>
      <c r="BB294" s="29">
        <v>41355</v>
      </c>
    </row>
    <row r="295" spans="1:54" hidden="1">
      <c r="A295" s="28" t="str">
        <f t="shared" si="64"/>
        <v>801965119261</v>
      </c>
      <c r="B295" s="30">
        <v>801965</v>
      </c>
      <c r="C295" s="30" t="s">
        <v>29</v>
      </c>
      <c r="D295" s="28">
        <v>119261</v>
      </c>
      <c r="E295" s="28" t="s">
        <v>170</v>
      </c>
      <c r="F295" s="28"/>
      <c r="G295" s="28"/>
      <c r="H295" s="28"/>
      <c r="I295" s="28"/>
      <c r="J295" s="28"/>
      <c r="K295" s="28"/>
      <c r="L295" s="20">
        <v>0</v>
      </c>
      <c r="M295" s="21">
        <v>0</v>
      </c>
      <c r="N295" s="20">
        <f t="shared" si="65"/>
        <v>0</v>
      </c>
      <c r="O295" s="20">
        <v>0</v>
      </c>
      <c r="P295" s="21">
        <v>0</v>
      </c>
      <c r="Q295" s="20">
        <f t="shared" si="66"/>
        <v>0</v>
      </c>
      <c r="R295" s="20">
        <v>0</v>
      </c>
      <c r="S295" s="22">
        <v>0</v>
      </c>
      <c r="T295" s="20">
        <f t="shared" si="67"/>
        <v>0</v>
      </c>
      <c r="U295" s="20">
        <v>50.75</v>
      </c>
      <c r="V295" s="21">
        <v>0</v>
      </c>
      <c r="W295" s="20">
        <f t="shared" si="68"/>
        <v>50.75</v>
      </c>
      <c r="X295" s="20">
        <v>52.5</v>
      </c>
      <c r="Y295" s="22">
        <v>0</v>
      </c>
      <c r="Z295" s="20">
        <f t="shared" si="69"/>
        <v>52.5</v>
      </c>
      <c r="AA295" s="20">
        <v>21</v>
      </c>
      <c r="AB295" s="22">
        <v>0</v>
      </c>
      <c r="AC295" s="20">
        <f t="shared" si="70"/>
        <v>21</v>
      </c>
      <c r="AD295" s="20">
        <v>20</v>
      </c>
      <c r="AE295" s="22">
        <v>0</v>
      </c>
      <c r="AF295" s="20">
        <f t="shared" si="71"/>
        <v>20</v>
      </c>
      <c r="AG295" s="20">
        <v>0</v>
      </c>
      <c r="AH295" s="21">
        <v>0</v>
      </c>
      <c r="AI295" s="20">
        <f t="shared" si="72"/>
        <v>0</v>
      </c>
      <c r="AJ295" s="20">
        <v>52</v>
      </c>
      <c r="AK295" s="21">
        <v>0</v>
      </c>
      <c r="AL295" s="20">
        <f t="shared" si="73"/>
        <v>52</v>
      </c>
      <c r="AM295" s="20">
        <v>50</v>
      </c>
      <c r="AN295" s="21">
        <v>0</v>
      </c>
      <c r="AO295" s="20">
        <f t="shared" si="74"/>
        <v>50</v>
      </c>
      <c r="AP295" s="21">
        <v>0</v>
      </c>
      <c r="AQ295" s="20">
        <v>0</v>
      </c>
      <c r="AR295" s="20">
        <f t="shared" si="75"/>
        <v>0</v>
      </c>
      <c r="AS295" s="20">
        <v>30</v>
      </c>
      <c r="AT295" s="21">
        <v>0</v>
      </c>
      <c r="AU295" s="20">
        <f t="shared" si="76"/>
        <v>30</v>
      </c>
      <c r="AV295" s="23">
        <f t="shared" si="77"/>
        <v>276.25</v>
      </c>
      <c r="AW295" s="22">
        <f t="shared" si="78"/>
        <v>0</v>
      </c>
      <c r="AX295" s="20">
        <f t="shared" si="79"/>
        <v>276.25</v>
      </c>
      <c r="AY295" s="28" t="s">
        <v>478</v>
      </c>
      <c r="AZ295" s="28" t="s">
        <v>478</v>
      </c>
      <c r="BA295" s="28" t="s">
        <v>352</v>
      </c>
      <c r="BB295" s="29">
        <v>41380</v>
      </c>
    </row>
    <row r="296" spans="1:54" hidden="1">
      <c r="A296" s="28" t="str">
        <f t="shared" si="64"/>
        <v>801966119261</v>
      </c>
      <c r="B296" s="30">
        <v>801966</v>
      </c>
      <c r="C296" s="30" t="s">
        <v>374</v>
      </c>
      <c r="D296" s="28">
        <v>119261</v>
      </c>
      <c r="E296" s="28" t="s">
        <v>170</v>
      </c>
      <c r="F296" s="28"/>
      <c r="G296" s="28"/>
      <c r="H296" s="28"/>
      <c r="I296" s="28"/>
      <c r="J296" s="28"/>
      <c r="K296" s="28"/>
      <c r="L296" s="20">
        <v>0</v>
      </c>
      <c r="M296" s="21">
        <v>0</v>
      </c>
      <c r="N296" s="20">
        <f t="shared" si="65"/>
        <v>0</v>
      </c>
      <c r="O296" s="20">
        <v>0</v>
      </c>
      <c r="P296" s="21">
        <v>0</v>
      </c>
      <c r="Q296" s="20">
        <f t="shared" si="66"/>
        <v>0</v>
      </c>
      <c r="R296" s="20">
        <v>0</v>
      </c>
      <c r="S296" s="22">
        <v>0</v>
      </c>
      <c r="T296" s="20">
        <f t="shared" si="67"/>
        <v>0</v>
      </c>
      <c r="U296" s="20">
        <v>20</v>
      </c>
      <c r="V296" s="21">
        <v>0</v>
      </c>
      <c r="W296" s="20">
        <f t="shared" si="68"/>
        <v>20</v>
      </c>
      <c r="X296" s="20">
        <v>12</v>
      </c>
      <c r="Y296" s="22">
        <v>0</v>
      </c>
      <c r="Z296" s="20">
        <f t="shared" si="69"/>
        <v>12</v>
      </c>
      <c r="AA296" s="20">
        <v>20.5</v>
      </c>
      <c r="AB296" s="22">
        <v>0</v>
      </c>
      <c r="AC296" s="20">
        <f t="shared" si="70"/>
        <v>20.5</v>
      </c>
      <c r="AD296" s="20">
        <v>30</v>
      </c>
      <c r="AE296" s="22">
        <v>0</v>
      </c>
      <c r="AF296" s="20">
        <f t="shared" si="71"/>
        <v>30</v>
      </c>
      <c r="AG296" s="20">
        <v>30</v>
      </c>
      <c r="AH296" s="21">
        <v>0</v>
      </c>
      <c r="AI296" s="20">
        <f t="shared" si="72"/>
        <v>30</v>
      </c>
      <c r="AJ296" s="20">
        <v>21</v>
      </c>
      <c r="AK296" s="21">
        <v>0</v>
      </c>
      <c r="AL296" s="20">
        <f t="shared" si="73"/>
        <v>21</v>
      </c>
      <c r="AM296" s="20">
        <v>0</v>
      </c>
      <c r="AN296" s="21">
        <v>0</v>
      </c>
      <c r="AO296" s="20">
        <f t="shared" si="74"/>
        <v>0</v>
      </c>
      <c r="AP296" s="21">
        <v>0</v>
      </c>
      <c r="AQ296" s="20">
        <v>0</v>
      </c>
      <c r="AR296" s="20">
        <f t="shared" si="75"/>
        <v>0</v>
      </c>
      <c r="AS296" s="20">
        <v>0</v>
      </c>
      <c r="AT296" s="21">
        <v>0</v>
      </c>
      <c r="AU296" s="20">
        <f t="shared" si="76"/>
        <v>0</v>
      </c>
      <c r="AV296" s="23">
        <f t="shared" si="77"/>
        <v>133.5</v>
      </c>
      <c r="AW296" s="22">
        <f t="shared" si="78"/>
        <v>0</v>
      </c>
      <c r="AX296" s="20">
        <f t="shared" si="79"/>
        <v>133.5</v>
      </c>
      <c r="AY296" s="28" t="s">
        <v>478</v>
      </c>
      <c r="AZ296" s="28" t="s">
        <v>478</v>
      </c>
      <c r="BA296" s="28" t="s">
        <v>352</v>
      </c>
      <c r="BB296" s="29">
        <v>41380</v>
      </c>
    </row>
    <row r="297" spans="1:54" hidden="1">
      <c r="A297" s="28" t="str">
        <f t="shared" si="64"/>
        <v>801967119261</v>
      </c>
      <c r="B297" s="30">
        <v>801967</v>
      </c>
      <c r="C297" s="30" t="s">
        <v>53</v>
      </c>
      <c r="D297" s="28">
        <v>119261</v>
      </c>
      <c r="E297" s="28" t="s">
        <v>170</v>
      </c>
      <c r="F297" s="28"/>
      <c r="G297" s="28"/>
      <c r="H297" s="28"/>
      <c r="I297" s="28"/>
      <c r="J297" s="28"/>
      <c r="K297" s="28"/>
      <c r="L297" s="20">
        <v>0</v>
      </c>
      <c r="M297" s="21">
        <v>0</v>
      </c>
      <c r="N297" s="20">
        <f t="shared" si="65"/>
        <v>0</v>
      </c>
      <c r="O297" s="20">
        <v>0</v>
      </c>
      <c r="P297" s="21">
        <v>0</v>
      </c>
      <c r="Q297" s="20">
        <f t="shared" si="66"/>
        <v>0</v>
      </c>
      <c r="R297" s="20">
        <v>0</v>
      </c>
      <c r="S297" s="22">
        <v>0</v>
      </c>
      <c r="T297" s="20">
        <f t="shared" si="67"/>
        <v>0</v>
      </c>
      <c r="U297" s="20">
        <v>32</v>
      </c>
      <c r="V297" s="21">
        <v>0</v>
      </c>
      <c r="W297" s="20">
        <f t="shared" si="68"/>
        <v>32</v>
      </c>
      <c r="X297" s="20">
        <v>20.5</v>
      </c>
      <c r="Y297" s="22">
        <v>0</v>
      </c>
      <c r="Z297" s="20">
        <f t="shared" si="69"/>
        <v>20.5</v>
      </c>
      <c r="AA297" s="20">
        <v>0</v>
      </c>
      <c r="AB297" s="22">
        <v>0</v>
      </c>
      <c r="AC297" s="20">
        <f t="shared" si="70"/>
        <v>0</v>
      </c>
      <c r="AD297" s="20">
        <v>20</v>
      </c>
      <c r="AE297" s="22">
        <v>0</v>
      </c>
      <c r="AF297" s="20">
        <f t="shared" si="71"/>
        <v>20</v>
      </c>
      <c r="AG297" s="20">
        <v>10</v>
      </c>
      <c r="AH297" s="21">
        <v>0</v>
      </c>
      <c r="AI297" s="20">
        <f t="shared" si="72"/>
        <v>10</v>
      </c>
      <c r="AJ297" s="20">
        <v>13.5</v>
      </c>
      <c r="AK297" s="21">
        <v>0</v>
      </c>
      <c r="AL297" s="20">
        <f t="shared" si="73"/>
        <v>13.5</v>
      </c>
      <c r="AM297" s="20">
        <v>0</v>
      </c>
      <c r="AN297" s="21">
        <v>0</v>
      </c>
      <c r="AO297" s="20">
        <f t="shared" si="74"/>
        <v>0</v>
      </c>
      <c r="AP297" s="21">
        <v>20</v>
      </c>
      <c r="AQ297" s="20">
        <v>0</v>
      </c>
      <c r="AR297" s="20">
        <f t="shared" si="75"/>
        <v>20</v>
      </c>
      <c r="AS297" s="20">
        <v>0</v>
      </c>
      <c r="AT297" s="21">
        <v>0</v>
      </c>
      <c r="AU297" s="20">
        <f t="shared" si="76"/>
        <v>0</v>
      </c>
      <c r="AV297" s="23">
        <f t="shared" si="77"/>
        <v>116</v>
      </c>
      <c r="AW297" s="22">
        <f t="shared" si="78"/>
        <v>0</v>
      </c>
      <c r="AX297" s="20">
        <f t="shared" si="79"/>
        <v>116</v>
      </c>
      <c r="AY297" s="28" t="s">
        <v>478</v>
      </c>
      <c r="AZ297" s="28" t="s">
        <v>478</v>
      </c>
      <c r="BA297" s="28" t="s">
        <v>352</v>
      </c>
      <c r="BB297" s="29">
        <v>41380</v>
      </c>
    </row>
    <row r="298" spans="1:54" hidden="1">
      <c r="A298" s="28" t="str">
        <f t="shared" si="64"/>
        <v>802073119261</v>
      </c>
      <c r="B298" s="30">
        <v>802073</v>
      </c>
      <c r="C298" s="30" t="s">
        <v>300</v>
      </c>
      <c r="D298" s="31">
        <v>119261</v>
      </c>
      <c r="E298" s="28" t="s">
        <v>170</v>
      </c>
      <c r="F298" s="28"/>
      <c r="G298" s="28"/>
      <c r="H298" s="28"/>
      <c r="I298" s="28"/>
      <c r="J298" s="28"/>
      <c r="K298" s="28"/>
      <c r="L298" s="20">
        <v>30</v>
      </c>
      <c r="M298" s="21">
        <v>0</v>
      </c>
      <c r="N298" s="20">
        <f t="shared" si="65"/>
        <v>30</v>
      </c>
      <c r="O298" s="20">
        <v>0</v>
      </c>
      <c r="P298" s="21">
        <v>0</v>
      </c>
      <c r="Q298" s="20">
        <f t="shared" si="66"/>
        <v>0</v>
      </c>
      <c r="R298" s="20">
        <v>30</v>
      </c>
      <c r="S298" s="22">
        <v>0</v>
      </c>
      <c r="T298" s="20">
        <f t="shared" si="67"/>
        <v>30</v>
      </c>
      <c r="U298" s="20">
        <v>22</v>
      </c>
      <c r="V298" s="21">
        <v>0</v>
      </c>
      <c r="W298" s="20">
        <f t="shared" si="68"/>
        <v>22</v>
      </c>
      <c r="X298" s="20">
        <v>0</v>
      </c>
      <c r="Y298" s="22">
        <v>0</v>
      </c>
      <c r="Z298" s="20">
        <f t="shared" si="69"/>
        <v>0</v>
      </c>
      <c r="AA298" s="20">
        <v>13.95</v>
      </c>
      <c r="AB298" s="22">
        <v>0</v>
      </c>
      <c r="AC298" s="20">
        <f t="shared" si="70"/>
        <v>13.95</v>
      </c>
      <c r="AD298" s="20">
        <v>20</v>
      </c>
      <c r="AE298" s="22">
        <v>0</v>
      </c>
      <c r="AF298" s="20">
        <f t="shared" si="71"/>
        <v>20</v>
      </c>
      <c r="AG298" s="20">
        <v>20</v>
      </c>
      <c r="AH298" s="21">
        <v>0</v>
      </c>
      <c r="AI298" s="20">
        <f t="shared" si="72"/>
        <v>20</v>
      </c>
      <c r="AJ298" s="20">
        <v>13.5</v>
      </c>
      <c r="AK298" s="21">
        <v>0</v>
      </c>
      <c r="AL298" s="20">
        <f t="shared" si="73"/>
        <v>13.5</v>
      </c>
      <c r="AM298" s="20">
        <v>0</v>
      </c>
      <c r="AN298" s="21">
        <v>0</v>
      </c>
      <c r="AO298" s="20">
        <f t="shared" si="74"/>
        <v>0</v>
      </c>
      <c r="AP298" s="21">
        <v>0</v>
      </c>
      <c r="AQ298" s="20">
        <v>0</v>
      </c>
      <c r="AR298" s="20">
        <f t="shared" si="75"/>
        <v>0</v>
      </c>
      <c r="AS298" s="20">
        <v>0</v>
      </c>
      <c r="AT298" s="21">
        <v>0</v>
      </c>
      <c r="AU298" s="20">
        <f t="shared" si="76"/>
        <v>0</v>
      </c>
      <c r="AV298" s="23">
        <f t="shared" si="77"/>
        <v>149.44999999999999</v>
      </c>
      <c r="AW298" s="22">
        <f t="shared" si="78"/>
        <v>0</v>
      </c>
      <c r="AX298" s="20">
        <f t="shared" si="79"/>
        <v>149.44999999999999</v>
      </c>
      <c r="AY298" s="28" t="s">
        <v>478</v>
      </c>
      <c r="AZ298" s="28" t="s">
        <v>478</v>
      </c>
      <c r="BA298" s="28" t="s">
        <v>352</v>
      </c>
      <c r="BB298" s="29">
        <v>41432</v>
      </c>
    </row>
    <row r="299" spans="1:54" hidden="1">
      <c r="A299" s="28" t="str">
        <f t="shared" si="64"/>
        <v>802948119261</v>
      </c>
      <c r="B299" s="30">
        <v>802948</v>
      </c>
      <c r="C299" s="30" t="s">
        <v>29</v>
      </c>
      <c r="D299" s="31">
        <v>119261</v>
      </c>
      <c r="E299" s="28" t="s">
        <v>170</v>
      </c>
      <c r="F299" s="28"/>
      <c r="G299" s="28"/>
      <c r="H299" s="28"/>
      <c r="I299" s="28"/>
      <c r="J299" s="28"/>
      <c r="K299" s="28"/>
      <c r="L299" s="20">
        <v>51</v>
      </c>
      <c r="M299" s="21">
        <v>1</v>
      </c>
      <c r="N299" s="20">
        <f t="shared" si="65"/>
        <v>52</v>
      </c>
      <c r="O299" s="20">
        <v>0</v>
      </c>
      <c r="P299" s="21">
        <v>0</v>
      </c>
      <c r="Q299" s="20">
        <f t="shared" si="66"/>
        <v>0</v>
      </c>
      <c r="R299" s="20">
        <v>102</v>
      </c>
      <c r="S299" s="22">
        <v>0.5</v>
      </c>
      <c r="T299" s="20">
        <f t="shared" si="67"/>
        <v>102.5</v>
      </c>
      <c r="U299" s="20">
        <v>59.5</v>
      </c>
      <c r="V299" s="21">
        <v>0</v>
      </c>
      <c r="W299" s="20">
        <f t="shared" si="68"/>
        <v>59.5</v>
      </c>
      <c r="X299" s="20">
        <v>31</v>
      </c>
      <c r="Y299" s="22">
        <v>0</v>
      </c>
      <c r="Z299" s="20">
        <f t="shared" si="69"/>
        <v>31</v>
      </c>
      <c r="AA299" s="20">
        <v>52.5</v>
      </c>
      <c r="AB299" s="22">
        <v>0</v>
      </c>
      <c r="AC299" s="20">
        <f t="shared" si="70"/>
        <v>52.5</v>
      </c>
      <c r="AD299" s="20">
        <v>0</v>
      </c>
      <c r="AE299" s="22">
        <v>0</v>
      </c>
      <c r="AF299" s="20">
        <f t="shared" si="71"/>
        <v>0</v>
      </c>
      <c r="AG299" s="20">
        <v>52</v>
      </c>
      <c r="AH299" s="21">
        <v>0</v>
      </c>
      <c r="AI299" s="20">
        <f t="shared" si="72"/>
        <v>52</v>
      </c>
      <c r="AJ299" s="20">
        <v>50</v>
      </c>
      <c r="AK299" s="21">
        <v>0</v>
      </c>
      <c r="AL299" s="20">
        <f t="shared" si="73"/>
        <v>50</v>
      </c>
      <c r="AM299" s="20">
        <v>80</v>
      </c>
      <c r="AN299" s="21">
        <v>0</v>
      </c>
      <c r="AO299" s="20">
        <f t="shared" si="74"/>
        <v>80</v>
      </c>
      <c r="AP299" s="21">
        <v>50</v>
      </c>
      <c r="AQ299" s="20">
        <v>0</v>
      </c>
      <c r="AR299" s="20">
        <f t="shared" si="75"/>
        <v>50</v>
      </c>
      <c r="AS299" s="20">
        <v>0</v>
      </c>
      <c r="AT299" s="21">
        <v>0</v>
      </c>
      <c r="AU299" s="20">
        <f t="shared" si="76"/>
        <v>0</v>
      </c>
      <c r="AV299" s="23">
        <f t="shared" si="77"/>
        <v>528</v>
      </c>
      <c r="AW299" s="22">
        <f t="shared" si="78"/>
        <v>1.5</v>
      </c>
      <c r="AX299" s="20">
        <f t="shared" si="79"/>
        <v>529.5</v>
      </c>
      <c r="AY299" s="28" t="s">
        <v>478</v>
      </c>
      <c r="AZ299" s="28" t="s">
        <v>478</v>
      </c>
      <c r="BA299" s="28" t="s">
        <v>352</v>
      </c>
      <c r="BB299" s="29">
        <v>41556</v>
      </c>
    </row>
    <row r="300" spans="1:54" hidden="1">
      <c r="A300" s="28" t="str">
        <f t="shared" si="64"/>
        <v>803877143416</v>
      </c>
      <c r="B300" s="30">
        <v>803877</v>
      </c>
      <c r="C300" s="30" t="s">
        <v>304</v>
      </c>
      <c r="D300" s="31">
        <v>143416</v>
      </c>
      <c r="E300" s="28" t="s">
        <v>255</v>
      </c>
      <c r="F300" s="28"/>
      <c r="G300" s="28"/>
      <c r="H300" s="28"/>
      <c r="I300" s="28"/>
      <c r="J300" s="28"/>
      <c r="K300" s="28"/>
      <c r="L300" s="20">
        <v>5</v>
      </c>
      <c r="M300" s="21">
        <v>0</v>
      </c>
      <c r="N300" s="20">
        <f t="shared" si="65"/>
        <v>5</v>
      </c>
      <c r="O300" s="20">
        <v>6.75</v>
      </c>
      <c r="P300" s="21">
        <v>0</v>
      </c>
      <c r="Q300" s="20">
        <f t="shared" si="66"/>
        <v>6.75</v>
      </c>
      <c r="R300" s="20">
        <v>12.25</v>
      </c>
      <c r="S300" s="22">
        <v>0</v>
      </c>
      <c r="T300" s="20">
        <f t="shared" si="67"/>
        <v>12.25</v>
      </c>
      <c r="U300" s="20">
        <v>22.5</v>
      </c>
      <c r="V300" s="21">
        <v>0</v>
      </c>
      <c r="W300" s="20">
        <f t="shared" si="68"/>
        <v>22.5</v>
      </c>
      <c r="X300" s="20">
        <v>0</v>
      </c>
      <c r="Y300" s="22">
        <v>0</v>
      </c>
      <c r="Z300" s="20">
        <f t="shared" si="69"/>
        <v>0</v>
      </c>
      <c r="AA300" s="20">
        <v>0</v>
      </c>
      <c r="AB300" s="22">
        <v>0</v>
      </c>
      <c r="AC300" s="20">
        <f t="shared" si="70"/>
        <v>0</v>
      </c>
      <c r="AD300" s="20">
        <v>0</v>
      </c>
      <c r="AE300" s="22">
        <v>0</v>
      </c>
      <c r="AF300" s="20">
        <f t="shared" si="71"/>
        <v>0</v>
      </c>
      <c r="AG300" s="20">
        <v>0</v>
      </c>
      <c r="AH300" s="21">
        <v>0</v>
      </c>
      <c r="AI300" s="20">
        <f t="shared" si="72"/>
        <v>0</v>
      </c>
      <c r="AJ300" s="20">
        <v>0</v>
      </c>
      <c r="AK300" s="21">
        <v>0</v>
      </c>
      <c r="AL300" s="20">
        <f t="shared" si="73"/>
        <v>0</v>
      </c>
      <c r="AM300" s="20">
        <v>26.25</v>
      </c>
      <c r="AN300" s="21">
        <v>0</v>
      </c>
      <c r="AO300" s="20">
        <f t="shared" si="74"/>
        <v>26.25</v>
      </c>
      <c r="AP300" s="21">
        <v>0</v>
      </c>
      <c r="AQ300" s="20">
        <v>0</v>
      </c>
      <c r="AR300" s="20">
        <f t="shared" si="75"/>
        <v>0</v>
      </c>
      <c r="AS300" s="20">
        <v>0</v>
      </c>
      <c r="AT300" s="21">
        <v>0</v>
      </c>
      <c r="AU300" s="20">
        <f t="shared" si="76"/>
        <v>0</v>
      </c>
      <c r="AV300" s="23">
        <f t="shared" si="77"/>
        <v>72.75</v>
      </c>
      <c r="AW300" s="22">
        <f t="shared" si="78"/>
        <v>0</v>
      </c>
      <c r="AX300" s="20">
        <f t="shared" si="79"/>
        <v>72.75</v>
      </c>
      <c r="AY300" s="28" t="s">
        <v>478</v>
      </c>
      <c r="AZ300" s="28" t="s">
        <v>478</v>
      </c>
      <c r="BA300" s="28" t="s">
        <v>352</v>
      </c>
      <c r="BB300" s="29">
        <v>42059</v>
      </c>
    </row>
    <row r="301" spans="1:54" hidden="1">
      <c r="A301" s="28" t="str">
        <f t="shared" si="64"/>
        <v>804935122537</v>
      </c>
      <c r="B301" s="30">
        <v>804935</v>
      </c>
      <c r="C301" s="30" t="s">
        <v>47</v>
      </c>
      <c r="D301" s="31">
        <v>122537</v>
      </c>
      <c r="E301" s="28" t="s">
        <v>258</v>
      </c>
      <c r="F301" s="28"/>
      <c r="G301" s="28"/>
      <c r="H301" s="28"/>
      <c r="I301" s="28"/>
      <c r="J301" s="28"/>
      <c r="K301" s="28"/>
      <c r="L301" s="20">
        <v>38.450000000000003</v>
      </c>
      <c r="M301" s="21">
        <v>0</v>
      </c>
      <c r="N301" s="20">
        <f t="shared" si="65"/>
        <v>38.450000000000003</v>
      </c>
      <c r="O301" s="20">
        <v>5</v>
      </c>
      <c r="P301" s="21">
        <v>0</v>
      </c>
      <c r="Q301" s="20">
        <f t="shared" si="66"/>
        <v>5</v>
      </c>
      <c r="R301" s="20">
        <v>56.25</v>
      </c>
      <c r="S301" s="22">
        <v>0</v>
      </c>
      <c r="T301" s="20">
        <f t="shared" si="67"/>
        <v>56.25</v>
      </c>
      <c r="U301" s="20">
        <v>84.75</v>
      </c>
      <c r="V301" s="21">
        <v>0</v>
      </c>
      <c r="W301" s="20">
        <f t="shared" si="68"/>
        <v>84.75</v>
      </c>
      <c r="X301" s="20">
        <v>137.5</v>
      </c>
      <c r="Y301" s="22">
        <v>0</v>
      </c>
      <c r="Z301" s="20">
        <f t="shared" si="69"/>
        <v>137.5</v>
      </c>
      <c r="AA301" s="20">
        <v>85.25</v>
      </c>
      <c r="AB301" s="22">
        <v>0</v>
      </c>
      <c r="AC301" s="20">
        <f t="shared" si="70"/>
        <v>85.25</v>
      </c>
      <c r="AD301" s="20">
        <v>94</v>
      </c>
      <c r="AE301" s="22">
        <v>0</v>
      </c>
      <c r="AF301" s="20">
        <f t="shared" si="71"/>
        <v>94</v>
      </c>
      <c r="AG301" s="20">
        <v>74.25</v>
      </c>
      <c r="AH301" s="21">
        <v>0</v>
      </c>
      <c r="AI301" s="20">
        <f t="shared" si="72"/>
        <v>74.25</v>
      </c>
      <c r="AJ301" s="20">
        <v>121.5</v>
      </c>
      <c r="AK301" s="21">
        <v>0</v>
      </c>
      <c r="AL301" s="20">
        <f t="shared" si="73"/>
        <v>121.5</v>
      </c>
      <c r="AM301" s="20">
        <v>68.5</v>
      </c>
      <c r="AN301" s="21">
        <v>0</v>
      </c>
      <c r="AO301" s="20">
        <f t="shared" si="74"/>
        <v>68.5</v>
      </c>
      <c r="AP301" s="21">
        <v>50</v>
      </c>
      <c r="AQ301" s="20">
        <v>0</v>
      </c>
      <c r="AR301" s="20">
        <f t="shared" si="75"/>
        <v>50</v>
      </c>
      <c r="AS301" s="20">
        <v>77.5</v>
      </c>
      <c r="AT301" s="21">
        <v>0</v>
      </c>
      <c r="AU301" s="20">
        <f t="shared" si="76"/>
        <v>77.5</v>
      </c>
      <c r="AV301" s="23">
        <f t="shared" si="77"/>
        <v>892.95</v>
      </c>
      <c r="AW301" s="22">
        <f t="shared" si="78"/>
        <v>0</v>
      </c>
      <c r="AX301" s="20">
        <f t="shared" si="79"/>
        <v>892.95</v>
      </c>
      <c r="AY301" s="28" t="s">
        <v>478</v>
      </c>
      <c r="AZ301" s="28" t="s">
        <v>478</v>
      </c>
      <c r="BA301" s="28" t="s">
        <v>352</v>
      </c>
      <c r="BB301" s="29">
        <v>42460</v>
      </c>
    </row>
    <row r="302" spans="1:54" hidden="1">
      <c r="A302" s="28" t="str">
        <f t="shared" si="64"/>
        <v>804935176279</v>
      </c>
      <c r="B302" s="30">
        <v>804935</v>
      </c>
      <c r="C302" s="30" t="s">
        <v>47</v>
      </c>
      <c r="D302" s="28">
        <v>176279</v>
      </c>
      <c r="E302" s="28" t="s">
        <v>175</v>
      </c>
      <c r="F302" s="28"/>
      <c r="G302" s="28"/>
      <c r="H302" s="28"/>
      <c r="I302" s="28"/>
      <c r="J302" s="28"/>
      <c r="K302" s="28"/>
      <c r="L302" s="20">
        <v>0</v>
      </c>
      <c r="M302" s="21">
        <v>0</v>
      </c>
      <c r="N302" s="20">
        <f t="shared" si="65"/>
        <v>0</v>
      </c>
      <c r="O302" s="20">
        <v>0</v>
      </c>
      <c r="P302" s="21">
        <v>0</v>
      </c>
      <c r="Q302" s="20">
        <f t="shared" si="66"/>
        <v>0</v>
      </c>
      <c r="R302" s="20">
        <v>0</v>
      </c>
      <c r="S302" s="22">
        <v>0</v>
      </c>
      <c r="T302" s="20">
        <f t="shared" si="67"/>
        <v>0</v>
      </c>
      <c r="U302" s="20">
        <v>0</v>
      </c>
      <c r="V302" s="21">
        <v>0</v>
      </c>
      <c r="W302" s="20">
        <f t="shared" si="68"/>
        <v>0</v>
      </c>
      <c r="X302" s="20">
        <v>0</v>
      </c>
      <c r="Y302" s="22">
        <v>0</v>
      </c>
      <c r="Z302" s="20">
        <f t="shared" si="69"/>
        <v>0</v>
      </c>
      <c r="AA302" s="20">
        <v>0</v>
      </c>
      <c r="AB302" s="22">
        <v>0</v>
      </c>
      <c r="AC302" s="20">
        <f t="shared" si="70"/>
        <v>0</v>
      </c>
      <c r="AD302" s="20">
        <v>0</v>
      </c>
      <c r="AE302" s="22">
        <v>0</v>
      </c>
      <c r="AF302" s="20">
        <f t="shared" si="71"/>
        <v>0</v>
      </c>
      <c r="AG302" s="20">
        <v>0</v>
      </c>
      <c r="AH302" s="21">
        <v>0</v>
      </c>
      <c r="AI302" s="20">
        <f t="shared" si="72"/>
        <v>0</v>
      </c>
      <c r="AJ302" s="20">
        <v>10</v>
      </c>
      <c r="AK302" s="21">
        <v>0</v>
      </c>
      <c r="AL302" s="20">
        <f t="shared" si="73"/>
        <v>10</v>
      </c>
      <c r="AM302" s="20">
        <v>0</v>
      </c>
      <c r="AN302" s="21">
        <v>0</v>
      </c>
      <c r="AO302" s="20">
        <f t="shared" si="74"/>
        <v>0</v>
      </c>
      <c r="AP302" s="21">
        <v>0</v>
      </c>
      <c r="AQ302" s="20">
        <v>0</v>
      </c>
      <c r="AR302" s="20">
        <f t="shared" si="75"/>
        <v>0</v>
      </c>
      <c r="AS302" s="20">
        <v>0</v>
      </c>
      <c r="AT302" s="21">
        <v>0</v>
      </c>
      <c r="AU302" s="20">
        <f t="shared" si="76"/>
        <v>0</v>
      </c>
      <c r="AV302" s="23">
        <f t="shared" si="77"/>
        <v>10</v>
      </c>
      <c r="AW302" s="22">
        <f t="shared" si="78"/>
        <v>0</v>
      </c>
      <c r="AX302" s="20">
        <f t="shared" si="79"/>
        <v>10</v>
      </c>
      <c r="AY302" s="28" t="s">
        <v>478</v>
      </c>
      <c r="AZ302" s="28" t="s">
        <v>478</v>
      </c>
      <c r="BA302" s="28" t="s">
        <v>352</v>
      </c>
      <c r="BB302" s="29">
        <v>42460</v>
      </c>
    </row>
    <row r="303" spans="1:54" hidden="1">
      <c r="A303" s="28" t="str">
        <f t="shared" si="64"/>
        <v>805095119261</v>
      </c>
      <c r="B303" s="30">
        <v>805095</v>
      </c>
      <c r="C303" s="30" t="s">
        <v>106</v>
      </c>
      <c r="D303" s="31">
        <v>119261</v>
      </c>
      <c r="E303" s="28" t="s">
        <v>170</v>
      </c>
      <c r="F303" s="28"/>
      <c r="G303" s="28"/>
      <c r="H303" s="28"/>
      <c r="I303" s="28"/>
      <c r="J303" s="28"/>
      <c r="K303" s="28"/>
      <c r="L303" s="20">
        <v>25</v>
      </c>
      <c r="M303" s="21">
        <v>0</v>
      </c>
      <c r="N303" s="20">
        <f t="shared" si="65"/>
        <v>25</v>
      </c>
      <c r="O303" s="20">
        <v>0</v>
      </c>
      <c r="P303" s="21">
        <v>0</v>
      </c>
      <c r="Q303" s="20">
        <f t="shared" si="66"/>
        <v>0</v>
      </c>
      <c r="R303" s="20">
        <v>101</v>
      </c>
      <c r="S303" s="22">
        <v>0</v>
      </c>
      <c r="T303" s="20">
        <f t="shared" si="67"/>
        <v>101</v>
      </c>
      <c r="U303" s="20">
        <v>53</v>
      </c>
      <c r="V303" s="21">
        <v>0</v>
      </c>
      <c r="W303" s="20">
        <f t="shared" si="68"/>
        <v>53</v>
      </c>
      <c r="X303" s="20">
        <v>22</v>
      </c>
      <c r="Y303" s="22">
        <v>0</v>
      </c>
      <c r="Z303" s="20">
        <f t="shared" si="69"/>
        <v>22</v>
      </c>
      <c r="AA303" s="20">
        <v>0</v>
      </c>
      <c r="AB303" s="22">
        <v>0</v>
      </c>
      <c r="AC303" s="20">
        <f t="shared" si="70"/>
        <v>0</v>
      </c>
      <c r="AD303" s="20">
        <v>105</v>
      </c>
      <c r="AE303" s="22">
        <v>0</v>
      </c>
      <c r="AF303" s="20">
        <f t="shared" si="71"/>
        <v>105</v>
      </c>
      <c r="AG303" s="20">
        <v>101.5</v>
      </c>
      <c r="AH303" s="21">
        <v>0</v>
      </c>
      <c r="AI303" s="20">
        <f t="shared" si="72"/>
        <v>101.5</v>
      </c>
      <c r="AJ303" s="20">
        <v>100</v>
      </c>
      <c r="AK303" s="21">
        <v>0</v>
      </c>
      <c r="AL303" s="20">
        <f t="shared" si="73"/>
        <v>100</v>
      </c>
      <c r="AM303" s="20">
        <v>51.3</v>
      </c>
      <c r="AN303" s="21">
        <v>0.3</v>
      </c>
      <c r="AO303" s="20">
        <f t="shared" si="74"/>
        <v>51.599999999999994</v>
      </c>
      <c r="AP303" s="21">
        <v>106</v>
      </c>
      <c r="AQ303" s="20">
        <v>0</v>
      </c>
      <c r="AR303" s="20">
        <f t="shared" si="75"/>
        <v>106</v>
      </c>
      <c r="AS303" s="20">
        <v>0</v>
      </c>
      <c r="AT303" s="21">
        <v>0</v>
      </c>
      <c r="AU303" s="20">
        <f t="shared" si="76"/>
        <v>0</v>
      </c>
      <c r="AV303" s="23">
        <f t="shared" si="77"/>
        <v>664.8</v>
      </c>
      <c r="AW303" s="22">
        <f t="shared" si="78"/>
        <v>0.3</v>
      </c>
      <c r="AX303" s="20">
        <f t="shared" si="79"/>
        <v>665.09999999999991</v>
      </c>
      <c r="AY303" s="28" t="s">
        <v>478</v>
      </c>
      <c r="AZ303" s="28" t="s">
        <v>478</v>
      </c>
      <c r="BA303" s="28" t="s">
        <v>352</v>
      </c>
      <c r="BB303" s="29">
        <v>42516</v>
      </c>
    </row>
    <row r="304" spans="1:54" hidden="1">
      <c r="A304" s="28" t="str">
        <f t="shared" si="64"/>
        <v>805255119261</v>
      </c>
      <c r="B304" s="30">
        <v>805255</v>
      </c>
      <c r="C304" s="30" t="s">
        <v>419</v>
      </c>
      <c r="D304" s="28">
        <v>119261</v>
      </c>
      <c r="E304" s="28" t="s">
        <v>170</v>
      </c>
      <c r="F304" s="28"/>
      <c r="G304" s="28"/>
      <c r="H304" s="28"/>
      <c r="I304" s="28"/>
      <c r="J304" s="28"/>
      <c r="K304" s="28"/>
      <c r="L304" s="20">
        <v>0</v>
      </c>
      <c r="M304" s="21">
        <v>0</v>
      </c>
      <c r="N304" s="20">
        <f t="shared" si="65"/>
        <v>0</v>
      </c>
      <c r="O304" s="20">
        <v>0</v>
      </c>
      <c r="P304" s="21">
        <v>0</v>
      </c>
      <c r="Q304" s="20">
        <f t="shared" si="66"/>
        <v>0</v>
      </c>
      <c r="R304" s="20">
        <v>0</v>
      </c>
      <c r="S304" s="22">
        <v>0</v>
      </c>
      <c r="T304" s="20">
        <f t="shared" si="67"/>
        <v>0</v>
      </c>
      <c r="U304" s="20">
        <v>0</v>
      </c>
      <c r="V304" s="21">
        <v>0</v>
      </c>
      <c r="W304" s="20">
        <f t="shared" si="68"/>
        <v>0</v>
      </c>
      <c r="X304" s="20">
        <v>10</v>
      </c>
      <c r="Y304" s="22">
        <v>0</v>
      </c>
      <c r="Z304" s="20">
        <f t="shared" si="69"/>
        <v>10</v>
      </c>
      <c r="AA304" s="20">
        <v>0</v>
      </c>
      <c r="AB304" s="22">
        <v>0</v>
      </c>
      <c r="AC304" s="20">
        <f t="shared" si="70"/>
        <v>0</v>
      </c>
      <c r="AD304" s="20">
        <v>0</v>
      </c>
      <c r="AE304" s="22">
        <v>0</v>
      </c>
      <c r="AF304" s="20">
        <f t="shared" si="71"/>
        <v>0</v>
      </c>
      <c r="AG304" s="20">
        <v>0</v>
      </c>
      <c r="AH304" s="21">
        <v>0</v>
      </c>
      <c r="AI304" s="20">
        <f t="shared" si="72"/>
        <v>0</v>
      </c>
      <c r="AJ304" s="20">
        <v>0</v>
      </c>
      <c r="AK304" s="21">
        <v>0</v>
      </c>
      <c r="AL304" s="20">
        <f t="shared" si="73"/>
        <v>0</v>
      </c>
      <c r="AM304" s="20">
        <v>20</v>
      </c>
      <c r="AN304" s="21">
        <v>0</v>
      </c>
      <c r="AO304" s="20">
        <f t="shared" si="74"/>
        <v>20</v>
      </c>
      <c r="AP304" s="21">
        <v>0</v>
      </c>
      <c r="AQ304" s="20">
        <v>0</v>
      </c>
      <c r="AR304" s="20">
        <f t="shared" si="75"/>
        <v>0</v>
      </c>
      <c r="AS304" s="20">
        <v>0</v>
      </c>
      <c r="AT304" s="21">
        <v>0</v>
      </c>
      <c r="AU304" s="20">
        <f t="shared" si="76"/>
        <v>0</v>
      </c>
      <c r="AV304" s="23">
        <f t="shared" si="77"/>
        <v>30</v>
      </c>
      <c r="AW304" s="22">
        <f t="shared" si="78"/>
        <v>0</v>
      </c>
      <c r="AX304" s="20">
        <f t="shared" si="79"/>
        <v>30</v>
      </c>
      <c r="AY304" s="28" t="s">
        <v>478</v>
      </c>
      <c r="AZ304" s="28" t="s">
        <v>478</v>
      </c>
      <c r="BA304" s="28" t="s">
        <v>352</v>
      </c>
      <c r="BB304" s="29">
        <v>42549</v>
      </c>
    </row>
    <row r="305" spans="1:54" hidden="1">
      <c r="A305" s="28" t="str">
        <f t="shared" si="64"/>
        <v>805377119261</v>
      </c>
      <c r="B305" s="30">
        <v>805377</v>
      </c>
      <c r="C305" s="30" t="s">
        <v>365</v>
      </c>
      <c r="D305" s="31">
        <v>119261</v>
      </c>
      <c r="E305" s="28" t="s">
        <v>170</v>
      </c>
      <c r="F305" s="28"/>
      <c r="G305" s="28"/>
      <c r="H305" s="28"/>
      <c r="I305" s="28"/>
      <c r="J305" s="28"/>
      <c r="K305" s="28"/>
      <c r="L305" s="20">
        <v>0</v>
      </c>
      <c r="M305" s="21">
        <v>0</v>
      </c>
      <c r="N305" s="20">
        <f t="shared" si="65"/>
        <v>0</v>
      </c>
      <c r="O305" s="20">
        <v>0</v>
      </c>
      <c r="P305" s="21">
        <v>0</v>
      </c>
      <c r="Q305" s="20">
        <f t="shared" si="66"/>
        <v>0</v>
      </c>
      <c r="R305" s="20">
        <v>76</v>
      </c>
      <c r="S305" s="22">
        <v>0</v>
      </c>
      <c r="T305" s="20">
        <f t="shared" si="67"/>
        <v>76</v>
      </c>
      <c r="U305" s="20">
        <v>89.75</v>
      </c>
      <c r="V305" s="21">
        <v>2.5</v>
      </c>
      <c r="W305" s="20">
        <f t="shared" si="68"/>
        <v>92.25</v>
      </c>
      <c r="X305" s="20">
        <v>30.5</v>
      </c>
      <c r="Y305" s="22">
        <v>0</v>
      </c>
      <c r="Z305" s="20">
        <f t="shared" si="69"/>
        <v>30.5</v>
      </c>
      <c r="AA305" s="20">
        <v>51.3</v>
      </c>
      <c r="AB305" s="22">
        <v>0</v>
      </c>
      <c r="AC305" s="20">
        <f t="shared" si="70"/>
        <v>51.3</v>
      </c>
      <c r="AD305" s="20">
        <v>51</v>
      </c>
      <c r="AE305" s="22">
        <v>0</v>
      </c>
      <c r="AF305" s="20">
        <f t="shared" si="71"/>
        <v>51</v>
      </c>
      <c r="AG305" s="20">
        <v>20</v>
      </c>
      <c r="AH305" s="21">
        <v>0</v>
      </c>
      <c r="AI305" s="20">
        <f t="shared" si="72"/>
        <v>20</v>
      </c>
      <c r="AJ305" s="20">
        <v>21</v>
      </c>
      <c r="AK305" s="21">
        <v>0</v>
      </c>
      <c r="AL305" s="20">
        <f t="shared" si="73"/>
        <v>21</v>
      </c>
      <c r="AM305" s="20">
        <v>80.5</v>
      </c>
      <c r="AN305" s="21">
        <v>0</v>
      </c>
      <c r="AO305" s="20">
        <f t="shared" si="74"/>
        <v>80.5</v>
      </c>
      <c r="AP305" s="21">
        <v>0</v>
      </c>
      <c r="AQ305" s="20">
        <v>0</v>
      </c>
      <c r="AR305" s="20">
        <f t="shared" si="75"/>
        <v>0</v>
      </c>
      <c r="AS305" s="20">
        <v>181</v>
      </c>
      <c r="AT305" s="21">
        <v>0</v>
      </c>
      <c r="AU305" s="20">
        <f t="shared" si="76"/>
        <v>181</v>
      </c>
      <c r="AV305" s="23">
        <f t="shared" si="77"/>
        <v>601.04999999999995</v>
      </c>
      <c r="AW305" s="22">
        <f t="shared" si="78"/>
        <v>2.5</v>
      </c>
      <c r="AX305" s="20">
        <f t="shared" si="79"/>
        <v>603.54999999999995</v>
      </c>
      <c r="AY305" s="28" t="s">
        <v>478</v>
      </c>
      <c r="AZ305" s="28" t="s">
        <v>478</v>
      </c>
      <c r="BA305" s="28" t="s">
        <v>352</v>
      </c>
      <c r="BB305" s="29">
        <v>42580</v>
      </c>
    </row>
    <row r="306" spans="1:54" hidden="1">
      <c r="A306" s="28" t="str">
        <f t="shared" si="64"/>
        <v>805406119261</v>
      </c>
      <c r="B306" s="30">
        <v>805406</v>
      </c>
      <c r="C306" s="30" t="s">
        <v>417</v>
      </c>
      <c r="D306" s="28">
        <v>119261</v>
      </c>
      <c r="E306" s="28" t="s">
        <v>170</v>
      </c>
      <c r="F306" s="28"/>
      <c r="G306" s="28"/>
      <c r="H306" s="28"/>
      <c r="I306" s="28"/>
      <c r="J306" s="28"/>
      <c r="K306" s="28"/>
      <c r="L306" s="20">
        <v>0</v>
      </c>
      <c r="M306" s="21">
        <v>0</v>
      </c>
      <c r="N306" s="20">
        <f t="shared" si="65"/>
        <v>0</v>
      </c>
      <c r="O306" s="20">
        <v>0</v>
      </c>
      <c r="P306" s="21">
        <v>0</v>
      </c>
      <c r="Q306" s="20">
        <f t="shared" si="66"/>
        <v>0</v>
      </c>
      <c r="R306" s="20">
        <v>0</v>
      </c>
      <c r="S306" s="22">
        <v>0</v>
      </c>
      <c r="T306" s="20">
        <f t="shared" si="67"/>
        <v>0</v>
      </c>
      <c r="U306" s="20">
        <v>0</v>
      </c>
      <c r="V306" s="21">
        <v>0</v>
      </c>
      <c r="W306" s="20">
        <f t="shared" si="68"/>
        <v>0</v>
      </c>
      <c r="X306" s="20">
        <v>10</v>
      </c>
      <c r="Y306" s="22">
        <v>0</v>
      </c>
      <c r="Z306" s="20">
        <f t="shared" si="69"/>
        <v>10</v>
      </c>
      <c r="AA306" s="20">
        <v>0</v>
      </c>
      <c r="AB306" s="22">
        <v>0</v>
      </c>
      <c r="AC306" s="20">
        <f t="shared" si="70"/>
        <v>0</v>
      </c>
      <c r="AD306" s="20">
        <v>31</v>
      </c>
      <c r="AE306" s="22">
        <v>0</v>
      </c>
      <c r="AF306" s="20">
        <f t="shared" si="71"/>
        <v>31</v>
      </c>
      <c r="AG306" s="20">
        <v>0</v>
      </c>
      <c r="AH306" s="21">
        <v>0</v>
      </c>
      <c r="AI306" s="20">
        <f t="shared" si="72"/>
        <v>0</v>
      </c>
      <c r="AJ306" s="20">
        <v>0</v>
      </c>
      <c r="AK306" s="21">
        <v>0</v>
      </c>
      <c r="AL306" s="20">
        <f t="shared" si="73"/>
        <v>0</v>
      </c>
      <c r="AM306" s="20">
        <v>0</v>
      </c>
      <c r="AN306" s="21">
        <v>0</v>
      </c>
      <c r="AO306" s="20">
        <f t="shared" si="74"/>
        <v>0</v>
      </c>
      <c r="AP306" s="21">
        <v>0</v>
      </c>
      <c r="AQ306" s="20">
        <v>0</v>
      </c>
      <c r="AR306" s="20">
        <f t="shared" si="75"/>
        <v>0</v>
      </c>
      <c r="AS306" s="20">
        <v>0</v>
      </c>
      <c r="AT306" s="21">
        <v>0</v>
      </c>
      <c r="AU306" s="20">
        <f t="shared" si="76"/>
        <v>0</v>
      </c>
      <c r="AV306" s="23">
        <f t="shared" si="77"/>
        <v>41</v>
      </c>
      <c r="AW306" s="22">
        <f t="shared" si="78"/>
        <v>0</v>
      </c>
      <c r="AX306" s="20">
        <f t="shared" si="79"/>
        <v>41</v>
      </c>
      <c r="AY306" s="28" t="s">
        <v>478</v>
      </c>
      <c r="AZ306" s="28" t="s">
        <v>478</v>
      </c>
      <c r="BA306" s="28" t="s">
        <v>352</v>
      </c>
      <c r="BB306" s="29">
        <v>42591</v>
      </c>
    </row>
    <row r="307" spans="1:54" hidden="1">
      <c r="A307" s="28" t="str">
        <f t="shared" si="64"/>
        <v>805419119261</v>
      </c>
      <c r="B307" s="30">
        <v>805419</v>
      </c>
      <c r="C307" s="30" t="s">
        <v>360</v>
      </c>
      <c r="D307" s="31">
        <v>119261</v>
      </c>
      <c r="E307" s="28" t="s">
        <v>170</v>
      </c>
      <c r="F307" s="28"/>
      <c r="G307" s="28"/>
      <c r="H307" s="28"/>
      <c r="I307" s="28"/>
      <c r="J307" s="28"/>
      <c r="K307" s="28"/>
      <c r="L307" s="20">
        <v>0</v>
      </c>
      <c r="M307" s="21">
        <v>0</v>
      </c>
      <c r="N307" s="20">
        <f t="shared" si="65"/>
        <v>0</v>
      </c>
      <c r="O307" s="20">
        <v>0</v>
      </c>
      <c r="P307" s="21">
        <v>0</v>
      </c>
      <c r="Q307" s="20">
        <f t="shared" si="66"/>
        <v>0</v>
      </c>
      <c r="R307" s="20">
        <v>100.5</v>
      </c>
      <c r="S307" s="22">
        <v>0</v>
      </c>
      <c r="T307" s="20">
        <f t="shared" si="67"/>
        <v>100.5</v>
      </c>
      <c r="U307" s="20">
        <v>56</v>
      </c>
      <c r="V307" s="21">
        <v>0</v>
      </c>
      <c r="W307" s="20">
        <f t="shared" si="68"/>
        <v>56</v>
      </c>
      <c r="X307" s="20">
        <v>30</v>
      </c>
      <c r="Y307" s="22">
        <v>0</v>
      </c>
      <c r="Z307" s="20">
        <f t="shared" si="69"/>
        <v>30</v>
      </c>
      <c r="AA307" s="20">
        <v>40</v>
      </c>
      <c r="AB307" s="22">
        <v>0</v>
      </c>
      <c r="AC307" s="20">
        <f t="shared" si="70"/>
        <v>40</v>
      </c>
      <c r="AD307" s="20">
        <v>76</v>
      </c>
      <c r="AE307" s="22">
        <v>0</v>
      </c>
      <c r="AF307" s="20">
        <f t="shared" si="71"/>
        <v>76</v>
      </c>
      <c r="AG307" s="20">
        <v>101</v>
      </c>
      <c r="AH307" s="21">
        <v>0</v>
      </c>
      <c r="AI307" s="20">
        <f t="shared" si="72"/>
        <v>101</v>
      </c>
      <c r="AJ307" s="20">
        <v>40</v>
      </c>
      <c r="AK307" s="21">
        <v>0</v>
      </c>
      <c r="AL307" s="20">
        <f t="shared" si="73"/>
        <v>40</v>
      </c>
      <c r="AM307" s="20">
        <v>50</v>
      </c>
      <c r="AN307" s="21">
        <v>0</v>
      </c>
      <c r="AO307" s="20">
        <f t="shared" si="74"/>
        <v>50</v>
      </c>
      <c r="AP307" s="21">
        <v>0</v>
      </c>
      <c r="AQ307" s="20">
        <v>0</v>
      </c>
      <c r="AR307" s="20">
        <f t="shared" si="75"/>
        <v>0</v>
      </c>
      <c r="AS307" s="20">
        <v>110</v>
      </c>
      <c r="AT307" s="21">
        <v>0</v>
      </c>
      <c r="AU307" s="20">
        <f t="shared" si="76"/>
        <v>110</v>
      </c>
      <c r="AV307" s="23">
        <f t="shared" si="77"/>
        <v>603.5</v>
      </c>
      <c r="AW307" s="22">
        <f t="shared" si="78"/>
        <v>0</v>
      </c>
      <c r="AX307" s="20">
        <f t="shared" si="79"/>
        <v>603.5</v>
      </c>
      <c r="AY307" s="28" t="s">
        <v>478</v>
      </c>
      <c r="AZ307" s="28" t="s">
        <v>478</v>
      </c>
      <c r="BA307" s="28" t="s">
        <v>352</v>
      </c>
      <c r="BB307" s="29">
        <v>42594</v>
      </c>
    </row>
    <row r="308" spans="1:54" hidden="1">
      <c r="A308" s="28" t="str">
        <f t="shared" si="64"/>
        <v>805453119261</v>
      </c>
      <c r="B308" s="30">
        <v>805453</v>
      </c>
      <c r="C308" s="30" t="s">
        <v>268</v>
      </c>
      <c r="D308" s="31">
        <v>119261</v>
      </c>
      <c r="E308" s="28" t="s">
        <v>170</v>
      </c>
      <c r="F308" s="28"/>
      <c r="G308" s="28"/>
      <c r="H308" s="28"/>
      <c r="I308" s="28"/>
      <c r="J308" s="28"/>
      <c r="K308" s="28"/>
      <c r="L308" s="20">
        <v>100</v>
      </c>
      <c r="M308" s="21">
        <v>0</v>
      </c>
      <c r="N308" s="20">
        <f t="shared" si="65"/>
        <v>100</v>
      </c>
      <c r="O308" s="20">
        <v>0</v>
      </c>
      <c r="P308" s="21">
        <v>0</v>
      </c>
      <c r="Q308" s="20">
        <f t="shared" si="66"/>
        <v>0</v>
      </c>
      <c r="R308" s="20">
        <v>102</v>
      </c>
      <c r="S308" s="22">
        <v>0</v>
      </c>
      <c r="T308" s="20">
        <f t="shared" si="67"/>
        <v>102</v>
      </c>
      <c r="U308" s="20">
        <v>105.95</v>
      </c>
      <c r="V308" s="21">
        <v>0</v>
      </c>
      <c r="W308" s="20">
        <f t="shared" si="68"/>
        <v>105.95</v>
      </c>
      <c r="X308" s="20">
        <v>2</v>
      </c>
      <c r="Y308" s="22">
        <v>0</v>
      </c>
      <c r="Z308" s="20">
        <f t="shared" si="69"/>
        <v>2</v>
      </c>
      <c r="AA308" s="20">
        <v>100</v>
      </c>
      <c r="AB308" s="22">
        <v>2.5</v>
      </c>
      <c r="AC308" s="20">
        <f t="shared" si="70"/>
        <v>102.5</v>
      </c>
      <c r="AD308" s="20">
        <v>76</v>
      </c>
      <c r="AE308" s="22">
        <v>0</v>
      </c>
      <c r="AF308" s="20">
        <f t="shared" si="71"/>
        <v>76</v>
      </c>
      <c r="AG308" s="20">
        <v>76.45</v>
      </c>
      <c r="AH308" s="21">
        <v>0</v>
      </c>
      <c r="AI308" s="20">
        <f t="shared" si="72"/>
        <v>76.45</v>
      </c>
      <c r="AJ308" s="20">
        <v>0</v>
      </c>
      <c r="AK308" s="21">
        <v>0</v>
      </c>
      <c r="AL308" s="20">
        <f t="shared" si="73"/>
        <v>0</v>
      </c>
      <c r="AM308" s="20">
        <v>57.5</v>
      </c>
      <c r="AN308" s="21">
        <v>0</v>
      </c>
      <c r="AO308" s="20">
        <f t="shared" si="74"/>
        <v>57.5</v>
      </c>
      <c r="AP308" s="21">
        <v>106</v>
      </c>
      <c r="AQ308" s="20">
        <v>0</v>
      </c>
      <c r="AR308" s="20">
        <f t="shared" si="75"/>
        <v>106</v>
      </c>
      <c r="AS308" s="20">
        <v>0</v>
      </c>
      <c r="AT308" s="21">
        <v>0</v>
      </c>
      <c r="AU308" s="20">
        <f t="shared" si="76"/>
        <v>0</v>
      </c>
      <c r="AV308" s="23">
        <f t="shared" si="77"/>
        <v>725.9</v>
      </c>
      <c r="AW308" s="22">
        <f t="shared" si="78"/>
        <v>2.5</v>
      </c>
      <c r="AX308" s="20">
        <f t="shared" si="79"/>
        <v>728.4</v>
      </c>
      <c r="AY308" s="28" t="s">
        <v>478</v>
      </c>
      <c r="AZ308" s="28" t="s">
        <v>478</v>
      </c>
      <c r="BA308" s="28" t="s">
        <v>352</v>
      </c>
      <c r="BB308" s="29">
        <v>42611</v>
      </c>
    </row>
    <row r="309" spans="1:54" hidden="1">
      <c r="A309" s="28" t="str">
        <f t="shared" si="64"/>
        <v>805796208268</v>
      </c>
      <c r="B309" s="30">
        <v>805796</v>
      </c>
      <c r="C309" s="30" t="s">
        <v>450</v>
      </c>
      <c r="D309" s="28">
        <v>208268</v>
      </c>
      <c r="E309" s="28" t="s">
        <v>388</v>
      </c>
      <c r="F309" s="28"/>
      <c r="G309" s="28"/>
      <c r="H309" s="28"/>
      <c r="I309" s="28"/>
      <c r="J309" s="28"/>
      <c r="K309" s="28"/>
      <c r="L309" s="20">
        <v>0</v>
      </c>
      <c r="M309" s="21">
        <v>0</v>
      </c>
      <c r="N309" s="20">
        <f t="shared" si="65"/>
        <v>0</v>
      </c>
      <c r="O309" s="20">
        <v>0</v>
      </c>
      <c r="P309" s="21">
        <v>0</v>
      </c>
      <c r="Q309" s="20">
        <f t="shared" si="66"/>
        <v>0</v>
      </c>
      <c r="R309" s="20">
        <v>0</v>
      </c>
      <c r="S309" s="22">
        <v>0</v>
      </c>
      <c r="T309" s="20">
        <f t="shared" si="67"/>
        <v>0</v>
      </c>
      <c r="U309" s="20">
        <v>0</v>
      </c>
      <c r="V309" s="21">
        <v>0</v>
      </c>
      <c r="W309" s="20">
        <f t="shared" si="68"/>
        <v>0</v>
      </c>
      <c r="X309" s="20">
        <v>0</v>
      </c>
      <c r="Y309" s="22">
        <v>0</v>
      </c>
      <c r="Z309" s="20">
        <f t="shared" si="69"/>
        <v>0</v>
      </c>
      <c r="AA309" s="20">
        <v>0</v>
      </c>
      <c r="AB309" s="22">
        <v>0</v>
      </c>
      <c r="AC309" s="20">
        <f t="shared" si="70"/>
        <v>0</v>
      </c>
      <c r="AD309" s="20">
        <v>50.5</v>
      </c>
      <c r="AE309" s="22">
        <v>0</v>
      </c>
      <c r="AF309" s="20">
        <f t="shared" si="71"/>
        <v>50.5</v>
      </c>
      <c r="AG309" s="20">
        <v>0</v>
      </c>
      <c r="AH309" s="21">
        <v>0</v>
      </c>
      <c r="AI309" s="20">
        <f t="shared" si="72"/>
        <v>0</v>
      </c>
      <c r="AJ309" s="20">
        <v>55</v>
      </c>
      <c r="AK309" s="21">
        <v>0</v>
      </c>
      <c r="AL309" s="20">
        <f t="shared" si="73"/>
        <v>55</v>
      </c>
      <c r="AM309" s="20">
        <v>10</v>
      </c>
      <c r="AN309" s="21">
        <v>0</v>
      </c>
      <c r="AO309" s="20">
        <f t="shared" si="74"/>
        <v>10</v>
      </c>
      <c r="AP309" s="21">
        <v>34.5</v>
      </c>
      <c r="AQ309" s="20">
        <v>1.75</v>
      </c>
      <c r="AR309" s="20">
        <f t="shared" si="75"/>
        <v>36.25</v>
      </c>
      <c r="AS309" s="20">
        <v>0</v>
      </c>
      <c r="AT309" s="21">
        <v>0</v>
      </c>
      <c r="AU309" s="20">
        <f t="shared" si="76"/>
        <v>0</v>
      </c>
      <c r="AV309" s="23">
        <f t="shared" si="77"/>
        <v>150</v>
      </c>
      <c r="AW309" s="22">
        <f t="shared" si="78"/>
        <v>1.75</v>
      </c>
      <c r="AX309" s="20">
        <f t="shared" si="79"/>
        <v>151.75</v>
      </c>
      <c r="AY309" s="28" t="s">
        <v>478</v>
      </c>
      <c r="AZ309" s="28" t="s">
        <v>478</v>
      </c>
      <c r="BA309" s="28" t="s">
        <v>352</v>
      </c>
      <c r="BB309" s="29">
        <v>42697</v>
      </c>
    </row>
    <row r="310" spans="1:54" hidden="1">
      <c r="A310" s="28" t="str">
        <f t="shared" si="64"/>
        <v>806289179796</v>
      </c>
      <c r="B310" s="30">
        <v>806289</v>
      </c>
      <c r="C310" s="30" t="s">
        <v>196</v>
      </c>
      <c r="D310" s="31">
        <v>179796</v>
      </c>
      <c r="E310" s="28" t="s">
        <v>195</v>
      </c>
      <c r="F310" s="28"/>
      <c r="G310" s="28"/>
      <c r="H310" s="28"/>
      <c r="I310" s="28"/>
      <c r="J310" s="28"/>
      <c r="K310" s="28"/>
      <c r="L310" s="20">
        <v>62.5</v>
      </c>
      <c r="M310" s="21">
        <v>0</v>
      </c>
      <c r="N310" s="20">
        <f t="shared" si="65"/>
        <v>62.5</v>
      </c>
      <c r="O310" s="20">
        <v>30</v>
      </c>
      <c r="P310" s="21">
        <v>0</v>
      </c>
      <c r="Q310" s="20">
        <f t="shared" si="66"/>
        <v>30</v>
      </c>
      <c r="R310" s="20">
        <v>61.5</v>
      </c>
      <c r="S310" s="22">
        <v>0</v>
      </c>
      <c r="T310" s="20">
        <f t="shared" si="67"/>
        <v>61.5</v>
      </c>
      <c r="U310" s="20">
        <v>33</v>
      </c>
      <c r="V310" s="21">
        <v>4</v>
      </c>
      <c r="W310" s="20">
        <f t="shared" si="68"/>
        <v>37</v>
      </c>
      <c r="X310" s="20">
        <v>48.25</v>
      </c>
      <c r="Y310" s="22">
        <v>0</v>
      </c>
      <c r="Z310" s="20">
        <f t="shared" si="69"/>
        <v>48.25</v>
      </c>
      <c r="AA310" s="20">
        <v>30</v>
      </c>
      <c r="AB310" s="22">
        <v>0</v>
      </c>
      <c r="AC310" s="20">
        <f t="shared" si="70"/>
        <v>30</v>
      </c>
      <c r="AD310" s="20">
        <v>46</v>
      </c>
      <c r="AE310" s="22">
        <v>0</v>
      </c>
      <c r="AF310" s="20">
        <f t="shared" si="71"/>
        <v>46</v>
      </c>
      <c r="AG310" s="20">
        <v>22</v>
      </c>
      <c r="AH310" s="21">
        <v>0</v>
      </c>
      <c r="AI310" s="20">
        <f t="shared" si="72"/>
        <v>22</v>
      </c>
      <c r="AJ310" s="20">
        <v>16.75</v>
      </c>
      <c r="AK310" s="21">
        <v>1.25</v>
      </c>
      <c r="AL310" s="20">
        <f t="shared" si="73"/>
        <v>18</v>
      </c>
      <c r="AM310" s="20">
        <v>56.25</v>
      </c>
      <c r="AN310" s="21">
        <v>0.25</v>
      </c>
      <c r="AO310" s="20">
        <f t="shared" si="74"/>
        <v>56.5</v>
      </c>
      <c r="AP310" s="21">
        <v>61</v>
      </c>
      <c r="AQ310" s="20">
        <v>0</v>
      </c>
      <c r="AR310" s="20">
        <f t="shared" si="75"/>
        <v>61</v>
      </c>
      <c r="AS310" s="20">
        <v>66</v>
      </c>
      <c r="AT310" s="21">
        <v>0</v>
      </c>
      <c r="AU310" s="20">
        <f t="shared" si="76"/>
        <v>66</v>
      </c>
      <c r="AV310" s="23">
        <f t="shared" si="77"/>
        <v>533.25</v>
      </c>
      <c r="AW310" s="22">
        <f t="shared" si="78"/>
        <v>5.5</v>
      </c>
      <c r="AX310" s="20">
        <f t="shared" si="79"/>
        <v>538.75</v>
      </c>
      <c r="AY310" s="28" t="s">
        <v>478</v>
      </c>
      <c r="AZ310" s="28" t="s">
        <v>478</v>
      </c>
      <c r="BA310" s="28" t="s">
        <v>352</v>
      </c>
      <c r="BB310" s="29">
        <v>42852</v>
      </c>
    </row>
    <row r="311" spans="1:54" hidden="1">
      <c r="A311" s="28" t="str">
        <f t="shared" si="64"/>
        <v>806433119261</v>
      </c>
      <c r="B311" s="30">
        <v>806433</v>
      </c>
      <c r="C311" s="30" t="s">
        <v>171</v>
      </c>
      <c r="D311" s="31">
        <v>119261</v>
      </c>
      <c r="E311" s="28" t="s">
        <v>170</v>
      </c>
      <c r="F311" s="28"/>
      <c r="G311" s="28"/>
      <c r="H311" s="28"/>
      <c r="I311" s="28"/>
      <c r="J311" s="28"/>
      <c r="K311" s="28"/>
      <c r="L311" s="20">
        <v>508.75</v>
      </c>
      <c r="M311" s="21">
        <v>3</v>
      </c>
      <c r="N311" s="20">
        <f t="shared" si="65"/>
        <v>511.75</v>
      </c>
      <c r="O311" s="20">
        <v>197.95</v>
      </c>
      <c r="P311" s="21">
        <v>0.75</v>
      </c>
      <c r="Q311" s="20">
        <f t="shared" si="66"/>
        <v>198.7</v>
      </c>
      <c r="R311" s="20">
        <v>517.75</v>
      </c>
      <c r="S311" s="22">
        <v>25</v>
      </c>
      <c r="T311" s="20">
        <f t="shared" si="67"/>
        <v>542.75</v>
      </c>
      <c r="U311" s="20">
        <v>511.55</v>
      </c>
      <c r="V311" s="21">
        <v>3.25</v>
      </c>
      <c r="W311" s="20">
        <f t="shared" si="68"/>
        <v>514.79999999999995</v>
      </c>
      <c r="X311" s="20">
        <v>554.15</v>
      </c>
      <c r="Y311" s="22">
        <v>30</v>
      </c>
      <c r="Z311" s="20">
        <f t="shared" si="69"/>
        <v>584.15</v>
      </c>
      <c r="AA311" s="20">
        <v>634.25</v>
      </c>
      <c r="AB311" s="22">
        <v>2.75</v>
      </c>
      <c r="AC311" s="20">
        <f t="shared" si="70"/>
        <v>637</v>
      </c>
      <c r="AD311" s="20">
        <v>381.5</v>
      </c>
      <c r="AE311" s="22">
        <v>10</v>
      </c>
      <c r="AF311" s="20">
        <f t="shared" si="71"/>
        <v>391.5</v>
      </c>
      <c r="AG311" s="20">
        <v>482.55</v>
      </c>
      <c r="AH311" s="21">
        <v>8.8000000000000007</v>
      </c>
      <c r="AI311" s="20">
        <f t="shared" si="72"/>
        <v>491.35</v>
      </c>
      <c r="AJ311" s="20">
        <v>905</v>
      </c>
      <c r="AK311" s="21">
        <v>8.5</v>
      </c>
      <c r="AL311" s="20">
        <f t="shared" si="73"/>
        <v>913.5</v>
      </c>
      <c r="AM311" s="20">
        <v>579</v>
      </c>
      <c r="AN311" s="21">
        <v>19.75</v>
      </c>
      <c r="AO311" s="20">
        <f t="shared" si="74"/>
        <v>598.75</v>
      </c>
      <c r="AP311" s="21">
        <v>446.5</v>
      </c>
      <c r="AQ311" s="20">
        <v>0</v>
      </c>
      <c r="AR311" s="20">
        <f t="shared" si="75"/>
        <v>446.5</v>
      </c>
      <c r="AS311" s="20">
        <v>521.15000000000009</v>
      </c>
      <c r="AT311" s="21">
        <v>0</v>
      </c>
      <c r="AU311" s="20">
        <f t="shared" si="76"/>
        <v>521.15000000000009</v>
      </c>
      <c r="AV311" s="23">
        <f t="shared" si="77"/>
        <v>6240.1</v>
      </c>
      <c r="AW311" s="22">
        <f t="shared" si="78"/>
        <v>111.8</v>
      </c>
      <c r="AX311" s="20">
        <f t="shared" si="79"/>
        <v>6351.9000000000005</v>
      </c>
      <c r="AY311" s="28" t="s">
        <v>478</v>
      </c>
      <c r="AZ311" s="28" t="s">
        <v>478</v>
      </c>
      <c r="BA311" s="28" t="s">
        <v>352</v>
      </c>
      <c r="BB311" s="29">
        <v>42892</v>
      </c>
    </row>
    <row r="312" spans="1:54" hidden="1">
      <c r="A312" s="28" t="str">
        <f t="shared" si="64"/>
        <v>806510119261</v>
      </c>
      <c r="B312" s="30">
        <v>806510</v>
      </c>
      <c r="C312" s="30" t="s">
        <v>182</v>
      </c>
      <c r="D312" s="31">
        <v>119261</v>
      </c>
      <c r="E312" s="28" t="s">
        <v>170</v>
      </c>
      <c r="F312" s="28"/>
      <c r="G312" s="28"/>
      <c r="H312" s="28"/>
      <c r="I312" s="28"/>
      <c r="J312" s="28"/>
      <c r="K312" s="28"/>
      <c r="L312" s="20">
        <v>0</v>
      </c>
      <c r="M312" s="21">
        <v>0</v>
      </c>
      <c r="N312" s="20">
        <f t="shared" si="65"/>
        <v>0</v>
      </c>
      <c r="O312" s="20">
        <v>0</v>
      </c>
      <c r="P312" s="21">
        <v>0</v>
      </c>
      <c r="Q312" s="20">
        <f t="shared" si="66"/>
        <v>0</v>
      </c>
      <c r="R312" s="20">
        <v>30</v>
      </c>
      <c r="S312" s="22">
        <v>0</v>
      </c>
      <c r="T312" s="20">
        <f t="shared" si="67"/>
        <v>30</v>
      </c>
      <c r="U312" s="20">
        <v>53</v>
      </c>
      <c r="V312" s="21">
        <v>0</v>
      </c>
      <c r="W312" s="20">
        <f t="shared" si="68"/>
        <v>53</v>
      </c>
      <c r="X312" s="20">
        <v>21</v>
      </c>
      <c r="Y312" s="22">
        <v>0</v>
      </c>
      <c r="Z312" s="20">
        <f t="shared" si="69"/>
        <v>21</v>
      </c>
      <c r="AA312" s="20">
        <v>0</v>
      </c>
      <c r="AB312" s="22">
        <v>0</v>
      </c>
      <c r="AC312" s="20">
        <f t="shared" si="70"/>
        <v>0</v>
      </c>
      <c r="AD312" s="20">
        <v>0</v>
      </c>
      <c r="AE312" s="22">
        <v>0</v>
      </c>
      <c r="AF312" s="20">
        <f t="shared" si="71"/>
        <v>0</v>
      </c>
      <c r="AG312" s="20">
        <v>20</v>
      </c>
      <c r="AH312" s="21">
        <v>0</v>
      </c>
      <c r="AI312" s="20">
        <f t="shared" si="72"/>
        <v>20</v>
      </c>
      <c r="AJ312" s="20">
        <v>31</v>
      </c>
      <c r="AK312" s="21">
        <v>0</v>
      </c>
      <c r="AL312" s="20">
        <f t="shared" si="73"/>
        <v>31</v>
      </c>
      <c r="AM312" s="20">
        <v>0</v>
      </c>
      <c r="AN312" s="21">
        <v>0</v>
      </c>
      <c r="AO312" s="20">
        <f t="shared" si="74"/>
        <v>0</v>
      </c>
      <c r="AP312" s="21">
        <v>0</v>
      </c>
      <c r="AQ312" s="20">
        <v>0</v>
      </c>
      <c r="AR312" s="20">
        <f t="shared" si="75"/>
        <v>0</v>
      </c>
      <c r="AS312" s="20">
        <v>0</v>
      </c>
      <c r="AT312" s="21">
        <v>0</v>
      </c>
      <c r="AU312" s="20">
        <f t="shared" si="76"/>
        <v>0</v>
      </c>
      <c r="AV312" s="23">
        <f t="shared" si="77"/>
        <v>155</v>
      </c>
      <c r="AW312" s="22">
        <f t="shared" si="78"/>
        <v>0</v>
      </c>
      <c r="AX312" s="20">
        <f t="shared" si="79"/>
        <v>155</v>
      </c>
      <c r="AY312" s="28" t="s">
        <v>478</v>
      </c>
      <c r="AZ312" s="28" t="s">
        <v>478</v>
      </c>
      <c r="BA312" s="28" t="s">
        <v>352</v>
      </c>
      <c r="BB312" s="29">
        <v>42909</v>
      </c>
    </row>
    <row r="313" spans="1:54" hidden="1">
      <c r="A313" s="28" t="str">
        <f t="shared" si="64"/>
        <v>806717141146</v>
      </c>
      <c r="B313" s="30">
        <v>806717</v>
      </c>
      <c r="C313" s="30" t="s">
        <v>507</v>
      </c>
      <c r="D313" s="28">
        <v>141146</v>
      </c>
      <c r="E313" s="28" t="s">
        <v>190</v>
      </c>
      <c r="F313" s="28"/>
      <c r="G313" s="28"/>
      <c r="H313" s="28"/>
      <c r="I313" s="28"/>
      <c r="J313" s="28"/>
      <c r="K313" s="28"/>
      <c r="L313" s="20">
        <v>0</v>
      </c>
      <c r="M313" s="21">
        <v>0</v>
      </c>
      <c r="N313" s="20">
        <f t="shared" si="65"/>
        <v>0</v>
      </c>
      <c r="O313" s="20">
        <v>0</v>
      </c>
      <c r="P313" s="21">
        <v>0</v>
      </c>
      <c r="Q313" s="20">
        <f t="shared" si="66"/>
        <v>0</v>
      </c>
      <c r="R313" s="20">
        <v>0</v>
      </c>
      <c r="S313" s="22">
        <v>0</v>
      </c>
      <c r="T313" s="20">
        <f t="shared" si="67"/>
        <v>0</v>
      </c>
      <c r="U313" s="20">
        <v>0</v>
      </c>
      <c r="V313" s="21">
        <v>0</v>
      </c>
      <c r="W313" s="20">
        <f t="shared" si="68"/>
        <v>0</v>
      </c>
      <c r="X313" s="20">
        <v>0</v>
      </c>
      <c r="Y313" s="22">
        <v>0</v>
      </c>
      <c r="Z313" s="20">
        <f t="shared" si="69"/>
        <v>0</v>
      </c>
      <c r="AA313" s="20">
        <v>0</v>
      </c>
      <c r="AB313" s="22">
        <v>0</v>
      </c>
      <c r="AC313" s="20">
        <f t="shared" si="70"/>
        <v>0</v>
      </c>
      <c r="AD313" s="20">
        <v>0</v>
      </c>
      <c r="AE313" s="22">
        <v>0</v>
      </c>
      <c r="AF313" s="20">
        <f t="shared" si="71"/>
        <v>0</v>
      </c>
      <c r="AG313" s="20">
        <v>0</v>
      </c>
      <c r="AH313" s="21">
        <v>0</v>
      </c>
      <c r="AI313" s="20">
        <f t="shared" si="72"/>
        <v>0</v>
      </c>
      <c r="AJ313" s="20">
        <v>25</v>
      </c>
      <c r="AK313" s="21">
        <v>0</v>
      </c>
      <c r="AL313" s="20">
        <f t="shared" si="73"/>
        <v>25</v>
      </c>
      <c r="AM313" s="20">
        <v>0</v>
      </c>
      <c r="AN313" s="21">
        <v>0</v>
      </c>
      <c r="AO313" s="20">
        <f t="shared" si="74"/>
        <v>0</v>
      </c>
      <c r="AP313" s="21">
        <v>0</v>
      </c>
      <c r="AQ313" s="20">
        <v>0</v>
      </c>
      <c r="AR313" s="20">
        <f t="shared" si="75"/>
        <v>0</v>
      </c>
      <c r="AS313" s="20">
        <v>0</v>
      </c>
      <c r="AT313" s="21">
        <v>0</v>
      </c>
      <c r="AU313" s="20">
        <f t="shared" si="76"/>
        <v>0</v>
      </c>
      <c r="AV313" s="23">
        <f t="shared" si="77"/>
        <v>25</v>
      </c>
      <c r="AW313" s="22">
        <f t="shared" si="78"/>
        <v>0</v>
      </c>
      <c r="AX313" s="20">
        <f t="shared" si="79"/>
        <v>25</v>
      </c>
      <c r="AY313" s="28" t="s">
        <v>478</v>
      </c>
      <c r="AZ313" s="28" t="s">
        <v>478</v>
      </c>
      <c r="BA313" s="28" t="s">
        <v>352</v>
      </c>
      <c r="BB313" s="29">
        <v>42964</v>
      </c>
    </row>
    <row r="314" spans="1:54" hidden="1">
      <c r="A314" s="28" t="str">
        <f t="shared" si="64"/>
        <v>806722119261</v>
      </c>
      <c r="B314" s="30">
        <v>806722</v>
      </c>
      <c r="C314" s="30" t="s">
        <v>301</v>
      </c>
      <c r="D314" s="31">
        <v>119261</v>
      </c>
      <c r="E314" s="28" t="s">
        <v>170</v>
      </c>
      <c r="F314" s="28"/>
      <c r="G314" s="28"/>
      <c r="H314" s="28"/>
      <c r="I314" s="28"/>
      <c r="J314" s="28"/>
      <c r="K314" s="28"/>
      <c r="L314" s="20">
        <v>30</v>
      </c>
      <c r="M314" s="21">
        <v>0</v>
      </c>
      <c r="N314" s="20">
        <f t="shared" si="65"/>
        <v>30</v>
      </c>
      <c r="O314" s="20">
        <v>0</v>
      </c>
      <c r="P314" s="21">
        <v>0</v>
      </c>
      <c r="Q314" s="20">
        <f t="shared" si="66"/>
        <v>0</v>
      </c>
      <c r="R314" s="20">
        <v>0</v>
      </c>
      <c r="S314" s="22">
        <v>0</v>
      </c>
      <c r="T314" s="20">
        <f t="shared" si="67"/>
        <v>0</v>
      </c>
      <c r="U314" s="20">
        <v>23</v>
      </c>
      <c r="V314" s="21">
        <v>0</v>
      </c>
      <c r="W314" s="20">
        <f t="shared" si="68"/>
        <v>23</v>
      </c>
      <c r="X314" s="20">
        <v>10</v>
      </c>
      <c r="Y314" s="22">
        <v>0</v>
      </c>
      <c r="Z314" s="20">
        <f t="shared" si="69"/>
        <v>10</v>
      </c>
      <c r="AA314" s="20">
        <v>34.5</v>
      </c>
      <c r="AB314" s="22">
        <v>0</v>
      </c>
      <c r="AC314" s="20">
        <f t="shared" si="70"/>
        <v>34.5</v>
      </c>
      <c r="AD314" s="20">
        <v>50</v>
      </c>
      <c r="AE314" s="22">
        <v>0</v>
      </c>
      <c r="AF314" s="20">
        <f t="shared" si="71"/>
        <v>50</v>
      </c>
      <c r="AG314" s="20">
        <v>101</v>
      </c>
      <c r="AH314" s="21">
        <v>0</v>
      </c>
      <c r="AI314" s="20">
        <f t="shared" si="72"/>
        <v>101</v>
      </c>
      <c r="AJ314" s="20">
        <v>110</v>
      </c>
      <c r="AK314" s="21">
        <v>0</v>
      </c>
      <c r="AL314" s="20">
        <f t="shared" si="73"/>
        <v>110</v>
      </c>
      <c r="AM314" s="20">
        <v>50</v>
      </c>
      <c r="AN314" s="21">
        <v>0</v>
      </c>
      <c r="AO314" s="20">
        <f t="shared" si="74"/>
        <v>50</v>
      </c>
      <c r="AP314" s="21">
        <v>100</v>
      </c>
      <c r="AQ314" s="20">
        <v>0</v>
      </c>
      <c r="AR314" s="20">
        <f t="shared" si="75"/>
        <v>100</v>
      </c>
      <c r="AS314" s="20">
        <v>0</v>
      </c>
      <c r="AT314" s="21">
        <v>0</v>
      </c>
      <c r="AU314" s="20">
        <f t="shared" si="76"/>
        <v>0</v>
      </c>
      <c r="AV314" s="23">
        <f t="shared" si="77"/>
        <v>508.5</v>
      </c>
      <c r="AW314" s="22">
        <f t="shared" si="78"/>
        <v>0</v>
      </c>
      <c r="AX314" s="20">
        <f t="shared" si="79"/>
        <v>508.5</v>
      </c>
      <c r="AY314" s="28" t="s">
        <v>478</v>
      </c>
      <c r="AZ314" s="28" t="s">
        <v>478</v>
      </c>
      <c r="BA314" s="28" t="s">
        <v>352</v>
      </c>
      <c r="BB314" s="29">
        <v>42964</v>
      </c>
    </row>
    <row r="315" spans="1:54" hidden="1">
      <c r="A315" s="28" t="str">
        <f t="shared" si="64"/>
        <v>806723119261</v>
      </c>
      <c r="B315" s="30">
        <v>806723</v>
      </c>
      <c r="C315" s="30" t="s">
        <v>303</v>
      </c>
      <c r="D315" s="31">
        <v>119261</v>
      </c>
      <c r="E315" s="28" t="s">
        <v>170</v>
      </c>
      <c r="F315" s="28"/>
      <c r="G315" s="28"/>
      <c r="H315" s="28"/>
      <c r="I315" s="28"/>
      <c r="J315" s="28"/>
      <c r="K315" s="28"/>
      <c r="L315" s="20">
        <v>50</v>
      </c>
      <c r="M315" s="21">
        <v>0</v>
      </c>
      <c r="N315" s="20">
        <f t="shared" si="65"/>
        <v>50</v>
      </c>
      <c r="O315" s="20">
        <v>0</v>
      </c>
      <c r="P315" s="21">
        <v>0</v>
      </c>
      <c r="Q315" s="20">
        <f t="shared" si="66"/>
        <v>0</v>
      </c>
      <c r="R315" s="20">
        <v>53.5</v>
      </c>
      <c r="S315" s="22">
        <v>0</v>
      </c>
      <c r="T315" s="20">
        <f t="shared" si="67"/>
        <v>53.5</v>
      </c>
      <c r="U315" s="20">
        <v>53.5</v>
      </c>
      <c r="V315" s="21">
        <v>0</v>
      </c>
      <c r="W315" s="20">
        <f t="shared" si="68"/>
        <v>53.5</v>
      </c>
      <c r="X315" s="20">
        <v>51</v>
      </c>
      <c r="Y315" s="22">
        <v>1</v>
      </c>
      <c r="Z315" s="20">
        <f t="shared" si="69"/>
        <v>52</v>
      </c>
      <c r="AA315" s="20">
        <v>51</v>
      </c>
      <c r="AB315" s="22">
        <v>0</v>
      </c>
      <c r="AC315" s="20">
        <f t="shared" si="70"/>
        <v>51</v>
      </c>
      <c r="AD315" s="20">
        <v>101</v>
      </c>
      <c r="AE315" s="22">
        <v>0</v>
      </c>
      <c r="AF315" s="20">
        <f t="shared" si="71"/>
        <v>101</v>
      </c>
      <c r="AG315" s="20">
        <v>52</v>
      </c>
      <c r="AH315" s="21">
        <v>0</v>
      </c>
      <c r="AI315" s="20">
        <f t="shared" si="72"/>
        <v>52</v>
      </c>
      <c r="AJ315" s="20">
        <v>31.5</v>
      </c>
      <c r="AK315" s="21">
        <v>0</v>
      </c>
      <c r="AL315" s="20">
        <f t="shared" si="73"/>
        <v>31.5</v>
      </c>
      <c r="AM315" s="20">
        <v>150</v>
      </c>
      <c r="AN315" s="21">
        <v>0</v>
      </c>
      <c r="AO315" s="20">
        <f t="shared" si="74"/>
        <v>150</v>
      </c>
      <c r="AP315" s="21">
        <v>0</v>
      </c>
      <c r="AQ315" s="20">
        <v>0</v>
      </c>
      <c r="AR315" s="20">
        <f t="shared" si="75"/>
        <v>0</v>
      </c>
      <c r="AS315" s="20">
        <v>50</v>
      </c>
      <c r="AT315" s="21">
        <v>0</v>
      </c>
      <c r="AU315" s="20">
        <f t="shared" si="76"/>
        <v>50</v>
      </c>
      <c r="AV315" s="23">
        <f t="shared" si="77"/>
        <v>643.5</v>
      </c>
      <c r="AW315" s="22">
        <f t="shared" si="78"/>
        <v>1</v>
      </c>
      <c r="AX315" s="20">
        <f t="shared" si="79"/>
        <v>644.5</v>
      </c>
      <c r="AY315" s="28" t="s">
        <v>478</v>
      </c>
      <c r="AZ315" s="28" t="s">
        <v>478</v>
      </c>
      <c r="BA315" s="28" t="s">
        <v>352</v>
      </c>
      <c r="BB315" s="29">
        <v>42964</v>
      </c>
    </row>
    <row r="316" spans="1:54" hidden="1">
      <c r="A316" s="28" t="str">
        <f t="shared" si="64"/>
        <v>807120119261</v>
      </c>
      <c r="B316" s="30">
        <v>807120</v>
      </c>
      <c r="C316" s="30" t="s">
        <v>274</v>
      </c>
      <c r="D316" s="31">
        <v>119261</v>
      </c>
      <c r="E316" s="28" t="s">
        <v>170</v>
      </c>
      <c r="F316" s="28"/>
      <c r="G316" s="28"/>
      <c r="H316" s="28"/>
      <c r="I316" s="28"/>
      <c r="J316" s="28"/>
      <c r="K316" s="28"/>
      <c r="L316" s="20">
        <v>100.75</v>
      </c>
      <c r="M316" s="21">
        <v>0</v>
      </c>
      <c r="N316" s="20">
        <f t="shared" si="65"/>
        <v>100.75</v>
      </c>
      <c r="O316" s="20">
        <v>0</v>
      </c>
      <c r="P316" s="21">
        <v>0</v>
      </c>
      <c r="Q316" s="20">
        <f t="shared" si="66"/>
        <v>0</v>
      </c>
      <c r="R316" s="20">
        <v>0</v>
      </c>
      <c r="S316" s="22">
        <v>0</v>
      </c>
      <c r="T316" s="20">
        <f t="shared" si="67"/>
        <v>0</v>
      </c>
      <c r="U316" s="20">
        <v>107</v>
      </c>
      <c r="V316" s="21">
        <v>0</v>
      </c>
      <c r="W316" s="20">
        <f t="shared" si="68"/>
        <v>107</v>
      </c>
      <c r="X316" s="20">
        <v>100</v>
      </c>
      <c r="Y316" s="22">
        <v>0</v>
      </c>
      <c r="Z316" s="20">
        <f t="shared" si="69"/>
        <v>100</v>
      </c>
      <c r="AA316" s="20">
        <v>102</v>
      </c>
      <c r="AB316" s="22">
        <v>0</v>
      </c>
      <c r="AC316" s="20">
        <f t="shared" si="70"/>
        <v>102</v>
      </c>
      <c r="AD316" s="20">
        <v>157.80000000000001</v>
      </c>
      <c r="AE316" s="22">
        <v>12.3</v>
      </c>
      <c r="AF316" s="20">
        <f t="shared" si="71"/>
        <v>170.10000000000002</v>
      </c>
      <c r="AG316" s="20">
        <v>298.7</v>
      </c>
      <c r="AH316" s="21">
        <v>15.2</v>
      </c>
      <c r="AI316" s="20">
        <f t="shared" si="72"/>
        <v>313.89999999999998</v>
      </c>
      <c r="AJ316" s="20">
        <v>375.4</v>
      </c>
      <c r="AK316" s="21">
        <v>0</v>
      </c>
      <c r="AL316" s="20">
        <f t="shared" si="73"/>
        <v>375.4</v>
      </c>
      <c r="AM316" s="20">
        <v>301.5</v>
      </c>
      <c r="AN316" s="21">
        <v>0</v>
      </c>
      <c r="AO316" s="20">
        <f t="shared" si="74"/>
        <v>301.5</v>
      </c>
      <c r="AP316" s="21">
        <v>301.89999999999998</v>
      </c>
      <c r="AQ316" s="20">
        <v>0</v>
      </c>
      <c r="AR316" s="20">
        <f t="shared" si="75"/>
        <v>301.89999999999998</v>
      </c>
      <c r="AS316" s="20">
        <v>589</v>
      </c>
      <c r="AT316" s="21">
        <v>0</v>
      </c>
      <c r="AU316" s="20">
        <f t="shared" si="76"/>
        <v>589</v>
      </c>
      <c r="AV316" s="23">
        <f t="shared" si="77"/>
        <v>2434.0500000000002</v>
      </c>
      <c r="AW316" s="22">
        <f t="shared" si="78"/>
        <v>27.5</v>
      </c>
      <c r="AX316" s="20">
        <f t="shared" si="79"/>
        <v>2461.5500000000002</v>
      </c>
      <c r="AY316" s="28" t="s">
        <v>478</v>
      </c>
      <c r="AZ316" s="28" t="s">
        <v>478</v>
      </c>
      <c r="BA316" s="28" t="s">
        <v>352</v>
      </c>
      <c r="BB316" s="29">
        <v>43400</v>
      </c>
    </row>
    <row r="317" spans="1:54" hidden="1">
      <c r="A317" s="28" t="str">
        <f t="shared" si="64"/>
        <v>807142171947</v>
      </c>
      <c r="B317" s="30">
        <v>807142</v>
      </c>
      <c r="C317" s="30" t="s">
        <v>200</v>
      </c>
      <c r="D317" s="31">
        <v>171947</v>
      </c>
      <c r="E317" s="28" t="s">
        <v>199</v>
      </c>
      <c r="F317" s="28"/>
      <c r="G317" s="28"/>
      <c r="H317" s="28"/>
      <c r="I317" s="28"/>
      <c r="J317" s="28"/>
      <c r="K317" s="28"/>
      <c r="L317" s="20">
        <v>61.5</v>
      </c>
      <c r="M317" s="21">
        <v>14</v>
      </c>
      <c r="N317" s="20">
        <f t="shared" si="65"/>
        <v>75.5</v>
      </c>
      <c r="O317" s="20">
        <v>76.75</v>
      </c>
      <c r="P317" s="21">
        <v>8.75</v>
      </c>
      <c r="Q317" s="20">
        <f t="shared" si="66"/>
        <v>85.5</v>
      </c>
      <c r="R317" s="20">
        <v>62.5</v>
      </c>
      <c r="S317" s="22">
        <v>10.5</v>
      </c>
      <c r="T317" s="20">
        <f t="shared" si="67"/>
        <v>73</v>
      </c>
      <c r="U317" s="20">
        <v>109.65</v>
      </c>
      <c r="V317" s="21">
        <v>2.5</v>
      </c>
      <c r="W317" s="20">
        <f t="shared" si="68"/>
        <v>112.15</v>
      </c>
      <c r="X317" s="20">
        <v>116.5</v>
      </c>
      <c r="Y317" s="22">
        <v>5.75</v>
      </c>
      <c r="Z317" s="20">
        <f t="shared" si="69"/>
        <v>122.25</v>
      </c>
      <c r="AA317" s="20">
        <v>130</v>
      </c>
      <c r="AB317" s="22">
        <v>7.5</v>
      </c>
      <c r="AC317" s="20">
        <f t="shared" si="70"/>
        <v>137.5</v>
      </c>
      <c r="AD317" s="20">
        <v>76.75</v>
      </c>
      <c r="AE317" s="22">
        <v>0</v>
      </c>
      <c r="AF317" s="20">
        <f t="shared" si="71"/>
        <v>76.75</v>
      </c>
      <c r="AG317" s="20">
        <v>79</v>
      </c>
      <c r="AH317" s="21">
        <v>0</v>
      </c>
      <c r="AI317" s="20">
        <f t="shared" si="72"/>
        <v>79</v>
      </c>
      <c r="AJ317" s="20">
        <v>110</v>
      </c>
      <c r="AK317" s="21">
        <v>2.5</v>
      </c>
      <c r="AL317" s="20">
        <f t="shared" si="73"/>
        <v>112.5</v>
      </c>
      <c r="AM317" s="20">
        <v>118</v>
      </c>
      <c r="AN317" s="21">
        <v>8</v>
      </c>
      <c r="AO317" s="20">
        <f t="shared" si="74"/>
        <v>126</v>
      </c>
      <c r="AP317" s="21">
        <v>65</v>
      </c>
      <c r="AQ317" s="20">
        <v>0</v>
      </c>
      <c r="AR317" s="20">
        <f t="shared" si="75"/>
        <v>65</v>
      </c>
      <c r="AS317" s="20">
        <v>100</v>
      </c>
      <c r="AT317" s="21">
        <v>0</v>
      </c>
      <c r="AU317" s="20">
        <f t="shared" si="76"/>
        <v>100</v>
      </c>
      <c r="AV317" s="23">
        <f t="shared" si="77"/>
        <v>1105.6500000000001</v>
      </c>
      <c r="AW317" s="22">
        <f t="shared" si="78"/>
        <v>59.5</v>
      </c>
      <c r="AX317" s="20">
        <f t="shared" si="79"/>
        <v>1165.1500000000001</v>
      </c>
      <c r="AY317" s="28" t="s">
        <v>478</v>
      </c>
      <c r="AZ317" s="28" t="s">
        <v>478</v>
      </c>
      <c r="BA317" s="28" t="s">
        <v>352</v>
      </c>
      <c r="BB317" s="29">
        <v>43406</v>
      </c>
    </row>
    <row r="318" spans="1:54" hidden="1">
      <c r="A318" s="28" t="str">
        <f t="shared" si="64"/>
        <v>807202171947</v>
      </c>
      <c r="B318" s="30">
        <v>807202</v>
      </c>
      <c r="C318" s="30" t="s">
        <v>302</v>
      </c>
      <c r="D318" s="31">
        <v>171947</v>
      </c>
      <c r="E318" s="28" t="s">
        <v>199</v>
      </c>
      <c r="F318" s="28"/>
      <c r="G318" s="28"/>
      <c r="H318" s="28"/>
      <c r="I318" s="28"/>
      <c r="J318" s="28"/>
      <c r="K318" s="28"/>
      <c r="L318" s="20">
        <v>40</v>
      </c>
      <c r="M318" s="21">
        <v>0</v>
      </c>
      <c r="N318" s="20">
        <f t="shared" si="65"/>
        <v>40</v>
      </c>
      <c r="O318" s="20">
        <v>0</v>
      </c>
      <c r="P318" s="21">
        <v>0</v>
      </c>
      <c r="Q318" s="20">
        <f t="shared" si="66"/>
        <v>0</v>
      </c>
      <c r="R318" s="20">
        <v>5</v>
      </c>
      <c r="S318" s="22">
        <v>0</v>
      </c>
      <c r="T318" s="20">
        <f t="shared" si="67"/>
        <v>5</v>
      </c>
      <c r="U318" s="20">
        <v>20</v>
      </c>
      <c r="V318" s="21">
        <v>0</v>
      </c>
      <c r="W318" s="20">
        <f t="shared" si="68"/>
        <v>20</v>
      </c>
      <c r="X318" s="20">
        <v>27.5</v>
      </c>
      <c r="Y318" s="22">
        <v>0</v>
      </c>
      <c r="Z318" s="20">
        <f t="shared" si="69"/>
        <v>27.5</v>
      </c>
      <c r="AA318" s="20">
        <v>20.5</v>
      </c>
      <c r="AB318" s="22">
        <v>0</v>
      </c>
      <c r="AC318" s="20">
        <f t="shared" si="70"/>
        <v>20.5</v>
      </c>
      <c r="AD318" s="20">
        <v>25</v>
      </c>
      <c r="AE318" s="22">
        <v>0</v>
      </c>
      <c r="AF318" s="20">
        <f t="shared" si="71"/>
        <v>25</v>
      </c>
      <c r="AG318" s="20">
        <v>11.25</v>
      </c>
      <c r="AH318" s="21">
        <v>0</v>
      </c>
      <c r="AI318" s="20">
        <f t="shared" si="72"/>
        <v>11.25</v>
      </c>
      <c r="AJ318" s="20">
        <v>70</v>
      </c>
      <c r="AK318" s="21">
        <v>0</v>
      </c>
      <c r="AL318" s="20">
        <f t="shared" si="73"/>
        <v>70</v>
      </c>
      <c r="AM318" s="20">
        <v>35</v>
      </c>
      <c r="AN318" s="21">
        <v>0</v>
      </c>
      <c r="AO318" s="20">
        <f t="shared" si="74"/>
        <v>35</v>
      </c>
      <c r="AP318" s="21">
        <v>28.5</v>
      </c>
      <c r="AQ318" s="20">
        <v>0</v>
      </c>
      <c r="AR318" s="20">
        <f t="shared" si="75"/>
        <v>28.5</v>
      </c>
      <c r="AS318" s="20">
        <v>50</v>
      </c>
      <c r="AT318" s="21">
        <v>0</v>
      </c>
      <c r="AU318" s="20">
        <f t="shared" si="76"/>
        <v>50</v>
      </c>
      <c r="AV318" s="23">
        <f t="shared" si="77"/>
        <v>332.75</v>
      </c>
      <c r="AW318" s="22">
        <f t="shared" si="78"/>
        <v>0</v>
      </c>
      <c r="AX318" s="20">
        <f t="shared" si="79"/>
        <v>332.75</v>
      </c>
      <c r="AY318" s="28" t="s">
        <v>478</v>
      </c>
      <c r="AZ318" s="28" t="s">
        <v>478</v>
      </c>
      <c r="BA318" s="28" t="s">
        <v>352</v>
      </c>
      <c r="BB318" s="29">
        <v>43427</v>
      </c>
    </row>
    <row r="319" spans="1:54" hidden="1">
      <c r="A319" s="28" t="str">
        <f t="shared" si="64"/>
        <v>807203119261</v>
      </c>
      <c r="B319" s="30">
        <v>807203</v>
      </c>
      <c r="C319" s="30" t="s">
        <v>380</v>
      </c>
      <c r="D319" s="28">
        <v>119261</v>
      </c>
      <c r="E319" s="28" t="s">
        <v>170</v>
      </c>
      <c r="F319" s="28"/>
      <c r="G319" s="28"/>
      <c r="H319" s="28"/>
      <c r="I319" s="28"/>
      <c r="J319" s="28"/>
      <c r="K319" s="28"/>
      <c r="L319" s="20">
        <v>0</v>
      </c>
      <c r="M319" s="21">
        <v>0</v>
      </c>
      <c r="N319" s="20">
        <f t="shared" si="65"/>
        <v>0</v>
      </c>
      <c r="O319" s="20">
        <v>0</v>
      </c>
      <c r="P319" s="21">
        <v>0</v>
      </c>
      <c r="Q319" s="20">
        <f t="shared" si="66"/>
        <v>0</v>
      </c>
      <c r="R319" s="20">
        <v>0</v>
      </c>
      <c r="S319" s="22">
        <v>0</v>
      </c>
      <c r="T319" s="20">
        <f t="shared" si="67"/>
        <v>0</v>
      </c>
      <c r="U319" s="20">
        <v>14</v>
      </c>
      <c r="V319" s="21">
        <v>0</v>
      </c>
      <c r="W319" s="20">
        <f t="shared" si="68"/>
        <v>14</v>
      </c>
      <c r="X319" s="20">
        <v>1</v>
      </c>
      <c r="Y319" s="22">
        <v>0</v>
      </c>
      <c r="Z319" s="20">
        <f t="shared" si="69"/>
        <v>1</v>
      </c>
      <c r="AA319" s="20">
        <v>1</v>
      </c>
      <c r="AB319" s="22">
        <v>0</v>
      </c>
      <c r="AC319" s="20">
        <f t="shared" si="70"/>
        <v>1</v>
      </c>
      <c r="AD319" s="20">
        <v>0</v>
      </c>
      <c r="AE319" s="22">
        <v>0</v>
      </c>
      <c r="AF319" s="20">
        <f t="shared" si="71"/>
        <v>0</v>
      </c>
      <c r="AG319" s="20">
        <v>0</v>
      </c>
      <c r="AH319" s="21">
        <v>0</v>
      </c>
      <c r="AI319" s="20">
        <f t="shared" si="72"/>
        <v>0</v>
      </c>
      <c r="AJ319" s="20">
        <v>21</v>
      </c>
      <c r="AK319" s="21">
        <v>0</v>
      </c>
      <c r="AL319" s="20">
        <f t="shared" si="73"/>
        <v>21</v>
      </c>
      <c r="AM319" s="20">
        <v>20</v>
      </c>
      <c r="AN319" s="21">
        <v>0</v>
      </c>
      <c r="AO319" s="20">
        <f t="shared" si="74"/>
        <v>20</v>
      </c>
      <c r="AP319" s="21">
        <v>0</v>
      </c>
      <c r="AQ319" s="20">
        <v>0</v>
      </c>
      <c r="AR319" s="20">
        <f t="shared" si="75"/>
        <v>0</v>
      </c>
      <c r="AS319" s="20">
        <v>20</v>
      </c>
      <c r="AT319" s="21">
        <v>0</v>
      </c>
      <c r="AU319" s="20">
        <f t="shared" si="76"/>
        <v>20</v>
      </c>
      <c r="AV319" s="23">
        <f t="shared" si="77"/>
        <v>77</v>
      </c>
      <c r="AW319" s="22">
        <f t="shared" si="78"/>
        <v>0</v>
      </c>
      <c r="AX319" s="20">
        <f t="shared" si="79"/>
        <v>77</v>
      </c>
      <c r="AY319" s="28" t="s">
        <v>478</v>
      </c>
      <c r="AZ319" s="28" t="s">
        <v>478</v>
      </c>
      <c r="BA319" s="28" t="s">
        <v>352</v>
      </c>
      <c r="BB319" s="29">
        <v>43427</v>
      </c>
    </row>
    <row r="320" spans="1:54" hidden="1">
      <c r="A320" s="28" t="str">
        <f t="shared" si="64"/>
        <v>807244201172</v>
      </c>
      <c r="B320" s="30">
        <v>807244</v>
      </c>
      <c r="C320" s="30" t="s">
        <v>175</v>
      </c>
      <c r="D320" s="31">
        <v>201172</v>
      </c>
      <c r="E320" s="28" t="s">
        <v>174</v>
      </c>
      <c r="F320" s="28"/>
      <c r="G320" s="28"/>
      <c r="H320" s="28"/>
      <c r="I320" s="28"/>
      <c r="J320" s="28"/>
      <c r="K320" s="28"/>
      <c r="L320" s="20">
        <v>96</v>
      </c>
      <c r="M320" s="21">
        <v>0</v>
      </c>
      <c r="N320" s="20">
        <f t="shared" si="65"/>
        <v>96</v>
      </c>
      <c r="O320" s="20">
        <v>78.5</v>
      </c>
      <c r="P320" s="21">
        <v>23.5</v>
      </c>
      <c r="Q320" s="20">
        <f t="shared" si="66"/>
        <v>102</v>
      </c>
      <c r="R320" s="20">
        <v>63.3</v>
      </c>
      <c r="S320" s="22">
        <v>1</v>
      </c>
      <c r="T320" s="20">
        <f t="shared" si="67"/>
        <v>64.3</v>
      </c>
      <c r="U320" s="20">
        <v>62</v>
      </c>
      <c r="V320" s="21">
        <v>0</v>
      </c>
      <c r="W320" s="20">
        <f t="shared" si="68"/>
        <v>62</v>
      </c>
      <c r="X320" s="20">
        <v>39</v>
      </c>
      <c r="Y320" s="22">
        <v>0</v>
      </c>
      <c r="Z320" s="20">
        <f t="shared" si="69"/>
        <v>39</v>
      </c>
      <c r="AA320" s="20">
        <v>42</v>
      </c>
      <c r="AB320" s="22">
        <v>10</v>
      </c>
      <c r="AC320" s="20">
        <f t="shared" si="70"/>
        <v>52</v>
      </c>
      <c r="AD320" s="20">
        <v>112.5</v>
      </c>
      <c r="AE320" s="22">
        <v>2</v>
      </c>
      <c r="AF320" s="20">
        <f t="shared" si="71"/>
        <v>114.5</v>
      </c>
      <c r="AG320" s="20">
        <v>35.5</v>
      </c>
      <c r="AH320" s="21">
        <v>0</v>
      </c>
      <c r="AI320" s="20">
        <f t="shared" si="72"/>
        <v>35.5</v>
      </c>
      <c r="AJ320" s="20">
        <v>43</v>
      </c>
      <c r="AK320" s="21">
        <v>0</v>
      </c>
      <c r="AL320" s="20">
        <f t="shared" si="73"/>
        <v>43</v>
      </c>
      <c r="AM320" s="20">
        <v>12.5</v>
      </c>
      <c r="AN320" s="21">
        <v>0</v>
      </c>
      <c r="AO320" s="20">
        <f t="shared" si="74"/>
        <v>12.5</v>
      </c>
      <c r="AP320" s="21">
        <v>15</v>
      </c>
      <c r="AQ320" s="20">
        <v>0</v>
      </c>
      <c r="AR320" s="20">
        <f t="shared" si="75"/>
        <v>15</v>
      </c>
      <c r="AS320" s="20">
        <v>17.5</v>
      </c>
      <c r="AT320" s="21">
        <v>0</v>
      </c>
      <c r="AU320" s="20">
        <f t="shared" si="76"/>
        <v>17.5</v>
      </c>
      <c r="AV320" s="23">
        <f t="shared" si="77"/>
        <v>616.79999999999995</v>
      </c>
      <c r="AW320" s="22">
        <f t="shared" si="78"/>
        <v>36.5</v>
      </c>
      <c r="AX320" s="20">
        <f t="shared" si="79"/>
        <v>653.29999999999995</v>
      </c>
      <c r="AY320" s="28" t="s">
        <v>478</v>
      </c>
      <c r="AZ320" s="28" t="s">
        <v>478</v>
      </c>
      <c r="BA320" s="28" t="s">
        <v>352</v>
      </c>
      <c r="BB320" s="29">
        <v>43054</v>
      </c>
    </row>
    <row r="321" spans="1:54" hidden="1">
      <c r="A321" s="28" t="str">
        <f t="shared" si="64"/>
        <v>807416176279</v>
      </c>
      <c r="B321" s="30">
        <v>807416</v>
      </c>
      <c r="C321" s="30" t="s">
        <v>261</v>
      </c>
      <c r="D321" s="31">
        <v>176279</v>
      </c>
      <c r="E321" s="28" t="s">
        <v>175</v>
      </c>
      <c r="F321" s="28"/>
      <c r="G321" s="28"/>
      <c r="H321" s="28"/>
      <c r="I321" s="28"/>
      <c r="J321" s="28"/>
      <c r="K321" s="28"/>
      <c r="L321" s="20">
        <v>57.85</v>
      </c>
      <c r="M321" s="21">
        <v>2.5</v>
      </c>
      <c r="N321" s="20">
        <f t="shared" si="65"/>
        <v>60.35</v>
      </c>
      <c r="O321" s="20">
        <v>9</v>
      </c>
      <c r="P321" s="21">
        <v>1.5</v>
      </c>
      <c r="Q321" s="20">
        <f t="shared" si="66"/>
        <v>10.5</v>
      </c>
      <c r="R321" s="20">
        <v>55.5</v>
      </c>
      <c r="S321" s="22">
        <v>0</v>
      </c>
      <c r="T321" s="20">
        <f t="shared" si="67"/>
        <v>55.5</v>
      </c>
      <c r="U321" s="20">
        <v>70</v>
      </c>
      <c r="V321" s="21">
        <v>0</v>
      </c>
      <c r="W321" s="20">
        <f t="shared" si="68"/>
        <v>70</v>
      </c>
      <c r="X321" s="20">
        <v>117.5</v>
      </c>
      <c r="Y321" s="22">
        <v>0</v>
      </c>
      <c r="Z321" s="20">
        <f t="shared" si="69"/>
        <v>117.5</v>
      </c>
      <c r="AA321" s="20">
        <v>83.5</v>
      </c>
      <c r="AB321" s="22">
        <v>5</v>
      </c>
      <c r="AC321" s="20">
        <f t="shared" si="70"/>
        <v>88.5</v>
      </c>
      <c r="AD321" s="20">
        <v>51.5</v>
      </c>
      <c r="AE321" s="22">
        <v>0</v>
      </c>
      <c r="AF321" s="20">
        <f t="shared" si="71"/>
        <v>51.5</v>
      </c>
      <c r="AG321" s="20">
        <v>40.25</v>
      </c>
      <c r="AH321" s="21">
        <v>0</v>
      </c>
      <c r="AI321" s="20">
        <f t="shared" si="72"/>
        <v>40.25</v>
      </c>
      <c r="AJ321" s="20">
        <v>183</v>
      </c>
      <c r="AK321" s="21">
        <v>0.5</v>
      </c>
      <c r="AL321" s="20">
        <f t="shared" si="73"/>
        <v>183.5</v>
      </c>
      <c r="AM321" s="20">
        <v>101.5</v>
      </c>
      <c r="AN321" s="21">
        <v>0</v>
      </c>
      <c r="AO321" s="20">
        <f t="shared" si="74"/>
        <v>101.5</v>
      </c>
      <c r="AP321" s="21">
        <v>106.6</v>
      </c>
      <c r="AQ321" s="20">
        <v>0</v>
      </c>
      <c r="AR321" s="20">
        <f t="shared" si="75"/>
        <v>106.6</v>
      </c>
      <c r="AS321" s="20">
        <v>157.85</v>
      </c>
      <c r="AT321" s="21">
        <v>5.5</v>
      </c>
      <c r="AU321" s="20">
        <f t="shared" si="76"/>
        <v>163.35</v>
      </c>
      <c r="AV321" s="23">
        <f t="shared" si="77"/>
        <v>1034.05</v>
      </c>
      <c r="AW321" s="22">
        <f t="shared" si="78"/>
        <v>15</v>
      </c>
      <c r="AX321" s="20">
        <f t="shared" si="79"/>
        <v>1049.05</v>
      </c>
      <c r="AY321" s="28" t="s">
        <v>478</v>
      </c>
      <c r="AZ321" s="28" t="s">
        <v>478</v>
      </c>
      <c r="BA321" s="28" t="s">
        <v>352</v>
      </c>
      <c r="BB321" s="29">
        <v>43458</v>
      </c>
    </row>
    <row r="322" spans="1:54" hidden="1">
      <c r="A322" s="28" t="str">
        <f t="shared" ref="A322:A385" si="80">B322&amp;D322</f>
        <v>807416201172</v>
      </c>
      <c r="B322" s="30">
        <v>807416</v>
      </c>
      <c r="C322" s="30" t="s">
        <v>261</v>
      </c>
      <c r="D322" s="28">
        <v>201172</v>
      </c>
      <c r="E322" s="28" t="s">
        <v>174</v>
      </c>
      <c r="F322" s="28"/>
      <c r="G322" s="28"/>
      <c r="H322" s="28"/>
      <c r="I322" s="28"/>
      <c r="J322" s="28"/>
      <c r="K322" s="28"/>
      <c r="L322" s="20">
        <v>0</v>
      </c>
      <c r="M322" s="21">
        <v>0</v>
      </c>
      <c r="N322" s="20">
        <f t="shared" ref="N322:N385" si="81">SUM(L322:M322)</f>
        <v>0</v>
      </c>
      <c r="O322" s="20">
        <v>0</v>
      </c>
      <c r="P322" s="21">
        <v>0</v>
      </c>
      <c r="Q322" s="20">
        <f t="shared" ref="Q322:Q385" si="82">SUM(O322:P322)</f>
        <v>0</v>
      </c>
      <c r="R322" s="20">
        <v>0</v>
      </c>
      <c r="S322" s="22">
        <v>0</v>
      </c>
      <c r="T322" s="20">
        <f t="shared" ref="T322:T385" si="83">SUM(R322:S322)</f>
        <v>0</v>
      </c>
      <c r="U322" s="20">
        <v>0</v>
      </c>
      <c r="V322" s="21">
        <v>0</v>
      </c>
      <c r="W322" s="20">
        <f t="shared" ref="W322:W385" si="84">SUM(U322:V322)</f>
        <v>0</v>
      </c>
      <c r="X322" s="20">
        <v>0</v>
      </c>
      <c r="Y322" s="22">
        <v>0</v>
      </c>
      <c r="Z322" s="20">
        <f t="shared" ref="Z322:Z385" si="85">SUM(X322:Y322)</f>
        <v>0</v>
      </c>
      <c r="AA322" s="20">
        <v>0</v>
      </c>
      <c r="AB322" s="22">
        <v>0</v>
      </c>
      <c r="AC322" s="20">
        <f t="shared" ref="AC322:AC385" si="86">SUM(AA322:AB322)</f>
        <v>0</v>
      </c>
      <c r="AD322" s="20">
        <v>0</v>
      </c>
      <c r="AE322" s="22">
        <v>0</v>
      </c>
      <c r="AF322" s="20">
        <f t="shared" ref="AF322:AF385" si="87">SUM(AD322:AE322)</f>
        <v>0</v>
      </c>
      <c r="AG322" s="20">
        <v>0</v>
      </c>
      <c r="AH322" s="21">
        <v>0</v>
      </c>
      <c r="AI322" s="20">
        <f t="shared" ref="AI322:AI385" si="88">SUM(AG322:AH322)</f>
        <v>0</v>
      </c>
      <c r="AJ322" s="20">
        <v>0</v>
      </c>
      <c r="AK322" s="21">
        <v>0</v>
      </c>
      <c r="AL322" s="20">
        <f t="shared" ref="AL322:AL385" si="89">SUM(AJ322:AK322)</f>
        <v>0</v>
      </c>
      <c r="AM322" s="20">
        <v>7.5</v>
      </c>
      <c r="AN322" s="21">
        <v>0</v>
      </c>
      <c r="AO322" s="20">
        <f t="shared" ref="AO322:AO385" si="90">SUM(AM322:AN322)</f>
        <v>7.5</v>
      </c>
      <c r="AP322" s="21">
        <v>0</v>
      </c>
      <c r="AQ322" s="20">
        <v>0</v>
      </c>
      <c r="AR322" s="20">
        <f t="shared" ref="AR322:AR385" si="91">SUM(AP322:AQ322)</f>
        <v>0</v>
      </c>
      <c r="AS322" s="20">
        <v>0</v>
      </c>
      <c r="AT322" s="21">
        <v>0</v>
      </c>
      <c r="AU322" s="20">
        <f t="shared" ref="AU322:AU385" si="92">SUM(AS322:AT322)</f>
        <v>0</v>
      </c>
      <c r="AV322" s="23">
        <f t="shared" ref="AV322:AV385" si="93">SUM(L322+O322+R322+U322+X322+AA322+AD322+AG322+AJ322+AM322+AP322+AS322)</f>
        <v>7.5</v>
      </c>
      <c r="AW322" s="22">
        <f t="shared" ref="AW322:AW385" si="94">SUM(M322+P322+S322+V322+Y322+AB322+AE322+AH322+AK322+AN322+AQ322+AT322)</f>
        <v>0</v>
      </c>
      <c r="AX322" s="20">
        <f t="shared" ref="AX322:AX385" si="95">SUM(AV322:AW322)</f>
        <v>7.5</v>
      </c>
      <c r="AY322" s="28" t="s">
        <v>478</v>
      </c>
      <c r="AZ322" s="28" t="s">
        <v>478</v>
      </c>
      <c r="BA322" s="28" t="s">
        <v>352</v>
      </c>
      <c r="BB322" s="29">
        <v>43458</v>
      </c>
    </row>
    <row r="323" spans="1:54" hidden="1">
      <c r="A323" s="28" t="str">
        <f t="shared" si="80"/>
        <v>807576201172</v>
      </c>
      <c r="B323" s="30">
        <v>807576</v>
      </c>
      <c r="C323" s="30" t="s">
        <v>202</v>
      </c>
      <c r="D323" s="31">
        <v>201172</v>
      </c>
      <c r="E323" s="28" t="s">
        <v>174</v>
      </c>
      <c r="F323" s="28"/>
      <c r="G323" s="28"/>
      <c r="H323" s="28"/>
      <c r="I323" s="28"/>
      <c r="J323" s="28"/>
      <c r="K323" s="28"/>
      <c r="L323" s="20">
        <v>30</v>
      </c>
      <c r="M323" s="21">
        <v>0</v>
      </c>
      <c r="N323" s="20">
        <f t="shared" si="81"/>
        <v>30</v>
      </c>
      <c r="O323" s="20">
        <v>5</v>
      </c>
      <c r="P323" s="21">
        <v>0</v>
      </c>
      <c r="Q323" s="20">
        <f t="shared" si="82"/>
        <v>5</v>
      </c>
      <c r="R323" s="20">
        <v>54.5</v>
      </c>
      <c r="S323" s="22">
        <v>0</v>
      </c>
      <c r="T323" s="20">
        <f t="shared" si="83"/>
        <v>54.5</v>
      </c>
      <c r="U323" s="20">
        <v>36</v>
      </c>
      <c r="V323" s="21">
        <v>0</v>
      </c>
      <c r="W323" s="20">
        <f t="shared" si="84"/>
        <v>36</v>
      </c>
      <c r="X323" s="20">
        <v>28.5</v>
      </c>
      <c r="Y323" s="22">
        <v>5</v>
      </c>
      <c r="Z323" s="20">
        <f t="shared" si="85"/>
        <v>33.5</v>
      </c>
      <c r="AA323" s="20">
        <v>5</v>
      </c>
      <c r="AB323" s="22">
        <v>0</v>
      </c>
      <c r="AC323" s="20">
        <f t="shared" si="86"/>
        <v>5</v>
      </c>
      <c r="AD323" s="20">
        <v>12.5</v>
      </c>
      <c r="AE323" s="22">
        <v>0</v>
      </c>
      <c r="AF323" s="20">
        <f t="shared" si="87"/>
        <v>12.5</v>
      </c>
      <c r="AG323" s="20">
        <v>2.5</v>
      </c>
      <c r="AH323" s="21">
        <v>0</v>
      </c>
      <c r="AI323" s="20">
        <f t="shared" si="88"/>
        <v>2.5</v>
      </c>
      <c r="AJ323" s="20">
        <v>27.5</v>
      </c>
      <c r="AK323" s="21">
        <v>0</v>
      </c>
      <c r="AL323" s="20">
        <f t="shared" si="89"/>
        <v>27.5</v>
      </c>
      <c r="AM323" s="20">
        <v>41.75</v>
      </c>
      <c r="AN323" s="21">
        <v>0</v>
      </c>
      <c r="AO323" s="20">
        <f t="shared" si="90"/>
        <v>41.75</v>
      </c>
      <c r="AP323" s="21">
        <v>45</v>
      </c>
      <c r="AQ323" s="20">
        <v>0</v>
      </c>
      <c r="AR323" s="20">
        <f t="shared" si="91"/>
        <v>45</v>
      </c>
      <c r="AS323" s="20">
        <v>22</v>
      </c>
      <c r="AT323" s="21">
        <v>0</v>
      </c>
      <c r="AU323" s="20">
        <f t="shared" si="92"/>
        <v>22</v>
      </c>
      <c r="AV323" s="23">
        <f t="shared" si="93"/>
        <v>310.25</v>
      </c>
      <c r="AW323" s="22">
        <f t="shared" si="94"/>
        <v>5</v>
      </c>
      <c r="AX323" s="20">
        <f t="shared" si="95"/>
        <v>315.25</v>
      </c>
      <c r="AY323" s="28" t="s">
        <v>478</v>
      </c>
      <c r="AZ323" s="28" t="s">
        <v>478</v>
      </c>
      <c r="BA323" s="28" t="s">
        <v>352</v>
      </c>
      <c r="BB323" s="29">
        <v>43064</v>
      </c>
    </row>
    <row r="324" spans="1:54" hidden="1">
      <c r="A324" s="28" t="str">
        <f t="shared" si="80"/>
        <v>807780149893</v>
      </c>
      <c r="B324" s="30">
        <v>807780</v>
      </c>
      <c r="C324" s="30" t="s">
        <v>94</v>
      </c>
      <c r="D324" s="31">
        <v>149893</v>
      </c>
      <c r="E324" s="28" t="s">
        <v>224</v>
      </c>
      <c r="F324" s="28"/>
      <c r="G324" s="28"/>
      <c r="H324" s="28"/>
      <c r="I324" s="28"/>
      <c r="J324" s="28"/>
      <c r="K324" s="28"/>
      <c r="L324" s="20">
        <v>33.5</v>
      </c>
      <c r="M324" s="21">
        <v>0</v>
      </c>
      <c r="N324" s="20">
        <f t="shared" si="81"/>
        <v>33.5</v>
      </c>
      <c r="O324" s="20">
        <v>22.5</v>
      </c>
      <c r="P324" s="21">
        <v>0</v>
      </c>
      <c r="Q324" s="20">
        <f t="shared" si="82"/>
        <v>22.5</v>
      </c>
      <c r="R324" s="20">
        <v>49.75</v>
      </c>
      <c r="S324" s="22">
        <v>0</v>
      </c>
      <c r="T324" s="20">
        <f t="shared" si="83"/>
        <v>49.75</v>
      </c>
      <c r="U324" s="20">
        <v>35</v>
      </c>
      <c r="V324" s="21">
        <v>0</v>
      </c>
      <c r="W324" s="20">
        <f t="shared" si="84"/>
        <v>35</v>
      </c>
      <c r="X324" s="20">
        <v>56.5</v>
      </c>
      <c r="Y324" s="22">
        <v>0</v>
      </c>
      <c r="Z324" s="20">
        <f t="shared" si="85"/>
        <v>56.5</v>
      </c>
      <c r="AA324" s="20">
        <v>78.75</v>
      </c>
      <c r="AB324" s="22">
        <v>0</v>
      </c>
      <c r="AC324" s="20">
        <f t="shared" si="86"/>
        <v>78.75</v>
      </c>
      <c r="AD324" s="20">
        <v>76</v>
      </c>
      <c r="AE324" s="22">
        <v>0</v>
      </c>
      <c r="AF324" s="20">
        <f t="shared" si="87"/>
        <v>76</v>
      </c>
      <c r="AG324" s="20">
        <v>41.75</v>
      </c>
      <c r="AH324" s="21">
        <v>0</v>
      </c>
      <c r="AI324" s="20">
        <f t="shared" si="88"/>
        <v>41.75</v>
      </c>
      <c r="AJ324" s="20">
        <v>98.75</v>
      </c>
      <c r="AK324" s="21">
        <v>0</v>
      </c>
      <c r="AL324" s="20">
        <f t="shared" si="89"/>
        <v>98.75</v>
      </c>
      <c r="AM324" s="20">
        <v>40</v>
      </c>
      <c r="AN324" s="21">
        <v>0</v>
      </c>
      <c r="AO324" s="20">
        <f t="shared" si="90"/>
        <v>40</v>
      </c>
      <c r="AP324" s="21">
        <v>24.75</v>
      </c>
      <c r="AQ324" s="20">
        <v>0</v>
      </c>
      <c r="AR324" s="20">
        <f t="shared" si="91"/>
        <v>24.75</v>
      </c>
      <c r="AS324" s="20">
        <v>32.5</v>
      </c>
      <c r="AT324" s="21">
        <v>0</v>
      </c>
      <c r="AU324" s="20">
        <f t="shared" si="92"/>
        <v>32.5</v>
      </c>
      <c r="AV324" s="23">
        <f t="shared" si="93"/>
        <v>589.75</v>
      </c>
      <c r="AW324" s="22">
        <f t="shared" si="94"/>
        <v>0</v>
      </c>
      <c r="AX324" s="20">
        <f t="shared" si="95"/>
        <v>589.75</v>
      </c>
      <c r="AY324" s="28" t="s">
        <v>478</v>
      </c>
      <c r="AZ324" s="28" t="s">
        <v>478</v>
      </c>
      <c r="BA324" s="28" t="s">
        <v>352</v>
      </c>
      <c r="BB324" s="29">
        <v>43487</v>
      </c>
    </row>
    <row r="325" spans="1:54" hidden="1">
      <c r="A325" s="28" t="str">
        <f t="shared" si="80"/>
        <v>807781176647</v>
      </c>
      <c r="B325" s="30">
        <v>807781</v>
      </c>
      <c r="C325" s="30" t="s">
        <v>94</v>
      </c>
      <c r="D325" s="31">
        <v>176647</v>
      </c>
      <c r="E325" s="28" t="s">
        <v>252</v>
      </c>
      <c r="F325" s="28"/>
      <c r="G325" s="28"/>
      <c r="H325" s="28"/>
      <c r="I325" s="28"/>
      <c r="J325" s="28"/>
      <c r="K325" s="28"/>
      <c r="L325" s="20">
        <v>45.5</v>
      </c>
      <c r="M325" s="21">
        <v>0</v>
      </c>
      <c r="N325" s="20">
        <f t="shared" si="81"/>
        <v>45.5</v>
      </c>
      <c r="O325" s="20">
        <v>21</v>
      </c>
      <c r="P325" s="21">
        <v>0</v>
      </c>
      <c r="Q325" s="20">
        <f t="shared" si="82"/>
        <v>21</v>
      </c>
      <c r="R325" s="20">
        <v>35</v>
      </c>
      <c r="S325" s="22">
        <v>0</v>
      </c>
      <c r="T325" s="20">
        <f t="shared" si="83"/>
        <v>35</v>
      </c>
      <c r="U325" s="20">
        <v>73</v>
      </c>
      <c r="V325" s="21">
        <v>0</v>
      </c>
      <c r="W325" s="20">
        <f t="shared" si="84"/>
        <v>73</v>
      </c>
      <c r="X325" s="20">
        <v>65.5</v>
      </c>
      <c r="Y325" s="22">
        <v>3.5</v>
      </c>
      <c r="Z325" s="20">
        <f t="shared" si="85"/>
        <v>69</v>
      </c>
      <c r="AA325" s="20">
        <v>94.5</v>
      </c>
      <c r="AB325" s="22">
        <v>0</v>
      </c>
      <c r="AC325" s="20">
        <f t="shared" si="86"/>
        <v>94.5</v>
      </c>
      <c r="AD325" s="20">
        <v>30</v>
      </c>
      <c r="AE325" s="22">
        <v>0</v>
      </c>
      <c r="AF325" s="20">
        <f t="shared" si="87"/>
        <v>30</v>
      </c>
      <c r="AG325" s="20">
        <v>61.55</v>
      </c>
      <c r="AH325" s="21">
        <v>12.5</v>
      </c>
      <c r="AI325" s="20">
        <f t="shared" si="88"/>
        <v>74.05</v>
      </c>
      <c r="AJ325" s="20">
        <v>92.5</v>
      </c>
      <c r="AK325" s="21">
        <v>0</v>
      </c>
      <c r="AL325" s="20">
        <f t="shared" si="89"/>
        <v>92.5</v>
      </c>
      <c r="AM325" s="20">
        <v>92.5</v>
      </c>
      <c r="AN325" s="21">
        <v>0</v>
      </c>
      <c r="AO325" s="20">
        <f t="shared" si="90"/>
        <v>92.5</v>
      </c>
      <c r="AP325" s="21">
        <v>136.6</v>
      </c>
      <c r="AQ325" s="20">
        <v>1</v>
      </c>
      <c r="AR325" s="20">
        <f t="shared" si="91"/>
        <v>137.6</v>
      </c>
      <c r="AS325" s="20">
        <v>154.5</v>
      </c>
      <c r="AT325" s="21">
        <v>0</v>
      </c>
      <c r="AU325" s="20">
        <f t="shared" si="92"/>
        <v>154.5</v>
      </c>
      <c r="AV325" s="23">
        <f t="shared" si="93"/>
        <v>902.15</v>
      </c>
      <c r="AW325" s="22">
        <f t="shared" si="94"/>
        <v>17</v>
      </c>
      <c r="AX325" s="20">
        <f t="shared" si="95"/>
        <v>919.15</v>
      </c>
      <c r="AY325" s="28" t="s">
        <v>478</v>
      </c>
      <c r="AZ325" s="28" t="s">
        <v>478</v>
      </c>
      <c r="BA325" s="28" t="s">
        <v>352</v>
      </c>
      <c r="BB325" s="29">
        <v>43487</v>
      </c>
    </row>
    <row r="326" spans="1:54" hidden="1">
      <c r="A326" s="28" t="str">
        <f t="shared" si="80"/>
        <v>807889119261</v>
      </c>
      <c r="B326" s="30">
        <v>807889</v>
      </c>
      <c r="C326" s="30" t="s">
        <v>244</v>
      </c>
      <c r="D326" s="31">
        <v>119261</v>
      </c>
      <c r="E326" s="28" t="s">
        <v>170</v>
      </c>
      <c r="F326" s="28"/>
      <c r="G326" s="28"/>
      <c r="H326" s="28"/>
      <c r="I326" s="28"/>
      <c r="J326" s="28"/>
      <c r="K326" s="28"/>
      <c r="L326" s="20">
        <v>50</v>
      </c>
      <c r="M326" s="21">
        <v>0</v>
      </c>
      <c r="N326" s="20">
        <f t="shared" si="81"/>
        <v>50</v>
      </c>
      <c r="O326" s="20">
        <v>0</v>
      </c>
      <c r="P326" s="21">
        <v>0</v>
      </c>
      <c r="Q326" s="20">
        <f t="shared" si="82"/>
        <v>0</v>
      </c>
      <c r="R326" s="20">
        <v>51</v>
      </c>
      <c r="S326" s="22">
        <v>0</v>
      </c>
      <c r="T326" s="20">
        <f t="shared" si="83"/>
        <v>51</v>
      </c>
      <c r="U326" s="20">
        <v>77</v>
      </c>
      <c r="V326" s="21">
        <v>0</v>
      </c>
      <c r="W326" s="20">
        <f t="shared" si="84"/>
        <v>77</v>
      </c>
      <c r="X326" s="20">
        <v>51.25</v>
      </c>
      <c r="Y326" s="22">
        <v>0</v>
      </c>
      <c r="Z326" s="20">
        <f t="shared" si="85"/>
        <v>51.25</v>
      </c>
      <c r="AA326" s="20">
        <v>60</v>
      </c>
      <c r="AB326" s="22">
        <v>0</v>
      </c>
      <c r="AC326" s="20">
        <f t="shared" si="86"/>
        <v>60</v>
      </c>
      <c r="AD326" s="20">
        <v>101</v>
      </c>
      <c r="AE326" s="22">
        <v>0</v>
      </c>
      <c r="AF326" s="20">
        <f t="shared" si="87"/>
        <v>101</v>
      </c>
      <c r="AG326" s="20">
        <v>50</v>
      </c>
      <c r="AH326" s="21">
        <v>0</v>
      </c>
      <c r="AI326" s="20">
        <f t="shared" si="88"/>
        <v>50</v>
      </c>
      <c r="AJ326" s="20">
        <v>100</v>
      </c>
      <c r="AK326" s="21">
        <v>0</v>
      </c>
      <c r="AL326" s="20">
        <f t="shared" si="89"/>
        <v>100</v>
      </c>
      <c r="AM326" s="20">
        <v>105</v>
      </c>
      <c r="AN326" s="21">
        <v>0</v>
      </c>
      <c r="AO326" s="20">
        <f t="shared" si="90"/>
        <v>105</v>
      </c>
      <c r="AP326" s="21">
        <v>0</v>
      </c>
      <c r="AQ326" s="20">
        <v>0</v>
      </c>
      <c r="AR326" s="20">
        <f t="shared" si="91"/>
        <v>0</v>
      </c>
      <c r="AS326" s="20">
        <v>50</v>
      </c>
      <c r="AT326" s="21">
        <v>0</v>
      </c>
      <c r="AU326" s="20">
        <f t="shared" si="92"/>
        <v>50</v>
      </c>
      <c r="AV326" s="23">
        <f t="shared" si="93"/>
        <v>695.25</v>
      </c>
      <c r="AW326" s="22">
        <f t="shared" si="94"/>
        <v>0</v>
      </c>
      <c r="AX326" s="20">
        <f t="shared" si="95"/>
        <v>695.25</v>
      </c>
      <c r="AY326" s="28" t="s">
        <v>478</v>
      </c>
      <c r="AZ326" s="28" t="s">
        <v>478</v>
      </c>
      <c r="BA326" s="28" t="s">
        <v>352</v>
      </c>
      <c r="BB326" s="29">
        <v>43111</v>
      </c>
    </row>
    <row r="327" spans="1:54" hidden="1">
      <c r="A327" s="28" t="str">
        <f t="shared" si="80"/>
        <v>808730201172</v>
      </c>
      <c r="B327" s="30">
        <v>808730</v>
      </c>
      <c r="C327" s="30" t="s">
        <v>222</v>
      </c>
      <c r="D327" s="31">
        <v>201172</v>
      </c>
      <c r="E327" s="28" t="s">
        <v>174</v>
      </c>
      <c r="F327" s="28"/>
      <c r="G327" s="28"/>
      <c r="H327" s="28"/>
      <c r="I327" s="28"/>
      <c r="J327" s="28"/>
      <c r="K327" s="28"/>
      <c r="L327" s="20">
        <v>96.5</v>
      </c>
      <c r="M327" s="21">
        <v>0</v>
      </c>
      <c r="N327" s="20">
        <f t="shared" si="81"/>
        <v>96.5</v>
      </c>
      <c r="O327" s="20">
        <v>42.5</v>
      </c>
      <c r="P327" s="21">
        <v>0</v>
      </c>
      <c r="Q327" s="20">
        <f t="shared" si="82"/>
        <v>42.5</v>
      </c>
      <c r="R327" s="20">
        <v>121</v>
      </c>
      <c r="S327" s="22">
        <v>0</v>
      </c>
      <c r="T327" s="20">
        <f t="shared" si="83"/>
        <v>121</v>
      </c>
      <c r="U327" s="20">
        <v>98</v>
      </c>
      <c r="V327" s="21">
        <v>0</v>
      </c>
      <c r="W327" s="20">
        <f t="shared" si="84"/>
        <v>98</v>
      </c>
      <c r="X327" s="20">
        <v>85.5</v>
      </c>
      <c r="Y327" s="22">
        <v>0</v>
      </c>
      <c r="Z327" s="20">
        <f t="shared" si="85"/>
        <v>85.5</v>
      </c>
      <c r="AA327" s="20">
        <v>54.5</v>
      </c>
      <c r="AB327" s="22">
        <v>1.5</v>
      </c>
      <c r="AC327" s="20">
        <f t="shared" si="86"/>
        <v>56</v>
      </c>
      <c r="AD327" s="20">
        <v>32</v>
      </c>
      <c r="AE327" s="22">
        <v>0</v>
      </c>
      <c r="AF327" s="20">
        <f t="shared" si="87"/>
        <v>32</v>
      </c>
      <c r="AG327" s="20">
        <v>30</v>
      </c>
      <c r="AH327" s="21">
        <v>1</v>
      </c>
      <c r="AI327" s="20">
        <f t="shared" si="88"/>
        <v>31</v>
      </c>
      <c r="AJ327" s="20">
        <v>72.75</v>
      </c>
      <c r="AK327" s="21">
        <v>0</v>
      </c>
      <c r="AL327" s="20">
        <f t="shared" si="89"/>
        <v>72.75</v>
      </c>
      <c r="AM327" s="20">
        <v>47.5</v>
      </c>
      <c r="AN327" s="21">
        <v>2</v>
      </c>
      <c r="AO327" s="20">
        <f t="shared" si="90"/>
        <v>49.5</v>
      </c>
      <c r="AP327" s="21">
        <v>87.5</v>
      </c>
      <c r="AQ327" s="20">
        <v>0</v>
      </c>
      <c r="AR327" s="20">
        <f t="shared" si="91"/>
        <v>87.5</v>
      </c>
      <c r="AS327" s="20">
        <v>49.5</v>
      </c>
      <c r="AT327" s="21">
        <v>0</v>
      </c>
      <c r="AU327" s="20">
        <f t="shared" si="92"/>
        <v>49.5</v>
      </c>
      <c r="AV327" s="23">
        <f t="shared" si="93"/>
        <v>817.25</v>
      </c>
      <c r="AW327" s="22">
        <f t="shared" si="94"/>
        <v>4.5</v>
      </c>
      <c r="AX327" s="20">
        <f t="shared" si="95"/>
        <v>821.75</v>
      </c>
      <c r="AY327" s="28" t="s">
        <v>478</v>
      </c>
      <c r="AZ327" s="28" t="s">
        <v>478</v>
      </c>
      <c r="BA327" s="28" t="s">
        <v>352</v>
      </c>
      <c r="BB327" s="29">
        <v>43315</v>
      </c>
    </row>
    <row r="328" spans="1:54" hidden="1">
      <c r="A328" s="28" t="str">
        <f t="shared" si="80"/>
        <v>808937125022</v>
      </c>
      <c r="B328" s="30">
        <v>808937</v>
      </c>
      <c r="C328" s="30" t="s">
        <v>64</v>
      </c>
      <c r="D328" s="31">
        <v>125022</v>
      </c>
      <c r="E328" s="28" t="s">
        <v>225</v>
      </c>
      <c r="F328" s="28"/>
      <c r="G328" s="28"/>
      <c r="H328" s="28"/>
      <c r="I328" s="28"/>
      <c r="J328" s="28"/>
      <c r="K328" s="28"/>
      <c r="L328" s="20">
        <v>10</v>
      </c>
      <c r="M328" s="21">
        <v>0</v>
      </c>
      <c r="N328" s="20">
        <f t="shared" si="81"/>
        <v>10</v>
      </c>
      <c r="O328" s="20">
        <v>28.5</v>
      </c>
      <c r="P328" s="21">
        <v>0</v>
      </c>
      <c r="Q328" s="20">
        <f t="shared" si="82"/>
        <v>28.5</v>
      </c>
      <c r="R328" s="20">
        <v>63</v>
      </c>
      <c r="S328" s="22">
        <v>0</v>
      </c>
      <c r="T328" s="20">
        <f t="shared" si="83"/>
        <v>63</v>
      </c>
      <c r="U328" s="20">
        <v>47.5</v>
      </c>
      <c r="V328" s="21">
        <v>0</v>
      </c>
      <c r="W328" s="20">
        <f t="shared" si="84"/>
        <v>47.5</v>
      </c>
      <c r="X328" s="20">
        <v>55</v>
      </c>
      <c r="Y328" s="22">
        <v>0</v>
      </c>
      <c r="Z328" s="20">
        <f t="shared" si="85"/>
        <v>55</v>
      </c>
      <c r="AA328" s="20">
        <v>34</v>
      </c>
      <c r="AB328" s="22">
        <v>0</v>
      </c>
      <c r="AC328" s="20">
        <f t="shared" si="86"/>
        <v>34</v>
      </c>
      <c r="AD328" s="20">
        <v>69</v>
      </c>
      <c r="AE328" s="22">
        <v>0</v>
      </c>
      <c r="AF328" s="20">
        <f t="shared" si="87"/>
        <v>69</v>
      </c>
      <c r="AG328" s="20">
        <v>30.5</v>
      </c>
      <c r="AH328" s="21">
        <v>0</v>
      </c>
      <c r="AI328" s="20">
        <f t="shared" si="88"/>
        <v>30.5</v>
      </c>
      <c r="AJ328" s="20">
        <v>37.5</v>
      </c>
      <c r="AK328" s="21">
        <v>0</v>
      </c>
      <c r="AL328" s="20">
        <f t="shared" si="89"/>
        <v>37.5</v>
      </c>
      <c r="AM328" s="20">
        <v>5</v>
      </c>
      <c r="AN328" s="21">
        <v>0</v>
      </c>
      <c r="AO328" s="20">
        <f t="shared" si="90"/>
        <v>5</v>
      </c>
      <c r="AP328" s="21">
        <v>2.5</v>
      </c>
      <c r="AQ328" s="20">
        <v>0</v>
      </c>
      <c r="AR328" s="20">
        <f t="shared" si="91"/>
        <v>2.5</v>
      </c>
      <c r="AS328" s="20">
        <v>20</v>
      </c>
      <c r="AT328" s="21">
        <v>0</v>
      </c>
      <c r="AU328" s="20">
        <f t="shared" si="92"/>
        <v>20</v>
      </c>
      <c r="AV328" s="23">
        <f t="shared" si="93"/>
        <v>402.5</v>
      </c>
      <c r="AW328" s="22">
        <f t="shared" si="94"/>
        <v>0</v>
      </c>
      <c r="AX328" s="20">
        <f t="shared" si="95"/>
        <v>402.5</v>
      </c>
      <c r="AY328" s="28" t="s">
        <v>478</v>
      </c>
      <c r="AZ328" s="28" t="s">
        <v>478</v>
      </c>
      <c r="BA328" s="28" t="s">
        <v>352</v>
      </c>
      <c r="BB328" s="29">
        <v>43294</v>
      </c>
    </row>
    <row r="329" spans="1:54" hidden="1">
      <c r="A329" s="28" t="str">
        <f t="shared" si="80"/>
        <v>809330176647</v>
      </c>
      <c r="B329" s="30">
        <v>809330</v>
      </c>
      <c r="C329" s="30" t="s">
        <v>253</v>
      </c>
      <c r="D329" s="31">
        <v>176647</v>
      </c>
      <c r="E329" s="28" t="s">
        <v>252</v>
      </c>
      <c r="F329" s="28"/>
      <c r="G329" s="28"/>
      <c r="H329" s="28"/>
      <c r="I329" s="28"/>
      <c r="J329" s="28"/>
      <c r="K329" s="28"/>
      <c r="L329" s="20">
        <v>2</v>
      </c>
      <c r="M329" s="21">
        <v>0</v>
      </c>
      <c r="N329" s="20">
        <f t="shared" si="81"/>
        <v>2</v>
      </c>
      <c r="O329" s="20">
        <v>25.5</v>
      </c>
      <c r="P329" s="21">
        <v>0</v>
      </c>
      <c r="Q329" s="20">
        <f t="shared" si="82"/>
        <v>25.5</v>
      </c>
      <c r="R329" s="20">
        <v>164</v>
      </c>
      <c r="S329" s="22">
        <v>0</v>
      </c>
      <c r="T329" s="20">
        <f t="shared" si="83"/>
        <v>164</v>
      </c>
      <c r="U329" s="20">
        <v>168.5</v>
      </c>
      <c r="V329" s="21">
        <v>0</v>
      </c>
      <c r="W329" s="20">
        <f t="shared" si="84"/>
        <v>168.5</v>
      </c>
      <c r="X329" s="20">
        <v>142.9</v>
      </c>
      <c r="Y329" s="22">
        <v>3.75</v>
      </c>
      <c r="Z329" s="20">
        <f t="shared" si="85"/>
        <v>146.65</v>
      </c>
      <c r="AA329" s="20">
        <v>122.85</v>
      </c>
      <c r="AB329" s="22">
        <v>1.25</v>
      </c>
      <c r="AC329" s="20">
        <f t="shared" si="86"/>
        <v>124.1</v>
      </c>
      <c r="AD329" s="20">
        <v>87.5</v>
      </c>
      <c r="AE329" s="22">
        <v>0</v>
      </c>
      <c r="AF329" s="20">
        <f t="shared" si="87"/>
        <v>87.5</v>
      </c>
      <c r="AG329" s="20">
        <v>154</v>
      </c>
      <c r="AH329" s="21">
        <v>0</v>
      </c>
      <c r="AI329" s="20">
        <f t="shared" si="88"/>
        <v>154</v>
      </c>
      <c r="AJ329" s="20">
        <v>202</v>
      </c>
      <c r="AK329" s="21">
        <v>0</v>
      </c>
      <c r="AL329" s="20">
        <f t="shared" si="89"/>
        <v>202</v>
      </c>
      <c r="AM329" s="20">
        <v>200.5</v>
      </c>
      <c r="AN329" s="21">
        <v>0</v>
      </c>
      <c r="AO329" s="20">
        <f t="shared" si="90"/>
        <v>200.5</v>
      </c>
      <c r="AP329" s="21">
        <v>207.25</v>
      </c>
      <c r="AQ329" s="20">
        <v>11.25</v>
      </c>
      <c r="AR329" s="20">
        <f t="shared" si="91"/>
        <v>218.5</v>
      </c>
      <c r="AS329" s="20">
        <v>184</v>
      </c>
      <c r="AT329" s="21">
        <v>0</v>
      </c>
      <c r="AU329" s="20">
        <f t="shared" si="92"/>
        <v>184</v>
      </c>
      <c r="AV329" s="23">
        <f t="shared" si="93"/>
        <v>1661</v>
      </c>
      <c r="AW329" s="22">
        <f t="shared" si="94"/>
        <v>16.25</v>
      </c>
      <c r="AX329" s="20">
        <f t="shared" si="95"/>
        <v>1677.25</v>
      </c>
      <c r="AY329" s="28" t="s">
        <v>478</v>
      </c>
      <c r="AZ329" s="28" t="s">
        <v>478</v>
      </c>
      <c r="BA329" s="28" t="s">
        <v>352</v>
      </c>
      <c r="BB329" s="29">
        <v>43558</v>
      </c>
    </row>
    <row r="330" spans="1:54" hidden="1">
      <c r="A330" s="28" t="str">
        <f t="shared" si="80"/>
        <v>809534174445</v>
      </c>
      <c r="B330" s="30">
        <v>809534</v>
      </c>
      <c r="C330" s="30" t="s">
        <v>280</v>
      </c>
      <c r="D330" s="31">
        <v>174445</v>
      </c>
      <c r="E330" s="28" t="s">
        <v>173</v>
      </c>
      <c r="F330" s="28"/>
      <c r="G330" s="28"/>
      <c r="H330" s="28"/>
      <c r="I330" s="28"/>
      <c r="J330" s="28"/>
      <c r="K330" s="28"/>
      <c r="L330" s="20">
        <v>14.5</v>
      </c>
      <c r="M330" s="21">
        <v>7.5</v>
      </c>
      <c r="N330" s="20">
        <f t="shared" si="81"/>
        <v>22</v>
      </c>
      <c r="O330" s="20">
        <v>26.25</v>
      </c>
      <c r="P330" s="21">
        <v>0</v>
      </c>
      <c r="Q330" s="20">
        <f t="shared" si="82"/>
        <v>26.25</v>
      </c>
      <c r="R330" s="20">
        <v>22.5</v>
      </c>
      <c r="S330" s="22">
        <v>0</v>
      </c>
      <c r="T330" s="20">
        <f t="shared" si="83"/>
        <v>22.5</v>
      </c>
      <c r="U330" s="20">
        <v>39.200000000000003</v>
      </c>
      <c r="V330" s="21">
        <v>0</v>
      </c>
      <c r="W330" s="20">
        <f t="shared" si="84"/>
        <v>39.200000000000003</v>
      </c>
      <c r="X330" s="20">
        <v>15</v>
      </c>
      <c r="Y330" s="22">
        <v>0</v>
      </c>
      <c r="Z330" s="20">
        <f t="shared" si="85"/>
        <v>15</v>
      </c>
      <c r="AA330" s="20">
        <v>51.5</v>
      </c>
      <c r="AB330" s="22">
        <v>0</v>
      </c>
      <c r="AC330" s="20">
        <f t="shared" si="86"/>
        <v>51.5</v>
      </c>
      <c r="AD330" s="20">
        <v>20</v>
      </c>
      <c r="AE330" s="22">
        <v>10</v>
      </c>
      <c r="AF330" s="20">
        <f t="shared" si="87"/>
        <v>30</v>
      </c>
      <c r="AG330" s="20">
        <v>11</v>
      </c>
      <c r="AH330" s="21">
        <v>0</v>
      </c>
      <c r="AI330" s="20">
        <f t="shared" si="88"/>
        <v>11</v>
      </c>
      <c r="AJ330" s="20">
        <v>52.5</v>
      </c>
      <c r="AK330" s="21">
        <v>7.5</v>
      </c>
      <c r="AL330" s="20">
        <f t="shared" si="89"/>
        <v>60</v>
      </c>
      <c r="AM330" s="20">
        <v>25</v>
      </c>
      <c r="AN330" s="21">
        <v>0</v>
      </c>
      <c r="AO330" s="20">
        <f t="shared" si="90"/>
        <v>25</v>
      </c>
      <c r="AP330" s="21">
        <v>27.5</v>
      </c>
      <c r="AQ330" s="20">
        <v>0</v>
      </c>
      <c r="AR330" s="20">
        <f t="shared" si="91"/>
        <v>27.5</v>
      </c>
      <c r="AS330" s="20">
        <v>99.5</v>
      </c>
      <c r="AT330" s="21">
        <v>0</v>
      </c>
      <c r="AU330" s="20">
        <f t="shared" si="92"/>
        <v>99.5</v>
      </c>
      <c r="AV330" s="23">
        <f t="shared" si="93"/>
        <v>404.45</v>
      </c>
      <c r="AW330" s="22">
        <f t="shared" si="94"/>
        <v>25</v>
      </c>
      <c r="AX330" s="20">
        <f t="shared" si="95"/>
        <v>429.45</v>
      </c>
      <c r="AY330" s="28" t="s">
        <v>478</v>
      </c>
      <c r="AZ330" s="28" t="s">
        <v>478</v>
      </c>
      <c r="BA330" s="28" t="s">
        <v>352</v>
      </c>
      <c r="BB330" s="29">
        <v>43596</v>
      </c>
    </row>
    <row r="331" spans="1:54" hidden="1">
      <c r="A331" s="28" t="str">
        <f t="shared" si="80"/>
        <v>809579119261</v>
      </c>
      <c r="B331" s="30">
        <v>809579</v>
      </c>
      <c r="C331" s="30" t="s">
        <v>243</v>
      </c>
      <c r="D331" s="31">
        <v>119261</v>
      </c>
      <c r="E331" s="28" t="s">
        <v>170</v>
      </c>
      <c r="F331" s="28"/>
      <c r="G331" s="28"/>
      <c r="H331" s="28"/>
      <c r="I331" s="28"/>
      <c r="J331" s="28"/>
      <c r="K331" s="28"/>
      <c r="L331" s="20">
        <v>100</v>
      </c>
      <c r="M331" s="21">
        <v>0</v>
      </c>
      <c r="N331" s="20">
        <f t="shared" si="81"/>
        <v>100</v>
      </c>
      <c r="O331" s="20">
        <v>58</v>
      </c>
      <c r="P331" s="21">
        <v>0</v>
      </c>
      <c r="Q331" s="20">
        <f t="shared" si="82"/>
        <v>58</v>
      </c>
      <c r="R331" s="20">
        <v>101</v>
      </c>
      <c r="S331" s="22">
        <v>0</v>
      </c>
      <c r="T331" s="20">
        <f t="shared" si="83"/>
        <v>101</v>
      </c>
      <c r="U331" s="20">
        <v>142</v>
      </c>
      <c r="V331" s="21">
        <v>0</v>
      </c>
      <c r="W331" s="20">
        <f t="shared" si="84"/>
        <v>142</v>
      </c>
      <c r="X331" s="20">
        <v>58.5</v>
      </c>
      <c r="Y331" s="22">
        <v>0</v>
      </c>
      <c r="Z331" s="20">
        <f t="shared" si="85"/>
        <v>58.5</v>
      </c>
      <c r="AA331" s="20">
        <v>102</v>
      </c>
      <c r="AB331" s="22">
        <v>0</v>
      </c>
      <c r="AC331" s="20">
        <f t="shared" si="86"/>
        <v>102</v>
      </c>
      <c r="AD331" s="20">
        <v>234.25</v>
      </c>
      <c r="AE331" s="22">
        <v>0</v>
      </c>
      <c r="AF331" s="20">
        <f t="shared" si="87"/>
        <v>234.25</v>
      </c>
      <c r="AG331" s="20">
        <v>300.5</v>
      </c>
      <c r="AH331" s="21">
        <v>2.5</v>
      </c>
      <c r="AI331" s="20">
        <f t="shared" si="88"/>
        <v>303</v>
      </c>
      <c r="AJ331" s="20">
        <v>200</v>
      </c>
      <c r="AK331" s="21">
        <v>0</v>
      </c>
      <c r="AL331" s="20">
        <f t="shared" si="89"/>
        <v>200</v>
      </c>
      <c r="AM331" s="20">
        <v>543.75</v>
      </c>
      <c r="AN331" s="21">
        <v>19.5</v>
      </c>
      <c r="AO331" s="20">
        <f t="shared" si="90"/>
        <v>563.25</v>
      </c>
      <c r="AP331" s="21">
        <v>606.6</v>
      </c>
      <c r="AQ331" s="20">
        <v>17.600000000000001</v>
      </c>
      <c r="AR331" s="20">
        <f t="shared" si="91"/>
        <v>624.20000000000005</v>
      </c>
      <c r="AS331" s="20">
        <v>700.25</v>
      </c>
      <c r="AT331" s="21">
        <v>9</v>
      </c>
      <c r="AU331" s="20">
        <f t="shared" si="92"/>
        <v>709.25</v>
      </c>
      <c r="AV331" s="23">
        <f t="shared" si="93"/>
        <v>3146.85</v>
      </c>
      <c r="AW331" s="22">
        <f t="shared" si="94"/>
        <v>48.6</v>
      </c>
      <c r="AX331" s="20">
        <f t="shared" si="95"/>
        <v>3195.45</v>
      </c>
      <c r="AY331" s="28" t="s">
        <v>478</v>
      </c>
      <c r="AZ331" s="28" t="s">
        <v>478</v>
      </c>
      <c r="BA331" s="28" t="s">
        <v>352</v>
      </c>
      <c r="BB331" s="29">
        <v>43605</v>
      </c>
    </row>
    <row r="332" spans="1:54" hidden="1">
      <c r="A332" s="28" t="str">
        <f t="shared" si="80"/>
        <v>809618171947</v>
      </c>
      <c r="B332" s="30">
        <v>809618</v>
      </c>
      <c r="C332" s="30" t="s">
        <v>230</v>
      </c>
      <c r="D332" s="31">
        <v>171947</v>
      </c>
      <c r="E332" s="28" t="s">
        <v>199</v>
      </c>
      <c r="F332" s="28"/>
      <c r="G332" s="28"/>
      <c r="H332" s="28"/>
      <c r="I332" s="28"/>
      <c r="J332" s="28"/>
      <c r="K332" s="28"/>
      <c r="L332" s="20">
        <v>55</v>
      </c>
      <c r="M332" s="21">
        <v>15</v>
      </c>
      <c r="N332" s="20">
        <f t="shared" si="81"/>
        <v>70</v>
      </c>
      <c r="O332" s="20">
        <v>23.5</v>
      </c>
      <c r="P332" s="21">
        <v>0</v>
      </c>
      <c r="Q332" s="20">
        <f t="shared" si="82"/>
        <v>23.5</v>
      </c>
      <c r="R332" s="20">
        <v>37.5</v>
      </c>
      <c r="S332" s="22">
        <v>0</v>
      </c>
      <c r="T332" s="20">
        <f t="shared" si="83"/>
        <v>37.5</v>
      </c>
      <c r="U332" s="20">
        <v>82.5</v>
      </c>
      <c r="V332" s="21">
        <v>0</v>
      </c>
      <c r="W332" s="20">
        <f t="shared" si="84"/>
        <v>82.5</v>
      </c>
      <c r="X332" s="20">
        <v>107.5</v>
      </c>
      <c r="Y332" s="22">
        <v>0</v>
      </c>
      <c r="Z332" s="20">
        <f t="shared" si="85"/>
        <v>107.5</v>
      </c>
      <c r="AA332" s="20">
        <v>93</v>
      </c>
      <c r="AB332" s="22">
        <v>0</v>
      </c>
      <c r="AC332" s="20">
        <f t="shared" si="86"/>
        <v>93</v>
      </c>
      <c r="AD332" s="20">
        <v>80.25</v>
      </c>
      <c r="AE332" s="22">
        <v>0</v>
      </c>
      <c r="AF332" s="20">
        <f t="shared" si="87"/>
        <v>80.25</v>
      </c>
      <c r="AG332" s="20">
        <v>49.75</v>
      </c>
      <c r="AH332" s="21">
        <v>0</v>
      </c>
      <c r="AI332" s="20">
        <f t="shared" si="88"/>
        <v>49.75</v>
      </c>
      <c r="AJ332" s="20">
        <v>85</v>
      </c>
      <c r="AK332" s="21">
        <v>0</v>
      </c>
      <c r="AL332" s="20">
        <f t="shared" si="89"/>
        <v>85</v>
      </c>
      <c r="AM332" s="20">
        <v>102.5</v>
      </c>
      <c r="AN332" s="21">
        <v>0</v>
      </c>
      <c r="AO332" s="20">
        <f t="shared" si="90"/>
        <v>102.5</v>
      </c>
      <c r="AP332" s="21">
        <v>62.5</v>
      </c>
      <c r="AQ332" s="20">
        <v>7.5</v>
      </c>
      <c r="AR332" s="20">
        <f t="shared" si="91"/>
        <v>70</v>
      </c>
      <c r="AS332" s="20">
        <v>139</v>
      </c>
      <c r="AT332" s="21">
        <v>0</v>
      </c>
      <c r="AU332" s="20">
        <f t="shared" si="92"/>
        <v>139</v>
      </c>
      <c r="AV332" s="23">
        <f t="shared" si="93"/>
        <v>918</v>
      </c>
      <c r="AW332" s="22">
        <f t="shared" si="94"/>
        <v>22.5</v>
      </c>
      <c r="AX332" s="20">
        <f t="shared" si="95"/>
        <v>940.5</v>
      </c>
      <c r="AY332" s="28" t="s">
        <v>478</v>
      </c>
      <c r="AZ332" s="28" t="s">
        <v>478</v>
      </c>
      <c r="BA332" s="28" t="s">
        <v>352</v>
      </c>
      <c r="BB332" s="29">
        <v>43609</v>
      </c>
    </row>
    <row r="333" spans="1:54" hidden="1">
      <c r="A333" s="28" t="str">
        <f t="shared" si="80"/>
        <v>809917172150</v>
      </c>
      <c r="B333" s="30">
        <v>809917</v>
      </c>
      <c r="C333" s="30" t="s">
        <v>212</v>
      </c>
      <c r="D333" s="31">
        <v>172150</v>
      </c>
      <c r="E333" s="28" t="s">
        <v>178</v>
      </c>
      <c r="F333" s="28"/>
      <c r="G333" s="28"/>
      <c r="H333" s="28"/>
      <c r="I333" s="28"/>
      <c r="J333" s="28"/>
      <c r="K333" s="28"/>
      <c r="L333" s="20">
        <v>51.8</v>
      </c>
      <c r="M333" s="21">
        <v>8.3000000000000007</v>
      </c>
      <c r="N333" s="20">
        <f t="shared" si="81"/>
        <v>60.099999999999994</v>
      </c>
      <c r="O333" s="20">
        <v>33.25</v>
      </c>
      <c r="P333" s="21">
        <v>1.25</v>
      </c>
      <c r="Q333" s="20">
        <f t="shared" si="82"/>
        <v>34.5</v>
      </c>
      <c r="R333" s="20">
        <v>65</v>
      </c>
      <c r="S333" s="22">
        <v>0</v>
      </c>
      <c r="T333" s="20">
        <f t="shared" si="83"/>
        <v>65</v>
      </c>
      <c r="U333" s="20">
        <v>94</v>
      </c>
      <c r="V333" s="21">
        <v>2.5</v>
      </c>
      <c r="W333" s="20">
        <f t="shared" si="84"/>
        <v>96.5</v>
      </c>
      <c r="X333" s="20">
        <v>117.75</v>
      </c>
      <c r="Y333" s="22">
        <v>1</v>
      </c>
      <c r="Z333" s="20">
        <f t="shared" si="85"/>
        <v>118.75</v>
      </c>
      <c r="AA333" s="20">
        <v>148.5</v>
      </c>
      <c r="AB333" s="22">
        <v>13.5</v>
      </c>
      <c r="AC333" s="20">
        <f t="shared" si="86"/>
        <v>162</v>
      </c>
      <c r="AD333" s="20">
        <v>105.75</v>
      </c>
      <c r="AE333" s="22">
        <v>0.5</v>
      </c>
      <c r="AF333" s="20">
        <f t="shared" si="87"/>
        <v>106.25</v>
      </c>
      <c r="AG333" s="20">
        <v>77.25</v>
      </c>
      <c r="AH333" s="21">
        <v>0</v>
      </c>
      <c r="AI333" s="20">
        <f t="shared" si="88"/>
        <v>77.25</v>
      </c>
      <c r="AJ333" s="20">
        <v>176.25</v>
      </c>
      <c r="AK333" s="21">
        <v>0</v>
      </c>
      <c r="AL333" s="20">
        <f t="shared" si="89"/>
        <v>176.25</v>
      </c>
      <c r="AM333" s="20">
        <v>105</v>
      </c>
      <c r="AN333" s="21">
        <v>2.5</v>
      </c>
      <c r="AO333" s="20">
        <f t="shared" si="90"/>
        <v>107.5</v>
      </c>
      <c r="AP333" s="21">
        <v>192.75</v>
      </c>
      <c r="AQ333" s="20">
        <v>11</v>
      </c>
      <c r="AR333" s="20">
        <f t="shared" si="91"/>
        <v>203.75</v>
      </c>
      <c r="AS333" s="20">
        <v>295</v>
      </c>
      <c r="AT333" s="21">
        <v>30</v>
      </c>
      <c r="AU333" s="20">
        <f t="shared" si="92"/>
        <v>325</v>
      </c>
      <c r="AV333" s="23">
        <f t="shared" si="93"/>
        <v>1462.3</v>
      </c>
      <c r="AW333" s="22">
        <f t="shared" si="94"/>
        <v>70.55</v>
      </c>
      <c r="AX333" s="20">
        <f t="shared" si="95"/>
        <v>1532.85</v>
      </c>
      <c r="AY333" s="28" t="s">
        <v>478</v>
      </c>
      <c r="AZ333" s="28" t="s">
        <v>478</v>
      </c>
      <c r="BA333" s="28" t="s">
        <v>352</v>
      </c>
      <c r="BB333" s="29">
        <v>43659</v>
      </c>
    </row>
    <row r="334" spans="1:54" hidden="1">
      <c r="A334" s="28" t="str">
        <f t="shared" si="80"/>
        <v>809918144868</v>
      </c>
      <c r="B334" s="30">
        <v>809918</v>
      </c>
      <c r="C334" s="30" t="s">
        <v>197</v>
      </c>
      <c r="D334" s="31">
        <v>144868</v>
      </c>
      <c r="E334" s="28" t="s">
        <v>188</v>
      </c>
      <c r="F334" s="28"/>
      <c r="G334" s="28"/>
      <c r="H334" s="28"/>
      <c r="I334" s="28"/>
      <c r="J334" s="28"/>
      <c r="K334" s="28"/>
      <c r="L334" s="20">
        <v>81</v>
      </c>
      <c r="M334" s="21">
        <v>0</v>
      </c>
      <c r="N334" s="20">
        <f t="shared" si="81"/>
        <v>81</v>
      </c>
      <c r="O334" s="20">
        <v>15</v>
      </c>
      <c r="P334" s="21">
        <v>0</v>
      </c>
      <c r="Q334" s="20">
        <f t="shared" si="82"/>
        <v>15</v>
      </c>
      <c r="R334" s="20">
        <v>62</v>
      </c>
      <c r="S334" s="22">
        <v>0</v>
      </c>
      <c r="T334" s="20">
        <f t="shared" si="83"/>
        <v>62</v>
      </c>
      <c r="U334" s="20">
        <v>149.25</v>
      </c>
      <c r="V334" s="21">
        <v>0</v>
      </c>
      <c r="W334" s="20">
        <f t="shared" si="84"/>
        <v>149.25</v>
      </c>
      <c r="X334" s="20">
        <v>100.5</v>
      </c>
      <c r="Y334" s="22">
        <v>0</v>
      </c>
      <c r="Z334" s="20">
        <f t="shared" si="85"/>
        <v>100.5</v>
      </c>
      <c r="AA334" s="20">
        <v>34</v>
      </c>
      <c r="AB334" s="22">
        <v>0</v>
      </c>
      <c r="AC334" s="20">
        <f t="shared" si="86"/>
        <v>34</v>
      </c>
      <c r="AD334" s="20">
        <v>141.80000000000001</v>
      </c>
      <c r="AE334" s="22">
        <v>3</v>
      </c>
      <c r="AF334" s="20">
        <f t="shared" si="87"/>
        <v>144.80000000000001</v>
      </c>
      <c r="AG334" s="20">
        <v>76.5</v>
      </c>
      <c r="AH334" s="21">
        <v>0</v>
      </c>
      <c r="AI334" s="20">
        <f t="shared" si="88"/>
        <v>76.5</v>
      </c>
      <c r="AJ334" s="20">
        <v>74</v>
      </c>
      <c r="AK334" s="21">
        <v>0</v>
      </c>
      <c r="AL334" s="20">
        <f t="shared" si="89"/>
        <v>74</v>
      </c>
      <c r="AM334" s="20">
        <v>72.5</v>
      </c>
      <c r="AN334" s="21">
        <v>0</v>
      </c>
      <c r="AO334" s="20">
        <f t="shared" si="90"/>
        <v>72.5</v>
      </c>
      <c r="AP334" s="21">
        <v>87.5</v>
      </c>
      <c r="AQ334" s="20">
        <v>0</v>
      </c>
      <c r="AR334" s="20">
        <f t="shared" si="91"/>
        <v>87.5</v>
      </c>
      <c r="AS334" s="20">
        <v>169.5</v>
      </c>
      <c r="AT334" s="21">
        <v>0</v>
      </c>
      <c r="AU334" s="20">
        <f t="shared" si="92"/>
        <v>169.5</v>
      </c>
      <c r="AV334" s="23">
        <f t="shared" si="93"/>
        <v>1063.55</v>
      </c>
      <c r="AW334" s="22">
        <f t="shared" si="94"/>
        <v>3</v>
      </c>
      <c r="AX334" s="20">
        <f t="shared" si="95"/>
        <v>1066.55</v>
      </c>
      <c r="AY334" s="28" t="s">
        <v>478</v>
      </c>
      <c r="AZ334" s="28" t="s">
        <v>478</v>
      </c>
      <c r="BA334" s="28" t="s">
        <v>352</v>
      </c>
      <c r="BB334" s="29">
        <v>43659</v>
      </c>
    </row>
    <row r="335" spans="1:54" hidden="1">
      <c r="A335" s="28" t="str">
        <f t="shared" si="80"/>
        <v>810127178137</v>
      </c>
      <c r="B335" s="30">
        <v>810127</v>
      </c>
      <c r="C335" s="30" t="s">
        <v>92</v>
      </c>
      <c r="D335" s="31">
        <v>178137</v>
      </c>
      <c r="E335" s="28" t="s">
        <v>208</v>
      </c>
      <c r="F335" s="28"/>
      <c r="G335" s="28"/>
      <c r="H335" s="28"/>
      <c r="I335" s="28"/>
      <c r="J335" s="28"/>
      <c r="K335" s="28"/>
      <c r="L335" s="20">
        <v>15.5</v>
      </c>
      <c r="M335" s="21">
        <v>5</v>
      </c>
      <c r="N335" s="20">
        <f t="shared" si="81"/>
        <v>20.5</v>
      </c>
      <c r="O335" s="20">
        <v>28</v>
      </c>
      <c r="P335" s="21">
        <v>1.5</v>
      </c>
      <c r="Q335" s="20">
        <f t="shared" si="82"/>
        <v>29.5</v>
      </c>
      <c r="R335" s="20">
        <v>54.4</v>
      </c>
      <c r="S335" s="22">
        <v>7.25</v>
      </c>
      <c r="T335" s="20">
        <f t="shared" si="83"/>
        <v>61.65</v>
      </c>
      <c r="U335" s="20">
        <v>27.5</v>
      </c>
      <c r="V335" s="21">
        <v>0</v>
      </c>
      <c r="W335" s="20">
        <f t="shared" si="84"/>
        <v>27.5</v>
      </c>
      <c r="X335" s="20">
        <v>90.35</v>
      </c>
      <c r="Y335" s="22">
        <v>0</v>
      </c>
      <c r="Z335" s="20">
        <f t="shared" si="85"/>
        <v>90.35</v>
      </c>
      <c r="AA335" s="20">
        <v>93.5</v>
      </c>
      <c r="AB335" s="22">
        <v>16.5</v>
      </c>
      <c r="AC335" s="20">
        <f t="shared" si="86"/>
        <v>110</v>
      </c>
      <c r="AD335" s="20">
        <v>45.25</v>
      </c>
      <c r="AE335" s="22">
        <v>5</v>
      </c>
      <c r="AF335" s="20">
        <f t="shared" si="87"/>
        <v>50.25</v>
      </c>
      <c r="AG335" s="20">
        <v>12.5</v>
      </c>
      <c r="AH335" s="21">
        <v>0</v>
      </c>
      <c r="AI335" s="20">
        <f t="shared" si="88"/>
        <v>12.5</v>
      </c>
      <c r="AJ335" s="20">
        <v>61</v>
      </c>
      <c r="AK335" s="21">
        <v>4</v>
      </c>
      <c r="AL335" s="20">
        <f t="shared" si="89"/>
        <v>65</v>
      </c>
      <c r="AM335" s="20">
        <v>78.5</v>
      </c>
      <c r="AN335" s="21">
        <v>21.5</v>
      </c>
      <c r="AO335" s="20">
        <f t="shared" si="90"/>
        <v>100</v>
      </c>
      <c r="AP335" s="21">
        <v>108.5</v>
      </c>
      <c r="AQ335" s="20">
        <v>1</v>
      </c>
      <c r="AR335" s="20">
        <f t="shared" si="91"/>
        <v>109.5</v>
      </c>
      <c r="AS335" s="20">
        <v>48.5</v>
      </c>
      <c r="AT335" s="21">
        <v>0</v>
      </c>
      <c r="AU335" s="20">
        <f t="shared" si="92"/>
        <v>48.5</v>
      </c>
      <c r="AV335" s="23">
        <f t="shared" si="93"/>
        <v>663.5</v>
      </c>
      <c r="AW335" s="22">
        <f t="shared" si="94"/>
        <v>61.75</v>
      </c>
      <c r="AX335" s="20">
        <f t="shared" si="95"/>
        <v>725.25</v>
      </c>
      <c r="AY335" s="28" t="s">
        <v>478</v>
      </c>
      <c r="AZ335" s="28" t="s">
        <v>478</v>
      </c>
      <c r="BA335" s="28" t="s">
        <v>352</v>
      </c>
      <c r="BB335" s="29">
        <v>43678</v>
      </c>
    </row>
    <row r="336" spans="1:54" hidden="1">
      <c r="A336" s="28" t="str">
        <f t="shared" si="80"/>
        <v>810242119261</v>
      </c>
      <c r="B336" s="30">
        <v>810242</v>
      </c>
      <c r="C336" s="30" t="s">
        <v>146</v>
      </c>
      <c r="D336" s="31">
        <v>119261</v>
      </c>
      <c r="E336" s="28" t="s">
        <v>170</v>
      </c>
      <c r="F336" s="28"/>
      <c r="G336" s="28"/>
      <c r="H336" s="28"/>
      <c r="I336" s="28"/>
      <c r="J336" s="28"/>
      <c r="K336" s="28"/>
      <c r="L336" s="20">
        <v>343.75</v>
      </c>
      <c r="M336" s="21">
        <v>0.75</v>
      </c>
      <c r="N336" s="20">
        <f t="shared" si="81"/>
        <v>344.5</v>
      </c>
      <c r="O336" s="20">
        <v>117.25</v>
      </c>
      <c r="P336" s="21">
        <v>0</v>
      </c>
      <c r="Q336" s="20">
        <f t="shared" si="82"/>
        <v>117.25</v>
      </c>
      <c r="R336" s="20">
        <v>141.25</v>
      </c>
      <c r="S336" s="22">
        <v>1.25</v>
      </c>
      <c r="T336" s="20">
        <f t="shared" si="83"/>
        <v>142.5</v>
      </c>
      <c r="U336" s="20">
        <v>255.75</v>
      </c>
      <c r="V336" s="21">
        <v>0.75</v>
      </c>
      <c r="W336" s="20">
        <f t="shared" si="84"/>
        <v>256.5</v>
      </c>
      <c r="X336" s="20">
        <v>542</v>
      </c>
      <c r="Y336" s="22">
        <v>0</v>
      </c>
      <c r="Z336" s="20">
        <f t="shared" si="85"/>
        <v>542</v>
      </c>
      <c r="AA336" s="20">
        <v>1008.2</v>
      </c>
      <c r="AB336" s="22">
        <v>9.1999999999999993</v>
      </c>
      <c r="AC336" s="20">
        <f t="shared" si="86"/>
        <v>1017.4000000000001</v>
      </c>
      <c r="AD336" s="20">
        <v>410.5</v>
      </c>
      <c r="AE336" s="22">
        <v>10</v>
      </c>
      <c r="AF336" s="20">
        <f t="shared" si="87"/>
        <v>420.5</v>
      </c>
      <c r="AG336" s="20">
        <v>333.9</v>
      </c>
      <c r="AH336" s="21">
        <v>4</v>
      </c>
      <c r="AI336" s="20">
        <f t="shared" si="88"/>
        <v>337.9</v>
      </c>
      <c r="AJ336" s="20">
        <v>548.25</v>
      </c>
      <c r="AK336" s="21">
        <v>0</v>
      </c>
      <c r="AL336" s="20">
        <f t="shared" si="89"/>
        <v>548.25</v>
      </c>
      <c r="AM336" s="20">
        <v>303.75</v>
      </c>
      <c r="AN336" s="21">
        <v>7.25</v>
      </c>
      <c r="AO336" s="20">
        <f t="shared" si="90"/>
        <v>311</v>
      </c>
      <c r="AP336" s="21">
        <v>300.55</v>
      </c>
      <c r="AQ336" s="20">
        <v>32.75</v>
      </c>
      <c r="AR336" s="20">
        <f t="shared" si="91"/>
        <v>333.3</v>
      </c>
      <c r="AS336" s="20">
        <v>466.15</v>
      </c>
      <c r="AT336" s="21">
        <v>13.9</v>
      </c>
      <c r="AU336" s="20">
        <f t="shared" si="92"/>
        <v>480.04999999999995</v>
      </c>
      <c r="AV336" s="23">
        <f t="shared" si="93"/>
        <v>4771.2999999999993</v>
      </c>
      <c r="AW336" s="22">
        <f t="shared" si="94"/>
        <v>79.850000000000009</v>
      </c>
      <c r="AX336" s="20">
        <f t="shared" si="95"/>
        <v>4851.1499999999996</v>
      </c>
      <c r="AY336" s="28" t="s">
        <v>478</v>
      </c>
      <c r="AZ336" s="28" t="s">
        <v>478</v>
      </c>
      <c r="BA336" s="28" t="s">
        <v>352</v>
      </c>
      <c r="BB336" s="29">
        <v>43691</v>
      </c>
    </row>
    <row r="337" spans="1:54" hidden="1">
      <c r="A337" s="28" t="str">
        <f t="shared" si="80"/>
        <v>810684119261</v>
      </c>
      <c r="B337" s="30">
        <v>810684</v>
      </c>
      <c r="C337" s="30" t="s">
        <v>381</v>
      </c>
      <c r="D337" s="28">
        <v>119261</v>
      </c>
      <c r="E337" s="28" t="s">
        <v>170</v>
      </c>
      <c r="F337" s="28"/>
      <c r="G337" s="28"/>
      <c r="H337" s="28"/>
      <c r="I337" s="28"/>
      <c r="J337" s="28"/>
      <c r="K337" s="28"/>
      <c r="L337" s="20">
        <v>0</v>
      </c>
      <c r="M337" s="21">
        <v>0</v>
      </c>
      <c r="N337" s="20">
        <f t="shared" si="81"/>
        <v>0</v>
      </c>
      <c r="O337" s="20">
        <v>0</v>
      </c>
      <c r="P337" s="21">
        <v>0</v>
      </c>
      <c r="Q337" s="20">
        <f t="shared" si="82"/>
        <v>0</v>
      </c>
      <c r="R337" s="20">
        <v>0</v>
      </c>
      <c r="S337" s="22">
        <v>0</v>
      </c>
      <c r="T337" s="20">
        <f t="shared" si="83"/>
        <v>0</v>
      </c>
      <c r="U337" s="20">
        <v>11</v>
      </c>
      <c r="V337" s="21">
        <v>0</v>
      </c>
      <c r="W337" s="20">
        <f t="shared" si="84"/>
        <v>11</v>
      </c>
      <c r="X337" s="20">
        <v>0</v>
      </c>
      <c r="Y337" s="22">
        <v>0</v>
      </c>
      <c r="Z337" s="20">
        <f t="shared" si="85"/>
        <v>0</v>
      </c>
      <c r="AA337" s="20">
        <v>0</v>
      </c>
      <c r="AB337" s="22">
        <v>0</v>
      </c>
      <c r="AC337" s="20">
        <f t="shared" si="86"/>
        <v>0</v>
      </c>
      <c r="AD337" s="20">
        <v>31</v>
      </c>
      <c r="AE337" s="22">
        <v>0</v>
      </c>
      <c r="AF337" s="20">
        <f t="shared" si="87"/>
        <v>31</v>
      </c>
      <c r="AG337" s="20">
        <v>0</v>
      </c>
      <c r="AH337" s="21">
        <v>0</v>
      </c>
      <c r="AI337" s="20">
        <f t="shared" si="88"/>
        <v>0</v>
      </c>
      <c r="AJ337" s="20">
        <v>21</v>
      </c>
      <c r="AK337" s="21">
        <v>0</v>
      </c>
      <c r="AL337" s="20">
        <f t="shared" si="89"/>
        <v>21</v>
      </c>
      <c r="AM337" s="20">
        <v>0</v>
      </c>
      <c r="AN337" s="21">
        <v>0</v>
      </c>
      <c r="AO337" s="20">
        <f t="shared" si="90"/>
        <v>0</v>
      </c>
      <c r="AP337" s="21">
        <v>0</v>
      </c>
      <c r="AQ337" s="20">
        <v>0</v>
      </c>
      <c r="AR337" s="20">
        <f t="shared" si="91"/>
        <v>0</v>
      </c>
      <c r="AS337" s="20">
        <v>0</v>
      </c>
      <c r="AT337" s="21">
        <v>0</v>
      </c>
      <c r="AU337" s="20">
        <f t="shared" si="92"/>
        <v>0</v>
      </c>
      <c r="AV337" s="23">
        <f t="shared" si="93"/>
        <v>63</v>
      </c>
      <c r="AW337" s="22">
        <f t="shared" si="94"/>
        <v>0</v>
      </c>
      <c r="AX337" s="20">
        <f t="shared" si="95"/>
        <v>63</v>
      </c>
      <c r="AY337" s="28" t="s">
        <v>478</v>
      </c>
      <c r="AZ337" s="28" t="s">
        <v>478</v>
      </c>
      <c r="BA337" s="28" t="s">
        <v>352</v>
      </c>
      <c r="BB337" s="29">
        <v>43761</v>
      </c>
    </row>
    <row r="338" spans="1:54" hidden="1">
      <c r="A338" s="28" t="str">
        <f t="shared" si="80"/>
        <v>810734119065</v>
      </c>
      <c r="B338" s="30">
        <v>810734</v>
      </c>
      <c r="C338" s="30" t="s">
        <v>420</v>
      </c>
      <c r="D338" s="28">
        <v>119065</v>
      </c>
      <c r="E338" s="28" t="s">
        <v>421</v>
      </c>
      <c r="F338" s="28"/>
      <c r="G338" s="28"/>
      <c r="H338" s="28"/>
      <c r="I338" s="28"/>
      <c r="J338" s="28"/>
      <c r="K338" s="28"/>
      <c r="L338" s="20">
        <v>0</v>
      </c>
      <c r="M338" s="21">
        <v>0</v>
      </c>
      <c r="N338" s="20">
        <f t="shared" si="81"/>
        <v>0</v>
      </c>
      <c r="O338" s="20">
        <v>0</v>
      </c>
      <c r="P338" s="21">
        <v>0</v>
      </c>
      <c r="Q338" s="20">
        <f t="shared" si="82"/>
        <v>0</v>
      </c>
      <c r="R338" s="20">
        <v>0</v>
      </c>
      <c r="S338" s="22">
        <v>0</v>
      </c>
      <c r="T338" s="20">
        <f t="shared" si="83"/>
        <v>0</v>
      </c>
      <c r="U338" s="20">
        <v>0</v>
      </c>
      <c r="V338" s="21">
        <v>0</v>
      </c>
      <c r="W338" s="20">
        <f t="shared" si="84"/>
        <v>0</v>
      </c>
      <c r="X338" s="20">
        <v>67.5</v>
      </c>
      <c r="Y338" s="22">
        <v>0</v>
      </c>
      <c r="Z338" s="20">
        <f t="shared" si="85"/>
        <v>67.5</v>
      </c>
      <c r="AA338" s="20">
        <v>42.5</v>
      </c>
      <c r="AB338" s="22">
        <v>0</v>
      </c>
      <c r="AC338" s="20">
        <f t="shared" si="86"/>
        <v>42.5</v>
      </c>
      <c r="AD338" s="20">
        <v>60</v>
      </c>
      <c r="AE338" s="22">
        <v>0</v>
      </c>
      <c r="AF338" s="20">
        <f t="shared" si="87"/>
        <v>60</v>
      </c>
      <c r="AG338" s="20">
        <v>70.75</v>
      </c>
      <c r="AH338" s="21">
        <v>0</v>
      </c>
      <c r="AI338" s="20">
        <f t="shared" si="88"/>
        <v>70.75</v>
      </c>
      <c r="AJ338" s="20">
        <v>41.25</v>
      </c>
      <c r="AK338" s="21">
        <v>0</v>
      </c>
      <c r="AL338" s="20">
        <f t="shared" si="89"/>
        <v>41.25</v>
      </c>
      <c r="AM338" s="20">
        <v>37.5</v>
      </c>
      <c r="AN338" s="21">
        <v>0</v>
      </c>
      <c r="AO338" s="20">
        <f t="shared" si="90"/>
        <v>37.5</v>
      </c>
      <c r="AP338" s="21">
        <v>70</v>
      </c>
      <c r="AQ338" s="20">
        <v>0</v>
      </c>
      <c r="AR338" s="20">
        <f t="shared" si="91"/>
        <v>70</v>
      </c>
      <c r="AS338" s="20">
        <v>139.1</v>
      </c>
      <c r="AT338" s="21">
        <v>3.25</v>
      </c>
      <c r="AU338" s="20">
        <f t="shared" si="92"/>
        <v>142.35</v>
      </c>
      <c r="AV338" s="23">
        <f t="shared" si="93"/>
        <v>528.6</v>
      </c>
      <c r="AW338" s="22">
        <f t="shared" si="94"/>
        <v>3.25</v>
      </c>
      <c r="AX338" s="20">
        <f t="shared" si="95"/>
        <v>531.85</v>
      </c>
      <c r="AY338" s="28" t="s">
        <v>478</v>
      </c>
      <c r="AZ338" s="28" t="s">
        <v>478</v>
      </c>
      <c r="BA338" s="28" t="s">
        <v>352</v>
      </c>
      <c r="BB338" s="29">
        <v>43774</v>
      </c>
    </row>
    <row r="339" spans="1:54" hidden="1">
      <c r="A339" s="28" t="str">
        <f t="shared" si="80"/>
        <v>810830119261</v>
      </c>
      <c r="B339" s="30">
        <v>810830</v>
      </c>
      <c r="C339" s="30" t="s">
        <v>245</v>
      </c>
      <c r="D339" s="31">
        <v>119261</v>
      </c>
      <c r="E339" s="28" t="s">
        <v>170</v>
      </c>
      <c r="F339" s="28"/>
      <c r="G339" s="28"/>
      <c r="H339" s="28"/>
      <c r="I339" s="28"/>
      <c r="J339" s="28"/>
      <c r="K339" s="28"/>
      <c r="L339" s="20">
        <v>30</v>
      </c>
      <c r="M339" s="21">
        <v>0</v>
      </c>
      <c r="N339" s="20">
        <f t="shared" si="81"/>
        <v>30</v>
      </c>
      <c r="O339" s="20">
        <v>0</v>
      </c>
      <c r="P339" s="21">
        <v>0</v>
      </c>
      <c r="Q339" s="20">
        <f t="shared" si="82"/>
        <v>0</v>
      </c>
      <c r="R339" s="20">
        <v>0</v>
      </c>
      <c r="S339" s="22">
        <v>0</v>
      </c>
      <c r="T339" s="20">
        <f t="shared" si="83"/>
        <v>0</v>
      </c>
      <c r="U339" s="20">
        <v>16.5</v>
      </c>
      <c r="V339" s="21">
        <v>0</v>
      </c>
      <c r="W339" s="20">
        <f t="shared" si="84"/>
        <v>16.5</v>
      </c>
      <c r="X339" s="20">
        <v>21</v>
      </c>
      <c r="Y339" s="22">
        <v>0</v>
      </c>
      <c r="Z339" s="20">
        <f t="shared" si="85"/>
        <v>21</v>
      </c>
      <c r="AA339" s="20">
        <v>22.5</v>
      </c>
      <c r="AB339" s="22">
        <v>0</v>
      </c>
      <c r="AC339" s="20">
        <f t="shared" si="86"/>
        <v>22.5</v>
      </c>
      <c r="AD339" s="20">
        <v>0</v>
      </c>
      <c r="AE339" s="22">
        <v>0</v>
      </c>
      <c r="AF339" s="20">
        <f t="shared" si="87"/>
        <v>0</v>
      </c>
      <c r="AG339" s="20">
        <v>21</v>
      </c>
      <c r="AH339" s="21">
        <v>0</v>
      </c>
      <c r="AI339" s="20">
        <f t="shared" si="88"/>
        <v>21</v>
      </c>
      <c r="AJ339" s="20">
        <v>51</v>
      </c>
      <c r="AK339" s="21">
        <v>0</v>
      </c>
      <c r="AL339" s="20">
        <f t="shared" si="89"/>
        <v>51</v>
      </c>
      <c r="AM339" s="20">
        <v>50</v>
      </c>
      <c r="AN339" s="21">
        <v>0</v>
      </c>
      <c r="AO339" s="20">
        <f t="shared" si="90"/>
        <v>50</v>
      </c>
      <c r="AP339" s="21">
        <v>0</v>
      </c>
      <c r="AQ339" s="20">
        <v>0</v>
      </c>
      <c r="AR339" s="20">
        <f t="shared" si="91"/>
        <v>0</v>
      </c>
      <c r="AS339" s="20">
        <v>0</v>
      </c>
      <c r="AT339" s="21">
        <v>0</v>
      </c>
      <c r="AU339" s="20">
        <f t="shared" si="92"/>
        <v>0</v>
      </c>
      <c r="AV339" s="23">
        <f t="shared" si="93"/>
        <v>212</v>
      </c>
      <c r="AW339" s="22">
        <f t="shared" si="94"/>
        <v>0</v>
      </c>
      <c r="AX339" s="20">
        <f t="shared" si="95"/>
        <v>212</v>
      </c>
      <c r="AY339" s="28" t="s">
        <v>478</v>
      </c>
      <c r="AZ339" s="28" t="s">
        <v>478</v>
      </c>
      <c r="BA339" s="28" t="s">
        <v>352</v>
      </c>
      <c r="BB339" s="29">
        <v>43792</v>
      </c>
    </row>
    <row r="340" spans="1:54" hidden="1">
      <c r="A340" s="28" t="str">
        <f t="shared" si="80"/>
        <v>810852179911</v>
      </c>
      <c r="B340" s="30">
        <v>810852</v>
      </c>
      <c r="C340" s="30" t="s">
        <v>223</v>
      </c>
      <c r="D340" s="31">
        <v>179911</v>
      </c>
      <c r="E340" s="28" t="s">
        <v>186</v>
      </c>
      <c r="F340" s="28"/>
      <c r="G340" s="28"/>
      <c r="H340" s="28"/>
      <c r="I340" s="28"/>
      <c r="J340" s="28"/>
      <c r="K340" s="28"/>
      <c r="L340" s="20">
        <v>4</v>
      </c>
      <c r="M340" s="21">
        <v>0</v>
      </c>
      <c r="N340" s="20">
        <f t="shared" si="81"/>
        <v>4</v>
      </c>
      <c r="O340" s="20">
        <v>13.75</v>
      </c>
      <c r="P340" s="21">
        <v>0</v>
      </c>
      <c r="Q340" s="20">
        <f t="shared" si="82"/>
        <v>13.75</v>
      </c>
      <c r="R340" s="20">
        <v>11.5</v>
      </c>
      <c r="S340" s="22">
        <v>0</v>
      </c>
      <c r="T340" s="20">
        <f t="shared" si="83"/>
        <v>11.5</v>
      </c>
      <c r="U340" s="20">
        <v>2.5</v>
      </c>
      <c r="V340" s="21">
        <v>0</v>
      </c>
      <c r="W340" s="20">
        <f t="shared" si="84"/>
        <v>2.5</v>
      </c>
      <c r="X340" s="20">
        <v>7.5</v>
      </c>
      <c r="Y340" s="22">
        <v>0</v>
      </c>
      <c r="Z340" s="20">
        <f t="shared" si="85"/>
        <v>7.5</v>
      </c>
      <c r="AA340" s="20">
        <v>2.5</v>
      </c>
      <c r="AB340" s="22">
        <v>2.5</v>
      </c>
      <c r="AC340" s="20">
        <f t="shared" si="86"/>
        <v>5</v>
      </c>
      <c r="AD340" s="20">
        <v>0</v>
      </c>
      <c r="AE340" s="22">
        <v>0</v>
      </c>
      <c r="AF340" s="20">
        <f t="shared" si="87"/>
        <v>0</v>
      </c>
      <c r="AG340" s="20">
        <v>11.5</v>
      </c>
      <c r="AH340" s="21">
        <v>7.5</v>
      </c>
      <c r="AI340" s="20">
        <f t="shared" si="88"/>
        <v>19</v>
      </c>
      <c r="AJ340" s="20">
        <v>18.5</v>
      </c>
      <c r="AK340" s="21">
        <v>0</v>
      </c>
      <c r="AL340" s="20">
        <f t="shared" si="89"/>
        <v>18.5</v>
      </c>
      <c r="AM340" s="20">
        <v>0</v>
      </c>
      <c r="AN340" s="21">
        <v>0</v>
      </c>
      <c r="AO340" s="20">
        <f t="shared" si="90"/>
        <v>0</v>
      </c>
      <c r="AP340" s="21">
        <v>1</v>
      </c>
      <c r="AQ340" s="20">
        <v>0</v>
      </c>
      <c r="AR340" s="20">
        <f t="shared" si="91"/>
        <v>1</v>
      </c>
      <c r="AS340" s="20">
        <v>7</v>
      </c>
      <c r="AT340" s="21">
        <v>0</v>
      </c>
      <c r="AU340" s="20">
        <f t="shared" si="92"/>
        <v>7</v>
      </c>
      <c r="AV340" s="23">
        <f t="shared" si="93"/>
        <v>79.75</v>
      </c>
      <c r="AW340" s="22">
        <f t="shared" si="94"/>
        <v>10</v>
      </c>
      <c r="AX340" s="20">
        <f t="shared" si="95"/>
        <v>89.75</v>
      </c>
      <c r="AY340" s="28" t="s">
        <v>478</v>
      </c>
      <c r="AZ340" s="28" t="s">
        <v>478</v>
      </c>
      <c r="BA340" s="28" t="s">
        <v>352</v>
      </c>
      <c r="BB340" s="29">
        <v>43796</v>
      </c>
    </row>
    <row r="341" spans="1:54" hidden="1">
      <c r="A341" s="28" t="str">
        <f t="shared" si="80"/>
        <v>811137177957</v>
      </c>
      <c r="B341" s="30">
        <v>811137</v>
      </c>
      <c r="C341" s="30" t="s">
        <v>154</v>
      </c>
      <c r="D341" s="31">
        <v>177957</v>
      </c>
      <c r="E341" s="28" t="s">
        <v>227</v>
      </c>
      <c r="F341" s="28"/>
      <c r="G341" s="28"/>
      <c r="H341" s="28"/>
      <c r="I341" s="28"/>
      <c r="J341" s="28"/>
      <c r="K341" s="28"/>
      <c r="L341" s="20">
        <v>33.5</v>
      </c>
      <c r="M341" s="21">
        <v>4.5</v>
      </c>
      <c r="N341" s="20">
        <f t="shared" si="81"/>
        <v>38</v>
      </c>
      <c r="O341" s="20">
        <v>33.75</v>
      </c>
      <c r="P341" s="21">
        <v>0</v>
      </c>
      <c r="Q341" s="20">
        <f t="shared" si="82"/>
        <v>33.75</v>
      </c>
      <c r="R341" s="20">
        <v>91.75</v>
      </c>
      <c r="S341" s="22">
        <v>0</v>
      </c>
      <c r="T341" s="20">
        <f t="shared" si="83"/>
        <v>91.75</v>
      </c>
      <c r="U341" s="20">
        <v>83.5</v>
      </c>
      <c r="V341" s="21">
        <v>0</v>
      </c>
      <c r="W341" s="20">
        <f t="shared" si="84"/>
        <v>83.5</v>
      </c>
      <c r="X341" s="20">
        <v>85.5</v>
      </c>
      <c r="Y341" s="22">
        <v>5.5</v>
      </c>
      <c r="Z341" s="20">
        <f t="shared" si="85"/>
        <v>91</v>
      </c>
      <c r="AA341" s="20">
        <v>85.5</v>
      </c>
      <c r="AB341" s="22">
        <v>15</v>
      </c>
      <c r="AC341" s="20">
        <f t="shared" si="86"/>
        <v>100.5</v>
      </c>
      <c r="AD341" s="20">
        <v>38.9</v>
      </c>
      <c r="AE341" s="22">
        <v>0</v>
      </c>
      <c r="AF341" s="20">
        <f t="shared" si="87"/>
        <v>38.9</v>
      </c>
      <c r="AG341" s="20">
        <v>44.25</v>
      </c>
      <c r="AH341" s="21">
        <v>11.25</v>
      </c>
      <c r="AI341" s="20">
        <f t="shared" si="88"/>
        <v>55.5</v>
      </c>
      <c r="AJ341" s="20">
        <v>85.25</v>
      </c>
      <c r="AK341" s="21">
        <v>11.5</v>
      </c>
      <c r="AL341" s="20">
        <f t="shared" si="89"/>
        <v>96.75</v>
      </c>
      <c r="AM341" s="20">
        <v>117.25</v>
      </c>
      <c r="AN341" s="21">
        <v>0</v>
      </c>
      <c r="AO341" s="20">
        <f t="shared" si="90"/>
        <v>117.25</v>
      </c>
      <c r="AP341" s="21">
        <v>63.3</v>
      </c>
      <c r="AQ341" s="20">
        <v>8.75</v>
      </c>
      <c r="AR341" s="20">
        <f t="shared" si="91"/>
        <v>72.05</v>
      </c>
      <c r="AS341" s="20">
        <v>161.25</v>
      </c>
      <c r="AT341" s="21">
        <v>11</v>
      </c>
      <c r="AU341" s="20">
        <f t="shared" si="92"/>
        <v>172.25</v>
      </c>
      <c r="AV341" s="23">
        <f t="shared" si="93"/>
        <v>923.69999999999993</v>
      </c>
      <c r="AW341" s="22">
        <f t="shared" si="94"/>
        <v>67.5</v>
      </c>
      <c r="AX341" s="20">
        <f t="shared" si="95"/>
        <v>991.19999999999993</v>
      </c>
      <c r="AY341" s="28" t="s">
        <v>478</v>
      </c>
      <c r="AZ341" s="28" t="s">
        <v>478</v>
      </c>
      <c r="BA341" s="28" t="s">
        <v>352</v>
      </c>
      <c r="BB341" s="29">
        <v>43829</v>
      </c>
    </row>
    <row r="342" spans="1:54" hidden="1">
      <c r="A342" s="28" t="str">
        <f t="shared" si="80"/>
        <v>811183174445</v>
      </c>
      <c r="B342" s="30">
        <v>811183</v>
      </c>
      <c r="C342" s="30" t="s">
        <v>202</v>
      </c>
      <c r="D342" s="31">
        <v>174445</v>
      </c>
      <c r="E342" s="28" t="s">
        <v>173</v>
      </c>
      <c r="F342" s="28"/>
      <c r="G342" s="28"/>
      <c r="H342" s="28"/>
      <c r="I342" s="28"/>
      <c r="J342" s="28"/>
      <c r="K342" s="28"/>
      <c r="L342" s="20">
        <v>16</v>
      </c>
      <c r="M342" s="21">
        <v>0</v>
      </c>
      <c r="N342" s="20">
        <f t="shared" si="81"/>
        <v>16</v>
      </c>
      <c r="O342" s="20">
        <v>22.5</v>
      </c>
      <c r="P342" s="21">
        <v>0</v>
      </c>
      <c r="Q342" s="20">
        <f t="shared" si="82"/>
        <v>22.5</v>
      </c>
      <c r="R342" s="20">
        <v>15</v>
      </c>
      <c r="S342" s="22">
        <v>0</v>
      </c>
      <c r="T342" s="20">
        <f t="shared" si="83"/>
        <v>15</v>
      </c>
      <c r="U342" s="20">
        <v>54</v>
      </c>
      <c r="V342" s="21">
        <v>0</v>
      </c>
      <c r="W342" s="20">
        <f t="shared" si="84"/>
        <v>54</v>
      </c>
      <c r="X342" s="20">
        <v>20</v>
      </c>
      <c r="Y342" s="22">
        <v>0</v>
      </c>
      <c r="Z342" s="20">
        <f t="shared" si="85"/>
        <v>20</v>
      </c>
      <c r="AA342" s="20">
        <v>19</v>
      </c>
      <c r="AB342" s="22">
        <v>0</v>
      </c>
      <c r="AC342" s="20">
        <f t="shared" si="86"/>
        <v>19</v>
      </c>
      <c r="AD342" s="20">
        <v>10</v>
      </c>
      <c r="AE342" s="22">
        <v>0</v>
      </c>
      <c r="AF342" s="20">
        <f t="shared" si="87"/>
        <v>10</v>
      </c>
      <c r="AG342" s="20">
        <v>11</v>
      </c>
      <c r="AH342" s="21">
        <v>0</v>
      </c>
      <c r="AI342" s="20">
        <f t="shared" si="88"/>
        <v>11</v>
      </c>
      <c r="AJ342" s="20">
        <v>40</v>
      </c>
      <c r="AK342" s="21">
        <v>2.5</v>
      </c>
      <c r="AL342" s="20">
        <f t="shared" si="89"/>
        <v>42.5</v>
      </c>
      <c r="AM342" s="20">
        <v>25</v>
      </c>
      <c r="AN342" s="21">
        <v>0</v>
      </c>
      <c r="AO342" s="20">
        <f t="shared" si="90"/>
        <v>25</v>
      </c>
      <c r="AP342" s="21">
        <v>26</v>
      </c>
      <c r="AQ342" s="20">
        <v>0</v>
      </c>
      <c r="AR342" s="20">
        <f t="shared" si="91"/>
        <v>26</v>
      </c>
      <c r="AS342" s="20">
        <v>144</v>
      </c>
      <c r="AT342" s="21">
        <v>6.5</v>
      </c>
      <c r="AU342" s="20">
        <f t="shared" si="92"/>
        <v>150.5</v>
      </c>
      <c r="AV342" s="23">
        <f t="shared" si="93"/>
        <v>402.5</v>
      </c>
      <c r="AW342" s="22">
        <f t="shared" si="94"/>
        <v>9</v>
      </c>
      <c r="AX342" s="20">
        <f t="shared" si="95"/>
        <v>411.5</v>
      </c>
      <c r="AY342" s="28" t="s">
        <v>478</v>
      </c>
      <c r="AZ342" s="28" t="s">
        <v>478</v>
      </c>
      <c r="BA342" s="28" t="s">
        <v>352</v>
      </c>
      <c r="BB342" s="29">
        <v>43834</v>
      </c>
    </row>
    <row r="343" spans="1:54" hidden="1">
      <c r="A343" s="28" t="str">
        <f t="shared" si="80"/>
        <v>811251144868</v>
      </c>
      <c r="B343" s="30">
        <v>811251</v>
      </c>
      <c r="C343" s="30" t="s">
        <v>198</v>
      </c>
      <c r="D343" s="31">
        <v>144868</v>
      </c>
      <c r="E343" s="28" t="s">
        <v>188</v>
      </c>
      <c r="F343" s="28"/>
      <c r="G343" s="28"/>
      <c r="H343" s="28"/>
      <c r="I343" s="28"/>
      <c r="J343" s="28"/>
      <c r="K343" s="28"/>
      <c r="L343" s="20">
        <v>8</v>
      </c>
      <c r="M343" s="21">
        <v>0</v>
      </c>
      <c r="N343" s="20">
        <f t="shared" si="81"/>
        <v>8</v>
      </c>
      <c r="O343" s="20">
        <v>0</v>
      </c>
      <c r="P343" s="21">
        <v>0</v>
      </c>
      <c r="Q343" s="20">
        <f t="shared" si="82"/>
        <v>0</v>
      </c>
      <c r="R343" s="20">
        <v>5</v>
      </c>
      <c r="S343" s="22">
        <v>0</v>
      </c>
      <c r="T343" s="20">
        <f t="shared" si="83"/>
        <v>5</v>
      </c>
      <c r="U343" s="20">
        <v>5</v>
      </c>
      <c r="V343" s="21">
        <v>0</v>
      </c>
      <c r="W343" s="20">
        <f t="shared" si="84"/>
        <v>5</v>
      </c>
      <c r="X343" s="20">
        <v>10</v>
      </c>
      <c r="Y343" s="22">
        <v>0</v>
      </c>
      <c r="Z343" s="20">
        <f t="shared" si="85"/>
        <v>10</v>
      </c>
      <c r="AA343" s="20">
        <v>0</v>
      </c>
      <c r="AB343" s="22">
        <v>0</v>
      </c>
      <c r="AC343" s="20">
        <f t="shared" si="86"/>
        <v>0</v>
      </c>
      <c r="AD343" s="20">
        <v>5</v>
      </c>
      <c r="AE343" s="22">
        <v>0</v>
      </c>
      <c r="AF343" s="20">
        <f t="shared" si="87"/>
        <v>5</v>
      </c>
      <c r="AG343" s="20">
        <v>12.5</v>
      </c>
      <c r="AH343" s="21">
        <v>0</v>
      </c>
      <c r="AI343" s="20">
        <f t="shared" si="88"/>
        <v>12.5</v>
      </c>
      <c r="AJ343" s="20">
        <v>14</v>
      </c>
      <c r="AK343" s="21">
        <v>0</v>
      </c>
      <c r="AL343" s="20">
        <f t="shared" si="89"/>
        <v>14</v>
      </c>
      <c r="AM343" s="20">
        <v>20</v>
      </c>
      <c r="AN343" s="21">
        <v>0</v>
      </c>
      <c r="AO343" s="20">
        <f t="shared" si="90"/>
        <v>20</v>
      </c>
      <c r="AP343" s="21">
        <v>14.5</v>
      </c>
      <c r="AQ343" s="20">
        <v>0</v>
      </c>
      <c r="AR343" s="20">
        <f t="shared" si="91"/>
        <v>14.5</v>
      </c>
      <c r="AS343" s="20">
        <v>25</v>
      </c>
      <c r="AT343" s="21">
        <v>0</v>
      </c>
      <c r="AU343" s="20">
        <f t="shared" si="92"/>
        <v>25</v>
      </c>
      <c r="AV343" s="23">
        <f t="shared" si="93"/>
        <v>119</v>
      </c>
      <c r="AW343" s="22">
        <f t="shared" si="94"/>
        <v>0</v>
      </c>
      <c r="AX343" s="20">
        <f t="shared" si="95"/>
        <v>119</v>
      </c>
      <c r="AY343" s="28" t="s">
        <v>478</v>
      </c>
      <c r="AZ343" s="28" t="s">
        <v>478</v>
      </c>
      <c r="BA343" s="28" t="s">
        <v>352</v>
      </c>
      <c r="BB343" s="29">
        <v>43844</v>
      </c>
    </row>
    <row r="344" spans="1:54" hidden="1">
      <c r="A344" s="28" t="str">
        <f t="shared" si="80"/>
        <v>811401145639</v>
      </c>
      <c r="B344" s="30">
        <v>811401</v>
      </c>
      <c r="C344" s="30" t="s">
        <v>404</v>
      </c>
      <c r="D344" s="28">
        <v>145639</v>
      </c>
      <c r="E344" s="28" t="s">
        <v>182</v>
      </c>
      <c r="F344" s="28"/>
      <c r="G344" s="28"/>
      <c r="H344" s="28"/>
      <c r="I344" s="28"/>
      <c r="J344" s="28"/>
      <c r="K344" s="28"/>
      <c r="L344" s="20">
        <v>0</v>
      </c>
      <c r="M344" s="21">
        <v>0</v>
      </c>
      <c r="N344" s="20">
        <f t="shared" si="81"/>
        <v>0</v>
      </c>
      <c r="O344" s="20">
        <v>0</v>
      </c>
      <c r="P344" s="21">
        <v>0</v>
      </c>
      <c r="Q344" s="20">
        <f t="shared" si="82"/>
        <v>0</v>
      </c>
      <c r="R344" s="20">
        <v>0</v>
      </c>
      <c r="S344" s="22">
        <v>0</v>
      </c>
      <c r="T344" s="20">
        <f t="shared" si="83"/>
        <v>0</v>
      </c>
      <c r="U344" s="20">
        <v>4</v>
      </c>
      <c r="V344" s="21">
        <v>0</v>
      </c>
      <c r="W344" s="20">
        <f t="shared" si="84"/>
        <v>4</v>
      </c>
      <c r="X344" s="20">
        <v>21</v>
      </c>
      <c r="Y344" s="22">
        <v>0</v>
      </c>
      <c r="Z344" s="20">
        <f t="shared" si="85"/>
        <v>21</v>
      </c>
      <c r="AA344" s="20">
        <v>9</v>
      </c>
      <c r="AB344" s="22">
        <v>0</v>
      </c>
      <c r="AC344" s="20">
        <f t="shared" si="86"/>
        <v>9</v>
      </c>
      <c r="AD344" s="20">
        <v>0</v>
      </c>
      <c r="AE344" s="22">
        <v>0</v>
      </c>
      <c r="AF344" s="20">
        <f t="shared" si="87"/>
        <v>0</v>
      </c>
      <c r="AG344" s="20">
        <v>5</v>
      </c>
      <c r="AH344" s="21">
        <v>0</v>
      </c>
      <c r="AI344" s="20">
        <f t="shared" si="88"/>
        <v>5</v>
      </c>
      <c r="AJ344" s="20">
        <v>7.5</v>
      </c>
      <c r="AK344" s="21">
        <v>0</v>
      </c>
      <c r="AL344" s="20">
        <f t="shared" si="89"/>
        <v>7.5</v>
      </c>
      <c r="AM344" s="20">
        <v>0</v>
      </c>
      <c r="AN344" s="21">
        <v>0</v>
      </c>
      <c r="AO344" s="20">
        <f t="shared" si="90"/>
        <v>0</v>
      </c>
      <c r="AP344" s="21">
        <v>0</v>
      </c>
      <c r="AQ344" s="20">
        <v>0</v>
      </c>
      <c r="AR344" s="20">
        <f t="shared" si="91"/>
        <v>0</v>
      </c>
      <c r="AS344" s="20">
        <v>17.5</v>
      </c>
      <c r="AT344" s="21">
        <v>0</v>
      </c>
      <c r="AU344" s="20">
        <f t="shared" si="92"/>
        <v>17.5</v>
      </c>
      <c r="AV344" s="23">
        <f t="shared" si="93"/>
        <v>64</v>
      </c>
      <c r="AW344" s="22">
        <f t="shared" si="94"/>
        <v>0</v>
      </c>
      <c r="AX344" s="20">
        <f t="shared" si="95"/>
        <v>64</v>
      </c>
      <c r="AY344" s="28" t="s">
        <v>478</v>
      </c>
      <c r="AZ344" s="28" t="s">
        <v>478</v>
      </c>
      <c r="BA344" s="28" t="s">
        <v>352</v>
      </c>
      <c r="BB344" s="29">
        <v>43865</v>
      </c>
    </row>
    <row r="345" spans="1:54" hidden="1">
      <c r="A345" s="28" t="str">
        <f t="shared" si="80"/>
        <v>811455176279</v>
      </c>
      <c r="B345" s="30">
        <v>811455</v>
      </c>
      <c r="C345" s="30" t="s">
        <v>326</v>
      </c>
      <c r="D345" s="31">
        <v>176279</v>
      </c>
      <c r="E345" s="28" t="s">
        <v>175</v>
      </c>
      <c r="F345" s="28"/>
      <c r="G345" s="28"/>
      <c r="H345" s="28"/>
      <c r="I345" s="28"/>
      <c r="J345" s="28"/>
      <c r="K345" s="28"/>
      <c r="L345" s="20">
        <v>5</v>
      </c>
      <c r="M345" s="21">
        <v>0</v>
      </c>
      <c r="N345" s="20">
        <f t="shared" si="81"/>
        <v>5</v>
      </c>
      <c r="O345" s="20">
        <v>10</v>
      </c>
      <c r="P345" s="21">
        <v>0</v>
      </c>
      <c r="Q345" s="20">
        <f t="shared" si="82"/>
        <v>10</v>
      </c>
      <c r="R345" s="20">
        <v>31.25</v>
      </c>
      <c r="S345" s="22">
        <v>0</v>
      </c>
      <c r="T345" s="20">
        <f t="shared" si="83"/>
        <v>31.25</v>
      </c>
      <c r="U345" s="20">
        <v>27.5</v>
      </c>
      <c r="V345" s="21">
        <v>0</v>
      </c>
      <c r="W345" s="20">
        <f t="shared" si="84"/>
        <v>27.5</v>
      </c>
      <c r="X345" s="20">
        <v>50</v>
      </c>
      <c r="Y345" s="22">
        <v>0</v>
      </c>
      <c r="Z345" s="20">
        <f t="shared" si="85"/>
        <v>50</v>
      </c>
      <c r="AA345" s="20">
        <v>50.5</v>
      </c>
      <c r="AB345" s="22">
        <v>0</v>
      </c>
      <c r="AC345" s="20">
        <f t="shared" si="86"/>
        <v>50.5</v>
      </c>
      <c r="AD345" s="20">
        <v>19.75</v>
      </c>
      <c r="AE345" s="22">
        <v>0</v>
      </c>
      <c r="AF345" s="20">
        <f t="shared" si="87"/>
        <v>19.75</v>
      </c>
      <c r="AG345" s="20">
        <v>12.5</v>
      </c>
      <c r="AH345" s="21">
        <v>0</v>
      </c>
      <c r="AI345" s="20">
        <f t="shared" si="88"/>
        <v>12.5</v>
      </c>
      <c r="AJ345" s="20">
        <v>37</v>
      </c>
      <c r="AK345" s="21">
        <v>0</v>
      </c>
      <c r="AL345" s="20">
        <f t="shared" si="89"/>
        <v>37</v>
      </c>
      <c r="AM345" s="20">
        <v>30</v>
      </c>
      <c r="AN345" s="21">
        <v>0</v>
      </c>
      <c r="AO345" s="20">
        <f t="shared" si="90"/>
        <v>30</v>
      </c>
      <c r="AP345" s="21">
        <v>27.5</v>
      </c>
      <c r="AQ345" s="20">
        <v>0</v>
      </c>
      <c r="AR345" s="20">
        <f t="shared" si="91"/>
        <v>27.5</v>
      </c>
      <c r="AS345" s="20">
        <v>59</v>
      </c>
      <c r="AT345" s="21">
        <v>0</v>
      </c>
      <c r="AU345" s="20">
        <f t="shared" si="92"/>
        <v>59</v>
      </c>
      <c r="AV345" s="23">
        <f t="shared" si="93"/>
        <v>360</v>
      </c>
      <c r="AW345" s="22">
        <f t="shared" si="94"/>
        <v>0</v>
      </c>
      <c r="AX345" s="20">
        <f t="shared" si="95"/>
        <v>360</v>
      </c>
      <c r="AY345" s="28" t="s">
        <v>478</v>
      </c>
      <c r="AZ345" s="28" t="s">
        <v>478</v>
      </c>
      <c r="BA345" s="28" t="s">
        <v>352</v>
      </c>
      <c r="BB345" s="29">
        <v>43868</v>
      </c>
    </row>
    <row r="346" spans="1:54" hidden="1">
      <c r="A346" s="28" t="str">
        <f t="shared" si="80"/>
        <v>811480119071</v>
      </c>
      <c r="B346" s="30">
        <v>811480</v>
      </c>
      <c r="C346" s="30" t="s">
        <v>143</v>
      </c>
      <c r="D346" s="31">
        <v>119071</v>
      </c>
      <c r="E346" s="28" t="s">
        <v>184</v>
      </c>
      <c r="F346" s="28"/>
      <c r="G346" s="28"/>
      <c r="H346" s="28"/>
      <c r="I346" s="28"/>
      <c r="J346" s="28"/>
      <c r="K346" s="28"/>
      <c r="L346" s="20">
        <v>30</v>
      </c>
      <c r="M346" s="21">
        <v>0</v>
      </c>
      <c r="N346" s="20">
        <f t="shared" si="81"/>
        <v>30</v>
      </c>
      <c r="O346" s="20">
        <v>10</v>
      </c>
      <c r="P346" s="21">
        <v>0</v>
      </c>
      <c r="Q346" s="20">
        <f t="shared" si="82"/>
        <v>10</v>
      </c>
      <c r="R346" s="20">
        <v>94</v>
      </c>
      <c r="S346" s="22">
        <v>0</v>
      </c>
      <c r="T346" s="20">
        <f t="shared" si="83"/>
        <v>94</v>
      </c>
      <c r="U346" s="20">
        <v>62.75</v>
      </c>
      <c r="V346" s="21">
        <v>0</v>
      </c>
      <c r="W346" s="20">
        <f t="shared" si="84"/>
        <v>62.75</v>
      </c>
      <c r="X346" s="20">
        <v>86</v>
      </c>
      <c r="Y346" s="22">
        <v>0</v>
      </c>
      <c r="Z346" s="20">
        <f t="shared" si="85"/>
        <v>86</v>
      </c>
      <c r="AA346" s="20">
        <v>55</v>
      </c>
      <c r="AB346" s="22">
        <v>0</v>
      </c>
      <c r="AC346" s="20">
        <f t="shared" si="86"/>
        <v>55</v>
      </c>
      <c r="AD346" s="20">
        <v>20</v>
      </c>
      <c r="AE346" s="22">
        <v>0</v>
      </c>
      <c r="AF346" s="20">
        <f t="shared" si="87"/>
        <v>20</v>
      </c>
      <c r="AG346" s="20">
        <v>20</v>
      </c>
      <c r="AH346" s="21">
        <v>0</v>
      </c>
      <c r="AI346" s="20">
        <f t="shared" si="88"/>
        <v>20</v>
      </c>
      <c r="AJ346" s="20">
        <v>112.5</v>
      </c>
      <c r="AK346" s="21">
        <v>1.5</v>
      </c>
      <c r="AL346" s="20">
        <f t="shared" si="89"/>
        <v>114</v>
      </c>
      <c r="AM346" s="20">
        <v>22.5</v>
      </c>
      <c r="AN346" s="21">
        <v>0</v>
      </c>
      <c r="AO346" s="20">
        <f t="shared" si="90"/>
        <v>22.5</v>
      </c>
      <c r="AP346" s="21">
        <v>38.5</v>
      </c>
      <c r="AQ346" s="20">
        <v>4</v>
      </c>
      <c r="AR346" s="20">
        <f t="shared" si="91"/>
        <v>42.5</v>
      </c>
      <c r="AS346" s="20">
        <v>98.75</v>
      </c>
      <c r="AT346" s="21">
        <v>0</v>
      </c>
      <c r="AU346" s="20">
        <f t="shared" si="92"/>
        <v>98.75</v>
      </c>
      <c r="AV346" s="23">
        <f t="shared" si="93"/>
        <v>650</v>
      </c>
      <c r="AW346" s="22">
        <f t="shared" si="94"/>
        <v>5.5</v>
      </c>
      <c r="AX346" s="20">
        <f t="shared" si="95"/>
        <v>655.5</v>
      </c>
      <c r="AY346" s="28" t="s">
        <v>478</v>
      </c>
      <c r="AZ346" s="28" t="s">
        <v>478</v>
      </c>
      <c r="BA346" s="28" t="s">
        <v>352</v>
      </c>
      <c r="BB346" s="29">
        <v>43873</v>
      </c>
    </row>
    <row r="347" spans="1:54" hidden="1">
      <c r="A347" s="28" t="str">
        <f t="shared" si="80"/>
        <v>811535176279</v>
      </c>
      <c r="B347" s="28">
        <v>811535</v>
      </c>
      <c r="C347" s="28" t="s">
        <v>311</v>
      </c>
      <c r="D347" s="28">
        <v>176279</v>
      </c>
      <c r="E347" s="28" t="s">
        <v>175</v>
      </c>
      <c r="F347" s="28"/>
      <c r="G347" s="28"/>
      <c r="H347" s="28"/>
      <c r="I347" s="28"/>
      <c r="J347" s="28"/>
      <c r="K347" s="28"/>
      <c r="L347" s="20">
        <v>0</v>
      </c>
      <c r="M347" s="21">
        <v>0</v>
      </c>
      <c r="N347" s="20">
        <f t="shared" si="81"/>
        <v>0</v>
      </c>
      <c r="O347" s="20">
        <v>11</v>
      </c>
      <c r="P347" s="21">
        <v>0</v>
      </c>
      <c r="Q347" s="20">
        <f t="shared" si="82"/>
        <v>11</v>
      </c>
      <c r="R347" s="20">
        <v>5</v>
      </c>
      <c r="S347" s="22">
        <v>0</v>
      </c>
      <c r="T347" s="20">
        <f t="shared" si="83"/>
        <v>5</v>
      </c>
      <c r="U347" s="20">
        <v>38.5</v>
      </c>
      <c r="V347" s="21">
        <v>0</v>
      </c>
      <c r="W347" s="20">
        <f t="shared" si="84"/>
        <v>38.5</v>
      </c>
      <c r="X347" s="20">
        <v>17.5</v>
      </c>
      <c r="Y347" s="22">
        <v>0</v>
      </c>
      <c r="Z347" s="20">
        <f t="shared" si="85"/>
        <v>17.5</v>
      </c>
      <c r="AA347" s="20">
        <v>10</v>
      </c>
      <c r="AB347" s="22">
        <v>0</v>
      </c>
      <c r="AC347" s="20">
        <f t="shared" si="86"/>
        <v>10</v>
      </c>
      <c r="AD347" s="20">
        <v>15</v>
      </c>
      <c r="AE347" s="22">
        <v>0</v>
      </c>
      <c r="AF347" s="20">
        <f t="shared" si="87"/>
        <v>15</v>
      </c>
      <c r="AG347" s="20">
        <v>34.5</v>
      </c>
      <c r="AH347" s="21">
        <v>0</v>
      </c>
      <c r="AI347" s="20">
        <f t="shared" si="88"/>
        <v>34.5</v>
      </c>
      <c r="AJ347" s="20">
        <v>67.25</v>
      </c>
      <c r="AK347" s="21">
        <v>2.5</v>
      </c>
      <c r="AL347" s="20">
        <f t="shared" si="89"/>
        <v>69.75</v>
      </c>
      <c r="AM347" s="20">
        <v>45</v>
      </c>
      <c r="AN347" s="21">
        <v>0</v>
      </c>
      <c r="AO347" s="20">
        <f t="shared" si="90"/>
        <v>45</v>
      </c>
      <c r="AP347" s="21">
        <v>32.5</v>
      </c>
      <c r="AQ347" s="20">
        <v>0</v>
      </c>
      <c r="AR347" s="20">
        <f t="shared" si="91"/>
        <v>32.5</v>
      </c>
      <c r="AS347" s="20">
        <v>65.25</v>
      </c>
      <c r="AT347" s="21">
        <v>0</v>
      </c>
      <c r="AU347" s="20">
        <f t="shared" si="92"/>
        <v>65.25</v>
      </c>
      <c r="AV347" s="23">
        <f t="shared" si="93"/>
        <v>341.5</v>
      </c>
      <c r="AW347" s="22">
        <f t="shared" si="94"/>
        <v>2.5</v>
      </c>
      <c r="AX347" s="20">
        <f t="shared" si="95"/>
        <v>344</v>
      </c>
      <c r="AY347" s="28" t="s">
        <v>478</v>
      </c>
      <c r="AZ347" s="28" t="s">
        <v>478</v>
      </c>
      <c r="BA347" s="28" t="s">
        <v>352</v>
      </c>
      <c r="BB347" s="29">
        <v>43879</v>
      </c>
    </row>
    <row r="348" spans="1:54" hidden="1">
      <c r="A348" s="28" t="str">
        <f t="shared" si="80"/>
        <v>811639141512</v>
      </c>
      <c r="B348" s="30">
        <v>811639</v>
      </c>
      <c r="C348" s="30" t="s">
        <v>269</v>
      </c>
      <c r="D348" s="31">
        <v>141512</v>
      </c>
      <c r="E348" s="28" t="s">
        <v>136</v>
      </c>
      <c r="F348" s="28"/>
      <c r="G348" s="28"/>
      <c r="H348" s="28"/>
      <c r="I348" s="28"/>
      <c r="J348" s="28"/>
      <c r="K348" s="28"/>
      <c r="L348" s="20">
        <v>30</v>
      </c>
      <c r="M348" s="21">
        <v>0</v>
      </c>
      <c r="N348" s="20">
        <f t="shared" si="81"/>
        <v>30</v>
      </c>
      <c r="O348" s="20">
        <v>5</v>
      </c>
      <c r="P348" s="21">
        <v>0</v>
      </c>
      <c r="Q348" s="20">
        <f t="shared" si="82"/>
        <v>5</v>
      </c>
      <c r="R348" s="20">
        <v>25</v>
      </c>
      <c r="S348" s="22">
        <v>2.5</v>
      </c>
      <c r="T348" s="20">
        <f t="shared" si="83"/>
        <v>27.5</v>
      </c>
      <c r="U348" s="20">
        <v>33</v>
      </c>
      <c r="V348" s="21">
        <v>0</v>
      </c>
      <c r="W348" s="20">
        <f t="shared" si="84"/>
        <v>33</v>
      </c>
      <c r="X348" s="20">
        <v>67.699999999999989</v>
      </c>
      <c r="Y348" s="22">
        <v>1.55</v>
      </c>
      <c r="Z348" s="20">
        <f t="shared" si="85"/>
        <v>69.249999999999986</v>
      </c>
      <c r="AA348" s="20">
        <v>51.75</v>
      </c>
      <c r="AB348" s="22">
        <v>7.25</v>
      </c>
      <c r="AC348" s="20">
        <f t="shared" si="86"/>
        <v>59</v>
      </c>
      <c r="AD348" s="20">
        <v>50.05</v>
      </c>
      <c r="AE348" s="22">
        <v>5</v>
      </c>
      <c r="AF348" s="20">
        <f t="shared" si="87"/>
        <v>55.05</v>
      </c>
      <c r="AG348" s="20">
        <v>10</v>
      </c>
      <c r="AH348" s="21">
        <v>0</v>
      </c>
      <c r="AI348" s="20">
        <f t="shared" si="88"/>
        <v>10</v>
      </c>
      <c r="AJ348" s="20">
        <v>34.5</v>
      </c>
      <c r="AK348" s="21">
        <v>0.5</v>
      </c>
      <c r="AL348" s="20">
        <f t="shared" si="89"/>
        <v>35</v>
      </c>
      <c r="AM348" s="20">
        <v>11.5</v>
      </c>
      <c r="AN348" s="21">
        <v>0</v>
      </c>
      <c r="AO348" s="20">
        <f t="shared" si="90"/>
        <v>11.5</v>
      </c>
      <c r="AP348" s="21">
        <v>8</v>
      </c>
      <c r="AQ348" s="20">
        <v>0</v>
      </c>
      <c r="AR348" s="20">
        <f t="shared" si="91"/>
        <v>8</v>
      </c>
      <c r="AS348" s="20">
        <v>74.5</v>
      </c>
      <c r="AT348" s="21">
        <v>1.25</v>
      </c>
      <c r="AU348" s="20">
        <f t="shared" si="92"/>
        <v>75.75</v>
      </c>
      <c r="AV348" s="23">
        <f t="shared" si="93"/>
        <v>401</v>
      </c>
      <c r="AW348" s="22">
        <f t="shared" si="94"/>
        <v>18.05</v>
      </c>
      <c r="AX348" s="20">
        <f t="shared" si="95"/>
        <v>419.05</v>
      </c>
      <c r="AY348" s="28" t="s">
        <v>478</v>
      </c>
      <c r="AZ348" s="28" t="s">
        <v>478</v>
      </c>
      <c r="BA348" s="28" t="s">
        <v>352</v>
      </c>
      <c r="BB348" s="29">
        <v>43889</v>
      </c>
    </row>
    <row r="349" spans="1:54" hidden="1">
      <c r="A349" s="28" t="str">
        <f t="shared" si="80"/>
        <v>811862149872</v>
      </c>
      <c r="B349" s="30">
        <v>811862</v>
      </c>
      <c r="C349" s="30" t="s">
        <v>209</v>
      </c>
      <c r="D349" s="31">
        <v>149872</v>
      </c>
      <c r="E349" s="28" t="s">
        <v>169</v>
      </c>
      <c r="F349" s="28"/>
      <c r="G349" s="28"/>
      <c r="H349" s="28"/>
      <c r="I349" s="28"/>
      <c r="J349" s="28"/>
      <c r="K349" s="28"/>
      <c r="L349" s="20">
        <v>77</v>
      </c>
      <c r="M349" s="21">
        <v>0</v>
      </c>
      <c r="N349" s="20">
        <f t="shared" si="81"/>
        <v>77</v>
      </c>
      <c r="O349" s="20">
        <v>35</v>
      </c>
      <c r="P349" s="21">
        <v>0</v>
      </c>
      <c r="Q349" s="20">
        <f t="shared" si="82"/>
        <v>35</v>
      </c>
      <c r="R349" s="20">
        <v>126</v>
      </c>
      <c r="S349" s="22">
        <v>0</v>
      </c>
      <c r="T349" s="20">
        <f t="shared" si="83"/>
        <v>126</v>
      </c>
      <c r="U349" s="20">
        <v>160</v>
      </c>
      <c r="V349" s="21">
        <v>0</v>
      </c>
      <c r="W349" s="20">
        <f t="shared" si="84"/>
        <v>160</v>
      </c>
      <c r="X349" s="20">
        <v>181.75</v>
      </c>
      <c r="Y349" s="22">
        <v>0</v>
      </c>
      <c r="Z349" s="20">
        <f t="shared" si="85"/>
        <v>181.75</v>
      </c>
      <c r="AA349" s="20">
        <v>150.5</v>
      </c>
      <c r="AB349" s="22">
        <v>2.5</v>
      </c>
      <c r="AC349" s="20">
        <f t="shared" si="86"/>
        <v>153</v>
      </c>
      <c r="AD349" s="20">
        <v>69.400000000000006</v>
      </c>
      <c r="AE349" s="22">
        <v>2.65</v>
      </c>
      <c r="AF349" s="20">
        <f t="shared" si="87"/>
        <v>72.050000000000011</v>
      </c>
      <c r="AG349" s="20">
        <v>133.25</v>
      </c>
      <c r="AH349" s="21">
        <v>5.75</v>
      </c>
      <c r="AI349" s="20">
        <f t="shared" si="88"/>
        <v>139</v>
      </c>
      <c r="AJ349" s="20">
        <v>328</v>
      </c>
      <c r="AK349" s="21">
        <v>13</v>
      </c>
      <c r="AL349" s="20">
        <f t="shared" si="89"/>
        <v>341</v>
      </c>
      <c r="AM349" s="20">
        <v>240.5</v>
      </c>
      <c r="AN349" s="21">
        <v>10</v>
      </c>
      <c r="AO349" s="20">
        <f t="shared" si="90"/>
        <v>250.5</v>
      </c>
      <c r="AP349" s="21">
        <v>242.25</v>
      </c>
      <c r="AQ349" s="20">
        <v>9.5</v>
      </c>
      <c r="AR349" s="20">
        <f t="shared" si="91"/>
        <v>251.75</v>
      </c>
      <c r="AS349" s="20">
        <v>244</v>
      </c>
      <c r="AT349" s="21">
        <v>0</v>
      </c>
      <c r="AU349" s="20">
        <f t="shared" si="92"/>
        <v>244</v>
      </c>
      <c r="AV349" s="23">
        <f t="shared" si="93"/>
        <v>1987.65</v>
      </c>
      <c r="AW349" s="22">
        <f t="shared" si="94"/>
        <v>43.4</v>
      </c>
      <c r="AX349" s="20">
        <f t="shared" si="95"/>
        <v>2031.0500000000002</v>
      </c>
      <c r="AY349" s="28" t="s">
        <v>478</v>
      </c>
      <c r="AZ349" s="28" t="s">
        <v>478</v>
      </c>
      <c r="BA349" s="28" t="s">
        <v>352</v>
      </c>
      <c r="BB349" s="29">
        <v>43987</v>
      </c>
    </row>
    <row r="350" spans="1:54" hidden="1">
      <c r="A350" s="28" t="str">
        <f t="shared" si="80"/>
        <v>812072144868</v>
      </c>
      <c r="B350" s="30">
        <v>812072</v>
      </c>
      <c r="C350" s="30" t="s">
        <v>189</v>
      </c>
      <c r="D350" s="31">
        <v>144868</v>
      </c>
      <c r="E350" s="28" t="s">
        <v>188</v>
      </c>
      <c r="F350" s="28"/>
      <c r="G350" s="28"/>
      <c r="H350" s="28"/>
      <c r="I350" s="28"/>
      <c r="J350" s="28"/>
      <c r="K350" s="28"/>
      <c r="L350" s="20">
        <v>5</v>
      </c>
      <c r="M350" s="21">
        <v>0</v>
      </c>
      <c r="N350" s="20">
        <f t="shared" si="81"/>
        <v>5</v>
      </c>
      <c r="O350" s="20">
        <v>2.5</v>
      </c>
      <c r="P350" s="21">
        <v>0</v>
      </c>
      <c r="Q350" s="20">
        <f t="shared" si="82"/>
        <v>2.5</v>
      </c>
      <c r="R350" s="20">
        <v>0</v>
      </c>
      <c r="S350" s="22">
        <v>0</v>
      </c>
      <c r="T350" s="20">
        <f t="shared" si="83"/>
        <v>0</v>
      </c>
      <c r="U350" s="20">
        <v>5</v>
      </c>
      <c r="V350" s="21">
        <v>0</v>
      </c>
      <c r="W350" s="20">
        <f t="shared" si="84"/>
        <v>5</v>
      </c>
      <c r="X350" s="20">
        <v>15</v>
      </c>
      <c r="Y350" s="22">
        <v>1.25</v>
      </c>
      <c r="Z350" s="20">
        <f t="shared" si="85"/>
        <v>16.25</v>
      </c>
      <c r="AA350" s="20">
        <v>0</v>
      </c>
      <c r="AB350" s="22">
        <v>0</v>
      </c>
      <c r="AC350" s="20">
        <f t="shared" si="86"/>
        <v>0</v>
      </c>
      <c r="AD350" s="20">
        <v>0</v>
      </c>
      <c r="AE350" s="22">
        <v>0</v>
      </c>
      <c r="AF350" s="20">
        <f t="shared" si="87"/>
        <v>0</v>
      </c>
      <c r="AG350" s="20">
        <v>2.5</v>
      </c>
      <c r="AH350" s="21">
        <v>0</v>
      </c>
      <c r="AI350" s="20">
        <f t="shared" si="88"/>
        <v>2.5</v>
      </c>
      <c r="AJ350" s="20">
        <v>10</v>
      </c>
      <c r="AK350" s="21">
        <v>0</v>
      </c>
      <c r="AL350" s="20">
        <f t="shared" si="89"/>
        <v>10</v>
      </c>
      <c r="AM350" s="20">
        <v>11.5</v>
      </c>
      <c r="AN350" s="21">
        <v>0</v>
      </c>
      <c r="AO350" s="20">
        <f t="shared" si="90"/>
        <v>11.5</v>
      </c>
      <c r="AP350" s="21">
        <v>0</v>
      </c>
      <c r="AQ350" s="20">
        <v>0</v>
      </c>
      <c r="AR350" s="20">
        <f t="shared" si="91"/>
        <v>0</v>
      </c>
      <c r="AS350" s="20">
        <v>0</v>
      </c>
      <c r="AT350" s="21">
        <v>0</v>
      </c>
      <c r="AU350" s="20">
        <f t="shared" si="92"/>
        <v>0</v>
      </c>
      <c r="AV350" s="23">
        <f t="shared" si="93"/>
        <v>51.5</v>
      </c>
      <c r="AW350" s="22">
        <f t="shared" si="94"/>
        <v>1.25</v>
      </c>
      <c r="AX350" s="20">
        <f t="shared" si="95"/>
        <v>52.75</v>
      </c>
      <c r="AY350" s="28" t="s">
        <v>478</v>
      </c>
      <c r="AZ350" s="28" t="s">
        <v>478</v>
      </c>
      <c r="BA350" s="28" t="s">
        <v>352</v>
      </c>
      <c r="BB350" s="29">
        <v>44012</v>
      </c>
    </row>
    <row r="351" spans="1:54" hidden="1">
      <c r="A351" s="28" t="str">
        <f t="shared" si="80"/>
        <v>812142174445</v>
      </c>
      <c r="B351" s="30">
        <v>812142</v>
      </c>
      <c r="C351" s="30" t="s">
        <v>319</v>
      </c>
      <c r="D351" s="31">
        <v>174445</v>
      </c>
      <c r="E351" s="28" t="s">
        <v>173</v>
      </c>
      <c r="F351" s="28"/>
      <c r="G351" s="28"/>
      <c r="H351" s="28"/>
      <c r="I351" s="28"/>
      <c r="J351" s="28"/>
      <c r="K351" s="28"/>
      <c r="L351" s="20">
        <v>14.5</v>
      </c>
      <c r="M351" s="21">
        <v>0</v>
      </c>
      <c r="N351" s="20">
        <f t="shared" si="81"/>
        <v>14.5</v>
      </c>
      <c r="O351" s="20">
        <v>15</v>
      </c>
      <c r="P351" s="21">
        <v>0</v>
      </c>
      <c r="Q351" s="20">
        <f t="shared" si="82"/>
        <v>15</v>
      </c>
      <c r="R351" s="20">
        <v>20.5</v>
      </c>
      <c r="S351" s="22">
        <v>0</v>
      </c>
      <c r="T351" s="20">
        <f t="shared" si="83"/>
        <v>20.5</v>
      </c>
      <c r="U351" s="20">
        <v>38</v>
      </c>
      <c r="V351" s="21">
        <v>0</v>
      </c>
      <c r="W351" s="20">
        <f t="shared" si="84"/>
        <v>38</v>
      </c>
      <c r="X351" s="20">
        <v>15</v>
      </c>
      <c r="Y351" s="22">
        <v>0</v>
      </c>
      <c r="Z351" s="20">
        <f t="shared" si="85"/>
        <v>15</v>
      </c>
      <c r="AA351" s="20">
        <v>19</v>
      </c>
      <c r="AB351" s="22">
        <v>0</v>
      </c>
      <c r="AC351" s="20">
        <f t="shared" si="86"/>
        <v>19</v>
      </c>
      <c r="AD351" s="20">
        <v>10</v>
      </c>
      <c r="AE351" s="22">
        <v>0</v>
      </c>
      <c r="AF351" s="20">
        <f t="shared" si="87"/>
        <v>10</v>
      </c>
      <c r="AG351" s="20">
        <v>5</v>
      </c>
      <c r="AH351" s="21">
        <v>0</v>
      </c>
      <c r="AI351" s="20">
        <f t="shared" si="88"/>
        <v>5</v>
      </c>
      <c r="AJ351" s="20">
        <v>22.5</v>
      </c>
      <c r="AK351" s="21">
        <v>0</v>
      </c>
      <c r="AL351" s="20">
        <f t="shared" si="89"/>
        <v>22.5</v>
      </c>
      <c r="AM351" s="20">
        <v>25</v>
      </c>
      <c r="AN351" s="21">
        <v>0</v>
      </c>
      <c r="AO351" s="20">
        <f t="shared" si="90"/>
        <v>25</v>
      </c>
      <c r="AP351" s="21">
        <v>29</v>
      </c>
      <c r="AQ351" s="20">
        <v>0</v>
      </c>
      <c r="AR351" s="20">
        <f t="shared" si="91"/>
        <v>29</v>
      </c>
      <c r="AS351" s="20">
        <v>7.5</v>
      </c>
      <c r="AT351" s="21">
        <v>0</v>
      </c>
      <c r="AU351" s="20">
        <f t="shared" si="92"/>
        <v>7.5</v>
      </c>
      <c r="AV351" s="23">
        <f t="shared" si="93"/>
        <v>221</v>
      </c>
      <c r="AW351" s="22">
        <f t="shared" si="94"/>
        <v>0</v>
      </c>
      <c r="AX351" s="20">
        <f t="shared" si="95"/>
        <v>221</v>
      </c>
      <c r="AY351" s="28" t="s">
        <v>478</v>
      </c>
      <c r="AZ351" s="28" t="s">
        <v>478</v>
      </c>
      <c r="BA351" s="28" t="s">
        <v>352</v>
      </c>
      <c r="BB351" s="29">
        <v>44019</v>
      </c>
    </row>
    <row r="352" spans="1:54" hidden="1">
      <c r="A352" s="28" t="str">
        <f t="shared" si="80"/>
        <v>812161145639</v>
      </c>
      <c r="B352" s="30">
        <v>812161</v>
      </c>
      <c r="C352" s="30" t="s">
        <v>213</v>
      </c>
      <c r="D352" s="31">
        <v>145639</v>
      </c>
      <c r="E352" s="28" t="s">
        <v>182</v>
      </c>
      <c r="F352" s="28"/>
      <c r="G352" s="28"/>
      <c r="H352" s="28"/>
      <c r="I352" s="28"/>
      <c r="J352" s="28"/>
      <c r="K352" s="28"/>
      <c r="L352" s="20">
        <v>68</v>
      </c>
      <c r="M352" s="21">
        <v>0</v>
      </c>
      <c r="N352" s="20">
        <f t="shared" si="81"/>
        <v>68</v>
      </c>
      <c r="O352" s="20">
        <v>50</v>
      </c>
      <c r="P352" s="21">
        <v>0</v>
      </c>
      <c r="Q352" s="20">
        <f t="shared" si="82"/>
        <v>50</v>
      </c>
      <c r="R352" s="20">
        <v>114.5</v>
      </c>
      <c r="S352" s="22">
        <v>4</v>
      </c>
      <c r="T352" s="20">
        <f t="shared" si="83"/>
        <v>118.5</v>
      </c>
      <c r="U352" s="20">
        <v>93.5</v>
      </c>
      <c r="V352" s="21">
        <v>0</v>
      </c>
      <c r="W352" s="20">
        <f t="shared" si="84"/>
        <v>93.5</v>
      </c>
      <c r="X352" s="20">
        <v>127.75</v>
      </c>
      <c r="Y352" s="22">
        <v>1.5</v>
      </c>
      <c r="Z352" s="20">
        <f t="shared" si="85"/>
        <v>129.25</v>
      </c>
      <c r="AA352" s="20">
        <v>110.5</v>
      </c>
      <c r="AB352" s="22">
        <v>0</v>
      </c>
      <c r="AC352" s="20">
        <f t="shared" si="86"/>
        <v>110.5</v>
      </c>
      <c r="AD352" s="20">
        <v>82.5</v>
      </c>
      <c r="AE352" s="22">
        <v>0</v>
      </c>
      <c r="AF352" s="20">
        <f t="shared" si="87"/>
        <v>82.5</v>
      </c>
      <c r="AG352" s="20">
        <v>34.5</v>
      </c>
      <c r="AH352" s="21">
        <v>0</v>
      </c>
      <c r="AI352" s="20">
        <f t="shared" si="88"/>
        <v>34.5</v>
      </c>
      <c r="AJ352" s="20">
        <v>106</v>
      </c>
      <c r="AK352" s="21">
        <v>0</v>
      </c>
      <c r="AL352" s="20">
        <f t="shared" si="89"/>
        <v>106</v>
      </c>
      <c r="AM352" s="20">
        <v>80.75</v>
      </c>
      <c r="AN352" s="21">
        <v>0</v>
      </c>
      <c r="AO352" s="20">
        <f t="shared" si="90"/>
        <v>80.75</v>
      </c>
      <c r="AP352" s="21">
        <v>100.25</v>
      </c>
      <c r="AQ352" s="20">
        <v>7.25</v>
      </c>
      <c r="AR352" s="20">
        <f t="shared" si="91"/>
        <v>107.5</v>
      </c>
      <c r="AS352" s="20">
        <v>167</v>
      </c>
      <c r="AT352" s="21">
        <v>7.5</v>
      </c>
      <c r="AU352" s="20">
        <f t="shared" si="92"/>
        <v>174.5</v>
      </c>
      <c r="AV352" s="23">
        <f t="shared" si="93"/>
        <v>1135.25</v>
      </c>
      <c r="AW352" s="22">
        <f t="shared" si="94"/>
        <v>20.25</v>
      </c>
      <c r="AX352" s="20">
        <f t="shared" si="95"/>
        <v>1155.5</v>
      </c>
      <c r="AY352" s="28" t="s">
        <v>478</v>
      </c>
      <c r="AZ352" s="28" t="s">
        <v>478</v>
      </c>
      <c r="BA352" s="28" t="s">
        <v>352</v>
      </c>
      <c r="BB352" s="29">
        <v>44021</v>
      </c>
    </row>
    <row r="353" spans="1:54" hidden="1">
      <c r="A353" s="28" t="str">
        <f t="shared" si="80"/>
        <v>812196174445</v>
      </c>
      <c r="B353" s="30">
        <v>812196</v>
      </c>
      <c r="C353" s="30" t="s">
        <v>328</v>
      </c>
      <c r="D353" s="31">
        <v>174445</v>
      </c>
      <c r="E353" s="28" t="s">
        <v>173</v>
      </c>
      <c r="F353" s="28"/>
      <c r="G353" s="28"/>
      <c r="H353" s="28"/>
      <c r="I353" s="28"/>
      <c r="J353" s="28"/>
      <c r="K353" s="28"/>
      <c r="L353" s="20">
        <v>0</v>
      </c>
      <c r="M353" s="21">
        <v>0</v>
      </c>
      <c r="N353" s="20">
        <f t="shared" si="81"/>
        <v>0</v>
      </c>
      <c r="O353" s="20">
        <v>15</v>
      </c>
      <c r="P353" s="21">
        <v>0</v>
      </c>
      <c r="Q353" s="20">
        <f t="shared" si="82"/>
        <v>15</v>
      </c>
      <c r="R353" s="20">
        <v>20</v>
      </c>
      <c r="S353" s="22">
        <v>0</v>
      </c>
      <c r="T353" s="20">
        <f t="shared" si="83"/>
        <v>20</v>
      </c>
      <c r="U353" s="20">
        <v>42.5</v>
      </c>
      <c r="V353" s="21">
        <v>0</v>
      </c>
      <c r="W353" s="20">
        <f t="shared" si="84"/>
        <v>42.5</v>
      </c>
      <c r="X353" s="20">
        <v>20</v>
      </c>
      <c r="Y353" s="22">
        <v>0</v>
      </c>
      <c r="Z353" s="20">
        <f t="shared" si="85"/>
        <v>20</v>
      </c>
      <c r="AA353" s="20">
        <v>19</v>
      </c>
      <c r="AB353" s="22">
        <v>5</v>
      </c>
      <c r="AC353" s="20">
        <f t="shared" si="86"/>
        <v>24</v>
      </c>
      <c r="AD353" s="20">
        <v>27</v>
      </c>
      <c r="AE353" s="22">
        <v>0</v>
      </c>
      <c r="AF353" s="20">
        <f t="shared" si="87"/>
        <v>27</v>
      </c>
      <c r="AG353" s="20">
        <v>15</v>
      </c>
      <c r="AH353" s="21">
        <v>0</v>
      </c>
      <c r="AI353" s="20">
        <f t="shared" si="88"/>
        <v>15</v>
      </c>
      <c r="AJ353" s="20">
        <v>30</v>
      </c>
      <c r="AK353" s="21">
        <v>0</v>
      </c>
      <c r="AL353" s="20">
        <f t="shared" si="89"/>
        <v>30</v>
      </c>
      <c r="AM353" s="20">
        <v>0</v>
      </c>
      <c r="AN353" s="21">
        <v>0</v>
      </c>
      <c r="AO353" s="20">
        <f t="shared" si="90"/>
        <v>0</v>
      </c>
      <c r="AP353" s="21">
        <v>10</v>
      </c>
      <c r="AQ353" s="20">
        <v>0</v>
      </c>
      <c r="AR353" s="20">
        <f t="shared" si="91"/>
        <v>10</v>
      </c>
      <c r="AS353" s="20">
        <v>15.25</v>
      </c>
      <c r="AT353" s="21">
        <v>6.25</v>
      </c>
      <c r="AU353" s="20">
        <f t="shared" si="92"/>
        <v>21.5</v>
      </c>
      <c r="AV353" s="23">
        <f t="shared" si="93"/>
        <v>213.75</v>
      </c>
      <c r="AW353" s="22">
        <f t="shared" si="94"/>
        <v>11.25</v>
      </c>
      <c r="AX353" s="20">
        <f t="shared" si="95"/>
        <v>225</v>
      </c>
      <c r="AY353" s="28" t="s">
        <v>478</v>
      </c>
      <c r="AZ353" s="28" t="s">
        <v>478</v>
      </c>
      <c r="BA353" s="28" t="s">
        <v>352</v>
      </c>
      <c r="BB353" s="29">
        <v>44023</v>
      </c>
    </row>
    <row r="354" spans="1:54" hidden="1">
      <c r="A354" s="28" t="str">
        <f t="shared" si="80"/>
        <v>812425146909</v>
      </c>
      <c r="B354" s="30">
        <v>812425</v>
      </c>
      <c r="C354" s="30" t="s">
        <v>140</v>
      </c>
      <c r="D354" s="31">
        <v>146909</v>
      </c>
      <c r="E354" s="28" t="s">
        <v>139</v>
      </c>
      <c r="F354" s="28"/>
      <c r="G354" s="28"/>
      <c r="H354" s="28"/>
      <c r="I354" s="28"/>
      <c r="J354" s="28"/>
      <c r="K354" s="28"/>
      <c r="L354" s="20">
        <v>129.44999999999999</v>
      </c>
      <c r="M354" s="21">
        <v>6.5</v>
      </c>
      <c r="N354" s="20">
        <f t="shared" si="81"/>
        <v>135.94999999999999</v>
      </c>
      <c r="O354" s="20">
        <v>35</v>
      </c>
      <c r="P354" s="21">
        <v>0</v>
      </c>
      <c r="Q354" s="20">
        <f t="shared" si="82"/>
        <v>35</v>
      </c>
      <c r="R354" s="20">
        <v>170.5</v>
      </c>
      <c r="S354" s="22">
        <v>0</v>
      </c>
      <c r="T354" s="20">
        <f t="shared" si="83"/>
        <v>170.5</v>
      </c>
      <c r="U354" s="20">
        <v>186</v>
      </c>
      <c r="V354" s="21">
        <v>0.5</v>
      </c>
      <c r="W354" s="20">
        <f t="shared" si="84"/>
        <v>186.5</v>
      </c>
      <c r="X354" s="20">
        <v>190</v>
      </c>
      <c r="Y354" s="22">
        <v>5</v>
      </c>
      <c r="Z354" s="20">
        <f t="shared" si="85"/>
        <v>195</v>
      </c>
      <c r="AA354" s="20">
        <v>110.5</v>
      </c>
      <c r="AB354" s="22">
        <v>4.5</v>
      </c>
      <c r="AC354" s="20">
        <f t="shared" si="86"/>
        <v>115</v>
      </c>
      <c r="AD354" s="20">
        <v>51.25</v>
      </c>
      <c r="AE354" s="22">
        <v>0</v>
      </c>
      <c r="AF354" s="20">
        <f t="shared" si="87"/>
        <v>51.25</v>
      </c>
      <c r="AG354" s="20">
        <v>92.5</v>
      </c>
      <c r="AH354" s="21">
        <v>0</v>
      </c>
      <c r="AI354" s="20">
        <f t="shared" si="88"/>
        <v>92.5</v>
      </c>
      <c r="AJ354" s="20">
        <v>116.5</v>
      </c>
      <c r="AK354" s="21">
        <v>0</v>
      </c>
      <c r="AL354" s="20">
        <f t="shared" si="89"/>
        <v>116.5</v>
      </c>
      <c r="AM354" s="20">
        <v>72.5</v>
      </c>
      <c r="AN354" s="21">
        <v>0</v>
      </c>
      <c r="AO354" s="20">
        <f t="shared" si="90"/>
        <v>72.5</v>
      </c>
      <c r="AP354" s="21">
        <v>117.25</v>
      </c>
      <c r="AQ354" s="20">
        <v>5</v>
      </c>
      <c r="AR354" s="20">
        <f t="shared" si="91"/>
        <v>122.25</v>
      </c>
      <c r="AS354" s="20">
        <v>158</v>
      </c>
      <c r="AT354" s="21">
        <v>0</v>
      </c>
      <c r="AU354" s="20">
        <f t="shared" si="92"/>
        <v>158</v>
      </c>
      <c r="AV354" s="23">
        <f t="shared" si="93"/>
        <v>1429.45</v>
      </c>
      <c r="AW354" s="22">
        <f t="shared" si="94"/>
        <v>21.5</v>
      </c>
      <c r="AX354" s="20">
        <f t="shared" si="95"/>
        <v>1450.95</v>
      </c>
      <c r="AY354" s="28" t="s">
        <v>478</v>
      </c>
      <c r="AZ354" s="28" t="s">
        <v>478</v>
      </c>
      <c r="BA354" s="28" t="s">
        <v>352</v>
      </c>
      <c r="BB354" s="29">
        <v>44043</v>
      </c>
    </row>
    <row r="355" spans="1:54" hidden="1">
      <c r="A355" s="28" t="str">
        <f t="shared" si="80"/>
        <v>812428176279</v>
      </c>
      <c r="B355" s="30">
        <v>812428</v>
      </c>
      <c r="C355" s="30" t="s">
        <v>273</v>
      </c>
      <c r="D355" s="31">
        <v>176279</v>
      </c>
      <c r="E355" s="28" t="s">
        <v>175</v>
      </c>
      <c r="F355" s="28"/>
      <c r="G355" s="28"/>
      <c r="H355" s="28"/>
      <c r="I355" s="28"/>
      <c r="J355" s="28"/>
      <c r="K355" s="28"/>
      <c r="L355" s="20">
        <v>30.25</v>
      </c>
      <c r="M355" s="21">
        <v>0</v>
      </c>
      <c r="N355" s="20">
        <f t="shared" si="81"/>
        <v>30.25</v>
      </c>
      <c r="O355" s="20">
        <v>14.3</v>
      </c>
      <c r="P355" s="21">
        <v>0</v>
      </c>
      <c r="Q355" s="20">
        <f t="shared" si="82"/>
        <v>14.3</v>
      </c>
      <c r="R355" s="20">
        <v>32.450000000000003</v>
      </c>
      <c r="S355" s="22">
        <v>2.75</v>
      </c>
      <c r="T355" s="20">
        <f t="shared" si="83"/>
        <v>35.200000000000003</v>
      </c>
      <c r="U355" s="20">
        <v>17.5</v>
      </c>
      <c r="V355" s="21">
        <v>0</v>
      </c>
      <c r="W355" s="20">
        <f t="shared" si="84"/>
        <v>17.5</v>
      </c>
      <c r="X355" s="20">
        <v>20</v>
      </c>
      <c r="Y355" s="22">
        <v>10</v>
      </c>
      <c r="Z355" s="20">
        <f t="shared" si="85"/>
        <v>30</v>
      </c>
      <c r="AA355" s="20">
        <v>0</v>
      </c>
      <c r="AB355" s="22">
        <v>0</v>
      </c>
      <c r="AC355" s="20">
        <f t="shared" si="86"/>
        <v>0</v>
      </c>
      <c r="AD355" s="20">
        <v>0</v>
      </c>
      <c r="AE355" s="22">
        <v>0</v>
      </c>
      <c r="AF355" s="20">
        <f t="shared" si="87"/>
        <v>0</v>
      </c>
      <c r="AG355" s="20">
        <v>0</v>
      </c>
      <c r="AH355" s="21">
        <v>0</v>
      </c>
      <c r="AI355" s="20">
        <f t="shared" si="88"/>
        <v>0</v>
      </c>
      <c r="AJ355" s="20">
        <v>0</v>
      </c>
      <c r="AK355" s="21">
        <v>0</v>
      </c>
      <c r="AL355" s="20">
        <f t="shared" si="89"/>
        <v>0</v>
      </c>
      <c r="AM355" s="20">
        <v>0</v>
      </c>
      <c r="AN355" s="21">
        <v>0</v>
      </c>
      <c r="AO355" s="20">
        <f t="shared" si="90"/>
        <v>0</v>
      </c>
      <c r="AP355" s="21">
        <v>0</v>
      </c>
      <c r="AQ355" s="20">
        <v>0</v>
      </c>
      <c r="AR355" s="20">
        <f t="shared" si="91"/>
        <v>0</v>
      </c>
      <c r="AS355" s="20">
        <v>0</v>
      </c>
      <c r="AT355" s="21">
        <v>0</v>
      </c>
      <c r="AU355" s="20">
        <f t="shared" si="92"/>
        <v>0</v>
      </c>
      <c r="AV355" s="23">
        <f t="shared" si="93"/>
        <v>114.5</v>
      </c>
      <c r="AW355" s="22">
        <f t="shared" si="94"/>
        <v>12.75</v>
      </c>
      <c r="AX355" s="20">
        <f t="shared" si="95"/>
        <v>127.25</v>
      </c>
      <c r="AY355" s="28" t="s">
        <v>478</v>
      </c>
      <c r="AZ355" s="28" t="s">
        <v>478</v>
      </c>
      <c r="BA355" s="28" t="s">
        <v>352</v>
      </c>
      <c r="BB355" s="29">
        <v>44043</v>
      </c>
    </row>
    <row r="356" spans="1:54" hidden="1">
      <c r="A356" s="28" t="str">
        <f t="shared" si="80"/>
        <v>812658119071</v>
      </c>
      <c r="B356" s="30">
        <v>812658</v>
      </c>
      <c r="C356" s="30" t="s">
        <v>316</v>
      </c>
      <c r="D356" s="31">
        <v>119071</v>
      </c>
      <c r="E356" s="28" t="s">
        <v>184</v>
      </c>
      <c r="F356" s="28"/>
      <c r="G356" s="28"/>
      <c r="H356" s="28"/>
      <c r="I356" s="28"/>
      <c r="J356" s="28"/>
      <c r="K356" s="28"/>
      <c r="L356" s="20">
        <v>31</v>
      </c>
      <c r="M356" s="21">
        <v>1.25</v>
      </c>
      <c r="N356" s="20">
        <f t="shared" si="81"/>
        <v>32.25</v>
      </c>
      <c r="O356" s="20">
        <v>30</v>
      </c>
      <c r="P356" s="21">
        <v>0</v>
      </c>
      <c r="Q356" s="20">
        <f t="shared" si="82"/>
        <v>30</v>
      </c>
      <c r="R356" s="20">
        <v>0</v>
      </c>
      <c r="S356" s="22">
        <v>0</v>
      </c>
      <c r="T356" s="20">
        <f t="shared" si="83"/>
        <v>0</v>
      </c>
      <c r="U356" s="20">
        <v>15</v>
      </c>
      <c r="V356" s="21">
        <v>0</v>
      </c>
      <c r="W356" s="20">
        <f t="shared" si="84"/>
        <v>15</v>
      </c>
      <c r="X356" s="20">
        <v>22.5</v>
      </c>
      <c r="Y356" s="22">
        <v>0</v>
      </c>
      <c r="Z356" s="20">
        <f t="shared" si="85"/>
        <v>22.5</v>
      </c>
      <c r="AA356" s="20">
        <v>0</v>
      </c>
      <c r="AB356" s="22">
        <v>0</v>
      </c>
      <c r="AC356" s="20">
        <f t="shared" si="86"/>
        <v>0</v>
      </c>
      <c r="AD356" s="20">
        <v>10</v>
      </c>
      <c r="AE356" s="22">
        <v>0</v>
      </c>
      <c r="AF356" s="20">
        <f t="shared" si="87"/>
        <v>10</v>
      </c>
      <c r="AG356" s="20">
        <v>0</v>
      </c>
      <c r="AH356" s="21">
        <v>0</v>
      </c>
      <c r="AI356" s="20">
        <f t="shared" si="88"/>
        <v>0</v>
      </c>
      <c r="AJ356" s="20">
        <v>10</v>
      </c>
      <c r="AK356" s="21">
        <v>0</v>
      </c>
      <c r="AL356" s="20">
        <f t="shared" si="89"/>
        <v>10</v>
      </c>
      <c r="AM356" s="20">
        <v>0</v>
      </c>
      <c r="AN356" s="21">
        <v>0</v>
      </c>
      <c r="AO356" s="20">
        <f t="shared" si="90"/>
        <v>0</v>
      </c>
      <c r="AP356" s="21">
        <v>0</v>
      </c>
      <c r="AQ356" s="20">
        <v>0</v>
      </c>
      <c r="AR356" s="20">
        <f t="shared" si="91"/>
        <v>0</v>
      </c>
      <c r="AS356" s="20">
        <v>0</v>
      </c>
      <c r="AT356" s="21">
        <v>0</v>
      </c>
      <c r="AU356" s="20">
        <f t="shared" si="92"/>
        <v>0</v>
      </c>
      <c r="AV356" s="23">
        <f t="shared" si="93"/>
        <v>118.5</v>
      </c>
      <c r="AW356" s="22">
        <f t="shared" si="94"/>
        <v>1.25</v>
      </c>
      <c r="AX356" s="20">
        <f t="shared" si="95"/>
        <v>119.75</v>
      </c>
      <c r="AY356" s="28" t="s">
        <v>478</v>
      </c>
      <c r="AZ356" s="28" t="s">
        <v>478</v>
      </c>
      <c r="BA356" s="28" t="s">
        <v>352</v>
      </c>
      <c r="BB356" s="29">
        <v>44069</v>
      </c>
    </row>
    <row r="357" spans="1:54" hidden="1">
      <c r="A357" s="28" t="str">
        <f t="shared" si="80"/>
        <v>813074177957</v>
      </c>
      <c r="B357" s="30">
        <v>813074</v>
      </c>
      <c r="C357" s="30" t="s">
        <v>256</v>
      </c>
      <c r="D357" s="31">
        <v>177957</v>
      </c>
      <c r="E357" s="28" t="s">
        <v>227</v>
      </c>
      <c r="F357" s="28"/>
      <c r="G357" s="28"/>
      <c r="H357" s="28"/>
      <c r="I357" s="28"/>
      <c r="J357" s="28"/>
      <c r="K357" s="28"/>
      <c r="L357" s="20">
        <v>5</v>
      </c>
      <c r="M357" s="21">
        <v>0</v>
      </c>
      <c r="N357" s="20">
        <f t="shared" si="81"/>
        <v>5</v>
      </c>
      <c r="O357" s="20">
        <v>0</v>
      </c>
      <c r="P357" s="21">
        <v>0</v>
      </c>
      <c r="Q357" s="20">
        <f t="shared" si="82"/>
        <v>0</v>
      </c>
      <c r="R357" s="20">
        <v>33</v>
      </c>
      <c r="S357" s="22">
        <v>0</v>
      </c>
      <c r="T357" s="20">
        <f t="shared" si="83"/>
        <v>33</v>
      </c>
      <c r="U357" s="20">
        <v>22.5</v>
      </c>
      <c r="V357" s="21">
        <v>0</v>
      </c>
      <c r="W357" s="20">
        <f t="shared" si="84"/>
        <v>22.5</v>
      </c>
      <c r="X357" s="20">
        <v>17</v>
      </c>
      <c r="Y357" s="22">
        <v>0</v>
      </c>
      <c r="Z357" s="20">
        <f t="shared" si="85"/>
        <v>17</v>
      </c>
      <c r="AA357" s="20">
        <v>31.5</v>
      </c>
      <c r="AB357" s="22">
        <v>0</v>
      </c>
      <c r="AC357" s="20">
        <f t="shared" si="86"/>
        <v>31.5</v>
      </c>
      <c r="AD357" s="20">
        <v>5.65</v>
      </c>
      <c r="AE357" s="22">
        <v>0</v>
      </c>
      <c r="AF357" s="20">
        <f t="shared" si="87"/>
        <v>5.65</v>
      </c>
      <c r="AG357" s="20">
        <v>21</v>
      </c>
      <c r="AH357" s="21">
        <v>0</v>
      </c>
      <c r="AI357" s="20">
        <f t="shared" si="88"/>
        <v>21</v>
      </c>
      <c r="AJ357" s="20">
        <v>29</v>
      </c>
      <c r="AK357" s="21">
        <v>0</v>
      </c>
      <c r="AL357" s="20">
        <f t="shared" si="89"/>
        <v>29</v>
      </c>
      <c r="AM357" s="20">
        <v>21</v>
      </c>
      <c r="AN357" s="21">
        <v>0</v>
      </c>
      <c r="AO357" s="20">
        <f t="shared" si="90"/>
        <v>21</v>
      </c>
      <c r="AP357" s="21">
        <v>14.25</v>
      </c>
      <c r="AQ357" s="20">
        <v>6.25</v>
      </c>
      <c r="AR357" s="20">
        <f t="shared" si="91"/>
        <v>20.5</v>
      </c>
      <c r="AS357" s="20">
        <v>25</v>
      </c>
      <c r="AT357" s="21">
        <v>0</v>
      </c>
      <c r="AU357" s="20">
        <f t="shared" si="92"/>
        <v>25</v>
      </c>
      <c r="AV357" s="23">
        <f t="shared" si="93"/>
        <v>224.9</v>
      </c>
      <c r="AW357" s="22">
        <f t="shared" si="94"/>
        <v>6.25</v>
      </c>
      <c r="AX357" s="20">
        <f t="shared" si="95"/>
        <v>231.15</v>
      </c>
      <c r="AY357" s="28" t="s">
        <v>478</v>
      </c>
      <c r="AZ357" s="28" t="s">
        <v>478</v>
      </c>
      <c r="BA357" s="28" t="s">
        <v>352</v>
      </c>
      <c r="BB357" s="29">
        <v>44100</v>
      </c>
    </row>
    <row r="358" spans="1:54" hidden="1">
      <c r="A358" s="28" t="str">
        <f t="shared" si="80"/>
        <v>813327204307</v>
      </c>
      <c r="B358" s="30">
        <v>813327</v>
      </c>
      <c r="C358" s="30" t="s">
        <v>193</v>
      </c>
      <c r="D358" s="31">
        <v>204307</v>
      </c>
      <c r="E358" s="28" t="s">
        <v>192</v>
      </c>
      <c r="F358" s="28"/>
      <c r="G358" s="28"/>
      <c r="H358" s="28"/>
      <c r="I358" s="28"/>
      <c r="J358" s="28"/>
      <c r="K358" s="28"/>
      <c r="L358" s="20">
        <v>104.5</v>
      </c>
      <c r="M358" s="21">
        <v>0</v>
      </c>
      <c r="N358" s="20">
        <f t="shared" si="81"/>
        <v>104.5</v>
      </c>
      <c r="O358" s="20">
        <v>87.75</v>
      </c>
      <c r="P358" s="21">
        <v>5</v>
      </c>
      <c r="Q358" s="20">
        <f t="shared" si="82"/>
        <v>92.75</v>
      </c>
      <c r="R358" s="20">
        <v>165</v>
      </c>
      <c r="S358" s="22">
        <v>0</v>
      </c>
      <c r="T358" s="20">
        <f t="shared" si="83"/>
        <v>165</v>
      </c>
      <c r="U358" s="20">
        <v>117</v>
      </c>
      <c r="V358" s="21">
        <v>0</v>
      </c>
      <c r="W358" s="20">
        <f t="shared" si="84"/>
        <v>117</v>
      </c>
      <c r="X358" s="20">
        <v>144.5</v>
      </c>
      <c r="Y358" s="22">
        <v>4</v>
      </c>
      <c r="Z358" s="20">
        <f t="shared" si="85"/>
        <v>148.5</v>
      </c>
      <c r="AA358" s="20">
        <v>134.5</v>
      </c>
      <c r="AB358" s="22">
        <v>0</v>
      </c>
      <c r="AC358" s="20">
        <f t="shared" si="86"/>
        <v>134.5</v>
      </c>
      <c r="AD358" s="20">
        <v>87.5</v>
      </c>
      <c r="AE358" s="22">
        <v>0</v>
      </c>
      <c r="AF358" s="20">
        <f t="shared" si="87"/>
        <v>87.5</v>
      </c>
      <c r="AG358" s="20">
        <v>77</v>
      </c>
      <c r="AH358" s="21">
        <v>0</v>
      </c>
      <c r="AI358" s="20">
        <f t="shared" si="88"/>
        <v>77</v>
      </c>
      <c r="AJ358" s="20">
        <v>234.5</v>
      </c>
      <c r="AK358" s="21">
        <v>0</v>
      </c>
      <c r="AL358" s="20">
        <f t="shared" si="89"/>
        <v>234.5</v>
      </c>
      <c r="AM358" s="20">
        <v>116.5</v>
      </c>
      <c r="AN358" s="21">
        <v>7.5</v>
      </c>
      <c r="AO358" s="20">
        <f t="shared" si="90"/>
        <v>124</v>
      </c>
      <c r="AP358" s="21">
        <v>129.5</v>
      </c>
      <c r="AQ358" s="20">
        <v>0</v>
      </c>
      <c r="AR358" s="20">
        <f t="shared" si="91"/>
        <v>129.5</v>
      </c>
      <c r="AS358" s="20">
        <v>85</v>
      </c>
      <c r="AT358" s="21">
        <v>0</v>
      </c>
      <c r="AU358" s="20">
        <f t="shared" si="92"/>
        <v>85</v>
      </c>
      <c r="AV358" s="23">
        <f t="shared" si="93"/>
        <v>1483.25</v>
      </c>
      <c r="AW358" s="22">
        <f t="shared" si="94"/>
        <v>16.5</v>
      </c>
      <c r="AX358" s="20">
        <f t="shared" si="95"/>
        <v>1499.75</v>
      </c>
      <c r="AY358" s="28" t="s">
        <v>478</v>
      </c>
      <c r="AZ358" s="28" t="s">
        <v>478</v>
      </c>
      <c r="BA358" s="28" t="s">
        <v>352</v>
      </c>
      <c r="BB358" s="29">
        <v>44124</v>
      </c>
    </row>
    <row r="359" spans="1:54" hidden="1">
      <c r="A359" s="28" t="str">
        <f t="shared" si="80"/>
        <v>813602177603</v>
      </c>
      <c r="B359" s="30">
        <v>813602</v>
      </c>
      <c r="C359" s="30" t="s">
        <v>363</v>
      </c>
      <c r="D359" s="31">
        <v>177603</v>
      </c>
      <c r="E359" s="28" t="s">
        <v>364</v>
      </c>
      <c r="F359" s="28"/>
      <c r="G359" s="28"/>
      <c r="H359" s="28"/>
      <c r="I359" s="28"/>
      <c r="J359" s="28"/>
      <c r="K359" s="28"/>
      <c r="L359" s="20">
        <v>0</v>
      </c>
      <c r="M359" s="21">
        <v>0</v>
      </c>
      <c r="N359" s="20">
        <f t="shared" si="81"/>
        <v>0</v>
      </c>
      <c r="O359" s="20">
        <v>0</v>
      </c>
      <c r="P359" s="21">
        <v>0</v>
      </c>
      <c r="Q359" s="20">
        <f t="shared" si="82"/>
        <v>0</v>
      </c>
      <c r="R359" s="20">
        <v>17</v>
      </c>
      <c r="S359" s="22">
        <v>0</v>
      </c>
      <c r="T359" s="20">
        <f t="shared" si="83"/>
        <v>17</v>
      </c>
      <c r="U359" s="20">
        <v>1</v>
      </c>
      <c r="V359" s="21">
        <v>0</v>
      </c>
      <c r="W359" s="20">
        <f t="shared" si="84"/>
        <v>1</v>
      </c>
      <c r="X359" s="20">
        <v>42.5</v>
      </c>
      <c r="Y359" s="22">
        <v>0</v>
      </c>
      <c r="Z359" s="20">
        <f t="shared" si="85"/>
        <v>42.5</v>
      </c>
      <c r="AA359" s="20">
        <v>28</v>
      </c>
      <c r="AB359" s="22">
        <v>0</v>
      </c>
      <c r="AC359" s="20">
        <f t="shared" si="86"/>
        <v>28</v>
      </c>
      <c r="AD359" s="20">
        <v>21</v>
      </c>
      <c r="AE359" s="22">
        <v>0</v>
      </c>
      <c r="AF359" s="20">
        <f t="shared" si="87"/>
        <v>21</v>
      </c>
      <c r="AG359" s="20">
        <v>45</v>
      </c>
      <c r="AH359" s="21">
        <v>0</v>
      </c>
      <c r="AI359" s="20">
        <f t="shared" si="88"/>
        <v>45</v>
      </c>
      <c r="AJ359" s="20">
        <v>50</v>
      </c>
      <c r="AK359" s="21">
        <v>0</v>
      </c>
      <c r="AL359" s="20">
        <f t="shared" si="89"/>
        <v>50</v>
      </c>
      <c r="AM359" s="20">
        <v>37</v>
      </c>
      <c r="AN359" s="21">
        <v>0</v>
      </c>
      <c r="AO359" s="20">
        <f t="shared" si="90"/>
        <v>37</v>
      </c>
      <c r="AP359" s="21">
        <v>40</v>
      </c>
      <c r="AQ359" s="20">
        <v>0</v>
      </c>
      <c r="AR359" s="20">
        <f t="shared" si="91"/>
        <v>40</v>
      </c>
      <c r="AS359" s="20">
        <v>50</v>
      </c>
      <c r="AT359" s="21">
        <v>0</v>
      </c>
      <c r="AU359" s="20">
        <f t="shared" si="92"/>
        <v>50</v>
      </c>
      <c r="AV359" s="23">
        <f t="shared" si="93"/>
        <v>331.5</v>
      </c>
      <c r="AW359" s="22">
        <f t="shared" si="94"/>
        <v>0</v>
      </c>
      <c r="AX359" s="20">
        <f t="shared" si="95"/>
        <v>331.5</v>
      </c>
      <c r="AY359" s="28" t="s">
        <v>478</v>
      </c>
      <c r="AZ359" s="28" t="s">
        <v>478</v>
      </c>
      <c r="BA359" s="28" t="s">
        <v>352</v>
      </c>
      <c r="BB359" s="29">
        <v>44156</v>
      </c>
    </row>
    <row r="360" spans="1:54" hidden="1">
      <c r="A360" s="28" t="str">
        <f t="shared" si="80"/>
        <v>813800144868</v>
      </c>
      <c r="B360" s="30">
        <v>813800</v>
      </c>
      <c r="C360" s="30" t="s">
        <v>340</v>
      </c>
      <c r="D360" s="31">
        <v>144868</v>
      </c>
      <c r="E360" s="28" t="s">
        <v>188</v>
      </c>
      <c r="F360" s="28"/>
      <c r="G360" s="28"/>
      <c r="H360" s="28"/>
      <c r="I360" s="28"/>
      <c r="J360" s="28"/>
      <c r="K360" s="28"/>
      <c r="L360" s="20">
        <v>0</v>
      </c>
      <c r="M360" s="21">
        <v>0</v>
      </c>
      <c r="N360" s="20">
        <f t="shared" si="81"/>
        <v>0</v>
      </c>
      <c r="O360" s="20">
        <v>7.5</v>
      </c>
      <c r="P360" s="21">
        <v>0</v>
      </c>
      <c r="Q360" s="20">
        <f t="shared" si="82"/>
        <v>7.5</v>
      </c>
      <c r="R360" s="20">
        <v>27</v>
      </c>
      <c r="S360" s="22">
        <v>0</v>
      </c>
      <c r="T360" s="20">
        <f t="shared" si="83"/>
        <v>27</v>
      </c>
      <c r="U360" s="20">
        <v>5</v>
      </c>
      <c r="V360" s="21">
        <v>0</v>
      </c>
      <c r="W360" s="20">
        <f t="shared" si="84"/>
        <v>5</v>
      </c>
      <c r="X360" s="20">
        <v>12.5</v>
      </c>
      <c r="Y360" s="22">
        <v>0</v>
      </c>
      <c r="Z360" s="20">
        <f t="shared" si="85"/>
        <v>12.5</v>
      </c>
      <c r="AA360" s="20">
        <v>12.5</v>
      </c>
      <c r="AB360" s="22">
        <v>0</v>
      </c>
      <c r="AC360" s="20">
        <f t="shared" si="86"/>
        <v>12.5</v>
      </c>
      <c r="AD360" s="20">
        <v>0</v>
      </c>
      <c r="AE360" s="22">
        <v>0</v>
      </c>
      <c r="AF360" s="20">
        <f t="shared" si="87"/>
        <v>0</v>
      </c>
      <c r="AG360" s="20">
        <v>32.5</v>
      </c>
      <c r="AH360" s="21">
        <v>0</v>
      </c>
      <c r="AI360" s="20">
        <f t="shared" si="88"/>
        <v>32.5</v>
      </c>
      <c r="AJ360" s="20">
        <v>31.5</v>
      </c>
      <c r="AK360" s="21">
        <v>0</v>
      </c>
      <c r="AL360" s="20">
        <f t="shared" si="89"/>
        <v>31.5</v>
      </c>
      <c r="AM360" s="20">
        <v>15</v>
      </c>
      <c r="AN360" s="21">
        <v>0</v>
      </c>
      <c r="AO360" s="20">
        <f t="shared" si="90"/>
        <v>15</v>
      </c>
      <c r="AP360" s="21">
        <v>24.5</v>
      </c>
      <c r="AQ360" s="20">
        <v>0</v>
      </c>
      <c r="AR360" s="20">
        <f t="shared" si="91"/>
        <v>24.5</v>
      </c>
      <c r="AS360" s="20">
        <v>45</v>
      </c>
      <c r="AT360" s="21">
        <v>0</v>
      </c>
      <c r="AU360" s="20">
        <f t="shared" si="92"/>
        <v>45</v>
      </c>
      <c r="AV360" s="23">
        <f t="shared" si="93"/>
        <v>213</v>
      </c>
      <c r="AW360" s="22">
        <f t="shared" si="94"/>
        <v>0</v>
      </c>
      <c r="AX360" s="20">
        <f t="shared" si="95"/>
        <v>213</v>
      </c>
      <c r="AY360" s="28" t="s">
        <v>478</v>
      </c>
      <c r="AZ360" s="28" t="s">
        <v>478</v>
      </c>
      <c r="BA360" s="28" t="s">
        <v>352</v>
      </c>
      <c r="BB360" s="29">
        <v>44175</v>
      </c>
    </row>
    <row r="361" spans="1:54" hidden="1">
      <c r="A361" s="28" t="str">
        <f t="shared" si="80"/>
        <v>813820201172</v>
      </c>
      <c r="B361" s="30">
        <v>813820</v>
      </c>
      <c r="C361" s="30" t="s">
        <v>220</v>
      </c>
      <c r="D361" s="31">
        <v>201172</v>
      </c>
      <c r="E361" s="28" t="s">
        <v>174</v>
      </c>
      <c r="F361" s="28"/>
      <c r="G361" s="28"/>
      <c r="H361" s="28"/>
      <c r="I361" s="28"/>
      <c r="J361" s="28"/>
      <c r="K361" s="28"/>
      <c r="L361" s="20">
        <v>18.5</v>
      </c>
      <c r="M361" s="21">
        <v>0</v>
      </c>
      <c r="N361" s="20">
        <f t="shared" si="81"/>
        <v>18.5</v>
      </c>
      <c r="O361" s="20">
        <v>29</v>
      </c>
      <c r="P361" s="21">
        <v>0</v>
      </c>
      <c r="Q361" s="20">
        <f t="shared" si="82"/>
        <v>29</v>
      </c>
      <c r="R361" s="20">
        <v>7.5</v>
      </c>
      <c r="S361" s="22">
        <v>0</v>
      </c>
      <c r="T361" s="20">
        <f t="shared" si="83"/>
        <v>7.5</v>
      </c>
      <c r="U361" s="20">
        <v>11.25</v>
      </c>
      <c r="V361" s="21">
        <v>0</v>
      </c>
      <c r="W361" s="20">
        <f t="shared" si="84"/>
        <v>11.25</v>
      </c>
      <c r="X361" s="20">
        <v>51</v>
      </c>
      <c r="Y361" s="22">
        <v>0</v>
      </c>
      <c r="Z361" s="20">
        <f t="shared" si="85"/>
        <v>51</v>
      </c>
      <c r="AA361" s="20">
        <v>33.5</v>
      </c>
      <c r="AB361" s="22">
        <v>2.5</v>
      </c>
      <c r="AC361" s="20">
        <f t="shared" si="86"/>
        <v>36</v>
      </c>
      <c r="AD361" s="20">
        <v>10</v>
      </c>
      <c r="AE361" s="22">
        <v>0</v>
      </c>
      <c r="AF361" s="20">
        <f t="shared" si="87"/>
        <v>10</v>
      </c>
      <c r="AG361" s="20">
        <v>15.5</v>
      </c>
      <c r="AH361" s="21">
        <v>0</v>
      </c>
      <c r="AI361" s="20">
        <f t="shared" si="88"/>
        <v>15.5</v>
      </c>
      <c r="AJ361" s="20">
        <v>11</v>
      </c>
      <c r="AK361" s="21">
        <v>0</v>
      </c>
      <c r="AL361" s="20">
        <f t="shared" si="89"/>
        <v>11</v>
      </c>
      <c r="AM361" s="20">
        <v>0</v>
      </c>
      <c r="AN361" s="21">
        <v>0</v>
      </c>
      <c r="AO361" s="20">
        <f t="shared" si="90"/>
        <v>0</v>
      </c>
      <c r="AP361" s="21">
        <v>0</v>
      </c>
      <c r="AQ361" s="20">
        <v>0</v>
      </c>
      <c r="AR361" s="20">
        <f t="shared" si="91"/>
        <v>0</v>
      </c>
      <c r="AS361" s="20">
        <v>0</v>
      </c>
      <c r="AT361" s="21">
        <v>0</v>
      </c>
      <c r="AU361" s="20">
        <f t="shared" si="92"/>
        <v>0</v>
      </c>
      <c r="AV361" s="23">
        <f t="shared" si="93"/>
        <v>187.25</v>
      </c>
      <c r="AW361" s="22">
        <f t="shared" si="94"/>
        <v>2.5</v>
      </c>
      <c r="AX361" s="20">
        <f t="shared" si="95"/>
        <v>189.75</v>
      </c>
      <c r="AY361" s="28" t="s">
        <v>478</v>
      </c>
      <c r="AZ361" s="28" t="s">
        <v>478</v>
      </c>
      <c r="BA361" s="28" t="s">
        <v>352</v>
      </c>
      <c r="BB361" s="29">
        <v>44177</v>
      </c>
    </row>
    <row r="362" spans="1:54" hidden="1">
      <c r="A362" s="28" t="str">
        <f t="shared" si="80"/>
        <v>813897205225</v>
      </c>
      <c r="B362" s="30">
        <v>813897</v>
      </c>
      <c r="C362" s="30" t="s">
        <v>61</v>
      </c>
      <c r="D362" s="31">
        <v>205225</v>
      </c>
      <c r="E362" s="28" t="s">
        <v>46</v>
      </c>
      <c r="F362" s="28"/>
      <c r="G362" s="28"/>
      <c r="H362" s="28"/>
      <c r="I362" s="28"/>
      <c r="J362" s="28"/>
      <c r="K362" s="28"/>
      <c r="L362" s="20">
        <v>37.5</v>
      </c>
      <c r="M362" s="21">
        <v>0</v>
      </c>
      <c r="N362" s="20">
        <f t="shared" si="81"/>
        <v>37.5</v>
      </c>
      <c r="O362" s="20">
        <v>80.650000000000006</v>
      </c>
      <c r="P362" s="21">
        <v>10</v>
      </c>
      <c r="Q362" s="20">
        <f t="shared" si="82"/>
        <v>90.65</v>
      </c>
      <c r="R362" s="20">
        <v>51.35</v>
      </c>
      <c r="S362" s="22">
        <v>9</v>
      </c>
      <c r="T362" s="20">
        <f t="shared" si="83"/>
        <v>60.35</v>
      </c>
      <c r="U362" s="20">
        <v>92.25</v>
      </c>
      <c r="V362" s="21">
        <v>0</v>
      </c>
      <c r="W362" s="20">
        <f t="shared" si="84"/>
        <v>92.25</v>
      </c>
      <c r="X362" s="20">
        <v>123</v>
      </c>
      <c r="Y362" s="22">
        <v>15</v>
      </c>
      <c r="Z362" s="20">
        <f t="shared" si="85"/>
        <v>138</v>
      </c>
      <c r="AA362" s="20">
        <v>120.5</v>
      </c>
      <c r="AB362" s="22">
        <v>1.5</v>
      </c>
      <c r="AC362" s="20">
        <f t="shared" si="86"/>
        <v>122</v>
      </c>
      <c r="AD362" s="20">
        <v>24</v>
      </c>
      <c r="AE362" s="22">
        <v>0</v>
      </c>
      <c r="AF362" s="20">
        <f t="shared" si="87"/>
        <v>24</v>
      </c>
      <c r="AG362" s="20">
        <v>35</v>
      </c>
      <c r="AH362" s="21">
        <v>2.5</v>
      </c>
      <c r="AI362" s="20">
        <f t="shared" si="88"/>
        <v>37.5</v>
      </c>
      <c r="AJ362" s="20">
        <v>0</v>
      </c>
      <c r="AK362" s="21">
        <v>0</v>
      </c>
      <c r="AL362" s="20">
        <f t="shared" si="89"/>
        <v>0</v>
      </c>
      <c r="AM362" s="20">
        <v>0</v>
      </c>
      <c r="AN362" s="21">
        <v>0</v>
      </c>
      <c r="AO362" s="20">
        <f t="shared" si="90"/>
        <v>0</v>
      </c>
      <c r="AP362" s="21">
        <v>5</v>
      </c>
      <c r="AQ362" s="20">
        <v>0</v>
      </c>
      <c r="AR362" s="20">
        <f t="shared" si="91"/>
        <v>5</v>
      </c>
      <c r="AS362" s="20">
        <v>0</v>
      </c>
      <c r="AT362" s="21">
        <v>0</v>
      </c>
      <c r="AU362" s="20">
        <f t="shared" si="92"/>
        <v>0</v>
      </c>
      <c r="AV362" s="23">
        <f t="shared" si="93"/>
        <v>569.25</v>
      </c>
      <c r="AW362" s="22">
        <f t="shared" si="94"/>
        <v>38</v>
      </c>
      <c r="AX362" s="20">
        <f t="shared" si="95"/>
        <v>607.25</v>
      </c>
      <c r="AY362" s="28" t="s">
        <v>478</v>
      </c>
      <c r="AZ362" s="28" t="s">
        <v>478</v>
      </c>
      <c r="BA362" s="28" t="s">
        <v>352</v>
      </c>
      <c r="BB362" s="29">
        <v>44184</v>
      </c>
    </row>
    <row r="363" spans="1:54" hidden="1">
      <c r="A363" s="28" t="str">
        <f t="shared" si="80"/>
        <v>814050206049</v>
      </c>
      <c r="B363" s="30">
        <v>814050</v>
      </c>
      <c r="C363" s="30" t="s">
        <v>254</v>
      </c>
      <c r="D363" s="31">
        <v>206049</v>
      </c>
      <c r="E363" s="28" t="s">
        <v>229</v>
      </c>
      <c r="F363" s="28"/>
      <c r="G363" s="28"/>
      <c r="H363" s="28"/>
      <c r="I363" s="28"/>
      <c r="J363" s="28"/>
      <c r="K363" s="28"/>
      <c r="L363" s="20">
        <v>15</v>
      </c>
      <c r="M363" s="21">
        <v>0</v>
      </c>
      <c r="N363" s="20">
        <f t="shared" si="81"/>
        <v>15</v>
      </c>
      <c r="O363" s="20">
        <v>70.75</v>
      </c>
      <c r="P363" s="21">
        <v>0</v>
      </c>
      <c r="Q363" s="20">
        <f t="shared" si="82"/>
        <v>70.75</v>
      </c>
      <c r="R363" s="20">
        <v>273.25</v>
      </c>
      <c r="S363" s="22">
        <v>0</v>
      </c>
      <c r="T363" s="20">
        <f t="shared" si="83"/>
        <v>273.25</v>
      </c>
      <c r="U363" s="20">
        <v>328</v>
      </c>
      <c r="V363" s="21">
        <v>4.5</v>
      </c>
      <c r="W363" s="20">
        <f t="shared" si="84"/>
        <v>332.5</v>
      </c>
      <c r="X363" s="20">
        <v>358.8</v>
      </c>
      <c r="Y363" s="22">
        <v>6.25</v>
      </c>
      <c r="Z363" s="20">
        <f t="shared" si="85"/>
        <v>365.05</v>
      </c>
      <c r="AA363" s="20">
        <v>446.2</v>
      </c>
      <c r="AB363" s="22">
        <v>11.5</v>
      </c>
      <c r="AC363" s="20">
        <f t="shared" si="86"/>
        <v>457.7</v>
      </c>
      <c r="AD363" s="20">
        <v>62.75</v>
      </c>
      <c r="AE363" s="22">
        <v>0</v>
      </c>
      <c r="AF363" s="20">
        <f t="shared" si="87"/>
        <v>62.75</v>
      </c>
      <c r="AG363" s="20">
        <v>336.25</v>
      </c>
      <c r="AH363" s="21">
        <v>7.5</v>
      </c>
      <c r="AI363" s="20">
        <f t="shared" si="88"/>
        <v>343.75</v>
      </c>
      <c r="AJ363" s="20">
        <v>184</v>
      </c>
      <c r="AK363" s="21">
        <v>2.5</v>
      </c>
      <c r="AL363" s="20">
        <f t="shared" si="89"/>
        <v>186.5</v>
      </c>
      <c r="AM363" s="20">
        <v>366.25</v>
      </c>
      <c r="AN363" s="21">
        <v>10</v>
      </c>
      <c r="AO363" s="20">
        <f t="shared" si="90"/>
        <v>376.25</v>
      </c>
      <c r="AP363" s="21">
        <v>296</v>
      </c>
      <c r="AQ363" s="20">
        <v>11.25</v>
      </c>
      <c r="AR363" s="20">
        <f t="shared" si="91"/>
        <v>307.25</v>
      </c>
      <c r="AS363" s="20">
        <v>67.5</v>
      </c>
      <c r="AT363" s="21">
        <v>0</v>
      </c>
      <c r="AU363" s="20">
        <f t="shared" si="92"/>
        <v>67.5</v>
      </c>
      <c r="AV363" s="23">
        <f t="shared" si="93"/>
        <v>2804.75</v>
      </c>
      <c r="AW363" s="22">
        <f t="shared" si="94"/>
        <v>53.5</v>
      </c>
      <c r="AX363" s="20">
        <f t="shared" si="95"/>
        <v>2858.25</v>
      </c>
      <c r="AY363" s="28" t="s">
        <v>478</v>
      </c>
      <c r="AZ363" s="28" t="s">
        <v>478</v>
      </c>
      <c r="BA363" s="28" t="s">
        <v>352</v>
      </c>
      <c r="BB363" s="29">
        <v>44196</v>
      </c>
    </row>
    <row r="364" spans="1:54" hidden="1">
      <c r="A364" s="28" t="str">
        <f t="shared" si="80"/>
        <v>814290119261</v>
      </c>
      <c r="B364" s="30">
        <v>814290</v>
      </c>
      <c r="C364" s="30" t="s">
        <v>246</v>
      </c>
      <c r="D364" s="31">
        <v>119261</v>
      </c>
      <c r="E364" s="28" t="s">
        <v>170</v>
      </c>
      <c r="F364" s="28"/>
      <c r="G364" s="28"/>
      <c r="H364" s="28"/>
      <c r="I364" s="28"/>
      <c r="J364" s="28"/>
      <c r="K364" s="28"/>
      <c r="L364" s="20">
        <v>100</v>
      </c>
      <c r="M364" s="21">
        <v>5</v>
      </c>
      <c r="N364" s="20">
        <f t="shared" si="81"/>
        <v>105</v>
      </c>
      <c r="O364" s="20">
        <v>105</v>
      </c>
      <c r="P364" s="21">
        <v>0</v>
      </c>
      <c r="Q364" s="20">
        <f t="shared" si="82"/>
        <v>105</v>
      </c>
      <c r="R364" s="20">
        <v>50</v>
      </c>
      <c r="S364" s="22">
        <v>0</v>
      </c>
      <c r="T364" s="20">
        <f t="shared" si="83"/>
        <v>50</v>
      </c>
      <c r="U364" s="20">
        <v>137</v>
      </c>
      <c r="V364" s="21">
        <v>0</v>
      </c>
      <c r="W364" s="20">
        <f t="shared" si="84"/>
        <v>137</v>
      </c>
      <c r="X364" s="20">
        <v>121.5</v>
      </c>
      <c r="Y364" s="22">
        <v>0</v>
      </c>
      <c r="Z364" s="20">
        <f t="shared" si="85"/>
        <v>121.5</v>
      </c>
      <c r="AA364" s="20">
        <v>113.5</v>
      </c>
      <c r="AB364" s="22">
        <v>0</v>
      </c>
      <c r="AC364" s="20">
        <f t="shared" si="86"/>
        <v>113.5</v>
      </c>
      <c r="AD364" s="20">
        <v>100.75</v>
      </c>
      <c r="AE364" s="22">
        <v>0</v>
      </c>
      <c r="AF364" s="20">
        <f t="shared" si="87"/>
        <v>100.75</v>
      </c>
      <c r="AG364" s="20">
        <v>51</v>
      </c>
      <c r="AH364" s="21">
        <v>0</v>
      </c>
      <c r="AI364" s="20">
        <f t="shared" si="88"/>
        <v>51</v>
      </c>
      <c r="AJ364" s="20">
        <v>81</v>
      </c>
      <c r="AK364" s="21">
        <v>0</v>
      </c>
      <c r="AL364" s="20">
        <f t="shared" si="89"/>
        <v>81</v>
      </c>
      <c r="AM364" s="20">
        <v>75.25</v>
      </c>
      <c r="AN364" s="21">
        <v>0</v>
      </c>
      <c r="AO364" s="20">
        <f t="shared" si="90"/>
        <v>75.25</v>
      </c>
      <c r="AP364" s="21">
        <v>0</v>
      </c>
      <c r="AQ364" s="20">
        <v>0</v>
      </c>
      <c r="AR364" s="20">
        <f t="shared" si="91"/>
        <v>0</v>
      </c>
      <c r="AS364" s="20">
        <v>50.5</v>
      </c>
      <c r="AT364" s="21">
        <v>0</v>
      </c>
      <c r="AU364" s="20">
        <f t="shared" si="92"/>
        <v>50.5</v>
      </c>
      <c r="AV364" s="23">
        <f t="shared" si="93"/>
        <v>985.5</v>
      </c>
      <c r="AW364" s="22">
        <f t="shared" si="94"/>
        <v>5</v>
      </c>
      <c r="AX364" s="20">
        <f t="shared" si="95"/>
        <v>990.5</v>
      </c>
      <c r="AY364" s="28" t="s">
        <v>478</v>
      </c>
      <c r="AZ364" s="28" t="s">
        <v>478</v>
      </c>
      <c r="BA364" s="28" t="s">
        <v>352</v>
      </c>
      <c r="BB364" s="29">
        <v>44223</v>
      </c>
    </row>
    <row r="365" spans="1:54" hidden="1">
      <c r="A365" s="28" t="str">
        <f t="shared" si="80"/>
        <v>814503143416</v>
      </c>
      <c r="B365" s="30">
        <v>814503</v>
      </c>
      <c r="C365" s="30" t="s">
        <v>228</v>
      </c>
      <c r="D365" s="28">
        <v>143416</v>
      </c>
      <c r="E365" s="28" t="s">
        <v>255</v>
      </c>
      <c r="F365" s="28"/>
      <c r="G365" s="28"/>
      <c r="H365" s="28"/>
      <c r="I365" s="28"/>
      <c r="J365" s="28"/>
      <c r="K365" s="28"/>
      <c r="L365" s="20">
        <v>0</v>
      </c>
      <c r="M365" s="21">
        <v>0</v>
      </c>
      <c r="N365" s="20">
        <f t="shared" si="81"/>
        <v>0</v>
      </c>
      <c r="O365" s="20">
        <v>0</v>
      </c>
      <c r="P365" s="21">
        <v>0</v>
      </c>
      <c r="Q365" s="20">
        <f t="shared" si="82"/>
        <v>0</v>
      </c>
      <c r="R365" s="20">
        <v>0</v>
      </c>
      <c r="S365" s="22">
        <v>0</v>
      </c>
      <c r="T365" s="20">
        <f t="shared" si="83"/>
        <v>0</v>
      </c>
      <c r="U365" s="20">
        <v>10</v>
      </c>
      <c r="V365" s="21">
        <v>0</v>
      </c>
      <c r="W365" s="20">
        <f t="shared" si="84"/>
        <v>10</v>
      </c>
      <c r="X365" s="20">
        <v>0</v>
      </c>
      <c r="Y365" s="22">
        <v>0</v>
      </c>
      <c r="Z365" s="20">
        <f t="shared" si="85"/>
        <v>0</v>
      </c>
      <c r="AA365" s="20">
        <v>0</v>
      </c>
      <c r="AB365" s="22">
        <v>0</v>
      </c>
      <c r="AC365" s="20">
        <f t="shared" si="86"/>
        <v>0</v>
      </c>
      <c r="AD365" s="20">
        <v>0</v>
      </c>
      <c r="AE365" s="22">
        <v>0</v>
      </c>
      <c r="AF365" s="20">
        <f t="shared" si="87"/>
        <v>0</v>
      </c>
      <c r="AG365" s="20">
        <v>0</v>
      </c>
      <c r="AH365" s="21">
        <v>0</v>
      </c>
      <c r="AI365" s="20">
        <f t="shared" si="88"/>
        <v>0</v>
      </c>
      <c r="AJ365" s="20">
        <v>0</v>
      </c>
      <c r="AK365" s="21">
        <v>0</v>
      </c>
      <c r="AL365" s="20">
        <f t="shared" si="89"/>
        <v>0</v>
      </c>
      <c r="AM365" s="20">
        <v>0</v>
      </c>
      <c r="AN365" s="21">
        <v>0</v>
      </c>
      <c r="AO365" s="20">
        <f t="shared" si="90"/>
        <v>0</v>
      </c>
      <c r="AP365" s="21">
        <v>0</v>
      </c>
      <c r="AQ365" s="20">
        <v>0</v>
      </c>
      <c r="AR365" s="20">
        <f t="shared" si="91"/>
        <v>0</v>
      </c>
      <c r="AS365" s="20">
        <v>0</v>
      </c>
      <c r="AT365" s="21">
        <v>0</v>
      </c>
      <c r="AU365" s="20">
        <f t="shared" si="92"/>
        <v>0</v>
      </c>
      <c r="AV365" s="23">
        <f t="shared" si="93"/>
        <v>10</v>
      </c>
      <c r="AW365" s="22">
        <f t="shared" si="94"/>
        <v>0</v>
      </c>
      <c r="AX365" s="20">
        <f t="shared" si="95"/>
        <v>10</v>
      </c>
      <c r="AY365" s="28" t="s">
        <v>478</v>
      </c>
      <c r="AZ365" s="28" t="s">
        <v>478</v>
      </c>
      <c r="BA365" s="28" t="s">
        <v>352</v>
      </c>
      <c r="BB365" s="29">
        <v>44243</v>
      </c>
    </row>
    <row r="366" spans="1:54" hidden="1">
      <c r="A366" s="28" t="str">
        <f t="shared" si="80"/>
        <v>814503177957</v>
      </c>
      <c r="B366" s="30">
        <v>814503</v>
      </c>
      <c r="C366" s="30" t="s">
        <v>228</v>
      </c>
      <c r="D366" s="31">
        <v>177957</v>
      </c>
      <c r="E366" s="28" t="s">
        <v>227</v>
      </c>
      <c r="F366" s="28"/>
      <c r="G366" s="28"/>
      <c r="H366" s="28"/>
      <c r="I366" s="28"/>
      <c r="J366" s="28"/>
      <c r="K366" s="28"/>
      <c r="L366" s="20">
        <v>26.25</v>
      </c>
      <c r="M366" s="21">
        <v>1.25</v>
      </c>
      <c r="N366" s="20">
        <f t="shared" si="81"/>
        <v>27.5</v>
      </c>
      <c r="O366" s="20">
        <v>0</v>
      </c>
      <c r="P366" s="21">
        <v>0</v>
      </c>
      <c r="Q366" s="20">
        <f t="shared" si="82"/>
        <v>0</v>
      </c>
      <c r="R366" s="20">
        <v>23.5</v>
      </c>
      <c r="S366" s="22">
        <v>0</v>
      </c>
      <c r="T366" s="20">
        <f t="shared" si="83"/>
        <v>23.5</v>
      </c>
      <c r="U366" s="20">
        <v>26.6</v>
      </c>
      <c r="V366" s="21">
        <v>0</v>
      </c>
      <c r="W366" s="20">
        <f t="shared" si="84"/>
        <v>26.6</v>
      </c>
      <c r="X366" s="20">
        <v>20</v>
      </c>
      <c r="Y366" s="22">
        <v>0</v>
      </c>
      <c r="Z366" s="20">
        <f t="shared" si="85"/>
        <v>20</v>
      </c>
      <c r="AA366" s="20">
        <v>30.5</v>
      </c>
      <c r="AB366" s="22">
        <v>6.25</v>
      </c>
      <c r="AC366" s="20">
        <f t="shared" si="86"/>
        <v>36.75</v>
      </c>
      <c r="AD366" s="20">
        <v>0</v>
      </c>
      <c r="AE366" s="22">
        <v>0</v>
      </c>
      <c r="AF366" s="20">
        <f t="shared" si="87"/>
        <v>0</v>
      </c>
      <c r="AG366" s="20">
        <v>29.5</v>
      </c>
      <c r="AH366" s="21">
        <v>0</v>
      </c>
      <c r="AI366" s="20">
        <f t="shared" si="88"/>
        <v>29.5</v>
      </c>
      <c r="AJ366" s="20">
        <v>66.5</v>
      </c>
      <c r="AK366" s="21">
        <v>0</v>
      </c>
      <c r="AL366" s="20">
        <f t="shared" si="89"/>
        <v>66.5</v>
      </c>
      <c r="AM366" s="20">
        <v>27.5</v>
      </c>
      <c r="AN366" s="21">
        <v>0</v>
      </c>
      <c r="AO366" s="20">
        <f t="shared" si="90"/>
        <v>27.5</v>
      </c>
      <c r="AP366" s="21">
        <v>22.3</v>
      </c>
      <c r="AQ366" s="20">
        <v>0</v>
      </c>
      <c r="AR366" s="20">
        <f t="shared" si="91"/>
        <v>22.3</v>
      </c>
      <c r="AS366" s="20">
        <v>20</v>
      </c>
      <c r="AT366" s="21">
        <v>0</v>
      </c>
      <c r="AU366" s="20">
        <f t="shared" si="92"/>
        <v>20</v>
      </c>
      <c r="AV366" s="23">
        <f t="shared" si="93"/>
        <v>292.64999999999998</v>
      </c>
      <c r="AW366" s="22">
        <f t="shared" si="94"/>
        <v>7.5</v>
      </c>
      <c r="AX366" s="20">
        <f t="shared" si="95"/>
        <v>300.14999999999998</v>
      </c>
      <c r="AY366" s="28" t="s">
        <v>478</v>
      </c>
      <c r="AZ366" s="28" t="s">
        <v>478</v>
      </c>
      <c r="BA366" s="28" t="s">
        <v>352</v>
      </c>
      <c r="BB366" s="29">
        <v>44243</v>
      </c>
    </row>
    <row r="367" spans="1:54" hidden="1">
      <c r="A367" s="28" t="str">
        <f t="shared" si="80"/>
        <v>814521143416</v>
      </c>
      <c r="B367" s="30">
        <v>814521</v>
      </c>
      <c r="C367" s="30" t="s">
        <v>270</v>
      </c>
      <c r="D367" s="31">
        <v>143416</v>
      </c>
      <c r="E367" s="28" t="s">
        <v>255</v>
      </c>
      <c r="F367" s="28"/>
      <c r="G367" s="28"/>
      <c r="H367" s="28"/>
      <c r="I367" s="28"/>
      <c r="J367" s="28"/>
      <c r="K367" s="28"/>
      <c r="L367" s="20">
        <v>93.35</v>
      </c>
      <c r="M367" s="21">
        <v>0</v>
      </c>
      <c r="N367" s="20">
        <f t="shared" si="81"/>
        <v>93.35</v>
      </c>
      <c r="O367" s="20">
        <v>62.75</v>
      </c>
      <c r="P367" s="21">
        <v>0</v>
      </c>
      <c r="Q367" s="20">
        <f t="shared" si="82"/>
        <v>62.75</v>
      </c>
      <c r="R367" s="20">
        <v>71.75</v>
      </c>
      <c r="S367" s="22">
        <v>0</v>
      </c>
      <c r="T367" s="20">
        <f t="shared" si="83"/>
        <v>71.75</v>
      </c>
      <c r="U367" s="20">
        <v>109.5</v>
      </c>
      <c r="V367" s="21">
        <v>0</v>
      </c>
      <c r="W367" s="20">
        <f t="shared" si="84"/>
        <v>109.5</v>
      </c>
      <c r="X367" s="20">
        <v>128.5</v>
      </c>
      <c r="Y367" s="22">
        <v>0</v>
      </c>
      <c r="Z367" s="20">
        <f t="shared" si="85"/>
        <v>128.5</v>
      </c>
      <c r="AA367" s="20">
        <v>116.5</v>
      </c>
      <c r="AB367" s="22">
        <v>0</v>
      </c>
      <c r="AC367" s="20">
        <f t="shared" si="86"/>
        <v>116.5</v>
      </c>
      <c r="AD367" s="20">
        <v>64</v>
      </c>
      <c r="AE367" s="22">
        <v>0</v>
      </c>
      <c r="AF367" s="20">
        <f t="shared" si="87"/>
        <v>64</v>
      </c>
      <c r="AG367" s="20">
        <v>64.75</v>
      </c>
      <c r="AH367" s="21">
        <v>1.25</v>
      </c>
      <c r="AI367" s="20">
        <f t="shared" si="88"/>
        <v>66</v>
      </c>
      <c r="AJ367" s="20">
        <v>88.25</v>
      </c>
      <c r="AK367" s="21">
        <v>1</v>
      </c>
      <c r="AL367" s="20">
        <f t="shared" si="89"/>
        <v>89.25</v>
      </c>
      <c r="AM367" s="20">
        <v>84.5</v>
      </c>
      <c r="AN367" s="21">
        <v>0</v>
      </c>
      <c r="AO367" s="20">
        <f t="shared" si="90"/>
        <v>84.5</v>
      </c>
      <c r="AP367" s="21">
        <v>98</v>
      </c>
      <c r="AQ367" s="20">
        <v>0</v>
      </c>
      <c r="AR367" s="20">
        <f t="shared" si="91"/>
        <v>98</v>
      </c>
      <c r="AS367" s="20">
        <v>117.75</v>
      </c>
      <c r="AT367" s="21">
        <v>0</v>
      </c>
      <c r="AU367" s="20">
        <f t="shared" si="92"/>
        <v>117.75</v>
      </c>
      <c r="AV367" s="23">
        <f t="shared" si="93"/>
        <v>1099.5999999999999</v>
      </c>
      <c r="AW367" s="22">
        <f t="shared" si="94"/>
        <v>2.25</v>
      </c>
      <c r="AX367" s="20">
        <f t="shared" si="95"/>
        <v>1101.8499999999999</v>
      </c>
      <c r="AY367" s="28" t="s">
        <v>478</v>
      </c>
      <c r="AZ367" s="28" t="s">
        <v>478</v>
      </c>
      <c r="BA367" s="28" t="s">
        <v>352</v>
      </c>
      <c r="BB367" s="29">
        <v>44245</v>
      </c>
    </row>
    <row r="368" spans="1:54" hidden="1">
      <c r="A368" s="28" t="str">
        <f t="shared" si="80"/>
        <v>814602206933</v>
      </c>
      <c r="B368" s="30">
        <v>814602</v>
      </c>
      <c r="C368" s="30" t="s">
        <v>211</v>
      </c>
      <c r="D368" s="31">
        <v>206933</v>
      </c>
      <c r="E368" s="28" t="s">
        <v>210</v>
      </c>
      <c r="F368" s="28"/>
      <c r="G368" s="28"/>
      <c r="H368" s="28"/>
      <c r="I368" s="28"/>
      <c r="J368" s="28"/>
      <c r="K368" s="28"/>
      <c r="L368" s="20">
        <v>49</v>
      </c>
      <c r="M368" s="21">
        <v>0</v>
      </c>
      <c r="N368" s="20">
        <f t="shared" si="81"/>
        <v>49</v>
      </c>
      <c r="O368" s="20">
        <v>56</v>
      </c>
      <c r="P368" s="21">
        <v>0</v>
      </c>
      <c r="Q368" s="20">
        <f t="shared" si="82"/>
        <v>56</v>
      </c>
      <c r="R368" s="20">
        <v>70</v>
      </c>
      <c r="S368" s="22">
        <v>0</v>
      </c>
      <c r="T368" s="20">
        <f t="shared" si="83"/>
        <v>70</v>
      </c>
      <c r="U368" s="20">
        <v>105</v>
      </c>
      <c r="V368" s="21">
        <v>0</v>
      </c>
      <c r="W368" s="20">
        <f t="shared" si="84"/>
        <v>105</v>
      </c>
      <c r="X368" s="20">
        <v>85</v>
      </c>
      <c r="Y368" s="22">
        <v>0</v>
      </c>
      <c r="Z368" s="20">
        <f t="shared" si="85"/>
        <v>85</v>
      </c>
      <c r="AA368" s="20">
        <v>90.5</v>
      </c>
      <c r="AB368" s="22">
        <v>0</v>
      </c>
      <c r="AC368" s="20">
        <f t="shared" si="86"/>
        <v>90.5</v>
      </c>
      <c r="AD368" s="20">
        <v>71</v>
      </c>
      <c r="AE368" s="22">
        <v>0</v>
      </c>
      <c r="AF368" s="20">
        <f t="shared" si="87"/>
        <v>71</v>
      </c>
      <c r="AG368" s="20">
        <v>67.5</v>
      </c>
      <c r="AH368" s="21">
        <v>0</v>
      </c>
      <c r="AI368" s="20">
        <f t="shared" si="88"/>
        <v>67.5</v>
      </c>
      <c r="AJ368" s="20">
        <v>85.5</v>
      </c>
      <c r="AK368" s="21">
        <v>2</v>
      </c>
      <c r="AL368" s="20">
        <f t="shared" si="89"/>
        <v>87.5</v>
      </c>
      <c r="AM368" s="20">
        <v>81.5</v>
      </c>
      <c r="AN368" s="21">
        <v>0</v>
      </c>
      <c r="AO368" s="20">
        <f t="shared" si="90"/>
        <v>81.5</v>
      </c>
      <c r="AP368" s="21">
        <v>107.5</v>
      </c>
      <c r="AQ368" s="20">
        <v>0</v>
      </c>
      <c r="AR368" s="20">
        <f t="shared" si="91"/>
        <v>107.5</v>
      </c>
      <c r="AS368" s="20">
        <v>74.900000000000006</v>
      </c>
      <c r="AT368" s="21">
        <v>0</v>
      </c>
      <c r="AU368" s="20">
        <f t="shared" si="92"/>
        <v>74.900000000000006</v>
      </c>
      <c r="AV368" s="23">
        <f t="shared" si="93"/>
        <v>943.4</v>
      </c>
      <c r="AW368" s="22">
        <f t="shared" si="94"/>
        <v>2</v>
      </c>
      <c r="AX368" s="20">
        <f t="shared" si="95"/>
        <v>945.4</v>
      </c>
      <c r="AY368" s="28" t="s">
        <v>478</v>
      </c>
      <c r="AZ368" s="28" t="s">
        <v>478</v>
      </c>
      <c r="BA368" s="28" t="s">
        <v>352</v>
      </c>
      <c r="BB368" s="29">
        <v>44252</v>
      </c>
    </row>
    <row r="369" spans="1:54" hidden="1">
      <c r="A369" s="28" t="str">
        <f t="shared" si="80"/>
        <v>814651141146</v>
      </c>
      <c r="B369" s="30">
        <v>814651</v>
      </c>
      <c r="C369" s="30" t="s">
        <v>191</v>
      </c>
      <c r="D369" s="31">
        <v>141146</v>
      </c>
      <c r="E369" s="28" t="s">
        <v>190</v>
      </c>
      <c r="F369" s="28"/>
      <c r="G369" s="28"/>
      <c r="H369" s="28"/>
      <c r="I369" s="28"/>
      <c r="J369" s="28"/>
      <c r="K369" s="28"/>
      <c r="L369" s="20">
        <v>77.25</v>
      </c>
      <c r="M369" s="21">
        <v>0</v>
      </c>
      <c r="N369" s="20">
        <f t="shared" si="81"/>
        <v>77.25</v>
      </c>
      <c r="O369" s="20">
        <v>78.5</v>
      </c>
      <c r="P369" s="21">
        <v>0</v>
      </c>
      <c r="Q369" s="20">
        <f t="shared" si="82"/>
        <v>78.5</v>
      </c>
      <c r="R369" s="20">
        <v>101.25</v>
      </c>
      <c r="S369" s="22">
        <v>1</v>
      </c>
      <c r="T369" s="20">
        <f t="shared" si="83"/>
        <v>102.25</v>
      </c>
      <c r="U369" s="20">
        <v>58</v>
      </c>
      <c r="V369" s="21">
        <v>3</v>
      </c>
      <c r="W369" s="20">
        <f t="shared" si="84"/>
        <v>61</v>
      </c>
      <c r="X369" s="20">
        <v>73</v>
      </c>
      <c r="Y369" s="22">
        <v>0</v>
      </c>
      <c r="Z369" s="20">
        <f t="shared" si="85"/>
        <v>73</v>
      </c>
      <c r="AA369" s="20">
        <v>55.25</v>
      </c>
      <c r="AB369" s="22">
        <v>0</v>
      </c>
      <c r="AC369" s="20">
        <f t="shared" si="86"/>
        <v>55.25</v>
      </c>
      <c r="AD369" s="20">
        <v>47</v>
      </c>
      <c r="AE369" s="22">
        <v>0</v>
      </c>
      <c r="AF369" s="20">
        <f t="shared" si="87"/>
        <v>47</v>
      </c>
      <c r="AG369" s="20">
        <v>25</v>
      </c>
      <c r="AH369" s="21">
        <v>0</v>
      </c>
      <c r="AI369" s="20">
        <f t="shared" si="88"/>
        <v>25</v>
      </c>
      <c r="AJ369" s="20">
        <v>40.75</v>
      </c>
      <c r="AK369" s="21">
        <v>0</v>
      </c>
      <c r="AL369" s="20">
        <f t="shared" si="89"/>
        <v>40.75</v>
      </c>
      <c r="AM369" s="20">
        <v>16</v>
      </c>
      <c r="AN369" s="21">
        <v>0</v>
      </c>
      <c r="AO369" s="20">
        <f t="shared" si="90"/>
        <v>16</v>
      </c>
      <c r="AP369" s="21">
        <v>48.25</v>
      </c>
      <c r="AQ369" s="20">
        <v>0</v>
      </c>
      <c r="AR369" s="20">
        <f t="shared" si="91"/>
        <v>48.25</v>
      </c>
      <c r="AS369" s="20">
        <v>53.4</v>
      </c>
      <c r="AT369" s="21">
        <v>0</v>
      </c>
      <c r="AU369" s="20">
        <f t="shared" si="92"/>
        <v>53.4</v>
      </c>
      <c r="AV369" s="23">
        <f t="shared" si="93"/>
        <v>673.65</v>
      </c>
      <c r="AW369" s="22">
        <f t="shared" si="94"/>
        <v>4</v>
      </c>
      <c r="AX369" s="20">
        <f t="shared" si="95"/>
        <v>677.65</v>
      </c>
      <c r="AY369" s="28" t="s">
        <v>478</v>
      </c>
      <c r="AZ369" s="28" t="s">
        <v>478</v>
      </c>
      <c r="BA369" s="28" t="s">
        <v>352</v>
      </c>
      <c r="BB369" s="29">
        <v>44253</v>
      </c>
    </row>
    <row r="370" spans="1:54" hidden="1">
      <c r="A370" s="28" t="str">
        <f t="shared" si="80"/>
        <v>814935206807</v>
      </c>
      <c r="B370" s="30">
        <v>814935</v>
      </c>
      <c r="C370" s="30" t="s">
        <v>282</v>
      </c>
      <c r="D370" s="28">
        <v>206807</v>
      </c>
      <c r="E370" s="28" t="s">
        <v>435</v>
      </c>
      <c r="F370" s="28"/>
      <c r="G370" s="28"/>
      <c r="H370" s="28"/>
      <c r="I370" s="28"/>
      <c r="J370" s="28"/>
      <c r="K370" s="28"/>
      <c r="L370" s="20">
        <v>0</v>
      </c>
      <c r="M370" s="21">
        <v>0</v>
      </c>
      <c r="N370" s="20">
        <f t="shared" si="81"/>
        <v>0</v>
      </c>
      <c r="O370" s="20">
        <v>0</v>
      </c>
      <c r="P370" s="21">
        <v>0</v>
      </c>
      <c r="Q370" s="20">
        <f t="shared" si="82"/>
        <v>0</v>
      </c>
      <c r="R370" s="20">
        <v>0</v>
      </c>
      <c r="S370" s="22">
        <v>0</v>
      </c>
      <c r="T370" s="20">
        <f t="shared" si="83"/>
        <v>0</v>
      </c>
      <c r="U370" s="20">
        <v>0</v>
      </c>
      <c r="V370" s="21">
        <v>0</v>
      </c>
      <c r="W370" s="20">
        <f t="shared" si="84"/>
        <v>0</v>
      </c>
      <c r="X370" s="20">
        <v>0</v>
      </c>
      <c r="Y370" s="22">
        <v>0</v>
      </c>
      <c r="Z370" s="20">
        <f t="shared" si="85"/>
        <v>0</v>
      </c>
      <c r="AA370" s="20">
        <v>2.5</v>
      </c>
      <c r="AB370" s="22">
        <v>0</v>
      </c>
      <c r="AC370" s="20">
        <f t="shared" si="86"/>
        <v>2.5</v>
      </c>
      <c r="AD370" s="20">
        <v>0</v>
      </c>
      <c r="AE370" s="22">
        <v>0</v>
      </c>
      <c r="AF370" s="20">
        <f t="shared" si="87"/>
        <v>0</v>
      </c>
      <c r="AG370" s="20">
        <v>5</v>
      </c>
      <c r="AH370" s="21">
        <v>0</v>
      </c>
      <c r="AI370" s="20">
        <f t="shared" si="88"/>
        <v>5</v>
      </c>
      <c r="AJ370" s="20">
        <v>0</v>
      </c>
      <c r="AK370" s="21">
        <v>0</v>
      </c>
      <c r="AL370" s="20">
        <f t="shared" si="89"/>
        <v>0</v>
      </c>
      <c r="AM370" s="20">
        <v>0</v>
      </c>
      <c r="AN370" s="21">
        <v>0</v>
      </c>
      <c r="AO370" s="20">
        <f t="shared" si="90"/>
        <v>0</v>
      </c>
      <c r="AP370" s="21">
        <v>0</v>
      </c>
      <c r="AQ370" s="20">
        <v>0</v>
      </c>
      <c r="AR370" s="20">
        <f t="shared" si="91"/>
        <v>0</v>
      </c>
      <c r="AS370" s="20">
        <v>0</v>
      </c>
      <c r="AT370" s="21">
        <v>0</v>
      </c>
      <c r="AU370" s="20">
        <f t="shared" si="92"/>
        <v>0</v>
      </c>
      <c r="AV370" s="23">
        <f t="shared" si="93"/>
        <v>7.5</v>
      </c>
      <c r="AW370" s="22">
        <f t="shared" si="94"/>
        <v>0</v>
      </c>
      <c r="AX370" s="20">
        <f t="shared" si="95"/>
        <v>7.5</v>
      </c>
      <c r="AY370" s="28" t="s">
        <v>478</v>
      </c>
      <c r="AZ370" s="28" t="s">
        <v>478</v>
      </c>
      <c r="BA370" s="28" t="s">
        <v>352</v>
      </c>
      <c r="BB370" s="29">
        <v>44298</v>
      </c>
    </row>
    <row r="371" spans="1:54" hidden="1">
      <c r="A371" s="28" t="str">
        <f t="shared" si="80"/>
        <v>815393205225</v>
      </c>
      <c r="B371" s="30">
        <v>815393</v>
      </c>
      <c r="C371" s="30" t="s">
        <v>389</v>
      </c>
      <c r="D371" s="28">
        <v>205225</v>
      </c>
      <c r="E371" s="28" t="s">
        <v>46</v>
      </c>
      <c r="F371" s="28"/>
      <c r="G371" s="28"/>
      <c r="H371" s="28"/>
      <c r="I371" s="28"/>
      <c r="J371" s="28"/>
      <c r="K371" s="28"/>
      <c r="L371" s="20">
        <v>0</v>
      </c>
      <c r="M371" s="21">
        <v>0</v>
      </c>
      <c r="N371" s="20">
        <f t="shared" si="81"/>
        <v>0</v>
      </c>
      <c r="O371" s="20">
        <v>0</v>
      </c>
      <c r="P371" s="21">
        <v>0</v>
      </c>
      <c r="Q371" s="20">
        <f t="shared" si="82"/>
        <v>0</v>
      </c>
      <c r="R371" s="20">
        <v>0</v>
      </c>
      <c r="S371" s="22">
        <v>0</v>
      </c>
      <c r="T371" s="20">
        <f t="shared" si="83"/>
        <v>0</v>
      </c>
      <c r="U371" s="20">
        <v>5</v>
      </c>
      <c r="V371" s="21">
        <v>0</v>
      </c>
      <c r="W371" s="20">
        <f t="shared" si="84"/>
        <v>5</v>
      </c>
      <c r="X371" s="20">
        <v>23.5</v>
      </c>
      <c r="Y371" s="22">
        <v>3.5</v>
      </c>
      <c r="Z371" s="20">
        <f t="shared" si="85"/>
        <v>27</v>
      </c>
      <c r="AA371" s="20">
        <v>54.5</v>
      </c>
      <c r="AB371" s="22">
        <v>12</v>
      </c>
      <c r="AC371" s="20">
        <f t="shared" si="86"/>
        <v>66.5</v>
      </c>
      <c r="AD371" s="20">
        <v>5</v>
      </c>
      <c r="AE371" s="22">
        <v>0</v>
      </c>
      <c r="AF371" s="20">
        <f t="shared" si="87"/>
        <v>5</v>
      </c>
      <c r="AG371" s="20">
        <v>92.5</v>
      </c>
      <c r="AH371" s="21">
        <v>0</v>
      </c>
      <c r="AI371" s="20">
        <f t="shared" si="88"/>
        <v>92.5</v>
      </c>
      <c r="AJ371" s="20">
        <v>122.25</v>
      </c>
      <c r="AK371" s="21">
        <v>3.75</v>
      </c>
      <c r="AL371" s="20">
        <f t="shared" si="89"/>
        <v>126</v>
      </c>
      <c r="AM371" s="20">
        <v>84</v>
      </c>
      <c r="AN371" s="21">
        <v>0</v>
      </c>
      <c r="AO371" s="20">
        <f t="shared" si="90"/>
        <v>84</v>
      </c>
      <c r="AP371" s="21">
        <v>168.75</v>
      </c>
      <c r="AQ371" s="20">
        <v>6</v>
      </c>
      <c r="AR371" s="20">
        <f t="shared" si="91"/>
        <v>174.75</v>
      </c>
      <c r="AS371" s="20">
        <v>194.1</v>
      </c>
      <c r="AT371" s="21">
        <v>5</v>
      </c>
      <c r="AU371" s="20">
        <f t="shared" si="92"/>
        <v>199.1</v>
      </c>
      <c r="AV371" s="23">
        <f t="shared" si="93"/>
        <v>749.6</v>
      </c>
      <c r="AW371" s="22">
        <f t="shared" si="94"/>
        <v>30.25</v>
      </c>
      <c r="AX371" s="20">
        <f t="shared" si="95"/>
        <v>779.85</v>
      </c>
      <c r="AY371" s="28" t="s">
        <v>478</v>
      </c>
      <c r="AZ371" s="28" t="s">
        <v>478</v>
      </c>
      <c r="BA371" s="28" t="s">
        <v>352</v>
      </c>
      <c r="BB371" s="29">
        <v>44380</v>
      </c>
    </row>
    <row r="372" spans="1:54" hidden="1">
      <c r="A372" s="28" t="str">
        <f t="shared" si="80"/>
        <v>815401204307</v>
      </c>
      <c r="B372" s="30">
        <v>815401</v>
      </c>
      <c r="C372" s="30" t="s">
        <v>379</v>
      </c>
      <c r="D372" s="28">
        <v>204307</v>
      </c>
      <c r="E372" s="28" t="s">
        <v>192</v>
      </c>
      <c r="F372" s="28"/>
      <c r="G372" s="28"/>
      <c r="H372" s="28"/>
      <c r="I372" s="28"/>
      <c r="J372" s="28"/>
      <c r="K372" s="28"/>
      <c r="L372" s="20">
        <v>0</v>
      </c>
      <c r="M372" s="21">
        <v>0</v>
      </c>
      <c r="N372" s="20">
        <f t="shared" si="81"/>
        <v>0</v>
      </c>
      <c r="O372" s="20">
        <v>0</v>
      </c>
      <c r="P372" s="21">
        <v>0</v>
      </c>
      <c r="Q372" s="20">
        <f t="shared" si="82"/>
        <v>0</v>
      </c>
      <c r="R372" s="20">
        <v>0</v>
      </c>
      <c r="S372" s="22">
        <v>0</v>
      </c>
      <c r="T372" s="20">
        <f t="shared" si="83"/>
        <v>0</v>
      </c>
      <c r="U372" s="20">
        <v>80</v>
      </c>
      <c r="V372" s="21">
        <v>0</v>
      </c>
      <c r="W372" s="20">
        <f t="shared" si="84"/>
        <v>80</v>
      </c>
      <c r="X372" s="20">
        <v>113.75</v>
      </c>
      <c r="Y372" s="22">
        <v>0</v>
      </c>
      <c r="Z372" s="20">
        <f t="shared" si="85"/>
        <v>113.75</v>
      </c>
      <c r="AA372" s="20">
        <v>67.5</v>
      </c>
      <c r="AB372" s="22">
        <v>0</v>
      </c>
      <c r="AC372" s="20">
        <f t="shared" si="86"/>
        <v>67.5</v>
      </c>
      <c r="AD372" s="20">
        <v>33</v>
      </c>
      <c r="AE372" s="22">
        <v>0</v>
      </c>
      <c r="AF372" s="20">
        <f t="shared" si="87"/>
        <v>33</v>
      </c>
      <c r="AG372" s="20">
        <v>63.5</v>
      </c>
      <c r="AH372" s="21">
        <v>0</v>
      </c>
      <c r="AI372" s="20">
        <f t="shared" si="88"/>
        <v>63.5</v>
      </c>
      <c r="AJ372" s="20">
        <v>89.5</v>
      </c>
      <c r="AK372" s="21">
        <v>0</v>
      </c>
      <c r="AL372" s="20">
        <f t="shared" si="89"/>
        <v>89.5</v>
      </c>
      <c r="AM372" s="20">
        <v>56</v>
      </c>
      <c r="AN372" s="21">
        <v>3.5</v>
      </c>
      <c r="AO372" s="20">
        <f t="shared" si="90"/>
        <v>59.5</v>
      </c>
      <c r="AP372" s="21">
        <v>114.5</v>
      </c>
      <c r="AQ372" s="20">
        <v>0</v>
      </c>
      <c r="AR372" s="20">
        <f t="shared" si="91"/>
        <v>114.5</v>
      </c>
      <c r="AS372" s="20">
        <v>52.25</v>
      </c>
      <c r="AT372" s="21">
        <v>0</v>
      </c>
      <c r="AU372" s="20">
        <f t="shared" si="92"/>
        <v>52.25</v>
      </c>
      <c r="AV372" s="23">
        <f t="shared" si="93"/>
        <v>670</v>
      </c>
      <c r="AW372" s="22">
        <f t="shared" si="94"/>
        <v>3.5</v>
      </c>
      <c r="AX372" s="20">
        <f t="shared" si="95"/>
        <v>673.5</v>
      </c>
      <c r="AY372" s="28" t="s">
        <v>478</v>
      </c>
      <c r="AZ372" s="28" t="s">
        <v>478</v>
      </c>
      <c r="BA372" s="28" t="s">
        <v>352</v>
      </c>
      <c r="BB372" s="29">
        <v>44382</v>
      </c>
    </row>
    <row r="373" spans="1:54" hidden="1">
      <c r="A373" s="28" t="str">
        <f t="shared" si="80"/>
        <v>815502208268</v>
      </c>
      <c r="B373" s="30">
        <v>815502</v>
      </c>
      <c r="C373" s="30" t="s">
        <v>387</v>
      </c>
      <c r="D373" s="28">
        <v>208268</v>
      </c>
      <c r="E373" s="28" t="s">
        <v>388</v>
      </c>
      <c r="F373" s="28"/>
      <c r="G373" s="28"/>
      <c r="H373" s="28"/>
      <c r="I373" s="28"/>
      <c r="J373" s="28"/>
      <c r="K373" s="28"/>
      <c r="L373" s="20">
        <v>0</v>
      </c>
      <c r="M373" s="21">
        <v>0</v>
      </c>
      <c r="N373" s="20">
        <f t="shared" si="81"/>
        <v>0</v>
      </c>
      <c r="O373" s="20">
        <v>0</v>
      </c>
      <c r="P373" s="21">
        <v>0</v>
      </c>
      <c r="Q373" s="20">
        <f t="shared" si="82"/>
        <v>0</v>
      </c>
      <c r="R373" s="20">
        <v>0</v>
      </c>
      <c r="S373" s="22">
        <v>0</v>
      </c>
      <c r="T373" s="20">
        <f t="shared" si="83"/>
        <v>0</v>
      </c>
      <c r="U373" s="20">
        <v>80.5</v>
      </c>
      <c r="V373" s="21">
        <v>0</v>
      </c>
      <c r="W373" s="20">
        <f t="shared" si="84"/>
        <v>80.5</v>
      </c>
      <c r="X373" s="20">
        <v>227</v>
      </c>
      <c r="Y373" s="22">
        <v>17.5</v>
      </c>
      <c r="Z373" s="20">
        <f t="shared" si="85"/>
        <v>244.5</v>
      </c>
      <c r="AA373" s="20">
        <v>195.45</v>
      </c>
      <c r="AB373" s="22">
        <v>5</v>
      </c>
      <c r="AC373" s="20">
        <f t="shared" si="86"/>
        <v>200.45</v>
      </c>
      <c r="AD373" s="20">
        <v>153.55000000000001</v>
      </c>
      <c r="AE373" s="22">
        <v>12.5</v>
      </c>
      <c r="AF373" s="20">
        <f t="shared" si="87"/>
        <v>166.05</v>
      </c>
      <c r="AG373" s="20">
        <v>99.5</v>
      </c>
      <c r="AH373" s="21">
        <v>0</v>
      </c>
      <c r="AI373" s="20">
        <f t="shared" si="88"/>
        <v>99.5</v>
      </c>
      <c r="AJ373" s="20">
        <v>107</v>
      </c>
      <c r="AK373" s="21">
        <v>0</v>
      </c>
      <c r="AL373" s="20">
        <f t="shared" si="89"/>
        <v>107</v>
      </c>
      <c r="AM373" s="20">
        <v>116.5</v>
      </c>
      <c r="AN373" s="21">
        <v>0</v>
      </c>
      <c r="AO373" s="20">
        <f t="shared" si="90"/>
        <v>116.5</v>
      </c>
      <c r="AP373" s="21">
        <v>76.5</v>
      </c>
      <c r="AQ373" s="20">
        <v>0</v>
      </c>
      <c r="AR373" s="20">
        <f t="shared" si="91"/>
        <v>76.5</v>
      </c>
      <c r="AS373" s="20">
        <v>157.25</v>
      </c>
      <c r="AT373" s="21">
        <v>0</v>
      </c>
      <c r="AU373" s="20">
        <f t="shared" si="92"/>
        <v>157.25</v>
      </c>
      <c r="AV373" s="23">
        <f t="shared" si="93"/>
        <v>1213.25</v>
      </c>
      <c r="AW373" s="22">
        <f t="shared" si="94"/>
        <v>35</v>
      </c>
      <c r="AX373" s="20">
        <f t="shared" si="95"/>
        <v>1248.25</v>
      </c>
      <c r="AY373" s="28" t="s">
        <v>478</v>
      </c>
      <c r="AZ373" s="28" t="s">
        <v>478</v>
      </c>
      <c r="BA373" s="28" t="s">
        <v>352</v>
      </c>
      <c r="BB373" s="29">
        <v>44390</v>
      </c>
    </row>
    <row r="374" spans="1:54" hidden="1">
      <c r="A374" s="28" t="str">
        <f t="shared" si="80"/>
        <v>815594145639</v>
      </c>
      <c r="B374" s="30">
        <v>815594</v>
      </c>
      <c r="C374" s="30" t="s">
        <v>391</v>
      </c>
      <c r="D374" s="28">
        <v>145639</v>
      </c>
      <c r="E374" s="28" t="s">
        <v>182</v>
      </c>
      <c r="F374" s="28"/>
      <c r="G374" s="28"/>
      <c r="H374" s="28"/>
      <c r="I374" s="28"/>
      <c r="J374" s="28"/>
      <c r="K374" s="28"/>
      <c r="L374" s="20">
        <v>0</v>
      </c>
      <c r="M374" s="21">
        <v>0</v>
      </c>
      <c r="N374" s="20">
        <f t="shared" si="81"/>
        <v>0</v>
      </c>
      <c r="O374" s="20">
        <v>0</v>
      </c>
      <c r="P374" s="21">
        <v>0</v>
      </c>
      <c r="Q374" s="20">
        <f t="shared" si="82"/>
        <v>0</v>
      </c>
      <c r="R374" s="20">
        <v>0</v>
      </c>
      <c r="S374" s="22">
        <v>0</v>
      </c>
      <c r="T374" s="20">
        <f t="shared" si="83"/>
        <v>0</v>
      </c>
      <c r="U374" s="20">
        <v>0</v>
      </c>
      <c r="V374" s="21">
        <v>0</v>
      </c>
      <c r="W374" s="20">
        <f t="shared" si="84"/>
        <v>0</v>
      </c>
      <c r="X374" s="20">
        <v>0</v>
      </c>
      <c r="Y374" s="22">
        <v>0</v>
      </c>
      <c r="Z374" s="20">
        <f t="shared" si="85"/>
        <v>0</v>
      </c>
      <c r="AA374" s="20">
        <v>0</v>
      </c>
      <c r="AB374" s="22">
        <v>0</v>
      </c>
      <c r="AC374" s="20">
        <f t="shared" si="86"/>
        <v>0</v>
      </c>
      <c r="AD374" s="20">
        <v>0</v>
      </c>
      <c r="AE374" s="22">
        <v>0</v>
      </c>
      <c r="AF374" s="20">
        <f t="shared" si="87"/>
        <v>0</v>
      </c>
      <c r="AG374" s="20">
        <v>0</v>
      </c>
      <c r="AH374" s="21">
        <v>0</v>
      </c>
      <c r="AI374" s="20">
        <f t="shared" si="88"/>
        <v>0</v>
      </c>
      <c r="AJ374" s="20">
        <v>0</v>
      </c>
      <c r="AK374" s="21">
        <v>0</v>
      </c>
      <c r="AL374" s="20">
        <f t="shared" si="89"/>
        <v>0</v>
      </c>
      <c r="AM374" s="20">
        <v>0</v>
      </c>
      <c r="AN374" s="21">
        <v>0</v>
      </c>
      <c r="AO374" s="20">
        <f t="shared" si="90"/>
        <v>0</v>
      </c>
      <c r="AP374" s="21">
        <v>0</v>
      </c>
      <c r="AQ374" s="20">
        <v>0</v>
      </c>
      <c r="AR374" s="20">
        <f t="shared" si="91"/>
        <v>0</v>
      </c>
      <c r="AS374" s="20">
        <v>20</v>
      </c>
      <c r="AT374" s="21">
        <v>0</v>
      </c>
      <c r="AU374" s="20">
        <f t="shared" si="92"/>
        <v>20</v>
      </c>
      <c r="AV374" s="23">
        <f t="shared" si="93"/>
        <v>20</v>
      </c>
      <c r="AW374" s="22">
        <f t="shared" si="94"/>
        <v>0</v>
      </c>
      <c r="AX374" s="20">
        <f t="shared" si="95"/>
        <v>20</v>
      </c>
      <c r="AY374" s="28" t="s">
        <v>478</v>
      </c>
      <c r="AZ374" s="28" t="s">
        <v>478</v>
      </c>
      <c r="BA374" s="28" t="s">
        <v>352</v>
      </c>
      <c r="BB374" s="29">
        <v>44399</v>
      </c>
    </row>
    <row r="375" spans="1:54" hidden="1">
      <c r="A375" s="28" t="str">
        <f t="shared" si="80"/>
        <v>815594206049</v>
      </c>
      <c r="B375" s="30">
        <v>815594</v>
      </c>
      <c r="C375" s="30" t="s">
        <v>391</v>
      </c>
      <c r="D375" s="28">
        <v>206049</v>
      </c>
      <c r="E375" s="28" t="s">
        <v>229</v>
      </c>
      <c r="F375" s="28"/>
      <c r="G375" s="28"/>
      <c r="H375" s="28"/>
      <c r="I375" s="28"/>
      <c r="J375" s="28"/>
      <c r="K375" s="28"/>
      <c r="L375" s="20">
        <v>0</v>
      </c>
      <c r="M375" s="21">
        <v>0</v>
      </c>
      <c r="N375" s="20">
        <f t="shared" si="81"/>
        <v>0</v>
      </c>
      <c r="O375" s="20">
        <v>0</v>
      </c>
      <c r="P375" s="21">
        <v>0</v>
      </c>
      <c r="Q375" s="20">
        <f t="shared" si="82"/>
        <v>0</v>
      </c>
      <c r="R375" s="20">
        <v>0</v>
      </c>
      <c r="S375" s="22">
        <v>0</v>
      </c>
      <c r="T375" s="20">
        <f t="shared" si="83"/>
        <v>0</v>
      </c>
      <c r="U375" s="20">
        <v>27.5</v>
      </c>
      <c r="V375" s="21">
        <v>0</v>
      </c>
      <c r="W375" s="20">
        <f t="shared" si="84"/>
        <v>27.5</v>
      </c>
      <c r="X375" s="20">
        <v>28.5</v>
      </c>
      <c r="Y375" s="22">
        <v>0</v>
      </c>
      <c r="Z375" s="20">
        <f t="shared" si="85"/>
        <v>28.5</v>
      </c>
      <c r="AA375" s="20">
        <v>64</v>
      </c>
      <c r="AB375" s="22">
        <v>0</v>
      </c>
      <c r="AC375" s="20">
        <f t="shared" si="86"/>
        <v>64</v>
      </c>
      <c r="AD375" s="20">
        <v>14</v>
      </c>
      <c r="AE375" s="22">
        <v>0</v>
      </c>
      <c r="AF375" s="20">
        <f t="shared" si="87"/>
        <v>14</v>
      </c>
      <c r="AG375" s="20">
        <v>10.5</v>
      </c>
      <c r="AH375" s="21">
        <v>0</v>
      </c>
      <c r="AI375" s="20">
        <f t="shared" si="88"/>
        <v>10.5</v>
      </c>
      <c r="AJ375" s="20">
        <v>79</v>
      </c>
      <c r="AK375" s="21">
        <v>0</v>
      </c>
      <c r="AL375" s="20">
        <f t="shared" si="89"/>
        <v>79</v>
      </c>
      <c r="AM375" s="20">
        <v>10</v>
      </c>
      <c r="AN375" s="21">
        <v>0</v>
      </c>
      <c r="AO375" s="20">
        <f t="shared" si="90"/>
        <v>10</v>
      </c>
      <c r="AP375" s="21">
        <v>0</v>
      </c>
      <c r="AQ375" s="20">
        <v>0</v>
      </c>
      <c r="AR375" s="20">
        <f t="shared" si="91"/>
        <v>0</v>
      </c>
      <c r="AS375" s="20">
        <v>229</v>
      </c>
      <c r="AT375" s="21">
        <v>0</v>
      </c>
      <c r="AU375" s="20">
        <f t="shared" si="92"/>
        <v>229</v>
      </c>
      <c r="AV375" s="23">
        <f t="shared" si="93"/>
        <v>462.5</v>
      </c>
      <c r="AW375" s="22">
        <f t="shared" si="94"/>
        <v>0</v>
      </c>
      <c r="AX375" s="20">
        <f t="shared" si="95"/>
        <v>462.5</v>
      </c>
      <c r="AY375" s="28" t="s">
        <v>478</v>
      </c>
      <c r="AZ375" s="28" t="s">
        <v>478</v>
      </c>
      <c r="BA375" s="28" t="s">
        <v>352</v>
      </c>
      <c r="BB375" s="29">
        <v>44399</v>
      </c>
    </row>
    <row r="376" spans="1:54" hidden="1">
      <c r="A376" s="28" t="str">
        <f t="shared" si="80"/>
        <v>815595208184</v>
      </c>
      <c r="B376" s="30">
        <v>815595</v>
      </c>
      <c r="C376" s="30" t="s">
        <v>378</v>
      </c>
      <c r="D376" s="28">
        <v>208184</v>
      </c>
      <c r="E376" s="28" t="s">
        <v>392</v>
      </c>
      <c r="F376" s="28"/>
      <c r="G376" s="28"/>
      <c r="H376" s="28"/>
      <c r="I376" s="28"/>
      <c r="J376" s="28"/>
      <c r="K376" s="28"/>
      <c r="L376" s="20">
        <v>0</v>
      </c>
      <c r="M376" s="21">
        <v>0</v>
      </c>
      <c r="N376" s="20">
        <f t="shared" si="81"/>
        <v>0</v>
      </c>
      <c r="O376" s="20">
        <v>0</v>
      </c>
      <c r="P376" s="21">
        <v>0</v>
      </c>
      <c r="Q376" s="20">
        <f t="shared" si="82"/>
        <v>0</v>
      </c>
      <c r="R376" s="20">
        <v>0</v>
      </c>
      <c r="S376" s="22">
        <v>0</v>
      </c>
      <c r="T376" s="20">
        <f t="shared" si="83"/>
        <v>0</v>
      </c>
      <c r="U376" s="20">
        <v>32</v>
      </c>
      <c r="V376" s="21">
        <v>2.5</v>
      </c>
      <c r="W376" s="20">
        <f t="shared" si="84"/>
        <v>34.5</v>
      </c>
      <c r="X376" s="20">
        <v>71.25</v>
      </c>
      <c r="Y376" s="22">
        <v>0</v>
      </c>
      <c r="Z376" s="20">
        <f t="shared" si="85"/>
        <v>71.25</v>
      </c>
      <c r="AA376" s="20">
        <v>52.5</v>
      </c>
      <c r="AB376" s="22">
        <v>0</v>
      </c>
      <c r="AC376" s="20">
        <f t="shared" si="86"/>
        <v>52.5</v>
      </c>
      <c r="AD376" s="20">
        <v>40</v>
      </c>
      <c r="AE376" s="22">
        <v>0</v>
      </c>
      <c r="AF376" s="20">
        <f t="shared" si="87"/>
        <v>40</v>
      </c>
      <c r="AG376" s="20">
        <v>21</v>
      </c>
      <c r="AH376" s="21">
        <v>0</v>
      </c>
      <c r="AI376" s="20">
        <f t="shared" si="88"/>
        <v>21</v>
      </c>
      <c r="AJ376" s="20">
        <v>16</v>
      </c>
      <c r="AK376" s="21">
        <v>0</v>
      </c>
      <c r="AL376" s="20">
        <f t="shared" si="89"/>
        <v>16</v>
      </c>
      <c r="AM376" s="20">
        <v>26</v>
      </c>
      <c r="AN376" s="21">
        <v>0</v>
      </c>
      <c r="AO376" s="20">
        <f t="shared" si="90"/>
        <v>26</v>
      </c>
      <c r="AP376" s="21">
        <v>0</v>
      </c>
      <c r="AQ376" s="20">
        <v>0</v>
      </c>
      <c r="AR376" s="20">
        <f t="shared" si="91"/>
        <v>0</v>
      </c>
      <c r="AS376" s="20">
        <v>145</v>
      </c>
      <c r="AT376" s="21">
        <v>30</v>
      </c>
      <c r="AU376" s="20">
        <f t="shared" si="92"/>
        <v>175</v>
      </c>
      <c r="AV376" s="23">
        <f t="shared" si="93"/>
        <v>403.75</v>
      </c>
      <c r="AW376" s="22">
        <f t="shared" si="94"/>
        <v>32.5</v>
      </c>
      <c r="AX376" s="20">
        <f t="shared" si="95"/>
        <v>436.25</v>
      </c>
      <c r="AY376" s="28" t="s">
        <v>478</v>
      </c>
      <c r="AZ376" s="28" t="s">
        <v>478</v>
      </c>
      <c r="BA376" s="28" t="s">
        <v>352</v>
      </c>
      <c r="BB376" s="29">
        <v>44399</v>
      </c>
    </row>
    <row r="377" spans="1:54" hidden="1">
      <c r="A377" s="28" t="str">
        <f t="shared" si="80"/>
        <v>815646119261</v>
      </c>
      <c r="B377" s="30">
        <v>815646</v>
      </c>
      <c r="C377" s="30" t="s">
        <v>92</v>
      </c>
      <c r="D377" s="28">
        <v>119261</v>
      </c>
      <c r="E377" s="28" t="s">
        <v>170</v>
      </c>
      <c r="F377" s="28"/>
      <c r="G377" s="28"/>
      <c r="H377" s="28"/>
      <c r="I377" s="28"/>
      <c r="J377" s="28"/>
      <c r="K377" s="28"/>
      <c r="L377" s="20">
        <v>0</v>
      </c>
      <c r="M377" s="21">
        <v>0</v>
      </c>
      <c r="N377" s="20">
        <f t="shared" si="81"/>
        <v>0</v>
      </c>
      <c r="O377" s="20">
        <v>0</v>
      </c>
      <c r="P377" s="21">
        <v>0</v>
      </c>
      <c r="Q377" s="20">
        <f t="shared" si="82"/>
        <v>0</v>
      </c>
      <c r="R377" s="20">
        <v>0</v>
      </c>
      <c r="S377" s="22">
        <v>0</v>
      </c>
      <c r="T377" s="20">
        <f t="shared" si="83"/>
        <v>0</v>
      </c>
      <c r="U377" s="20">
        <v>0</v>
      </c>
      <c r="V377" s="21">
        <v>0</v>
      </c>
      <c r="W377" s="20">
        <f t="shared" si="84"/>
        <v>0</v>
      </c>
      <c r="X377" s="20">
        <v>51</v>
      </c>
      <c r="Y377" s="22">
        <v>0</v>
      </c>
      <c r="Z377" s="20">
        <f t="shared" si="85"/>
        <v>51</v>
      </c>
      <c r="AA377" s="20">
        <v>0</v>
      </c>
      <c r="AB377" s="22">
        <v>0</v>
      </c>
      <c r="AC377" s="20">
        <f t="shared" si="86"/>
        <v>0</v>
      </c>
      <c r="AD377" s="20">
        <v>51</v>
      </c>
      <c r="AE377" s="22">
        <v>0</v>
      </c>
      <c r="AF377" s="20">
        <f t="shared" si="87"/>
        <v>51</v>
      </c>
      <c r="AG377" s="20">
        <v>0</v>
      </c>
      <c r="AH377" s="21">
        <v>0</v>
      </c>
      <c r="AI377" s="20">
        <f t="shared" si="88"/>
        <v>0</v>
      </c>
      <c r="AJ377" s="20">
        <v>0</v>
      </c>
      <c r="AK377" s="21">
        <v>0</v>
      </c>
      <c r="AL377" s="20">
        <f t="shared" si="89"/>
        <v>0</v>
      </c>
      <c r="AM377" s="20">
        <v>20</v>
      </c>
      <c r="AN377" s="21">
        <v>0</v>
      </c>
      <c r="AO377" s="20">
        <f t="shared" si="90"/>
        <v>20</v>
      </c>
      <c r="AP377" s="21">
        <v>0</v>
      </c>
      <c r="AQ377" s="20">
        <v>0</v>
      </c>
      <c r="AR377" s="20">
        <f t="shared" si="91"/>
        <v>0</v>
      </c>
      <c r="AS377" s="20">
        <v>0</v>
      </c>
      <c r="AT377" s="21">
        <v>0</v>
      </c>
      <c r="AU377" s="20">
        <f t="shared" si="92"/>
        <v>0</v>
      </c>
      <c r="AV377" s="23">
        <f t="shared" si="93"/>
        <v>122</v>
      </c>
      <c r="AW377" s="22">
        <f t="shared" si="94"/>
        <v>0</v>
      </c>
      <c r="AX377" s="20">
        <f t="shared" si="95"/>
        <v>122</v>
      </c>
      <c r="AY377" s="28" t="s">
        <v>478</v>
      </c>
      <c r="AZ377" s="28" t="s">
        <v>478</v>
      </c>
      <c r="BA377" s="28" t="s">
        <v>352</v>
      </c>
      <c r="BB377" s="29">
        <v>44403</v>
      </c>
    </row>
    <row r="378" spans="1:54" hidden="1">
      <c r="A378" s="28" t="str">
        <f t="shared" si="80"/>
        <v>815647119261</v>
      </c>
      <c r="B378" s="30">
        <v>815647</v>
      </c>
      <c r="C378" s="30" t="s">
        <v>412</v>
      </c>
      <c r="D378" s="28">
        <v>119261</v>
      </c>
      <c r="E378" s="28" t="s">
        <v>170</v>
      </c>
      <c r="F378" s="28"/>
      <c r="G378" s="28"/>
      <c r="H378" s="28"/>
      <c r="I378" s="28"/>
      <c r="J378" s="28"/>
      <c r="K378" s="28"/>
      <c r="L378" s="20">
        <v>0</v>
      </c>
      <c r="M378" s="21">
        <v>0</v>
      </c>
      <c r="N378" s="20">
        <f t="shared" si="81"/>
        <v>0</v>
      </c>
      <c r="O378" s="20">
        <v>0</v>
      </c>
      <c r="P378" s="21">
        <v>0</v>
      </c>
      <c r="Q378" s="20">
        <f t="shared" si="82"/>
        <v>0</v>
      </c>
      <c r="R378" s="20">
        <v>0</v>
      </c>
      <c r="S378" s="22">
        <v>0</v>
      </c>
      <c r="T378" s="20">
        <f t="shared" si="83"/>
        <v>0</v>
      </c>
      <c r="U378" s="20">
        <v>0</v>
      </c>
      <c r="V378" s="21">
        <v>0</v>
      </c>
      <c r="W378" s="20">
        <f t="shared" si="84"/>
        <v>0</v>
      </c>
      <c r="X378" s="20">
        <v>22.75</v>
      </c>
      <c r="Y378" s="22">
        <v>1.25</v>
      </c>
      <c r="Z378" s="20">
        <f t="shared" si="85"/>
        <v>24</v>
      </c>
      <c r="AA378" s="20">
        <v>0</v>
      </c>
      <c r="AB378" s="22">
        <v>0</v>
      </c>
      <c r="AC378" s="20">
        <f t="shared" si="86"/>
        <v>0</v>
      </c>
      <c r="AD378" s="20">
        <v>10</v>
      </c>
      <c r="AE378" s="22">
        <v>0</v>
      </c>
      <c r="AF378" s="20">
        <f t="shared" si="87"/>
        <v>10</v>
      </c>
      <c r="AG378" s="20">
        <v>0</v>
      </c>
      <c r="AH378" s="21">
        <v>0</v>
      </c>
      <c r="AI378" s="20">
        <f t="shared" si="88"/>
        <v>0</v>
      </c>
      <c r="AJ378" s="20">
        <v>15.5</v>
      </c>
      <c r="AK378" s="21">
        <v>0</v>
      </c>
      <c r="AL378" s="20">
        <f t="shared" si="89"/>
        <v>15.5</v>
      </c>
      <c r="AM378" s="20">
        <v>0</v>
      </c>
      <c r="AN378" s="21">
        <v>0</v>
      </c>
      <c r="AO378" s="20">
        <f t="shared" si="90"/>
        <v>0</v>
      </c>
      <c r="AP378" s="21">
        <v>0</v>
      </c>
      <c r="AQ378" s="20">
        <v>0</v>
      </c>
      <c r="AR378" s="20">
        <f t="shared" si="91"/>
        <v>0</v>
      </c>
      <c r="AS378" s="20">
        <v>0</v>
      </c>
      <c r="AT378" s="21">
        <v>0</v>
      </c>
      <c r="AU378" s="20">
        <f t="shared" si="92"/>
        <v>0</v>
      </c>
      <c r="AV378" s="23">
        <f t="shared" si="93"/>
        <v>48.25</v>
      </c>
      <c r="AW378" s="22">
        <f t="shared" si="94"/>
        <v>1.25</v>
      </c>
      <c r="AX378" s="20">
        <f t="shared" si="95"/>
        <v>49.5</v>
      </c>
      <c r="AY378" s="28" t="s">
        <v>478</v>
      </c>
      <c r="AZ378" s="28" t="s">
        <v>478</v>
      </c>
      <c r="BA378" s="28" t="s">
        <v>352</v>
      </c>
      <c r="BB378" s="29">
        <v>44403</v>
      </c>
    </row>
    <row r="379" spans="1:54" hidden="1">
      <c r="A379" s="28" t="str">
        <f t="shared" si="80"/>
        <v>815658119261</v>
      </c>
      <c r="B379" s="30">
        <v>815658</v>
      </c>
      <c r="C379" s="30" t="s">
        <v>413</v>
      </c>
      <c r="D379" s="28">
        <v>119261</v>
      </c>
      <c r="E379" s="28" t="s">
        <v>170</v>
      </c>
      <c r="F379" s="28"/>
      <c r="G379" s="28"/>
      <c r="H379" s="28"/>
      <c r="I379" s="28"/>
      <c r="J379" s="28"/>
      <c r="K379" s="28"/>
      <c r="L379" s="20">
        <v>0</v>
      </c>
      <c r="M379" s="21">
        <v>0</v>
      </c>
      <c r="N379" s="20">
        <f t="shared" si="81"/>
        <v>0</v>
      </c>
      <c r="O379" s="20">
        <v>0</v>
      </c>
      <c r="P379" s="21">
        <v>0</v>
      </c>
      <c r="Q379" s="20">
        <f t="shared" si="82"/>
        <v>0</v>
      </c>
      <c r="R379" s="20">
        <v>0</v>
      </c>
      <c r="S379" s="22">
        <v>0</v>
      </c>
      <c r="T379" s="20">
        <f t="shared" si="83"/>
        <v>0</v>
      </c>
      <c r="U379" s="20">
        <v>0</v>
      </c>
      <c r="V379" s="21">
        <v>0</v>
      </c>
      <c r="W379" s="20">
        <f t="shared" si="84"/>
        <v>0</v>
      </c>
      <c r="X379" s="20">
        <v>57.75</v>
      </c>
      <c r="Y379" s="22">
        <v>0</v>
      </c>
      <c r="Z379" s="20">
        <f t="shared" si="85"/>
        <v>57.75</v>
      </c>
      <c r="AA379" s="20">
        <v>75</v>
      </c>
      <c r="AB379" s="22">
        <v>0</v>
      </c>
      <c r="AC379" s="20">
        <f t="shared" si="86"/>
        <v>75</v>
      </c>
      <c r="AD379" s="20">
        <v>51</v>
      </c>
      <c r="AE379" s="22">
        <v>0</v>
      </c>
      <c r="AF379" s="20">
        <f t="shared" si="87"/>
        <v>51</v>
      </c>
      <c r="AG379" s="20">
        <v>51.25</v>
      </c>
      <c r="AH379" s="21">
        <v>0</v>
      </c>
      <c r="AI379" s="20">
        <f t="shared" si="88"/>
        <v>51.25</v>
      </c>
      <c r="AJ379" s="20">
        <v>50.5</v>
      </c>
      <c r="AK379" s="21">
        <v>0</v>
      </c>
      <c r="AL379" s="20">
        <f t="shared" si="89"/>
        <v>50.5</v>
      </c>
      <c r="AM379" s="20">
        <v>51</v>
      </c>
      <c r="AN379" s="21">
        <v>0</v>
      </c>
      <c r="AO379" s="20">
        <f t="shared" si="90"/>
        <v>51</v>
      </c>
      <c r="AP379" s="21">
        <v>55</v>
      </c>
      <c r="AQ379" s="20">
        <v>0</v>
      </c>
      <c r="AR379" s="20">
        <f t="shared" si="91"/>
        <v>55</v>
      </c>
      <c r="AS379" s="20">
        <v>20</v>
      </c>
      <c r="AT379" s="21">
        <v>0</v>
      </c>
      <c r="AU379" s="20">
        <f t="shared" si="92"/>
        <v>20</v>
      </c>
      <c r="AV379" s="23">
        <f t="shared" si="93"/>
        <v>411.5</v>
      </c>
      <c r="AW379" s="22">
        <f t="shared" si="94"/>
        <v>0</v>
      </c>
      <c r="AX379" s="20">
        <f t="shared" si="95"/>
        <v>411.5</v>
      </c>
      <c r="AY379" s="28" t="s">
        <v>478</v>
      </c>
      <c r="AZ379" s="28" t="s">
        <v>478</v>
      </c>
      <c r="BA379" s="28" t="s">
        <v>352</v>
      </c>
      <c r="BB379" s="29">
        <v>44403</v>
      </c>
    </row>
    <row r="380" spans="1:54" hidden="1">
      <c r="A380" s="28" t="str">
        <f t="shared" si="80"/>
        <v>815672119261</v>
      </c>
      <c r="B380" s="30">
        <v>815672</v>
      </c>
      <c r="C380" s="30" t="s">
        <v>414</v>
      </c>
      <c r="D380" s="28">
        <v>119261</v>
      </c>
      <c r="E380" s="28" t="s">
        <v>170</v>
      </c>
      <c r="F380" s="28"/>
      <c r="G380" s="28"/>
      <c r="H380" s="28"/>
      <c r="I380" s="28"/>
      <c r="J380" s="28"/>
      <c r="K380" s="28"/>
      <c r="L380" s="20">
        <v>0</v>
      </c>
      <c r="M380" s="21">
        <v>0</v>
      </c>
      <c r="N380" s="20">
        <f t="shared" si="81"/>
        <v>0</v>
      </c>
      <c r="O380" s="20">
        <v>0</v>
      </c>
      <c r="P380" s="21">
        <v>0</v>
      </c>
      <c r="Q380" s="20">
        <f t="shared" si="82"/>
        <v>0</v>
      </c>
      <c r="R380" s="20">
        <v>0</v>
      </c>
      <c r="S380" s="22">
        <v>0</v>
      </c>
      <c r="T380" s="20">
        <f t="shared" si="83"/>
        <v>0</v>
      </c>
      <c r="U380" s="20">
        <v>0</v>
      </c>
      <c r="V380" s="21">
        <v>0</v>
      </c>
      <c r="W380" s="20">
        <f t="shared" si="84"/>
        <v>0</v>
      </c>
      <c r="X380" s="20">
        <v>51</v>
      </c>
      <c r="Y380" s="22">
        <v>0</v>
      </c>
      <c r="Z380" s="20">
        <f t="shared" si="85"/>
        <v>51</v>
      </c>
      <c r="AA380" s="20">
        <v>0</v>
      </c>
      <c r="AB380" s="22">
        <v>0</v>
      </c>
      <c r="AC380" s="20">
        <f t="shared" si="86"/>
        <v>0</v>
      </c>
      <c r="AD380" s="20">
        <v>51</v>
      </c>
      <c r="AE380" s="22">
        <v>4.25</v>
      </c>
      <c r="AF380" s="20">
        <f t="shared" si="87"/>
        <v>55.25</v>
      </c>
      <c r="AG380" s="20">
        <v>50</v>
      </c>
      <c r="AH380" s="21">
        <v>0</v>
      </c>
      <c r="AI380" s="20">
        <f t="shared" si="88"/>
        <v>50</v>
      </c>
      <c r="AJ380" s="20">
        <v>31</v>
      </c>
      <c r="AK380" s="21">
        <v>0</v>
      </c>
      <c r="AL380" s="20">
        <f t="shared" si="89"/>
        <v>31</v>
      </c>
      <c r="AM380" s="20">
        <v>0</v>
      </c>
      <c r="AN380" s="21">
        <v>0</v>
      </c>
      <c r="AO380" s="20">
        <f t="shared" si="90"/>
        <v>0</v>
      </c>
      <c r="AP380" s="21">
        <v>0</v>
      </c>
      <c r="AQ380" s="20">
        <v>0</v>
      </c>
      <c r="AR380" s="20">
        <f t="shared" si="91"/>
        <v>0</v>
      </c>
      <c r="AS380" s="20">
        <v>0</v>
      </c>
      <c r="AT380" s="21">
        <v>0</v>
      </c>
      <c r="AU380" s="20">
        <f t="shared" si="92"/>
        <v>0</v>
      </c>
      <c r="AV380" s="23">
        <f t="shared" si="93"/>
        <v>183</v>
      </c>
      <c r="AW380" s="22">
        <f t="shared" si="94"/>
        <v>4.25</v>
      </c>
      <c r="AX380" s="20">
        <f t="shared" si="95"/>
        <v>187.25</v>
      </c>
      <c r="AY380" s="28" t="s">
        <v>478</v>
      </c>
      <c r="AZ380" s="28" t="s">
        <v>478</v>
      </c>
      <c r="BA380" s="28" t="s">
        <v>352</v>
      </c>
      <c r="BB380" s="29">
        <v>44404</v>
      </c>
    </row>
    <row r="381" spans="1:54" hidden="1">
      <c r="A381" s="28" t="str">
        <f t="shared" si="80"/>
        <v>816116206049</v>
      </c>
      <c r="B381" s="30">
        <v>816116</v>
      </c>
      <c r="C381" s="30" t="s">
        <v>426</v>
      </c>
      <c r="D381" s="28">
        <v>206049</v>
      </c>
      <c r="E381" s="28" t="s">
        <v>229</v>
      </c>
      <c r="F381" s="28"/>
      <c r="G381" s="28"/>
      <c r="H381" s="28"/>
      <c r="I381" s="28"/>
      <c r="J381" s="28"/>
      <c r="K381" s="28"/>
      <c r="L381" s="20">
        <v>0</v>
      </c>
      <c r="M381" s="21">
        <v>0</v>
      </c>
      <c r="N381" s="20">
        <f t="shared" si="81"/>
        <v>0</v>
      </c>
      <c r="O381" s="20">
        <v>0</v>
      </c>
      <c r="P381" s="21">
        <v>0</v>
      </c>
      <c r="Q381" s="20">
        <f t="shared" si="82"/>
        <v>0</v>
      </c>
      <c r="R381" s="20">
        <v>0</v>
      </c>
      <c r="S381" s="22">
        <v>0</v>
      </c>
      <c r="T381" s="20">
        <f t="shared" si="83"/>
        <v>0</v>
      </c>
      <c r="U381" s="20">
        <v>0</v>
      </c>
      <c r="V381" s="21">
        <v>0</v>
      </c>
      <c r="W381" s="20">
        <f t="shared" si="84"/>
        <v>0</v>
      </c>
      <c r="X381" s="20">
        <v>5</v>
      </c>
      <c r="Y381" s="22">
        <v>0</v>
      </c>
      <c r="Z381" s="20">
        <f t="shared" si="85"/>
        <v>5</v>
      </c>
      <c r="AA381" s="20">
        <v>33</v>
      </c>
      <c r="AB381" s="22">
        <v>0</v>
      </c>
      <c r="AC381" s="20">
        <f t="shared" si="86"/>
        <v>33</v>
      </c>
      <c r="AD381" s="20">
        <v>0</v>
      </c>
      <c r="AE381" s="22">
        <v>0</v>
      </c>
      <c r="AF381" s="20">
        <f t="shared" si="87"/>
        <v>0</v>
      </c>
      <c r="AG381" s="20">
        <v>5</v>
      </c>
      <c r="AH381" s="21">
        <v>0</v>
      </c>
      <c r="AI381" s="20">
        <f t="shared" si="88"/>
        <v>5</v>
      </c>
      <c r="AJ381" s="20">
        <v>72.5</v>
      </c>
      <c r="AK381" s="21">
        <v>0</v>
      </c>
      <c r="AL381" s="20">
        <f t="shared" si="89"/>
        <v>72.5</v>
      </c>
      <c r="AM381" s="20">
        <v>50</v>
      </c>
      <c r="AN381" s="21">
        <v>0</v>
      </c>
      <c r="AO381" s="20">
        <f t="shared" si="90"/>
        <v>50</v>
      </c>
      <c r="AP381" s="21">
        <v>0</v>
      </c>
      <c r="AQ381" s="20">
        <v>0</v>
      </c>
      <c r="AR381" s="20">
        <f t="shared" si="91"/>
        <v>0</v>
      </c>
      <c r="AS381" s="20">
        <v>0</v>
      </c>
      <c r="AT381" s="21">
        <v>0</v>
      </c>
      <c r="AU381" s="20">
        <f t="shared" si="92"/>
        <v>0</v>
      </c>
      <c r="AV381" s="23">
        <f t="shared" si="93"/>
        <v>165.5</v>
      </c>
      <c r="AW381" s="22">
        <f t="shared" si="94"/>
        <v>0</v>
      </c>
      <c r="AX381" s="20">
        <f t="shared" si="95"/>
        <v>165.5</v>
      </c>
      <c r="AY381" s="28" t="s">
        <v>478</v>
      </c>
      <c r="AZ381" s="28" t="s">
        <v>478</v>
      </c>
      <c r="BA381" s="28" t="s">
        <v>352</v>
      </c>
      <c r="BB381" s="29">
        <v>44433</v>
      </c>
    </row>
    <row r="382" spans="1:54" hidden="1">
      <c r="A382" s="28" t="str">
        <f t="shared" si="80"/>
        <v>816253201172</v>
      </c>
      <c r="B382" s="30">
        <v>816253</v>
      </c>
      <c r="C382" s="30" t="s">
        <v>436</v>
      </c>
      <c r="D382" s="28">
        <v>201172</v>
      </c>
      <c r="E382" s="28" t="s">
        <v>174</v>
      </c>
      <c r="F382" s="28"/>
      <c r="G382" s="28"/>
      <c r="H382" s="28"/>
      <c r="I382" s="28"/>
      <c r="J382" s="28"/>
      <c r="K382" s="28"/>
      <c r="L382" s="20">
        <v>0</v>
      </c>
      <c r="M382" s="21">
        <v>0</v>
      </c>
      <c r="N382" s="20">
        <f t="shared" si="81"/>
        <v>0</v>
      </c>
      <c r="O382" s="20">
        <v>0</v>
      </c>
      <c r="P382" s="21">
        <v>0</v>
      </c>
      <c r="Q382" s="20">
        <f t="shared" si="82"/>
        <v>0</v>
      </c>
      <c r="R382" s="20">
        <v>0</v>
      </c>
      <c r="S382" s="22">
        <v>0</v>
      </c>
      <c r="T382" s="20">
        <f t="shared" si="83"/>
        <v>0</v>
      </c>
      <c r="U382" s="20">
        <v>0</v>
      </c>
      <c r="V382" s="21">
        <v>0</v>
      </c>
      <c r="W382" s="20">
        <f t="shared" si="84"/>
        <v>0</v>
      </c>
      <c r="X382" s="20">
        <v>0</v>
      </c>
      <c r="Y382" s="22">
        <v>0</v>
      </c>
      <c r="Z382" s="20">
        <f t="shared" si="85"/>
        <v>0</v>
      </c>
      <c r="AA382" s="20">
        <v>7.5</v>
      </c>
      <c r="AB382" s="22">
        <v>0</v>
      </c>
      <c r="AC382" s="20">
        <f t="shared" si="86"/>
        <v>7.5</v>
      </c>
      <c r="AD382" s="20">
        <v>0</v>
      </c>
      <c r="AE382" s="22">
        <v>0</v>
      </c>
      <c r="AF382" s="20">
        <f t="shared" si="87"/>
        <v>0</v>
      </c>
      <c r="AG382" s="20">
        <v>0</v>
      </c>
      <c r="AH382" s="21">
        <v>0</v>
      </c>
      <c r="AI382" s="20">
        <f t="shared" si="88"/>
        <v>0</v>
      </c>
      <c r="AJ382" s="20">
        <v>1</v>
      </c>
      <c r="AK382" s="21">
        <v>0</v>
      </c>
      <c r="AL382" s="20">
        <f t="shared" si="89"/>
        <v>1</v>
      </c>
      <c r="AM382" s="20">
        <v>2.5</v>
      </c>
      <c r="AN382" s="21">
        <v>0</v>
      </c>
      <c r="AO382" s="20">
        <f t="shared" si="90"/>
        <v>2.5</v>
      </c>
      <c r="AP382" s="21">
        <v>31.25</v>
      </c>
      <c r="AQ382" s="20">
        <v>0</v>
      </c>
      <c r="AR382" s="20">
        <f t="shared" si="91"/>
        <v>31.25</v>
      </c>
      <c r="AS382" s="20">
        <v>0</v>
      </c>
      <c r="AT382" s="21">
        <v>0</v>
      </c>
      <c r="AU382" s="20">
        <f t="shared" si="92"/>
        <v>0</v>
      </c>
      <c r="AV382" s="23">
        <f t="shared" si="93"/>
        <v>42.25</v>
      </c>
      <c r="AW382" s="22">
        <f t="shared" si="94"/>
        <v>0</v>
      </c>
      <c r="AX382" s="20">
        <f t="shared" si="95"/>
        <v>42.25</v>
      </c>
      <c r="AY382" s="28" t="s">
        <v>478</v>
      </c>
      <c r="AZ382" s="28" t="s">
        <v>478</v>
      </c>
      <c r="BA382" s="28" t="s">
        <v>352</v>
      </c>
      <c r="BB382" s="29">
        <v>44442</v>
      </c>
    </row>
    <row r="383" spans="1:54" hidden="1">
      <c r="A383" s="28" t="str">
        <f t="shared" si="80"/>
        <v>816351145135</v>
      </c>
      <c r="B383" s="30">
        <v>816351</v>
      </c>
      <c r="C383" s="30" t="s">
        <v>432</v>
      </c>
      <c r="D383" s="28">
        <v>145135</v>
      </c>
      <c r="E383" s="28" t="s">
        <v>433</v>
      </c>
      <c r="F383" s="28"/>
      <c r="G383" s="28"/>
      <c r="H383" s="28"/>
      <c r="I383" s="28"/>
      <c r="J383" s="28"/>
      <c r="K383" s="28"/>
      <c r="L383" s="20">
        <v>0</v>
      </c>
      <c r="M383" s="21">
        <v>0</v>
      </c>
      <c r="N383" s="20">
        <f t="shared" si="81"/>
        <v>0</v>
      </c>
      <c r="O383" s="20">
        <v>0</v>
      </c>
      <c r="P383" s="21">
        <v>0</v>
      </c>
      <c r="Q383" s="20">
        <f t="shared" si="82"/>
        <v>0</v>
      </c>
      <c r="R383" s="20">
        <v>0</v>
      </c>
      <c r="S383" s="22">
        <v>0</v>
      </c>
      <c r="T383" s="20">
        <f t="shared" si="83"/>
        <v>0</v>
      </c>
      <c r="U383" s="20">
        <v>0</v>
      </c>
      <c r="V383" s="21">
        <v>0</v>
      </c>
      <c r="W383" s="20">
        <f t="shared" si="84"/>
        <v>0</v>
      </c>
      <c r="X383" s="20">
        <v>0</v>
      </c>
      <c r="Y383" s="22">
        <v>0</v>
      </c>
      <c r="Z383" s="20">
        <f t="shared" si="85"/>
        <v>0</v>
      </c>
      <c r="AA383" s="20">
        <v>41</v>
      </c>
      <c r="AB383" s="22">
        <v>12.5</v>
      </c>
      <c r="AC383" s="20">
        <f t="shared" si="86"/>
        <v>53.5</v>
      </c>
      <c r="AD383" s="20">
        <v>70.400000000000006</v>
      </c>
      <c r="AE383" s="22">
        <v>1</v>
      </c>
      <c r="AF383" s="20">
        <f t="shared" si="87"/>
        <v>71.400000000000006</v>
      </c>
      <c r="AG383" s="20">
        <v>148.1</v>
      </c>
      <c r="AH383" s="21">
        <v>17.100000000000001</v>
      </c>
      <c r="AI383" s="20">
        <f t="shared" si="88"/>
        <v>165.2</v>
      </c>
      <c r="AJ383" s="20">
        <v>259.55</v>
      </c>
      <c r="AK383" s="21">
        <v>31.55</v>
      </c>
      <c r="AL383" s="20">
        <f t="shared" si="89"/>
        <v>291.10000000000002</v>
      </c>
      <c r="AM383" s="20">
        <v>287.8</v>
      </c>
      <c r="AN383" s="21">
        <v>29.2</v>
      </c>
      <c r="AO383" s="20">
        <f t="shared" si="90"/>
        <v>317</v>
      </c>
      <c r="AP383" s="21">
        <v>323.64999999999998</v>
      </c>
      <c r="AQ383" s="20">
        <v>29.5</v>
      </c>
      <c r="AR383" s="20">
        <f t="shared" si="91"/>
        <v>353.15</v>
      </c>
      <c r="AS383" s="20">
        <v>274.10000000000002</v>
      </c>
      <c r="AT383" s="21">
        <v>1.5</v>
      </c>
      <c r="AU383" s="20">
        <f t="shared" si="92"/>
        <v>275.60000000000002</v>
      </c>
      <c r="AV383" s="23">
        <f t="shared" si="93"/>
        <v>1404.6</v>
      </c>
      <c r="AW383" s="22">
        <f t="shared" si="94"/>
        <v>122.35000000000001</v>
      </c>
      <c r="AX383" s="20">
        <f t="shared" si="95"/>
        <v>1526.9499999999998</v>
      </c>
      <c r="AY383" s="28" t="s">
        <v>478</v>
      </c>
      <c r="AZ383" s="28" t="s">
        <v>478</v>
      </c>
      <c r="BA383" s="28" t="s">
        <v>352</v>
      </c>
      <c r="BB383" s="29">
        <v>44455</v>
      </c>
    </row>
    <row r="384" spans="1:54" hidden="1">
      <c r="A384" s="28" t="str">
        <f t="shared" si="80"/>
        <v>816529204307</v>
      </c>
      <c r="B384" s="30">
        <v>816529</v>
      </c>
      <c r="C384" s="30" t="s">
        <v>480</v>
      </c>
      <c r="D384" s="28">
        <v>204307</v>
      </c>
      <c r="E384" s="28" t="s">
        <v>192</v>
      </c>
      <c r="F384" s="28"/>
      <c r="G384" s="28"/>
      <c r="H384" s="28"/>
      <c r="I384" s="28"/>
      <c r="J384" s="28"/>
      <c r="K384" s="28"/>
      <c r="L384" s="20">
        <v>0</v>
      </c>
      <c r="M384" s="21">
        <v>0</v>
      </c>
      <c r="N384" s="20">
        <f t="shared" si="81"/>
        <v>0</v>
      </c>
      <c r="O384" s="20">
        <v>0</v>
      </c>
      <c r="P384" s="21">
        <v>0</v>
      </c>
      <c r="Q384" s="20">
        <f t="shared" si="82"/>
        <v>0</v>
      </c>
      <c r="R384" s="20">
        <v>0</v>
      </c>
      <c r="S384" s="22">
        <v>0</v>
      </c>
      <c r="T384" s="20">
        <f t="shared" si="83"/>
        <v>0</v>
      </c>
      <c r="U384" s="20">
        <v>0</v>
      </c>
      <c r="V384" s="21">
        <v>0</v>
      </c>
      <c r="W384" s="20">
        <f t="shared" si="84"/>
        <v>0</v>
      </c>
      <c r="X384" s="20">
        <v>0</v>
      </c>
      <c r="Y384" s="22">
        <v>0</v>
      </c>
      <c r="Z384" s="20">
        <f t="shared" si="85"/>
        <v>0</v>
      </c>
      <c r="AA384" s="20">
        <v>0</v>
      </c>
      <c r="AB384" s="22">
        <v>0</v>
      </c>
      <c r="AC384" s="20">
        <f t="shared" si="86"/>
        <v>0</v>
      </c>
      <c r="AD384" s="20">
        <v>0</v>
      </c>
      <c r="AE384" s="22">
        <v>0</v>
      </c>
      <c r="AF384" s="20">
        <f t="shared" si="87"/>
        <v>0</v>
      </c>
      <c r="AG384" s="20">
        <v>25</v>
      </c>
      <c r="AH384" s="21">
        <v>0</v>
      </c>
      <c r="AI384" s="20">
        <f t="shared" si="88"/>
        <v>25</v>
      </c>
      <c r="AJ384" s="20">
        <v>47.5</v>
      </c>
      <c r="AK384" s="21">
        <v>0</v>
      </c>
      <c r="AL384" s="20">
        <f t="shared" si="89"/>
        <v>47.5</v>
      </c>
      <c r="AM384" s="20">
        <v>30</v>
      </c>
      <c r="AN384" s="21">
        <v>0</v>
      </c>
      <c r="AO384" s="20">
        <f t="shared" si="90"/>
        <v>30</v>
      </c>
      <c r="AP384" s="21">
        <v>75</v>
      </c>
      <c r="AQ384" s="20">
        <v>0</v>
      </c>
      <c r="AR384" s="20">
        <f t="shared" si="91"/>
        <v>75</v>
      </c>
      <c r="AS384" s="20">
        <v>45</v>
      </c>
      <c r="AT384" s="21">
        <v>0</v>
      </c>
      <c r="AU384" s="20">
        <f t="shared" si="92"/>
        <v>45</v>
      </c>
      <c r="AV384" s="23">
        <f t="shared" si="93"/>
        <v>222.5</v>
      </c>
      <c r="AW384" s="22">
        <f t="shared" si="94"/>
        <v>0</v>
      </c>
      <c r="AX384" s="20">
        <f t="shared" si="95"/>
        <v>222.5</v>
      </c>
      <c r="AY384" s="28" t="s">
        <v>478</v>
      </c>
      <c r="AZ384" s="28" t="s">
        <v>478</v>
      </c>
      <c r="BA384" s="28" t="s">
        <v>352</v>
      </c>
      <c r="BB384" s="29">
        <v>44466</v>
      </c>
    </row>
    <row r="385" spans="1:54" hidden="1">
      <c r="A385" s="28" t="str">
        <f t="shared" si="80"/>
        <v>816905204307</v>
      </c>
      <c r="B385" s="30">
        <v>816905</v>
      </c>
      <c r="C385" s="30" t="s">
        <v>471</v>
      </c>
      <c r="D385" s="28">
        <v>204307</v>
      </c>
      <c r="E385" s="28" t="s">
        <v>192</v>
      </c>
      <c r="F385" s="28"/>
      <c r="G385" s="28"/>
      <c r="H385" s="28"/>
      <c r="I385" s="28"/>
      <c r="J385" s="28"/>
      <c r="K385" s="28"/>
      <c r="L385" s="20">
        <v>0</v>
      </c>
      <c r="M385" s="21">
        <v>0</v>
      </c>
      <c r="N385" s="20">
        <f t="shared" si="81"/>
        <v>0</v>
      </c>
      <c r="O385" s="20">
        <v>0</v>
      </c>
      <c r="P385" s="21">
        <v>0</v>
      </c>
      <c r="Q385" s="20">
        <f t="shared" si="82"/>
        <v>0</v>
      </c>
      <c r="R385" s="20">
        <v>0</v>
      </c>
      <c r="S385" s="22">
        <v>0</v>
      </c>
      <c r="T385" s="20">
        <f t="shared" si="83"/>
        <v>0</v>
      </c>
      <c r="U385" s="20">
        <v>0</v>
      </c>
      <c r="V385" s="21">
        <v>0</v>
      </c>
      <c r="W385" s="20">
        <f t="shared" si="84"/>
        <v>0</v>
      </c>
      <c r="X385" s="20">
        <v>0</v>
      </c>
      <c r="Y385" s="22">
        <v>0</v>
      </c>
      <c r="Z385" s="20">
        <f t="shared" si="85"/>
        <v>0</v>
      </c>
      <c r="AA385" s="20">
        <v>0</v>
      </c>
      <c r="AB385" s="22">
        <v>0</v>
      </c>
      <c r="AC385" s="20">
        <f t="shared" si="86"/>
        <v>0</v>
      </c>
      <c r="AD385" s="20">
        <v>0</v>
      </c>
      <c r="AE385" s="22">
        <v>0</v>
      </c>
      <c r="AF385" s="20">
        <f t="shared" si="87"/>
        <v>0</v>
      </c>
      <c r="AG385" s="20">
        <v>58</v>
      </c>
      <c r="AH385" s="21">
        <v>0</v>
      </c>
      <c r="AI385" s="20">
        <f t="shared" si="88"/>
        <v>58</v>
      </c>
      <c r="AJ385" s="20">
        <v>55</v>
      </c>
      <c r="AK385" s="21">
        <v>0</v>
      </c>
      <c r="AL385" s="20">
        <f t="shared" si="89"/>
        <v>55</v>
      </c>
      <c r="AM385" s="20">
        <v>34.5</v>
      </c>
      <c r="AN385" s="21">
        <v>0</v>
      </c>
      <c r="AO385" s="20">
        <f t="shared" si="90"/>
        <v>34.5</v>
      </c>
      <c r="AP385" s="21">
        <v>75</v>
      </c>
      <c r="AQ385" s="20">
        <v>0</v>
      </c>
      <c r="AR385" s="20">
        <f t="shared" si="91"/>
        <v>75</v>
      </c>
      <c r="AS385" s="20">
        <v>45</v>
      </c>
      <c r="AT385" s="21">
        <v>0</v>
      </c>
      <c r="AU385" s="20">
        <f t="shared" si="92"/>
        <v>45</v>
      </c>
      <c r="AV385" s="23">
        <f t="shared" si="93"/>
        <v>267.5</v>
      </c>
      <c r="AW385" s="22">
        <f t="shared" si="94"/>
        <v>0</v>
      </c>
      <c r="AX385" s="20">
        <f t="shared" si="95"/>
        <v>267.5</v>
      </c>
      <c r="AY385" s="28" t="s">
        <v>478</v>
      </c>
      <c r="AZ385" s="28" t="s">
        <v>478</v>
      </c>
      <c r="BA385" s="28" t="s">
        <v>352</v>
      </c>
      <c r="BB385" s="29">
        <v>44499</v>
      </c>
    </row>
    <row r="386" spans="1:54" hidden="1">
      <c r="A386" s="28" t="str">
        <f t="shared" ref="A386:A408" si="96">B386&amp;D386</f>
        <v>817032206049</v>
      </c>
      <c r="B386" s="30">
        <v>817032</v>
      </c>
      <c r="C386" s="30" t="s">
        <v>476</v>
      </c>
      <c r="D386" s="28">
        <v>206049</v>
      </c>
      <c r="E386" s="28" t="s">
        <v>229</v>
      </c>
      <c r="F386" s="28"/>
      <c r="G386" s="28"/>
      <c r="H386" s="28"/>
      <c r="I386" s="28"/>
      <c r="J386" s="28"/>
      <c r="K386" s="28"/>
      <c r="L386" s="20">
        <v>0</v>
      </c>
      <c r="M386" s="21">
        <v>0</v>
      </c>
      <c r="N386" s="20">
        <f t="shared" ref="N386:N408" si="97">SUM(L386:M386)</f>
        <v>0</v>
      </c>
      <c r="O386" s="20">
        <v>0</v>
      </c>
      <c r="P386" s="21">
        <v>0</v>
      </c>
      <c r="Q386" s="20">
        <f t="shared" ref="Q386:Q408" si="98">SUM(O386:P386)</f>
        <v>0</v>
      </c>
      <c r="R386" s="20">
        <v>0</v>
      </c>
      <c r="S386" s="22">
        <v>0</v>
      </c>
      <c r="T386" s="20">
        <f t="shared" ref="T386:T408" si="99">SUM(R386:S386)</f>
        <v>0</v>
      </c>
      <c r="U386" s="20">
        <v>0</v>
      </c>
      <c r="V386" s="21">
        <v>0</v>
      </c>
      <c r="W386" s="20">
        <f t="shared" ref="W386:W408" si="100">SUM(U386:V386)</f>
        <v>0</v>
      </c>
      <c r="X386" s="20">
        <v>0</v>
      </c>
      <c r="Y386" s="22">
        <v>0</v>
      </c>
      <c r="Z386" s="20">
        <f t="shared" ref="Z386:Z408" si="101">SUM(X386:Y386)</f>
        <v>0</v>
      </c>
      <c r="AA386" s="20">
        <v>0</v>
      </c>
      <c r="AB386" s="22">
        <v>0</v>
      </c>
      <c r="AC386" s="20">
        <f t="shared" ref="AC386:AC408" si="102">SUM(AA386:AB386)</f>
        <v>0</v>
      </c>
      <c r="AD386" s="20">
        <v>0</v>
      </c>
      <c r="AE386" s="22">
        <v>0</v>
      </c>
      <c r="AF386" s="20">
        <f t="shared" ref="AF386:AF408" si="103">SUM(AD386:AE386)</f>
        <v>0</v>
      </c>
      <c r="AG386" s="20">
        <v>10</v>
      </c>
      <c r="AH386" s="21">
        <v>0</v>
      </c>
      <c r="AI386" s="20">
        <f t="shared" ref="AI386:AI408" si="104">SUM(AG386:AH386)</f>
        <v>10</v>
      </c>
      <c r="AJ386" s="20">
        <v>53</v>
      </c>
      <c r="AK386" s="21">
        <v>0</v>
      </c>
      <c r="AL386" s="20">
        <f t="shared" ref="AL386:AL408" si="105">SUM(AJ386:AK386)</f>
        <v>53</v>
      </c>
      <c r="AM386" s="20">
        <v>10</v>
      </c>
      <c r="AN386" s="21">
        <v>0</v>
      </c>
      <c r="AO386" s="20">
        <f t="shared" ref="AO386:AO408" si="106">SUM(AM386:AN386)</f>
        <v>10</v>
      </c>
      <c r="AP386" s="21">
        <v>0</v>
      </c>
      <c r="AQ386" s="20">
        <v>0</v>
      </c>
      <c r="AR386" s="20">
        <f t="shared" ref="AR386:AR408" si="107">SUM(AP386:AQ386)</f>
        <v>0</v>
      </c>
      <c r="AS386" s="20">
        <v>0</v>
      </c>
      <c r="AT386" s="21">
        <v>0</v>
      </c>
      <c r="AU386" s="20">
        <f t="shared" ref="AU386:AU408" si="108">SUM(AS386:AT386)</f>
        <v>0</v>
      </c>
      <c r="AV386" s="23">
        <f t="shared" ref="AV386:AV408" si="109">SUM(L386+O386+R386+U386+X386+AA386+AD386+AG386+AJ386+AM386+AP386+AS386)</f>
        <v>73</v>
      </c>
      <c r="AW386" s="22">
        <f t="shared" ref="AW386:AW408" si="110">SUM(M386+P386+S386+V386+Y386+AB386+AE386+AH386+AK386+AN386+AQ386+AT386)</f>
        <v>0</v>
      </c>
      <c r="AX386" s="20">
        <f t="shared" ref="AX386:AX408" si="111">SUM(AV386:AW386)</f>
        <v>73</v>
      </c>
      <c r="AY386" s="28" t="s">
        <v>478</v>
      </c>
      <c r="AZ386" s="28" t="s">
        <v>478</v>
      </c>
      <c r="BA386" s="28" t="s">
        <v>352</v>
      </c>
      <c r="BB386" s="29">
        <v>44516</v>
      </c>
    </row>
    <row r="387" spans="1:54" hidden="1">
      <c r="A387" s="28" t="str">
        <f t="shared" si="96"/>
        <v>817052206049</v>
      </c>
      <c r="B387" s="30">
        <v>817052</v>
      </c>
      <c r="C387" s="30" t="s">
        <v>482</v>
      </c>
      <c r="D387" s="28">
        <v>206049</v>
      </c>
      <c r="E387" s="28" t="s">
        <v>229</v>
      </c>
      <c r="F387" s="28"/>
      <c r="G387" s="28"/>
      <c r="H387" s="28"/>
      <c r="I387" s="28"/>
      <c r="J387" s="28"/>
      <c r="K387" s="28"/>
      <c r="L387" s="20">
        <v>0</v>
      </c>
      <c r="M387" s="21">
        <v>0</v>
      </c>
      <c r="N387" s="20">
        <f t="shared" si="97"/>
        <v>0</v>
      </c>
      <c r="O387" s="20">
        <v>0</v>
      </c>
      <c r="P387" s="21">
        <v>0</v>
      </c>
      <c r="Q387" s="20">
        <f t="shared" si="98"/>
        <v>0</v>
      </c>
      <c r="R387" s="20">
        <v>0</v>
      </c>
      <c r="S387" s="22">
        <v>0</v>
      </c>
      <c r="T387" s="20">
        <f t="shared" si="99"/>
        <v>0</v>
      </c>
      <c r="U387" s="20">
        <v>0</v>
      </c>
      <c r="V387" s="21">
        <v>0</v>
      </c>
      <c r="W387" s="20">
        <f t="shared" si="100"/>
        <v>0</v>
      </c>
      <c r="X387" s="20">
        <v>0</v>
      </c>
      <c r="Y387" s="22">
        <v>0</v>
      </c>
      <c r="Z387" s="20">
        <f t="shared" si="101"/>
        <v>0</v>
      </c>
      <c r="AA387" s="20">
        <v>0</v>
      </c>
      <c r="AB387" s="22">
        <v>0</v>
      </c>
      <c r="AC387" s="20">
        <f t="shared" si="102"/>
        <v>0</v>
      </c>
      <c r="AD387" s="20">
        <v>0</v>
      </c>
      <c r="AE387" s="22">
        <v>0</v>
      </c>
      <c r="AF387" s="20">
        <f t="shared" si="103"/>
        <v>0</v>
      </c>
      <c r="AG387" s="20">
        <v>33.75</v>
      </c>
      <c r="AH387" s="21">
        <v>0</v>
      </c>
      <c r="AI387" s="20">
        <f t="shared" si="104"/>
        <v>33.75</v>
      </c>
      <c r="AJ387" s="20">
        <v>90.5</v>
      </c>
      <c r="AK387" s="21">
        <v>0</v>
      </c>
      <c r="AL387" s="20">
        <f t="shared" si="105"/>
        <v>90.5</v>
      </c>
      <c r="AM387" s="20">
        <v>17.5</v>
      </c>
      <c r="AN387" s="21">
        <v>0</v>
      </c>
      <c r="AO387" s="20">
        <f t="shared" si="106"/>
        <v>17.5</v>
      </c>
      <c r="AP387" s="21">
        <v>67.5</v>
      </c>
      <c r="AQ387" s="20">
        <v>0</v>
      </c>
      <c r="AR387" s="20">
        <f t="shared" si="107"/>
        <v>67.5</v>
      </c>
      <c r="AS387" s="20">
        <v>367.15</v>
      </c>
      <c r="AT387" s="21">
        <v>0</v>
      </c>
      <c r="AU387" s="20">
        <f t="shared" si="108"/>
        <v>367.15</v>
      </c>
      <c r="AV387" s="23">
        <f t="shared" si="109"/>
        <v>576.4</v>
      </c>
      <c r="AW387" s="22">
        <f t="shared" si="110"/>
        <v>0</v>
      </c>
      <c r="AX387" s="20">
        <f t="shared" si="111"/>
        <v>576.4</v>
      </c>
      <c r="AY387" s="28" t="s">
        <v>478</v>
      </c>
      <c r="AZ387" s="28" t="s">
        <v>478</v>
      </c>
      <c r="BA387" s="28" t="s">
        <v>352</v>
      </c>
      <c r="BB387" s="29">
        <v>44518</v>
      </c>
    </row>
    <row r="388" spans="1:54" hidden="1">
      <c r="A388" s="28" t="str">
        <f t="shared" si="96"/>
        <v>817053208268</v>
      </c>
      <c r="B388" s="30">
        <v>817053</v>
      </c>
      <c r="C388" s="30" t="s">
        <v>489</v>
      </c>
      <c r="D388" s="28">
        <v>208268</v>
      </c>
      <c r="E388" s="28" t="s">
        <v>388</v>
      </c>
      <c r="F388" s="28"/>
      <c r="G388" s="28"/>
      <c r="H388" s="28"/>
      <c r="I388" s="28"/>
      <c r="J388" s="28"/>
      <c r="K388" s="28"/>
      <c r="L388" s="20">
        <v>0</v>
      </c>
      <c r="M388" s="21">
        <v>0</v>
      </c>
      <c r="N388" s="20">
        <f t="shared" si="97"/>
        <v>0</v>
      </c>
      <c r="O388" s="20">
        <v>0</v>
      </c>
      <c r="P388" s="21">
        <v>0</v>
      </c>
      <c r="Q388" s="20">
        <f t="shared" si="98"/>
        <v>0</v>
      </c>
      <c r="R388" s="20">
        <v>0</v>
      </c>
      <c r="S388" s="22">
        <v>0</v>
      </c>
      <c r="T388" s="20">
        <f t="shared" si="99"/>
        <v>0</v>
      </c>
      <c r="U388" s="20">
        <v>0</v>
      </c>
      <c r="V388" s="21">
        <v>0</v>
      </c>
      <c r="W388" s="20">
        <f t="shared" si="100"/>
        <v>0</v>
      </c>
      <c r="X388" s="20">
        <v>0</v>
      </c>
      <c r="Y388" s="22">
        <v>0</v>
      </c>
      <c r="Z388" s="20">
        <f t="shared" si="101"/>
        <v>0</v>
      </c>
      <c r="AA388" s="20">
        <v>0</v>
      </c>
      <c r="AB388" s="22">
        <v>0</v>
      </c>
      <c r="AC388" s="20">
        <f t="shared" si="102"/>
        <v>0</v>
      </c>
      <c r="AD388" s="20">
        <v>0</v>
      </c>
      <c r="AE388" s="22">
        <v>0</v>
      </c>
      <c r="AF388" s="20">
        <f t="shared" si="103"/>
        <v>0</v>
      </c>
      <c r="AG388" s="20">
        <v>0</v>
      </c>
      <c r="AH388" s="21">
        <v>0</v>
      </c>
      <c r="AI388" s="20">
        <f t="shared" si="104"/>
        <v>0</v>
      </c>
      <c r="AJ388" s="20">
        <v>51.25</v>
      </c>
      <c r="AK388" s="21">
        <v>0</v>
      </c>
      <c r="AL388" s="20">
        <f t="shared" si="105"/>
        <v>51.25</v>
      </c>
      <c r="AM388" s="20">
        <v>10.25</v>
      </c>
      <c r="AN388" s="21">
        <v>6.75</v>
      </c>
      <c r="AO388" s="20">
        <f t="shared" si="106"/>
        <v>17</v>
      </c>
      <c r="AP388" s="21">
        <v>7.5</v>
      </c>
      <c r="AQ388" s="20">
        <v>0</v>
      </c>
      <c r="AR388" s="20">
        <f t="shared" si="107"/>
        <v>7.5</v>
      </c>
      <c r="AS388" s="20">
        <v>0</v>
      </c>
      <c r="AT388" s="21">
        <v>0</v>
      </c>
      <c r="AU388" s="20">
        <f t="shared" si="108"/>
        <v>0</v>
      </c>
      <c r="AV388" s="23">
        <f t="shared" si="109"/>
        <v>69</v>
      </c>
      <c r="AW388" s="22">
        <f t="shared" si="110"/>
        <v>6.75</v>
      </c>
      <c r="AX388" s="20">
        <f t="shared" si="111"/>
        <v>75.75</v>
      </c>
      <c r="AY388" s="28" t="s">
        <v>478</v>
      </c>
      <c r="AZ388" s="28" t="s">
        <v>478</v>
      </c>
      <c r="BA388" s="28" t="s">
        <v>352</v>
      </c>
      <c r="BB388" s="29">
        <v>44518</v>
      </c>
    </row>
    <row r="389" spans="1:54" hidden="1">
      <c r="A389" s="28" t="str">
        <f t="shared" si="96"/>
        <v>817127206049</v>
      </c>
      <c r="B389" s="30">
        <v>817127</v>
      </c>
      <c r="C389" s="30" t="s">
        <v>508</v>
      </c>
      <c r="D389" s="28">
        <v>206049</v>
      </c>
      <c r="E389" s="28" t="s">
        <v>229</v>
      </c>
      <c r="F389" s="28"/>
      <c r="G389" s="28"/>
      <c r="H389" s="28"/>
      <c r="I389" s="28"/>
      <c r="J389" s="28"/>
      <c r="K389" s="28"/>
      <c r="L389" s="20">
        <v>0</v>
      </c>
      <c r="M389" s="21">
        <v>0</v>
      </c>
      <c r="N389" s="20">
        <f t="shared" si="97"/>
        <v>0</v>
      </c>
      <c r="O389" s="20">
        <v>0</v>
      </c>
      <c r="P389" s="21">
        <v>0</v>
      </c>
      <c r="Q389" s="20">
        <f t="shared" si="98"/>
        <v>0</v>
      </c>
      <c r="R389" s="20">
        <v>0</v>
      </c>
      <c r="S389" s="22">
        <v>0</v>
      </c>
      <c r="T389" s="20">
        <f t="shared" si="99"/>
        <v>0</v>
      </c>
      <c r="U389" s="20">
        <v>0</v>
      </c>
      <c r="V389" s="21">
        <v>0</v>
      </c>
      <c r="W389" s="20">
        <f t="shared" si="100"/>
        <v>0</v>
      </c>
      <c r="X389" s="20">
        <v>0</v>
      </c>
      <c r="Y389" s="22">
        <v>0</v>
      </c>
      <c r="Z389" s="20">
        <f t="shared" si="101"/>
        <v>0</v>
      </c>
      <c r="AA389" s="20">
        <v>0</v>
      </c>
      <c r="AB389" s="22">
        <v>0</v>
      </c>
      <c r="AC389" s="20">
        <f t="shared" si="102"/>
        <v>0</v>
      </c>
      <c r="AD389" s="20">
        <v>0</v>
      </c>
      <c r="AE389" s="22">
        <v>0</v>
      </c>
      <c r="AF389" s="20">
        <f t="shared" si="103"/>
        <v>0</v>
      </c>
      <c r="AG389" s="20">
        <v>0</v>
      </c>
      <c r="AH389" s="21">
        <v>0</v>
      </c>
      <c r="AI389" s="20">
        <f t="shared" si="104"/>
        <v>0</v>
      </c>
      <c r="AJ389" s="20">
        <v>55</v>
      </c>
      <c r="AK389" s="21">
        <v>2.5</v>
      </c>
      <c r="AL389" s="20">
        <f t="shared" si="105"/>
        <v>57.5</v>
      </c>
      <c r="AM389" s="20">
        <v>10</v>
      </c>
      <c r="AN389" s="21">
        <v>0</v>
      </c>
      <c r="AO389" s="20">
        <f t="shared" si="106"/>
        <v>10</v>
      </c>
      <c r="AP389" s="21">
        <v>0</v>
      </c>
      <c r="AQ389" s="20">
        <v>0</v>
      </c>
      <c r="AR389" s="20">
        <f t="shared" si="107"/>
        <v>0</v>
      </c>
      <c r="AS389" s="20">
        <v>0</v>
      </c>
      <c r="AT389" s="21">
        <v>0</v>
      </c>
      <c r="AU389" s="20">
        <f t="shared" si="108"/>
        <v>0</v>
      </c>
      <c r="AV389" s="23">
        <f t="shared" si="109"/>
        <v>65</v>
      </c>
      <c r="AW389" s="22">
        <f t="shared" si="110"/>
        <v>2.5</v>
      </c>
      <c r="AX389" s="20">
        <f t="shared" si="111"/>
        <v>67.5</v>
      </c>
      <c r="AY389" s="28" t="s">
        <v>478</v>
      </c>
      <c r="AZ389" s="28" t="s">
        <v>478</v>
      </c>
      <c r="BA389" s="28" t="s">
        <v>352</v>
      </c>
      <c r="BB389" s="29">
        <v>44525</v>
      </c>
    </row>
    <row r="390" spans="1:54" hidden="1">
      <c r="A390" s="28" t="str">
        <f t="shared" si="96"/>
        <v>817136205225</v>
      </c>
      <c r="B390" s="30">
        <v>817136</v>
      </c>
      <c r="C390" s="30" t="s">
        <v>484</v>
      </c>
      <c r="D390" s="28">
        <v>205225</v>
      </c>
      <c r="E390" s="28" t="s">
        <v>46</v>
      </c>
      <c r="F390" s="28"/>
      <c r="G390" s="28"/>
      <c r="H390" s="28"/>
      <c r="I390" s="28"/>
      <c r="J390" s="28"/>
      <c r="K390" s="28"/>
      <c r="L390" s="20">
        <v>0</v>
      </c>
      <c r="M390" s="21">
        <v>0</v>
      </c>
      <c r="N390" s="20">
        <f t="shared" si="97"/>
        <v>0</v>
      </c>
      <c r="O390" s="20">
        <v>0</v>
      </c>
      <c r="P390" s="21">
        <v>0</v>
      </c>
      <c r="Q390" s="20">
        <f t="shared" si="98"/>
        <v>0</v>
      </c>
      <c r="R390" s="20">
        <v>0</v>
      </c>
      <c r="S390" s="22">
        <v>0</v>
      </c>
      <c r="T390" s="20">
        <f t="shared" si="99"/>
        <v>0</v>
      </c>
      <c r="U390" s="20">
        <v>0</v>
      </c>
      <c r="V390" s="21">
        <v>0</v>
      </c>
      <c r="W390" s="20">
        <f t="shared" si="100"/>
        <v>0</v>
      </c>
      <c r="X390" s="20">
        <v>0</v>
      </c>
      <c r="Y390" s="22">
        <v>0</v>
      </c>
      <c r="Z390" s="20">
        <f t="shared" si="101"/>
        <v>0</v>
      </c>
      <c r="AA390" s="20">
        <v>0</v>
      </c>
      <c r="AB390" s="22">
        <v>0</v>
      </c>
      <c r="AC390" s="20">
        <f t="shared" si="102"/>
        <v>0</v>
      </c>
      <c r="AD390" s="20">
        <v>0</v>
      </c>
      <c r="AE390" s="22">
        <v>0</v>
      </c>
      <c r="AF390" s="20">
        <f t="shared" si="103"/>
        <v>0</v>
      </c>
      <c r="AG390" s="20">
        <v>43</v>
      </c>
      <c r="AH390" s="21">
        <v>0</v>
      </c>
      <c r="AI390" s="20">
        <f t="shared" si="104"/>
        <v>43</v>
      </c>
      <c r="AJ390" s="20">
        <v>203.25</v>
      </c>
      <c r="AK390" s="21">
        <v>0</v>
      </c>
      <c r="AL390" s="20">
        <f t="shared" si="105"/>
        <v>203.25</v>
      </c>
      <c r="AM390" s="20">
        <v>197</v>
      </c>
      <c r="AN390" s="21">
        <v>14</v>
      </c>
      <c r="AO390" s="20">
        <f t="shared" si="106"/>
        <v>211</v>
      </c>
      <c r="AP390" s="21">
        <v>181</v>
      </c>
      <c r="AQ390" s="20">
        <v>0</v>
      </c>
      <c r="AR390" s="20">
        <f t="shared" si="107"/>
        <v>181</v>
      </c>
      <c r="AS390" s="20">
        <v>370.1</v>
      </c>
      <c r="AT390" s="21">
        <v>2.5</v>
      </c>
      <c r="AU390" s="20">
        <f t="shared" si="108"/>
        <v>372.6</v>
      </c>
      <c r="AV390" s="23">
        <f t="shared" si="109"/>
        <v>994.35</v>
      </c>
      <c r="AW390" s="22">
        <f t="shared" si="110"/>
        <v>16.5</v>
      </c>
      <c r="AX390" s="20">
        <f t="shared" si="111"/>
        <v>1010.85</v>
      </c>
      <c r="AY390" s="28" t="s">
        <v>478</v>
      </c>
      <c r="AZ390" s="28" t="s">
        <v>478</v>
      </c>
      <c r="BA390" s="28" t="s">
        <v>352</v>
      </c>
      <c r="BB390" s="29">
        <v>44526</v>
      </c>
    </row>
    <row r="391" spans="1:54" hidden="1">
      <c r="A391" s="28" t="str">
        <f t="shared" si="96"/>
        <v>817152144868</v>
      </c>
      <c r="B391" s="30">
        <v>817152</v>
      </c>
      <c r="C391" s="30" t="s">
        <v>490</v>
      </c>
      <c r="D391" s="28">
        <v>144868</v>
      </c>
      <c r="E391" s="28" t="s">
        <v>188</v>
      </c>
      <c r="F391" s="28"/>
      <c r="G391" s="28"/>
      <c r="H391" s="28"/>
      <c r="I391" s="28"/>
      <c r="J391" s="28"/>
      <c r="K391" s="28"/>
      <c r="L391" s="20">
        <v>0</v>
      </c>
      <c r="M391" s="21">
        <v>0</v>
      </c>
      <c r="N391" s="20">
        <f t="shared" si="97"/>
        <v>0</v>
      </c>
      <c r="O391" s="20">
        <v>0</v>
      </c>
      <c r="P391" s="21">
        <v>0</v>
      </c>
      <c r="Q391" s="20">
        <f t="shared" si="98"/>
        <v>0</v>
      </c>
      <c r="R391" s="20">
        <v>0</v>
      </c>
      <c r="S391" s="22">
        <v>0</v>
      </c>
      <c r="T391" s="20">
        <f t="shared" si="99"/>
        <v>0</v>
      </c>
      <c r="U391" s="20">
        <v>0</v>
      </c>
      <c r="V391" s="21">
        <v>0</v>
      </c>
      <c r="W391" s="20">
        <f t="shared" si="100"/>
        <v>0</v>
      </c>
      <c r="X391" s="20">
        <v>0</v>
      </c>
      <c r="Y391" s="22">
        <v>0</v>
      </c>
      <c r="Z391" s="20">
        <f t="shared" si="101"/>
        <v>0</v>
      </c>
      <c r="AA391" s="20">
        <v>0</v>
      </c>
      <c r="AB391" s="22">
        <v>0</v>
      </c>
      <c r="AC391" s="20">
        <f t="shared" si="102"/>
        <v>0</v>
      </c>
      <c r="AD391" s="20">
        <v>0</v>
      </c>
      <c r="AE391" s="22">
        <v>0</v>
      </c>
      <c r="AF391" s="20">
        <f t="shared" si="103"/>
        <v>0</v>
      </c>
      <c r="AG391" s="20">
        <v>0</v>
      </c>
      <c r="AH391" s="21">
        <v>0</v>
      </c>
      <c r="AI391" s="20">
        <f t="shared" si="104"/>
        <v>0</v>
      </c>
      <c r="AJ391" s="20">
        <v>62</v>
      </c>
      <c r="AK391" s="21">
        <v>0</v>
      </c>
      <c r="AL391" s="20">
        <f t="shared" si="105"/>
        <v>62</v>
      </c>
      <c r="AM391" s="20">
        <v>29</v>
      </c>
      <c r="AN391" s="21">
        <v>0</v>
      </c>
      <c r="AO391" s="20">
        <f t="shared" si="106"/>
        <v>29</v>
      </c>
      <c r="AP391" s="21">
        <v>27.5</v>
      </c>
      <c r="AQ391" s="20">
        <v>0</v>
      </c>
      <c r="AR391" s="20">
        <f t="shared" si="107"/>
        <v>27.5</v>
      </c>
      <c r="AS391" s="20">
        <v>37.5</v>
      </c>
      <c r="AT391" s="21">
        <v>0</v>
      </c>
      <c r="AU391" s="20">
        <f t="shared" si="108"/>
        <v>37.5</v>
      </c>
      <c r="AV391" s="23">
        <f t="shared" si="109"/>
        <v>156</v>
      </c>
      <c r="AW391" s="22">
        <f t="shared" si="110"/>
        <v>0</v>
      </c>
      <c r="AX391" s="20">
        <f t="shared" si="111"/>
        <v>156</v>
      </c>
      <c r="AY391" s="28" t="s">
        <v>478</v>
      </c>
      <c r="AZ391" s="28" t="s">
        <v>478</v>
      </c>
      <c r="BA391" s="28" t="s">
        <v>352</v>
      </c>
      <c r="BB391" s="29">
        <v>44527</v>
      </c>
    </row>
    <row r="392" spans="1:54" hidden="1">
      <c r="A392" s="28" t="str">
        <f t="shared" si="96"/>
        <v>817153119261</v>
      </c>
      <c r="B392" s="30">
        <v>817153</v>
      </c>
      <c r="C392" s="30" t="s">
        <v>491</v>
      </c>
      <c r="D392" s="28">
        <v>119261</v>
      </c>
      <c r="E392" s="28" t="s">
        <v>170</v>
      </c>
      <c r="F392" s="28"/>
      <c r="G392" s="28"/>
      <c r="H392" s="28"/>
      <c r="I392" s="28"/>
      <c r="J392" s="28"/>
      <c r="K392" s="28"/>
      <c r="L392" s="20">
        <v>0</v>
      </c>
      <c r="M392" s="21">
        <v>0</v>
      </c>
      <c r="N392" s="20">
        <f t="shared" si="97"/>
        <v>0</v>
      </c>
      <c r="O392" s="20">
        <v>0</v>
      </c>
      <c r="P392" s="21">
        <v>0</v>
      </c>
      <c r="Q392" s="20">
        <f t="shared" si="98"/>
        <v>0</v>
      </c>
      <c r="R392" s="20">
        <v>0</v>
      </c>
      <c r="S392" s="22">
        <v>0</v>
      </c>
      <c r="T392" s="20">
        <f t="shared" si="99"/>
        <v>0</v>
      </c>
      <c r="U392" s="20">
        <v>0</v>
      </c>
      <c r="V392" s="21">
        <v>0</v>
      </c>
      <c r="W392" s="20">
        <f t="shared" si="100"/>
        <v>0</v>
      </c>
      <c r="X392" s="20">
        <v>0</v>
      </c>
      <c r="Y392" s="22">
        <v>0</v>
      </c>
      <c r="Z392" s="20">
        <f t="shared" si="101"/>
        <v>0</v>
      </c>
      <c r="AA392" s="20">
        <v>0</v>
      </c>
      <c r="AB392" s="22">
        <v>0</v>
      </c>
      <c r="AC392" s="20">
        <f t="shared" si="102"/>
        <v>0</v>
      </c>
      <c r="AD392" s="20">
        <v>0</v>
      </c>
      <c r="AE392" s="22">
        <v>0</v>
      </c>
      <c r="AF392" s="20">
        <f t="shared" si="103"/>
        <v>0</v>
      </c>
      <c r="AG392" s="20">
        <v>0</v>
      </c>
      <c r="AH392" s="21">
        <v>0</v>
      </c>
      <c r="AI392" s="20">
        <f t="shared" si="104"/>
        <v>0</v>
      </c>
      <c r="AJ392" s="20">
        <v>21</v>
      </c>
      <c r="AK392" s="21">
        <v>0</v>
      </c>
      <c r="AL392" s="20">
        <f t="shared" si="105"/>
        <v>21</v>
      </c>
      <c r="AM392" s="20">
        <v>20</v>
      </c>
      <c r="AN392" s="21">
        <v>0</v>
      </c>
      <c r="AO392" s="20">
        <f t="shared" si="106"/>
        <v>20</v>
      </c>
      <c r="AP392" s="21">
        <v>0</v>
      </c>
      <c r="AQ392" s="20">
        <v>0</v>
      </c>
      <c r="AR392" s="20">
        <f t="shared" si="107"/>
        <v>0</v>
      </c>
      <c r="AS392" s="20">
        <v>0</v>
      </c>
      <c r="AT392" s="21">
        <v>0</v>
      </c>
      <c r="AU392" s="20">
        <f t="shared" si="108"/>
        <v>0</v>
      </c>
      <c r="AV392" s="23">
        <f t="shared" si="109"/>
        <v>41</v>
      </c>
      <c r="AW392" s="22">
        <f t="shared" si="110"/>
        <v>0</v>
      </c>
      <c r="AX392" s="20">
        <f t="shared" si="111"/>
        <v>41</v>
      </c>
      <c r="AY392" s="28" t="s">
        <v>478</v>
      </c>
      <c r="AZ392" s="28" t="s">
        <v>478</v>
      </c>
      <c r="BA392" s="28" t="s">
        <v>352</v>
      </c>
      <c r="BB392" s="29">
        <v>44527</v>
      </c>
    </row>
    <row r="393" spans="1:54" hidden="1">
      <c r="A393" s="28" t="str">
        <f t="shared" si="96"/>
        <v>817189119261</v>
      </c>
      <c r="B393" s="30">
        <v>817189</v>
      </c>
      <c r="C393" s="30" t="s">
        <v>493</v>
      </c>
      <c r="D393" s="28">
        <v>119261</v>
      </c>
      <c r="E393" s="28" t="s">
        <v>170</v>
      </c>
      <c r="F393" s="28"/>
      <c r="G393" s="28"/>
      <c r="H393" s="28"/>
      <c r="I393" s="28"/>
      <c r="J393" s="28"/>
      <c r="K393" s="28"/>
      <c r="L393" s="20">
        <v>0</v>
      </c>
      <c r="M393" s="21">
        <v>0</v>
      </c>
      <c r="N393" s="20">
        <f t="shared" si="97"/>
        <v>0</v>
      </c>
      <c r="O393" s="20">
        <v>0</v>
      </c>
      <c r="P393" s="21">
        <v>0</v>
      </c>
      <c r="Q393" s="20">
        <f t="shared" si="98"/>
        <v>0</v>
      </c>
      <c r="R393" s="20">
        <v>0</v>
      </c>
      <c r="S393" s="22">
        <v>0</v>
      </c>
      <c r="T393" s="20">
        <f t="shared" si="99"/>
        <v>0</v>
      </c>
      <c r="U393" s="20">
        <v>0</v>
      </c>
      <c r="V393" s="21">
        <v>0</v>
      </c>
      <c r="W393" s="20">
        <f t="shared" si="100"/>
        <v>0</v>
      </c>
      <c r="X393" s="20">
        <v>0</v>
      </c>
      <c r="Y393" s="22">
        <v>0</v>
      </c>
      <c r="Z393" s="20">
        <f t="shared" si="101"/>
        <v>0</v>
      </c>
      <c r="AA393" s="20">
        <v>0</v>
      </c>
      <c r="AB393" s="22">
        <v>0</v>
      </c>
      <c r="AC393" s="20">
        <f t="shared" si="102"/>
        <v>0</v>
      </c>
      <c r="AD393" s="20">
        <v>0</v>
      </c>
      <c r="AE393" s="22">
        <v>0</v>
      </c>
      <c r="AF393" s="20">
        <f t="shared" si="103"/>
        <v>0</v>
      </c>
      <c r="AG393" s="20">
        <v>0</v>
      </c>
      <c r="AH393" s="21">
        <v>0</v>
      </c>
      <c r="AI393" s="20">
        <f t="shared" si="104"/>
        <v>0</v>
      </c>
      <c r="AJ393" s="20">
        <v>100</v>
      </c>
      <c r="AK393" s="21">
        <v>0</v>
      </c>
      <c r="AL393" s="20">
        <f t="shared" si="105"/>
        <v>100</v>
      </c>
      <c r="AM393" s="20">
        <v>120</v>
      </c>
      <c r="AN393" s="21">
        <v>0</v>
      </c>
      <c r="AO393" s="20">
        <f t="shared" si="106"/>
        <v>120</v>
      </c>
      <c r="AP393" s="21">
        <v>0</v>
      </c>
      <c r="AQ393" s="20">
        <v>0</v>
      </c>
      <c r="AR393" s="20">
        <f t="shared" si="107"/>
        <v>0</v>
      </c>
      <c r="AS393" s="20">
        <v>182</v>
      </c>
      <c r="AT393" s="21">
        <v>0</v>
      </c>
      <c r="AU393" s="20">
        <f t="shared" si="108"/>
        <v>182</v>
      </c>
      <c r="AV393" s="23">
        <f t="shared" si="109"/>
        <v>402</v>
      </c>
      <c r="AW393" s="22">
        <f t="shared" si="110"/>
        <v>0</v>
      </c>
      <c r="AX393" s="20">
        <f t="shared" si="111"/>
        <v>402</v>
      </c>
      <c r="AY393" s="28" t="s">
        <v>478</v>
      </c>
      <c r="AZ393" s="28" t="s">
        <v>478</v>
      </c>
      <c r="BA393" s="28" t="s">
        <v>352</v>
      </c>
      <c r="BB393" s="29">
        <v>44532</v>
      </c>
    </row>
    <row r="394" spans="1:54" hidden="1">
      <c r="A394" s="28" t="str">
        <f t="shared" si="96"/>
        <v>817320178105</v>
      </c>
      <c r="B394" s="30">
        <v>817320</v>
      </c>
      <c r="C394" s="30" t="s">
        <v>495</v>
      </c>
      <c r="D394" s="28">
        <v>178105</v>
      </c>
      <c r="E394" s="28" t="s">
        <v>94</v>
      </c>
      <c r="F394" s="28"/>
      <c r="G394" s="28"/>
      <c r="H394" s="28"/>
      <c r="I394" s="28"/>
      <c r="J394" s="28"/>
      <c r="K394" s="28"/>
      <c r="L394" s="20">
        <v>0</v>
      </c>
      <c r="M394" s="21">
        <v>0</v>
      </c>
      <c r="N394" s="20">
        <f t="shared" si="97"/>
        <v>0</v>
      </c>
      <c r="O394" s="20">
        <v>0</v>
      </c>
      <c r="P394" s="21">
        <v>0</v>
      </c>
      <c r="Q394" s="20">
        <f t="shared" si="98"/>
        <v>0</v>
      </c>
      <c r="R394" s="20">
        <v>0</v>
      </c>
      <c r="S394" s="22">
        <v>0</v>
      </c>
      <c r="T394" s="20">
        <f t="shared" si="99"/>
        <v>0</v>
      </c>
      <c r="U394" s="20">
        <v>0</v>
      </c>
      <c r="V394" s="21">
        <v>0</v>
      </c>
      <c r="W394" s="20">
        <f t="shared" si="100"/>
        <v>0</v>
      </c>
      <c r="X394" s="20">
        <v>0</v>
      </c>
      <c r="Y394" s="22">
        <v>0</v>
      </c>
      <c r="Z394" s="20">
        <f t="shared" si="101"/>
        <v>0</v>
      </c>
      <c r="AA394" s="20">
        <v>0</v>
      </c>
      <c r="AB394" s="22">
        <v>0</v>
      </c>
      <c r="AC394" s="20">
        <f t="shared" si="102"/>
        <v>0</v>
      </c>
      <c r="AD394" s="20">
        <v>0</v>
      </c>
      <c r="AE394" s="22">
        <v>0</v>
      </c>
      <c r="AF394" s="20">
        <f t="shared" si="103"/>
        <v>0</v>
      </c>
      <c r="AG394" s="20">
        <v>0</v>
      </c>
      <c r="AH394" s="21">
        <v>0</v>
      </c>
      <c r="AI394" s="20">
        <f t="shared" si="104"/>
        <v>0</v>
      </c>
      <c r="AJ394" s="20">
        <v>40.5</v>
      </c>
      <c r="AK394" s="21">
        <v>10</v>
      </c>
      <c r="AL394" s="20">
        <f t="shared" si="105"/>
        <v>50.5</v>
      </c>
      <c r="AM394" s="20">
        <v>56</v>
      </c>
      <c r="AN394" s="21">
        <v>7.5</v>
      </c>
      <c r="AO394" s="20">
        <f t="shared" si="106"/>
        <v>63.5</v>
      </c>
      <c r="AP394" s="21">
        <v>87.5</v>
      </c>
      <c r="AQ394" s="20">
        <v>5.5</v>
      </c>
      <c r="AR394" s="20">
        <f t="shared" si="107"/>
        <v>93</v>
      </c>
      <c r="AS394" s="20">
        <v>96</v>
      </c>
      <c r="AT394" s="21">
        <v>0</v>
      </c>
      <c r="AU394" s="20">
        <f t="shared" si="108"/>
        <v>96</v>
      </c>
      <c r="AV394" s="23">
        <f t="shared" si="109"/>
        <v>280</v>
      </c>
      <c r="AW394" s="22">
        <f t="shared" si="110"/>
        <v>23</v>
      </c>
      <c r="AX394" s="20">
        <f t="shared" si="111"/>
        <v>303</v>
      </c>
      <c r="AY394" s="28" t="s">
        <v>478</v>
      </c>
      <c r="AZ394" s="28" t="s">
        <v>478</v>
      </c>
      <c r="BA394" s="28" t="s">
        <v>352</v>
      </c>
      <c r="BB394" s="29">
        <v>44545</v>
      </c>
    </row>
    <row r="395" spans="1:54" hidden="1">
      <c r="A395" s="28" t="str">
        <f t="shared" si="96"/>
        <v>817342179396</v>
      </c>
      <c r="B395" s="30">
        <v>817342</v>
      </c>
      <c r="C395" s="30" t="s">
        <v>511</v>
      </c>
      <c r="D395" s="28">
        <v>179396</v>
      </c>
      <c r="E395" s="28" t="s">
        <v>512</v>
      </c>
      <c r="F395" s="28"/>
      <c r="G395" s="28"/>
      <c r="H395" s="28"/>
      <c r="I395" s="28"/>
      <c r="J395" s="28"/>
      <c r="K395" s="28"/>
      <c r="L395" s="20">
        <v>0</v>
      </c>
      <c r="M395" s="21">
        <v>0</v>
      </c>
      <c r="N395" s="20">
        <f t="shared" si="97"/>
        <v>0</v>
      </c>
      <c r="O395" s="20">
        <v>0</v>
      </c>
      <c r="P395" s="21">
        <v>0</v>
      </c>
      <c r="Q395" s="20">
        <f t="shared" si="98"/>
        <v>0</v>
      </c>
      <c r="R395" s="20">
        <v>0</v>
      </c>
      <c r="S395" s="22">
        <v>0</v>
      </c>
      <c r="T395" s="20">
        <f t="shared" si="99"/>
        <v>0</v>
      </c>
      <c r="U395" s="20">
        <v>0</v>
      </c>
      <c r="V395" s="21">
        <v>0</v>
      </c>
      <c r="W395" s="20">
        <f t="shared" si="100"/>
        <v>0</v>
      </c>
      <c r="X395" s="20">
        <v>0</v>
      </c>
      <c r="Y395" s="22">
        <v>0</v>
      </c>
      <c r="Z395" s="20">
        <f t="shared" si="101"/>
        <v>0</v>
      </c>
      <c r="AA395" s="20">
        <v>0</v>
      </c>
      <c r="AB395" s="22">
        <v>0</v>
      </c>
      <c r="AC395" s="20">
        <f t="shared" si="102"/>
        <v>0</v>
      </c>
      <c r="AD395" s="20">
        <v>0</v>
      </c>
      <c r="AE395" s="22">
        <v>0</v>
      </c>
      <c r="AF395" s="20">
        <f t="shared" si="103"/>
        <v>0</v>
      </c>
      <c r="AG395" s="20">
        <v>0</v>
      </c>
      <c r="AH395" s="21">
        <v>0</v>
      </c>
      <c r="AI395" s="20">
        <f t="shared" si="104"/>
        <v>0</v>
      </c>
      <c r="AJ395" s="20">
        <v>11.25</v>
      </c>
      <c r="AK395" s="21">
        <v>0</v>
      </c>
      <c r="AL395" s="20">
        <f t="shared" si="105"/>
        <v>11.25</v>
      </c>
      <c r="AM395" s="20">
        <v>8</v>
      </c>
      <c r="AN395" s="21">
        <v>0</v>
      </c>
      <c r="AO395" s="20">
        <f t="shared" si="106"/>
        <v>8</v>
      </c>
      <c r="AP395" s="21">
        <v>0</v>
      </c>
      <c r="AQ395" s="20">
        <v>0</v>
      </c>
      <c r="AR395" s="20">
        <f t="shared" si="107"/>
        <v>0</v>
      </c>
      <c r="AS395" s="20">
        <v>30</v>
      </c>
      <c r="AT395" s="21">
        <v>0</v>
      </c>
      <c r="AU395" s="20">
        <f t="shared" si="108"/>
        <v>30</v>
      </c>
      <c r="AV395" s="23">
        <f t="shared" si="109"/>
        <v>49.25</v>
      </c>
      <c r="AW395" s="22">
        <f t="shared" si="110"/>
        <v>0</v>
      </c>
      <c r="AX395" s="20">
        <f t="shared" si="111"/>
        <v>49.25</v>
      </c>
      <c r="AY395" s="28" t="s">
        <v>478</v>
      </c>
      <c r="AZ395" s="28" t="s">
        <v>478</v>
      </c>
      <c r="BA395" s="28" t="s">
        <v>352</v>
      </c>
      <c r="BB395" s="29">
        <v>44546</v>
      </c>
    </row>
    <row r="396" spans="1:54" hidden="1">
      <c r="A396" s="28" t="str">
        <f t="shared" si="96"/>
        <v>817343149825</v>
      </c>
      <c r="B396" s="30">
        <v>817343</v>
      </c>
      <c r="C396" s="30" t="s">
        <v>513</v>
      </c>
      <c r="D396" s="28">
        <v>149825</v>
      </c>
      <c r="E396" s="28" t="s">
        <v>263</v>
      </c>
      <c r="F396" s="28"/>
      <c r="G396" s="28"/>
      <c r="H396" s="28"/>
      <c r="I396" s="28"/>
      <c r="J396" s="28"/>
      <c r="K396" s="28"/>
      <c r="L396" s="20">
        <v>0</v>
      </c>
      <c r="M396" s="21">
        <v>0</v>
      </c>
      <c r="N396" s="20">
        <f t="shared" si="97"/>
        <v>0</v>
      </c>
      <c r="O396" s="20">
        <v>0</v>
      </c>
      <c r="P396" s="21">
        <v>0</v>
      </c>
      <c r="Q396" s="20">
        <f t="shared" si="98"/>
        <v>0</v>
      </c>
      <c r="R396" s="20">
        <v>0</v>
      </c>
      <c r="S396" s="22">
        <v>0</v>
      </c>
      <c r="T396" s="20">
        <f t="shared" si="99"/>
        <v>0</v>
      </c>
      <c r="U396" s="20">
        <v>0</v>
      </c>
      <c r="V396" s="21">
        <v>0</v>
      </c>
      <c r="W396" s="20">
        <f t="shared" si="100"/>
        <v>0</v>
      </c>
      <c r="X396" s="20">
        <v>0</v>
      </c>
      <c r="Y396" s="22">
        <v>0</v>
      </c>
      <c r="Z396" s="20">
        <f t="shared" si="101"/>
        <v>0</v>
      </c>
      <c r="AA396" s="20">
        <v>0</v>
      </c>
      <c r="AB396" s="22">
        <v>0</v>
      </c>
      <c r="AC396" s="20">
        <f t="shared" si="102"/>
        <v>0</v>
      </c>
      <c r="AD396" s="20">
        <v>0</v>
      </c>
      <c r="AE396" s="22">
        <v>0</v>
      </c>
      <c r="AF396" s="20">
        <f t="shared" si="103"/>
        <v>0</v>
      </c>
      <c r="AG396" s="20">
        <v>0</v>
      </c>
      <c r="AH396" s="21">
        <v>0</v>
      </c>
      <c r="AI396" s="20">
        <f t="shared" si="104"/>
        <v>0</v>
      </c>
      <c r="AJ396" s="20">
        <v>15</v>
      </c>
      <c r="AK396" s="21">
        <v>0</v>
      </c>
      <c r="AL396" s="20">
        <f t="shared" si="105"/>
        <v>15</v>
      </c>
      <c r="AM396" s="20">
        <v>0</v>
      </c>
      <c r="AN396" s="21">
        <v>0</v>
      </c>
      <c r="AO396" s="20">
        <f t="shared" si="106"/>
        <v>0</v>
      </c>
      <c r="AP396" s="21">
        <v>0</v>
      </c>
      <c r="AQ396" s="20">
        <v>0</v>
      </c>
      <c r="AR396" s="20">
        <f t="shared" si="107"/>
        <v>0</v>
      </c>
      <c r="AS396" s="20">
        <v>0</v>
      </c>
      <c r="AT396" s="21">
        <v>0</v>
      </c>
      <c r="AU396" s="20">
        <f t="shared" si="108"/>
        <v>0</v>
      </c>
      <c r="AV396" s="23">
        <f t="shared" si="109"/>
        <v>15</v>
      </c>
      <c r="AW396" s="22">
        <f t="shared" si="110"/>
        <v>0</v>
      </c>
      <c r="AX396" s="20">
        <f t="shared" si="111"/>
        <v>15</v>
      </c>
      <c r="AY396" s="28" t="s">
        <v>478</v>
      </c>
      <c r="AZ396" s="28" t="s">
        <v>478</v>
      </c>
      <c r="BA396" s="28" t="s">
        <v>352</v>
      </c>
      <c r="BB396" s="29">
        <v>44546</v>
      </c>
    </row>
    <row r="397" spans="1:54" hidden="1">
      <c r="A397" s="28" t="str">
        <f t="shared" si="96"/>
        <v>817377178105</v>
      </c>
      <c r="B397" s="30">
        <v>817377</v>
      </c>
      <c r="C397" s="30" t="s">
        <v>191</v>
      </c>
      <c r="D397" s="28">
        <v>178105</v>
      </c>
      <c r="E397" s="28" t="s">
        <v>94</v>
      </c>
      <c r="F397" s="28"/>
      <c r="G397" s="28"/>
      <c r="H397" s="28"/>
      <c r="I397" s="28"/>
      <c r="J397" s="28"/>
      <c r="K397" s="28"/>
      <c r="L397" s="20">
        <v>0</v>
      </c>
      <c r="M397" s="21">
        <v>0</v>
      </c>
      <c r="N397" s="20">
        <f t="shared" si="97"/>
        <v>0</v>
      </c>
      <c r="O397" s="20">
        <v>0</v>
      </c>
      <c r="P397" s="21">
        <v>0</v>
      </c>
      <c r="Q397" s="20">
        <f t="shared" si="98"/>
        <v>0</v>
      </c>
      <c r="R397" s="20">
        <v>0</v>
      </c>
      <c r="S397" s="22">
        <v>0</v>
      </c>
      <c r="T397" s="20">
        <f t="shared" si="99"/>
        <v>0</v>
      </c>
      <c r="U397" s="20">
        <v>0</v>
      </c>
      <c r="V397" s="21">
        <v>0</v>
      </c>
      <c r="W397" s="20">
        <f t="shared" si="100"/>
        <v>0</v>
      </c>
      <c r="X397" s="20">
        <v>0</v>
      </c>
      <c r="Y397" s="22">
        <v>0</v>
      </c>
      <c r="Z397" s="20">
        <f t="shared" si="101"/>
        <v>0</v>
      </c>
      <c r="AA397" s="20">
        <v>0</v>
      </c>
      <c r="AB397" s="22">
        <v>0</v>
      </c>
      <c r="AC397" s="20">
        <f t="shared" si="102"/>
        <v>0</v>
      </c>
      <c r="AD397" s="20">
        <v>0</v>
      </c>
      <c r="AE397" s="22">
        <v>0</v>
      </c>
      <c r="AF397" s="20">
        <f t="shared" si="103"/>
        <v>0</v>
      </c>
      <c r="AG397" s="20">
        <v>0</v>
      </c>
      <c r="AH397" s="21">
        <v>0</v>
      </c>
      <c r="AI397" s="20">
        <f t="shared" si="104"/>
        <v>0</v>
      </c>
      <c r="AJ397" s="20">
        <v>39.5</v>
      </c>
      <c r="AK397" s="21">
        <v>0</v>
      </c>
      <c r="AL397" s="20">
        <f t="shared" si="105"/>
        <v>39.5</v>
      </c>
      <c r="AM397" s="20">
        <v>66</v>
      </c>
      <c r="AN397" s="21">
        <v>0</v>
      </c>
      <c r="AO397" s="20">
        <f t="shared" si="106"/>
        <v>66</v>
      </c>
      <c r="AP397" s="21">
        <v>23</v>
      </c>
      <c r="AQ397" s="20">
        <v>0</v>
      </c>
      <c r="AR397" s="20">
        <f t="shared" si="107"/>
        <v>23</v>
      </c>
      <c r="AS397" s="20">
        <v>48.5</v>
      </c>
      <c r="AT397" s="21">
        <v>0</v>
      </c>
      <c r="AU397" s="20">
        <f t="shared" si="108"/>
        <v>48.5</v>
      </c>
      <c r="AV397" s="23">
        <f t="shared" si="109"/>
        <v>177</v>
      </c>
      <c r="AW397" s="22">
        <f t="shared" si="110"/>
        <v>0</v>
      </c>
      <c r="AX397" s="20">
        <f t="shared" si="111"/>
        <v>177</v>
      </c>
      <c r="AY397" s="28" t="s">
        <v>478</v>
      </c>
      <c r="AZ397" s="28" t="s">
        <v>478</v>
      </c>
      <c r="BA397" s="28" t="s">
        <v>352</v>
      </c>
      <c r="BB397" s="29">
        <v>44550</v>
      </c>
    </row>
    <row r="398" spans="1:54" hidden="1">
      <c r="A398" s="28" t="str">
        <f t="shared" si="96"/>
        <v>817382119065</v>
      </c>
      <c r="B398" s="30">
        <v>817382</v>
      </c>
      <c r="C398" s="30" t="s">
        <v>497</v>
      </c>
      <c r="D398" s="28">
        <v>119065</v>
      </c>
      <c r="E398" s="28" t="s">
        <v>421</v>
      </c>
      <c r="F398" s="28"/>
      <c r="G398" s="28"/>
      <c r="H398" s="28"/>
      <c r="I398" s="28"/>
      <c r="J398" s="28"/>
      <c r="K398" s="28"/>
      <c r="L398" s="20">
        <v>0</v>
      </c>
      <c r="M398" s="21">
        <v>0</v>
      </c>
      <c r="N398" s="20">
        <f t="shared" si="97"/>
        <v>0</v>
      </c>
      <c r="O398" s="20">
        <v>0</v>
      </c>
      <c r="P398" s="21">
        <v>0</v>
      </c>
      <c r="Q398" s="20">
        <f t="shared" si="98"/>
        <v>0</v>
      </c>
      <c r="R398" s="20">
        <v>0</v>
      </c>
      <c r="S398" s="22">
        <v>0</v>
      </c>
      <c r="T398" s="20">
        <f t="shared" si="99"/>
        <v>0</v>
      </c>
      <c r="U398" s="20">
        <v>0</v>
      </c>
      <c r="V398" s="21">
        <v>0</v>
      </c>
      <c r="W398" s="20">
        <f t="shared" si="100"/>
        <v>0</v>
      </c>
      <c r="X398" s="20">
        <v>0</v>
      </c>
      <c r="Y398" s="22">
        <v>0</v>
      </c>
      <c r="Z398" s="20">
        <f t="shared" si="101"/>
        <v>0</v>
      </c>
      <c r="AA398" s="20">
        <v>0</v>
      </c>
      <c r="AB398" s="22">
        <v>0</v>
      </c>
      <c r="AC398" s="20">
        <f t="shared" si="102"/>
        <v>0</v>
      </c>
      <c r="AD398" s="20">
        <v>0</v>
      </c>
      <c r="AE398" s="22">
        <v>0</v>
      </c>
      <c r="AF398" s="20">
        <f t="shared" si="103"/>
        <v>0</v>
      </c>
      <c r="AG398" s="20">
        <v>0</v>
      </c>
      <c r="AH398" s="21">
        <v>0</v>
      </c>
      <c r="AI398" s="20">
        <f t="shared" si="104"/>
        <v>0</v>
      </c>
      <c r="AJ398" s="20">
        <v>0</v>
      </c>
      <c r="AK398" s="21">
        <v>0</v>
      </c>
      <c r="AL398" s="20">
        <f t="shared" si="105"/>
        <v>0</v>
      </c>
      <c r="AM398" s="20">
        <v>32.5</v>
      </c>
      <c r="AN398" s="21">
        <v>0</v>
      </c>
      <c r="AO398" s="20">
        <f t="shared" si="106"/>
        <v>32.5</v>
      </c>
      <c r="AP398" s="21">
        <v>27.5</v>
      </c>
      <c r="AQ398" s="20">
        <v>0</v>
      </c>
      <c r="AR398" s="20">
        <f t="shared" si="107"/>
        <v>27.5</v>
      </c>
      <c r="AS398" s="20">
        <v>37.5</v>
      </c>
      <c r="AT398" s="21">
        <v>0</v>
      </c>
      <c r="AU398" s="20">
        <f t="shared" si="108"/>
        <v>37.5</v>
      </c>
      <c r="AV398" s="23">
        <f t="shared" si="109"/>
        <v>97.5</v>
      </c>
      <c r="AW398" s="22">
        <f t="shared" si="110"/>
        <v>0</v>
      </c>
      <c r="AX398" s="20">
        <f t="shared" si="111"/>
        <v>97.5</v>
      </c>
      <c r="AY398" s="28" t="s">
        <v>478</v>
      </c>
      <c r="AZ398" s="28" t="s">
        <v>478</v>
      </c>
      <c r="BA398" s="28" t="s">
        <v>352</v>
      </c>
      <c r="BB398" s="29">
        <v>44550</v>
      </c>
    </row>
    <row r="399" spans="1:54" hidden="1">
      <c r="A399" s="28" t="str">
        <f t="shared" si="96"/>
        <v>817386179911</v>
      </c>
      <c r="B399" s="30">
        <v>817386</v>
      </c>
      <c r="C399" s="30" t="s">
        <v>498</v>
      </c>
      <c r="D399" s="28">
        <v>179911</v>
      </c>
      <c r="E399" s="28" t="s">
        <v>186</v>
      </c>
      <c r="F399" s="28"/>
      <c r="G399" s="28"/>
      <c r="H399" s="28"/>
      <c r="I399" s="28"/>
      <c r="J399" s="28"/>
      <c r="K399" s="28"/>
      <c r="L399" s="20">
        <v>0</v>
      </c>
      <c r="M399" s="21">
        <v>0</v>
      </c>
      <c r="N399" s="20">
        <f t="shared" si="97"/>
        <v>0</v>
      </c>
      <c r="O399" s="20">
        <v>0</v>
      </c>
      <c r="P399" s="21">
        <v>0</v>
      </c>
      <c r="Q399" s="20">
        <f t="shared" si="98"/>
        <v>0</v>
      </c>
      <c r="R399" s="20">
        <v>0</v>
      </c>
      <c r="S399" s="22">
        <v>0</v>
      </c>
      <c r="T399" s="20">
        <f t="shared" si="99"/>
        <v>0</v>
      </c>
      <c r="U399" s="20">
        <v>0</v>
      </c>
      <c r="V399" s="21">
        <v>0</v>
      </c>
      <c r="W399" s="20">
        <f t="shared" si="100"/>
        <v>0</v>
      </c>
      <c r="X399" s="20">
        <v>0</v>
      </c>
      <c r="Y399" s="22">
        <v>0</v>
      </c>
      <c r="Z399" s="20">
        <f t="shared" si="101"/>
        <v>0</v>
      </c>
      <c r="AA399" s="20">
        <v>0</v>
      </c>
      <c r="AB399" s="22">
        <v>0</v>
      </c>
      <c r="AC399" s="20">
        <f t="shared" si="102"/>
        <v>0</v>
      </c>
      <c r="AD399" s="20">
        <v>0</v>
      </c>
      <c r="AE399" s="22">
        <v>0</v>
      </c>
      <c r="AF399" s="20">
        <f t="shared" si="103"/>
        <v>0</v>
      </c>
      <c r="AG399" s="20">
        <v>0</v>
      </c>
      <c r="AH399" s="21">
        <v>0</v>
      </c>
      <c r="AI399" s="20">
        <f t="shared" si="104"/>
        <v>0</v>
      </c>
      <c r="AJ399" s="20">
        <v>15</v>
      </c>
      <c r="AK399" s="21">
        <v>0</v>
      </c>
      <c r="AL399" s="20">
        <f t="shared" si="105"/>
        <v>15</v>
      </c>
      <c r="AM399" s="20">
        <v>10</v>
      </c>
      <c r="AN399" s="21">
        <v>0</v>
      </c>
      <c r="AO399" s="20">
        <f t="shared" si="106"/>
        <v>10</v>
      </c>
      <c r="AP399" s="21">
        <v>0</v>
      </c>
      <c r="AQ399" s="20">
        <v>0</v>
      </c>
      <c r="AR399" s="20">
        <f t="shared" si="107"/>
        <v>0</v>
      </c>
      <c r="AS399" s="20">
        <v>20</v>
      </c>
      <c r="AT399" s="21">
        <v>0</v>
      </c>
      <c r="AU399" s="20">
        <f t="shared" si="108"/>
        <v>20</v>
      </c>
      <c r="AV399" s="23">
        <f t="shared" si="109"/>
        <v>45</v>
      </c>
      <c r="AW399" s="22">
        <f t="shared" si="110"/>
        <v>0</v>
      </c>
      <c r="AX399" s="20">
        <f t="shared" si="111"/>
        <v>45</v>
      </c>
      <c r="AY399" s="28" t="s">
        <v>478</v>
      </c>
      <c r="AZ399" s="28" t="s">
        <v>478</v>
      </c>
      <c r="BA399" s="28" t="s">
        <v>352</v>
      </c>
      <c r="BB399" s="29">
        <v>44550</v>
      </c>
    </row>
    <row r="400" spans="1:54" hidden="1">
      <c r="A400" s="28" t="str">
        <f t="shared" si="96"/>
        <v>817417119261</v>
      </c>
      <c r="B400" s="30">
        <v>817417</v>
      </c>
      <c r="C400" s="30" t="s">
        <v>499</v>
      </c>
      <c r="D400" s="28">
        <v>119261</v>
      </c>
      <c r="E400" s="28" t="s">
        <v>170</v>
      </c>
      <c r="F400" s="28"/>
      <c r="G400" s="28"/>
      <c r="H400" s="28"/>
      <c r="I400" s="28"/>
      <c r="J400" s="28"/>
      <c r="K400" s="28"/>
      <c r="L400" s="20">
        <v>0</v>
      </c>
      <c r="M400" s="21">
        <v>0</v>
      </c>
      <c r="N400" s="20">
        <f t="shared" si="97"/>
        <v>0</v>
      </c>
      <c r="O400" s="20">
        <v>0</v>
      </c>
      <c r="P400" s="21">
        <v>0</v>
      </c>
      <c r="Q400" s="20">
        <f t="shared" si="98"/>
        <v>0</v>
      </c>
      <c r="R400" s="20">
        <v>0</v>
      </c>
      <c r="S400" s="22">
        <v>0</v>
      </c>
      <c r="T400" s="20">
        <f t="shared" si="99"/>
        <v>0</v>
      </c>
      <c r="U400" s="20">
        <v>0</v>
      </c>
      <c r="V400" s="21">
        <v>0</v>
      </c>
      <c r="W400" s="20">
        <f t="shared" si="100"/>
        <v>0</v>
      </c>
      <c r="X400" s="20">
        <v>0</v>
      </c>
      <c r="Y400" s="22">
        <v>0</v>
      </c>
      <c r="Z400" s="20">
        <f t="shared" si="101"/>
        <v>0</v>
      </c>
      <c r="AA400" s="20">
        <v>0</v>
      </c>
      <c r="AB400" s="22">
        <v>0</v>
      </c>
      <c r="AC400" s="20">
        <f t="shared" si="102"/>
        <v>0</v>
      </c>
      <c r="AD400" s="20">
        <v>0</v>
      </c>
      <c r="AE400" s="22">
        <v>0</v>
      </c>
      <c r="AF400" s="20">
        <f t="shared" si="103"/>
        <v>0</v>
      </c>
      <c r="AG400" s="20">
        <v>0</v>
      </c>
      <c r="AH400" s="21">
        <v>0</v>
      </c>
      <c r="AI400" s="20">
        <f t="shared" si="104"/>
        <v>0</v>
      </c>
      <c r="AJ400" s="20">
        <v>20</v>
      </c>
      <c r="AK400" s="21">
        <v>0</v>
      </c>
      <c r="AL400" s="20">
        <f t="shared" si="105"/>
        <v>20</v>
      </c>
      <c r="AM400" s="20">
        <v>20.5</v>
      </c>
      <c r="AN400" s="21">
        <v>0</v>
      </c>
      <c r="AO400" s="20">
        <f t="shared" si="106"/>
        <v>20.5</v>
      </c>
      <c r="AP400" s="21">
        <v>0</v>
      </c>
      <c r="AQ400" s="20">
        <v>0</v>
      </c>
      <c r="AR400" s="20">
        <f t="shared" si="107"/>
        <v>0</v>
      </c>
      <c r="AS400" s="20">
        <v>0</v>
      </c>
      <c r="AT400" s="21">
        <v>0</v>
      </c>
      <c r="AU400" s="20">
        <f t="shared" si="108"/>
        <v>0</v>
      </c>
      <c r="AV400" s="23">
        <f t="shared" si="109"/>
        <v>40.5</v>
      </c>
      <c r="AW400" s="22">
        <f t="shared" si="110"/>
        <v>0</v>
      </c>
      <c r="AX400" s="20">
        <f t="shared" si="111"/>
        <v>40.5</v>
      </c>
      <c r="AY400" s="28" t="s">
        <v>478</v>
      </c>
      <c r="AZ400" s="28" t="s">
        <v>478</v>
      </c>
      <c r="BA400" s="28" t="s">
        <v>352</v>
      </c>
      <c r="BB400" s="29">
        <v>44552</v>
      </c>
    </row>
    <row r="401" spans="1:54" hidden="1">
      <c r="A401" s="28" t="str">
        <f t="shared" si="96"/>
        <v>817514119261</v>
      </c>
      <c r="B401" s="30">
        <v>817514</v>
      </c>
      <c r="C401" s="30" t="s">
        <v>287</v>
      </c>
      <c r="D401" s="28">
        <v>119261</v>
      </c>
      <c r="E401" s="28" t="s">
        <v>170</v>
      </c>
      <c r="F401" s="28"/>
      <c r="G401" s="28"/>
      <c r="H401" s="28"/>
      <c r="I401" s="28"/>
      <c r="J401" s="28"/>
      <c r="K401" s="28"/>
      <c r="L401" s="20">
        <v>0</v>
      </c>
      <c r="M401" s="21">
        <v>0</v>
      </c>
      <c r="N401" s="20">
        <f t="shared" si="97"/>
        <v>0</v>
      </c>
      <c r="O401" s="20">
        <v>0</v>
      </c>
      <c r="P401" s="21">
        <v>0</v>
      </c>
      <c r="Q401" s="20">
        <f t="shared" si="98"/>
        <v>0</v>
      </c>
      <c r="R401" s="20">
        <v>0</v>
      </c>
      <c r="S401" s="22">
        <v>0</v>
      </c>
      <c r="T401" s="20">
        <f t="shared" si="99"/>
        <v>0</v>
      </c>
      <c r="U401" s="20">
        <v>0</v>
      </c>
      <c r="V401" s="21">
        <v>0</v>
      </c>
      <c r="W401" s="20">
        <f t="shared" si="100"/>
        <v>0</v>
      </c>
      <c r="X401" s="20">
        <v>0</v>
      </c>
      <c r="Y401" s="22">
        <v>0</v>
      </c>
      <c r="Z401" s="20">
        <f t="shared" si="101"/>
        <v>0</v>
      </c>
      <c r="AA401" s="20">
        <v>0</v>
      </c>
      <c r="AB401" s="22">
        <v>0</v>
      </c>
      <c r="AC401" s="20">
        <f t="shared" si="102"/>
        <v>0</v>
      </c>
      <c r="AD401" s="20">
        <v>0</v>
      </c>
      <c r="AE401" s="22">
        <v>0</v>
      </c>
      <c r="AF401" s="20">
        <f t="shared" si="103"/>
        <v>0</v>
      </c>
      <c r="AG401" s="20">
        <v>0</v>
      </c>
      <c r="AH401" s="21">
        <v>0</v>
      </c>
      <c r="AI401" s="20">
        <f t="shared" si="104"/>
        <v>0</v>
      </c>
      <c r="AJ401" s="20">
        <v>0</v>
      </c>
      <c r="AK401" s="21">
        <v>0</v>
      </c>
      <c r="AL401" s="20">
        <f t="shared" si="105"/>
        <v>0</v>
      </c>
      <c r="AM401" s="20">
        <v>82</v>
      </c>
      <c r="AN401" s="21">
        <v>0</v>
      </c>
      <c r="AO401" s="20">
        <f t="shared" si="106"/>
        <v>82</v>
      </c>
      <c r="AP401" s="21">
        <v>100</v>
      </c>
      <c r="AQ401" s="20">
        <v>0</v>
      </c>
      <c r="AR401" s="20">
        <f t="shared" si="107"/>
        <v>100</v>
      </c>
      <c r="AS401" s="20">
        <v>50</v>
      </c>
      <c r="AT401" s="21">
        <v>0</v>
      </c>
      <c r="AU401" s="20">
        <f t="shared" si="108"/>
        <v>50</v>
      </c>
      <c r="AV401" s="23">
        <f t="shared" si="109"/>
        <v>232</v>
      </c>
      <c r="AW401" s="22">
        <f t="shared" si="110"/>
        <v>0</v>
      </c>
      <c r="AX401" s="20">
        <f t="shared" si="111"/>
        <v>232</v>
      </c>
      <c r="AY401" s="28" t="s">
        <v>478</v>
      </c>
      <c r="AZ401" s="28" t="s">
        <v>478</v>
      </c>
      <c r="BA401" s="28" t="s">
        <v>352</v>
      </c>
      <c r="BB401" s="29">
        <v>44558</v>
      </c>
    </row>
    <row r="402" spans="1:54" hidden="1">
      <c r="A402" s="28" t="str">
        <f t="shared" si="96"/>
        <v>817543210123</v>
      </c>
      <c r="B402" s="30">
        <v>817543</v>
      </c>
      <c r="C402" s="30" t="s">
        <v>500</v>
      </c>
      <c r="D402" s="28">
        <v>210123</v>
      </c>
      <c r="E402" s="28" t="s">
        <v>101</v>
      </c>
      <c r="F402" s="28"/>
      <c r="G402" s="28"/>
      <c r="H402" s="28"/>
      <c r="I402" s="28"/>
      <c r="J402" s="28"/>
      <c r="K402" s="28"/>
      <c r="L402" s="20">
        <v>0</v>
      </c>
      <c r="M402" s="21">
        <v>0</v>
      </c>
      <c r="N402" s="20">
        <f t="shared" si="97"/>
        <v>0</v>
      </c>
      <c r="O402" s="20">
        <v>0</v>
      </c>
      <c r="P402" s="21">
        <v>0</v>
      </c>
      <c r="Q402" s="20">
        <f t="shared" si="98"/>
        <v>0</v>
      </c>
      <c r="R402" s="20">
        <v>0</v>
      </c>
      <c r="S402" s="22">
        <v>0</v>
      </c>
      <c r="T402" s="20">
        <f t="shared" si="99"/>
        <v>0</v>
      </c>
      <c r="U402" s="20">
        <v>0</v>
      </c>
      <c r="V402" s="21">
        <v>0</v>
      </c>
      <c r="W402" s="20">
        <f t="shared" si="100"/>
        <v>0</v>
      </c>
      <c r="X402" s="20">
        <v>0</v>
      </c>
      <c r="Y402" s="22">
        <v>0</v>
      </c>
      <c r="Z402" s="20">
        <f t="shared" si="101"/>
        <v>0</v>
      </c>
      <c r="AA402" s="20">
        <v>0</v>
      </c>
      <c r="AB402" s="22">
        <v>0</v>
      </c>
      <c r="AC402" s="20">
        <f t="shared" si="102"/>
        <v>0</v>
      </c>
      <c r="AD402" s="20">
        <v>0</v>
      </c>
      <c r="AE402" s="22">
        <v>0</v>
      </c>
      <c r="AF402" s="20">
        <f t="shared" si="103"/>
        <v>0</v>
      </c>
      <c r="AG402" s="20">
        <v>0</v>
      </c>
      <c r="AH402" s="21">
        <v>0</v>
      </c>
      <c r="AI402" s="20">
        <f t="shared" si="104"/>
        <v>0</v>
      </c>
      <c r="AJ402" s="20">
        <v>0</v>
      </c>
      <c r="AK402" s="21">
        <v>0</v>
      </c>
      <c r="AL402" s="20">
        <f t="shared" si="105"/>
        <v>0</v>
      </c>
      <c r="AM402" s="20">
        <v>152.5</v>
      </c>
      <c r="AN402" s="21">
        <v>5</v>
      </c>
      <c r="AO402" s="20">
        <f t="shared" si="106"/>
        <v>157.5</v>
      </c>
      <c r="AP402" s="21">
        <v>50</v>
      </c>
      <c r="AQ402" s="20">
        <v>0</v>
      </c>
      <c r="AR402" s="20">
        <f t="shared" si="107"/>
        <v>50</v>
      </c>
      <c r="AS402" s="20">
        <v>172</v>
      </c>
      <c r="AT402" s="21">
        <v>12</v>
      </c>
      <c r="AU402" s="20">
        <f t="shared" si="108"/>
        <v>184</v>
      </c>
      <c r="AV402" s="23">
        <f t="shared" si="109"/>
        <v>374.5</v>
      </c>
      <c r="AW402" s="22">
        <f t="shared" si="110"/>
        <v>17</v>
      </c>
      <c r="AX402" s="20">
        <f t="shared" si="111"/>
        <v>391.5</v>
      </c>
      <c r="AY402" s="28" t="s">
        <v>478</v>
      </c>
      <c r="AZ402" s="28" t="s">
        <v>478</v>
      </c>
      <c r="BA402" s="28" t="s">
        <v>352</v>
      </c>
      <c r="BB402" s="29">
        <v>44560</v>
      </c>
    </row>
    <row r="403" spans="1:54" hidden="1">
      <c r="A403" s="28" t="str">
        <f t="shared" si="96"/>
        <v>817591119261</v>
      </c>
      <c r="B403" s="30">
        <v>817591</v>
      </c>
      <c r="C403" s="30" t="s">
        <v>502</v>
      </c>
      <c r="D403" s="28">
        <v>119261</v>
      </c>
      <c r="E403" s="28" t="s">
        <v>170</v>
      </c>
      <c r="F403" s="28"/>
      <c r="G403" s="28"/>
      <c r="H403" s="28"/>
      <c r="I403" s="28"/>
      <c r="J403" s="28"/>
      <c r="K403" s="28"/>
      <c r="L403" s="20">
        <v>0</v>
      </c>
      <c r="M403" s="21">
        <v>0</v>
      </c>
      <c r="N403" s="20">
        <f t="shared" si="97"/>
        <v>0</v>
      </c>
      <c r="O403" s="20">
        <v>0</v>
      </c>
      <c r="P403" s="21">
        <v>0</v>
      </c>
      <c r="Q403" s="20">
        <f t="shared" si="98"/>
        <v>0</v>
      </c>
      <c r="R403" s="20">
        <v>0</v>
      </c>
      <c r="S403" s="22">
        <v>0</v>
      </c>
      <c r="T403" s="20">
        <f t="shared" si="99"/>
        <v>0</v>
      </c>
      <c r="U403" s="20">
        <v>0</v>
      </c>
      <c r="V403" s="21">
        <v>0</v>
      </c>
      <c r="W403" s="20">
        <f t="shared" si="100"/>
        <v>0</v>
      </c>
      <c r="X403" s="20">
        <v>0</v>
      </c>
      <c r="Y403" s="22">
        <v>0</v>
      </c>
      <c r="Z403" s="20">
        <f t="shared" si="101"/>
        <v>0</v>
      </c>
      <c r="AA403" s="20">
        <v>0</v>
      </c>
      <c r="AB403" s="22">
        <v>0</v>
      </c>
      <c r="AC403" s="20">
        <f t="shared" si="102"/>
        <v>0</v>
      </c>
      <c r="AD403" s="20">
        <v>0</v>
      </c>
      <c r="AE403" s="22">
        <v>0</v>
      </c>
      <c r="AF403" s="20">
        <f t="shared" si="103"/>
        <v>0</v>
      </c>
      <c r="AG403" s="20">
        <v>0</v>
      </c>
      <c r="AH403" s="21">
        <v>0</v>
      </c>
      <c r="AI403" s="20">
        <f t="shared" si="104"/>
        <v>0</v>
      </c>
      <c r="AJ403" s="20">
        <v>0</v>
      </c>
      <c r="AK403" s="21">
        <v>0</v>
      </c>
      <c r="AL403" s="20">
        <f t="shared" si="105"/>
        <v>0</v>
      </c>
      <c r="AM403" s="20">
        <v>50</v>
      </c>
      <c r="AN403" s="21">
        <v>0</v>
      </c>
      <c r="AO403" s="20">
        <f t="shared" si="106"/>
        <v>50</v>
      </c>
      <c r="AP403" s="21">
        <v>149</v>
      </c>
      <c r="AQ403" s="20">
        <v>0</v>
      </c>
      <c r="AR403" s="20">
        <f t="shared" si="107"/>
        <v>149</v>
      </c>
      <c r="AS403" s="20">
        <v>0</v>
      </c>
      <c r="AT403" s="21">
        <v>0</v>
      </c>
      <c r="AU403" s="20">
        <f t="shared" si="108"/>
        <v>0</v>
      </c>
      <c r="AV403" s="23">
        <f t="shared" si="109"/>
        <v>199</v>
      </c>
      <c r="AW403" s="22">
        <f t="shared" si="110"/>
        <v>0</v>
      </c>
      <c r="AX403" s="20">
        <f t="shared" si="111"/>
        <v>199</v>
      </c>
      <c r="AY403" s="28" t="s">
        <v>478</v>
      </c>
      <c r="AZ403" s="28" t="s">
        <v>478</v>
      </c>
      <c r="BA403" s="28" t="s">
        <v>352</v>
      </c>
      <c r="BB403" s="29">
        <v>44565</v>
      </c>
    </row>
    <row r="404" spans="1:54" hidden="1">
      <c r="A404" s="28" t="str">
        <f t="shared" si="96"/>
        <v>817742125022</v>
      </c>
      <c r="B404" s="30">
        <v>817742</v>
      </c>
      <c r="C404" s="30" t="s">
        <v>517</v>
      </c>
      <c r="D404" s="28">
        <v>125022</v>
      </c>
      <c r="E404" s="28" t="s">
        <v>225</v>
      </c>
      <c r="F404" s="28"/>
      <c r="G404" s="28"/>
      <c r="H404" s="28"/>
      <c r="I404" s="28"/>
      <c r="J404" s="28"/>
      <c r="K404" s="28"/>
      <c r="L404" s="20">
        <v>0</v>
      </c>
      <c r="M404" s="21">
        <v>0</v>
      </c>
      <c r="N404" s="20">
        <f t="shared" si="97"/>
        <v>0</v>
      </c>
      <c r="O404" s="20">
        <v>0</v>
      </c>
      <c r="P404" s="21">
        <v>0</v>
      </c>
      <c r="Q404" s="20">
        <f t="shared" si="98"/>
        <v>0</v>
      </c>
      <c r="R404" s="20">
        <v>0</v>
      </c>
      <c r="S404" s="22">
        <v>0</v>
      </c>
      <c r="T404" s="20">
        <f t="shared" si="99"/>
        <v>0</v>
      </c>
      <c r="U404" s="20">
        <v>0</v>
      </c>
      <c r="V404" s="21">
        <v>0</v>
      </c>
      <c r="W404" s="20">
        <f t="shared" si="100"/>
        <v>0</v>
      </c>
      <c r="X404" s="20">
        <v>0</v>
      </c>
      <c r="Y404" s="22">
        <v>0</v>
      </c>
      <c r="Z404" s="20">
        <f t="shared" si="101"/>
        <v>0</v>
      </c>
      <c r="AA404" s="20">
        <v>0</v>
      </c>
      <c r="AB404" s="22">
        <v>0</v>
      </c>
      <c r="AC404" s="20">
        <f t="shared" si="102"/>
        <v>0</v>
      </c>
      <c r="AD404" s="20">
        <v>0</v>
      </c>
      <c r="AE404" s="22">
        <v>0</v>
      </c>
      <c r="AF404" s="20">
        <f t="shared" si="103"/>
        <v>0</v>
      </c>
      <c r="AG404" s="20">
        <v>0</v>
      </c>
      <c r="AH404" s="21">
        <v>0</v>
      </c>
      <c r="AI404" s="20">
        <f t="shared" si="104"/>
        <v>0</v>
      </c>
      <c r="AJ404" s="20">
        <v>0</v>
      </c>
      <c r="AK404" s="21">
        <v>0</v>
      </c>
      <c r="AL404" s="20">
        <f t="shared" si="105"/>
        <v>0</v>
      </c>
      <c r="AM404" s="20">
        <v>8</v>
      </c>
      <c r="AN404" s="21">
        <v>0</v>
      </c>
      <c r="AO404" s="20">
        <f t="shared" si="106"/>
        <v>8</v>
      </c>
      <c r="AP404" s="21">
        <v>112.5</v>
      </c>
      <c r="AQ404" s="20">
        <v>0</v>
      </c>
      <c r="AR404" s="20">
        <f t="shared" si="107"/>
        <v>112.5</v>
      </c>
      <c r="AS404" s="20">
        <v>147.75</v>
      </c>
      <c r="AT404" s="21">
        <v>0</v>
      </c>
      <c r="AU404" s="20">
        <f t="shared" si="108"/>
        <v>147.75</v>
      </c>
      <c r="AV404" s="23">
        <f t="shared" si="109"/>
        <v>268.25</v>
      </c>
      <c r="AW404" s="22">
        <f t="shared" si="110"/>
        <v>0</v>
      </c>
      <c r="AX404" s="20">
        <f t="shared" si="111"/>
        <v>268.25</v>
      </c>
      <c r="AY404" s="28" t="s">
        <v>478</v>
      </c>
      <c r="AZ404" s="28" t="s">
        <v>478</v>
      </c>
      <c r="BA404" s="28" t="s">
        <v>352</v>
      </c>
      <c r="BB404" s="29">
        <v>44580</v>
      </c>
    </row>
    <row r="405" spans="1:54" hidden="1">
      <c r="A405" s="28" t="str">
        <f t="shared" si="96"/>
        <v>817915119261</v>
      </c>
      <c r="B405" s="30">
        <v>817915</v>
      </c>
      <c r="C405" s="30" t="s">
        <v>522</v>
      </c>
      <c r="D405" s="28">
        <v>119261</v>
      </c>
      <c r="E405" s="28" t="s">
        <v>170</v>
      </c>
      <c r="F405" s="28"/>
      <c r="G405" s="28"/>
      <c r="H405" s="28"/>
      <c r="I405" s="28"/>
      <c r="J405" s="28"/>
      <c r="K405" s="28"/>
      <c r="L405" s="20">
        <v>0</v>
      </c>
      <c r="M405" s="21">
        <v>0</v>
      </c>
      <c r="N405" s="20">
        <f t="shared" si="97"/>
        <v>0</v>
      </c>
      <c r="O405" s="20">
        <v>0</v>
      </c>
      <c r="P405" s="21">
        <v>0</v>
      </c>
      <c r="Q405" s="20">
        <f t="shared" si="98"/>
        <v>0</v>
      </c>
      <c r="R405" s="20">
        <v>0</v>
      </c>
      <c r="S405" s="22">
        <v>0</v>
      </c>
      <c r="T405" s="20">
        <f t="shared" si="99"/>
        <v>0</v>
      </c>
      <c r="U405" s="20">
        <v>0</v>
      </c>
      <c r="V405" s="21">
        <v>0</v>
      </c>
      <c r="W405" s="20">
        <f t="shared" si="100"/>
        <v>0</v>
      </c>
      <c r="X405" s="20">
        <v>0</v>
      </c>
      <c r="Y405" s="22">
        <v>0</v>
      </c>
      <c r="Z405" s="20">
        <f t="shared" si="101"/>
        <v>0</v>
      </c>
      <c r="AA405" s="20">
        <v>0</v>
      </c>
      <c r="AB405" s="22">
        <v>0</v>
      </c>
      <c r="AC405" s="20">
        <f t="shared" si="102"/>
        <v>0</v>
      </c>
      <c r="AD405" s="20">
        <v>0</v>
      </c>
      <c r="AE405" s="22">
        <v>0</v>
      </c>
      <c r="AF405" s="20">
        <f t="shared" si="103"/>
        <v>0</v>
      </c>
      <c r="AG405" s="20">
        <v>0</v>
      </c>
      <c r="AH405" s="21">
        <v>0</v>
      </c>
      <c r="AI405" s="20">
        <f t="shared" si="104"/>
        <v>0</v>
      </c>
      <c r="AJ405" s="20">
        <v>0</v>
      </c>
      <c r="AK405" s="21">
        <v>0</v>
      </c>
      <c r="AL405" s="20">
        <f t="shared" si="105"/>
        <v>0</v>
      </c>
      <c r="AM405" s="20">
        <v>0</v>
      </c>
      <c r="AN405" s="21">
        <v>0</v>
      </c>
      <c r="AO405" s="20">
        <f t="shared" si="106"/>
        <v>0</v>
      </c>
      <c r="AP405" s="21">
        <v>110.5</v>
      </c>
      <c r="AQ405" s="20">
        <v>0</v>
      </c>
      <c r="AR405" s="20">
        <f t="shared" si="107"/>
        <v>110.5</v>
      </c>
      <c r="AS405" s="20">
        <v>20</v>
      </c>
      <c r="AT405" s="21">
        <v>0</v>
      </c>
      <c r="AU405" s="20">
        <f t="shared" si="108"/>
        <v>20</v>
      </c>
      <c r="AV405" s="23">
        <f t="shared" si="109"/>
        <v>130.5</v>
      </c>
      <c r="AW405" s="22">
        <f t="shared" si="110"/>
        <v>0</v>
      </c>
      <c r="AX405" s="20">
        <f t="shared" si="111"/>
        <v>130.5</v>
      </c>
      <c r="AY405" s="28" t="s">
        <v>478</v>
      </c>
      <c r="AZ405" s="28" t="s">
        <v>478</v>
      </c>
      <c r="BA405" s="28" t="s">
        <v>352</v>
      </c>
      <c r="BB405" s="29">
        <v>44592</v>
      </c>
    </row>
    <row r="406" spans="1:54" hidden="1">
      <c r="A406" s="28" t="str">
        <f t="shared" si="96"/>
        <v>818066119261</v>
      </c>
      <c r="B406" s="30">
        <v>818066</v>
      </c>
      <c r="C406" s="30" t="s">
        <v>531</v>
      </c>
      <c r="D406" s="28">
        <v>119261</v>
      </c>
      <c r="E406" s="28" t="s">
        <v>170</v>
      </c>
      <c r="F406" s="28"/>
      <c r="G406" s="28"/>
      <c r="H406" s="28"/>
      <c r="I406" s="28"/>
      <c r="J406" s="28"/>
      <c r="K406" s="28"/>
      <c r="L406" s="20">
        <v>0</v>
      </c>
      <c r="M406" s="21">
        <v>0</v>
      </c>
      <c r="N406" s="20">
        <f t="shared" si="97"/>
        <v>0</v>
      </c>
      <c r="O406" s="20">
        <v>0</v>
      </c>
      <c r="P406" s="21">
        <v>0</v>
      </c>
      <c r="Q406" s="20">
        <f t="shared" si="98"/>
        <v>0</v>
      </c>
      <c r="R406" s="20">
        <v>0</v>
      </c>
      <c r="S406" s="22">
        <v>0</v>
      </c>
      <c r="T406" s="20">
        <f t="shared" si="99"/>
        <v>0</v>
      </c>
      <c r="U406" s="20">
        <v>0</v>
      </c>
      <c r="V406" s="21">
        <v>0</v>
      </c>
      <c r="W406" s="20">
        <f t="shared" si="100"/>
        <v>0</v>
      </c>
      <c r="X406" s="20">
        <v>0</v>
      </c>
      <c r="Y406" s="22">
        <v>0</v>
      </c>
      <c r="Z406" s="20">
        <f t="shared" si="101"/>
        <v>0</v>
      </c>
      <c r="AA406" s="20">
        <v>0</v>
      </c>
      <c r="AB406" s="22">
        <v>0</v>
      </c>
      <c r="AC406" s="20">
        <f t="shared" si="102"/>
        <v>0</v>
      </c>
      <c r="AD406" s="20">
        <v>0</v>
      </c>
      <c r="AE406" s="22">
        <v>0</v>
      </c>
      <c r="AF406" s="20">
        <f t="shared" si="103"/>
        <v>0</v>
      </c>
      <c r="AG406" s="20">
        <v>0</v>
      </c>
      <c r="AH406" s="21">
        <v>0</v>
      </c>
      <c r="AI406" s="20">
        <f t="shared" si="104"/>
        <v>0</v>
      </c>
      <c r="AJ406" s="20">
        <v>0</v>
      </c>
      <c r="AK406" s="21">
        <v>0</v>
      </c>
      <c r="AL406" s="20">
        <f t="shared" si="105"/>
        <v>0</v>
      </c>
      <c r="AM406" s="20">
        <v>0</v>
      </c>
      <c r="AN406" s="21">
        <v>0</v>
      </c>
      <c r="AO406" s="20">
        <f t="shared" si="106"/>
        <v>0</v>
      </c>
      <c r="AP406" s="21">
        <v>100</v>
      </c>
      <c r="AQ406" s="20">
        <v>0</v>
      </c>
      <c r="AR406" s="20">
        <f t="shared" si="107"/>
        <v>100</v>
      </c>
      <c r="AS406" s="20">
        <v>100</v>
      </c>
      <c r="AT406" s="21">
        <v>0</v>
      </c>
      <c r="AU406" s="20">
        <f t="shared" si="108"/>
        <v>100</v>
      </c>
      <c r="AV406" s="23">
        <f t="shared" si="109"/>
        <v>200</v>
      </c>
      <c r="AW406" s="22">
        <f t="shared" si="110"/>
        <v>0</v>
      </c>
      <c r="AX406" s="20">
        <f t="shared" si="111"/>
        <v>200</v>
      </c>
      <c r="AY406" s="28" t="s">
        <v>478</v>
      </c>
      <c r="AZ406" s="28" t="s">
        <v>478</v>
      </c>
      <c r="BA406" s="28" t="s">
        <v>352</v>
      </c>
      <c r="BB406" s="29">
        <v>44609</v>
      </c>
    </row>
    <row r="407" spans="1:54" hidden="1">
      <c r="A407" s="28" t="str">
        <f t="shared" si="96"/>
        <v>814602201172</v>
      </c>
      <c r="B407" s="30">
        <v>814602</v>
      </c>
      <c r="C407" s="30" t="s">
        <v>211</v>
      </c>
      <c r="D407" s="28">
        <v>201172</v>
      </c>
      <c r="E407" s="28" t="s">
        <v>174</v>
      </c>
      <c r="F407" s="28"/>
      <c r="G407" s="28"/>
      <c r="H407" s="28"/>
      <c r="I407" s="28"/>
      <c r="J407" s="28"/>
      <c r="K407" s="28"/>
      <c r="L407" s="20">
        <v>0</v>
      </c>
      <c r="M407" s="21">
        <v>0</v>
      </c>
      <c r="N407" s="20">
        <f t="shared" si="97"/>
        <v>0</v>
      </c>
      <c r="O407" s="20">
        <v>0</v>
      </c>
      <c r="P407" s="21">
        <v>0</v>
      </c>
      <c r="Q407" s="20">
        <f t="shared" si="98"/>
        <v>0</v>
      </c>
      <c r="R407" s="20">
        <v>0</v>
      </c>
      <c r="S407" s="22">
        <v>0</v>
      </c>
      <c r="T407" s="20">
        <f t="shared" si="99"/>
        <v>0</v>
      </c>
      <c r="U407" s="20">
        <v>0</v>
      </c>
      <c r="V407" s="21">
        <v>0</v>
      </c>
      <c r="W407" s="20">
        <f t="shared" si="100"/>
        <v>0</v>
      </c>
      <c r="X407" s="20">
        <v>0</v>
      </c>
      <c r="Y407" s="22">
        <v>0</v>
      </c>
      <c r="Z407" s="20">
        <f t="shared" si="101"/>
        <v>0</v>
      </c>
      <c r="AA407" s="20">
        <v>0</v>
      </c>
      <c r="AB407" s="22">
        <v>0</v>
      </c>
      <c r="AC407" s="20">
        <f t="shared" si="102"/>
        <v>0</v>
      </c>
      <c r="AD407" s="20">
        <v>0</v>
      </c>
      <c r="AE407" s="22">
        <v>0</v>
      </c>
      <c r="AF407" s="20">
        <f t="shared" si="103"/>
        <v>0</v>
      </c>
      <c r="AG407" s="20">
        <v>0</v>
      </c>
      <c r="AH407" s="21">
        <v>0</v>
      </c>
      <c r="AI407" s="20">
        <f t="shared" si="104"/>
        <v>0</v>
      </c>
      <c r="AJ407" s="20">
        <v>0</v>
      </c>
      <c r="AK407" s="21">
        <v>0</v>
      </c>
      <c r="AL407" s="20">
        <f t="shared" si="105"/>
        <v>0</v>
      </c>
      <c r="AM407" s="20">
        <v>0</v>
      </c>
      <c r="AN407" s="21">
        <v>0</v>
      </c>
      <c r="AO407" s="20">
        <f t="shared" si="106"/>
        <v>0</v>
      </c>
      <c r="AP407" s="21">
        <v>0</v>
      </c>
      <c r="AQ407" s="20">
        <v>0</v>
      </c>
      <c r="AR407" s="20">
        <f t="shared" si="107"/>
        <v>0</v>
      </c>
      <c r="AS407" s="20">
        <v>2.5</v>
      </c>
      <c r="AT407" s="21">
        <v>0</v>
      </c>
      <c r="AU407" s="20">
        <f t="shared" si="108"/>
        <v>2.5</v>
      </c>
      <c r="AV407" s="23">
        <f t="shared" si="109"/>
        <v>2.5</v>
      </c>
      <c r="AW407" s="22">
        <f t="shared" si="110"/>
        <v>0</v>
      </c>
      <c r="AX407" s="20">
        <f t="shared" si="111"/>
        <v>2.5</v>
      </c>
      <c r="AY407" s="28" t="s">
        <v>478</v>
      </c>
      <c r="AZ407" s="28" t="s">
        <v>478</v>
      </c>
      <c r="BA407" s="28" t="s">
        <v>352</v>
      </c>
      <c r="BB407" s="29">
        <v>44252</v>
      </c>
    </row>
    <row r="408" spans="1:54" hidden="1">
      <c r="A408" s="28" t="str">
        <f t="shared" si="96"/>
        <v>817052145639</v>
      </c>
      <c r="B408" s="30">
        <v>817052</v>
      </c>
      <c r="C408" s="30" t="s">
        <v>482</v>
      </c>
      <c r="D408" s="28">
        <v>145639</v>
      </c>
      <c r="E408" s="28" t="s">
        <v>182</v>
      </c>
      <c r="F408" s="28"/>
      <c r="G408" s="28"/>
      <c r="H408" s="28"/>
      <c r="I408" s="28"/>
      <c r="J408" s="28"/>
      <c r="K408" s="28"/>
      <c r="L408" s="20">
        <v>0</v>
      </c>
      <c r="M408" s="21">
        <v>0</v>
      </c>
      <c r="N408" s="20">
        <f t="shared" si="97"/>
        <v>0</v>
      </c>
      <c r="O408" s="20">
        <v>0</v>
      </c>
      <c r="P408" s="21">
        <v>0</v>
      </c>
      <c r="Q408" s="20">
        <f t="shared" si="98"/>
        <v>0</v>
      </c>
      <c r="R408" s="20">
        <v>0</v>
      </c>
      <c r="S408" s="22">
        <v>0</v>
      </c>
      <c r="T408" s="20">
        <f t="shared" si="99"/>
        <v>0</v>
      </c>
      <c r="U408" s="20">
        <v>0</v>
      </c>
      <c r="V408" s="21">
        <v>0</v>
      </c>
      <c r="W408" s="20">
        <f t="shared" si="100"/>
        <v>0</v>
      </c>
      <c r="X408" s="20">
        <v>0</v>
      </c>
      <c r="Y408" s="22">
        <v>0</v>
      </c>
      <c r="Z408" s="20">
        <f t="shared" si="101"/>
        <v>0</v>
      </c>
      <c r="AA408" s="20">
        <v>0</v>
      </c>
      <c r="AB408" s="22">
        <v>0</v>
      </c>
      <c r="AC408" s="20">
        <f t="shared" si="102"/>
        <v>0</v>
      </c>
      <c r="AD408" s="20">
        <v>0</v>
      </c>
      <c r="AE408" s="22">
        <v>0</v>
      </c>
      <c r="AF408" s="20">
        <f t="shared" si="103"/>
        <v>0</v>
      </c>
      <c r="AG408" s="20">
        <v>0</v>
      </c>
      <c r="AH408" s="21">
        <v>0</v>
      </c>
      <c r="AI408" s="20">
        <f t="shared" si="104"/>
        <v>0</v>
      </c>
      <c r="AJ408" s="20">
        <v>0</v>
      </c>
      <c r="AK408" s="21">
        <v>0</v>
      </c>
      <c r="AL408" s="20">
        <f t="shared" si="105"/>
        <v>0</v>
      </c>
      <c r="AM408" s="20">
        <v>0</v>
      </c>
      <c r="AN408" s="21">
        <v>0</v>
      </c>
      <c r="AO408" s="20">
        <f t="shared" si="106"/>
        <v>0</v>
      </c>
      <c r="AP408" s="21">
        <v>0</v>
      </c>
      <c r="AQ408" s="20">
        <v>0</v>
      </c>
      <c r="AR408" s="20">
        <f t="shared" si="107"/>
        <v>0</v>
      </c>
      <c r="AS408" s="20">
        <v>25</v>
      </c>
      <c r="AT408" s="21">
        <v>0</v>
      </c>
      <c r="AU408" s="20">
        <f t="shared" si="108"/>
        <v>25</v>
      </c>
      <c r="AV408" s="23">
        <f t="shared" si="109"/>
        <v>25</v>
      </c>
      <c r="AW408" s="22">
        <f t="shared" si="110"/>
        <v>0</v>
      </c>
      <c r="AX408" s="20">
        <f t="shared" si="111"/>
        <v>25</v>
      </c>
      <c r="AY408" s="28" t="s">
        <v>478</v>
      </c>
      <c r="AZ408" s="28" t="s">
        <v>478</v>
      </c>
      <c r="BA408" s="28" t="s">
        <v>352</v>
      </c>
      <c r="BB408" s="29">
        <v>44518</v>
      </c>
    </row>
    <row r="409" spans="1:54">
      <c r="A409" s="34"/>
      <c r="B409" s="34"/>
      <c r="C409" s="34"/>
      <c r="D409" s="35" t="s">
        <v>357</v>
      </c>
      <c r="E409" s="35"/>
      <c r="F409" s="35"/>
      <c r="G409" s="35"/>
      <c r="H409" s="35"/>
      <c r="I409" s="35"/>
      <c r="J409" s="35"/>
      <c r="K409" s="35"/>
      <c r="L409" s="23">
        <f>SUM(L2:L408)</f>
        <v>11227.6</v>
      </c>
      <c r="M409" s="22">
        <f>SUM(M2:M408)</f>
        <v>382.8</v>
      </c>
      <c r="N409" s="23">
        <f t="shared" ref="N409" si="112">SUM(L409:M409)</f>
        <v>11610.4</v>
      </c>
      <c r="O409" s="23">
        <f>SUM(O2:O408)</f>
        <v>10083.499999999998</v>
      </c>
      <c r="P409" s="22">
        <f>SUM(P2:P408)</f>
        <v>407</v>
      </c>
      <c r="Q409" s="23">
        <f t="shared" ref="Q409" si="113">SUM(O409:P409)</f>
        <v>10490.499999999998</v>
      </c>
      <c r="R409" s="23">
        <f>SUM(R2:R408)</f>
        <v>16239.05</v>
      </c>
      <c r="S409" s="22">
        <f>SUM(S2:S408)</f>
        <v>471.05</v>
      </c>
      <c r="T409" s="23">
        <f t="shared" ref="T409" si="114">SUM(R409:S409)</f>
        <v>16710.099999999999</v>
      </c>
      <c r="U409" s="23">
        <f>SUM(U2:U408)</f>
        <v>16537.600000000002</v>
      </c>
      <c r="V409" s="22">
        <f>SUM(V2:V408)</f>
        <v>510.09999999999997</v>
      </c>
      <c r="W409" s="23">
        <f t="shared" ref="W409" si="115">SUM(U409:V409)</f>
        <v>17047.7</v>
      </c>
      <c r="X409" s="23">
        <f>SUM(X2:X408)</f>
        <v>15136.199999999997</v>
      </c>
      <c r="Y409" s="22">
        <f>SUM(Y2:Y408)</f>
        <v>636.44999999999993</v>
      </c>
      <c r="Z409" s="23">
        <f t="shared" ref="Z409" si="116">SUM(X409:Y409)</f>
        <v>15772.649999999998</v>
      </c>
      <c r="AA409" s="23">
        <f>SUM(AA2:AA408)</f>
        <v>16410.350000000002</v>
      </c>
      <c r="AB409" s="22">
        <f>SUM(AB2:AB408)</f>
        <v>615.05000000000007</v>
      </c>
      <c r="AC409" s="23">
        <f t="shared" ref="AC409" si="117">SUM(AA409:AB409)</f>
        <v>17025.400000000001</v>
      </c>
      <c r="AD409" s="23">
        <f>SUM(AD2:AD408)</f>
        <v>15456.649999999996</v>
      </c>
      <c r="AE409" s="22">
        <f>SUM(AE2:AE408)</f>
        <v>625.44999999999993</v>
      </c>
      <c r="AF409" s="23">
        <f t="shared" ref="AF409" si="118">SUM(AD409:AE409)</f>
        <v>16082.099999999997</v>
      </c>
      <c r="AG409" s="23">
        <f>SUM(AG2:AG408)</f>
        <v>13868.25</v>
      </c>
      <c r="AH409" s="22">
        <f>SUM(AH2:AH408)</f>
        <v>436.95000000000005</v>
      </c>
      <c r="AI409" s="23">
        <f t="shared" ref="AI409" si="119">SUM(AG409:AH409)</f>
        <v>14305.2</v>
      </c>
      <c r="AJ409" s="23">
        <f>SUM(AJ2:AJ408)</f>
        <v>22406.100000000002</v>
      </c>
      <c r="AK409" s="22">
        <f>SUM(AK2:AK408)</f>
        <v>684.8</v>
      </c>
      <c r="AL409" s="23">
        <f t="shared" ref="AL409" si="120">SUM(AJ409:AK409)</f>
        <v>23090.9</v>
      </c>
      <c r="AM409" s="23">
        <f>SUM(AM2:AM408)</f>
        <v>16672.199999999997</v>
      </c>
      <c r="AN409" s="22">
        <f>SUM(AN2:AN408)</f>
        <v>724.25</v>
      </c>
      <c r="AO409" s="23">
        <f t="shared" ref="AO409" si="121">SUM(AM409:AN409)</f>
        <v>17396.449999999997</v>
      </c>
      <c r="AP409" s="22">
        <f>SUM(AP2:AP408)</f>
        <v>18189.849999999999</v>
      </c>
      <c r="AQ409" s="23">
        <f>SUM(AQ2:AQ408)</f>
        <v>574.84999999999991</v>
      </c>
      <c r="AR409" s="23">
        <f t="shared" ref="AR409" si="122">SUM(AP409:AQ409)</f>
        <v>18764.699999999997</v>
      </c>
      <c r="AS409" s="23">
        <f>SUM(AS2:AS408)</f>
        <v>26637.5</v>
      </c>
      <c r="AT409" s="22">
        <f>SUM(AT2:AT408)</f>
        <v>750.2</v>
      </c>
      <c r="AU409" s="23">
        <f t="shared" ref="AU409" si="123">SUM(AS409:AT409)</f>
        <v>27387.7</v>
      </c>
      <c r="AV409" s="23">
        <f>SUM(AV2:AV408)</f>
        <v>198864.84999999992</v>
      </c>
      <c r="AW409" s="22">
        <f>SUM(AW2:AW408)</f>
        <v>6818.9500000000016</v>
      </c>
      <c r="AX409" s="23">
        <f>SUM(AX2:AX408)</f>
        <v>205683.79999999996</v>
      </c>
      <c r="AY409" s="34"/>
      <c r="AZ409" s="34"/>
      <c r="BA409" s="34"/>
      <c r="BB409" s="29"/>
    </row>
  </sheetData>
  <autoFilter ref="A1:BB409">
    <filterColumn colId="50">
      <filters blank="1">
        <filter val="DHOLPUR"/>
      </filters>
    </filterColumn>
    <sortState ref="A2:BE2668">
      <sortCondition ref="BA1:BA2668"/>
    </sortState>
  </autoFilter>
  <conditionalFormatting sqref="F2:F408">
    <cfRule type="containsText" dxfId="2" priority="1" operator="containsText" text="Inactive">
      <formula>NOT(ISERROR(SEARCH("Inactive",F2)))</formula>
    </cfRule>
  </conditionalFormatting>
  <conditionalFormatting sqref="A2:A408">
    <cfRule type="duplicateValues" dxfId="1" priority="99"/>
  </conditionalFormatting>
  <conditionalFormatting sqref="B2:B408">
    <cfRule type="duplicateValues" dxfId="0" priority="100"/>
  </conditionalFormatting>
  <dataValidations count="2">
    <dataValidation type="list" allowBlank="1" showInputMessage="1" showErrorMessage="1" sqref="G2:G157 G166:G408 H158:H165">
      <formula1>"Prop.,Firm"</formula1>
    </dataValidation>
    <dataValidation type="list" allowBlank="1" showInputMessage="1" showErrorMessage="1" sqref="F2:F408">
      <formula1>"Active,Inactive"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D8:F13"/>
  <sheetViews>
    <sheetView workbookViewId="0">
      <selection activeCell="E8" sqref="E8:F13"/>
    </sheetView>
  </sheetViews>
  <sheetFormatPr defaultRowHeight="12.75"/>
  <sheetData>
    <row r="8" spans="4:6">
      <c r="E8" s="16">
        <v>0</v>
      </c>
      <c r="F8" s="16" t="s">
        <v>438</v>
      </c>
    </row>
    <row r="9" spans="4:6">
      <c r="D9" t="s">
        <v>459</v>
      </c>
      <c r="E9" s="16">
        <v>10</v>
      </c>
      <c r="F9" s="16" t="s">
        <v>439</v>
      </c>
    </row>
    <row r="10" spans="4:6">
      <c r="E10" s="16">
        <v>20</v>
      </c>
      <c r="F10" s="16" t="s">
        <v>485</v>
      </c>
    </row>
    <row r="11" spans="4:6">
      <c r="E11" s="16">
        <v>30</v>
      </c>
      <c r="F11" s="16" t="s">
        <v>440</v>
      </c>
    </row>
    <row r="12" spans="4:6">
      <c r="E12" s="16">
        <v>40</v>
      </c>
      <c r="F12" s="16" t="s">
        <v>441</v>
      </c>
    </row>
    <row r="13" spans="4:6">
      <c r="E13" s="16">
        <v>50</v>
      </c>
      <c r="F13" s="16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DIST WIS SLAB</vt:lpstr>
      <vt:lpstr>Sheet6</vt:lpstr>
      <vt:lpstr>Sheet1</vt:lpstr>
      <vt:lpstr>Sheet2</vt:lpstr>
      <vt:lpstr>mtd sale</vt:lpstr>
      <vt:lpstr>Slab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2021-10-25T12:04:34Z</dcterms:created>
  <dcterms:modified xsi:type="dcterms:W3CDTF">2022-04-28T10:46:18Z</dcterms:modified>
  <cp:category/>
</cp:coreProperties>
</file>